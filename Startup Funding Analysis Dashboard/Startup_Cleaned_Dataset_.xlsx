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tak\OneDrive\Desktop\"/>
    </mc:Choice>
  </mc:AlternateContent>
  <xr:revisionPtr revIDLastSave="0" documentId="8_{A492F2CE-FB51-4D55-8E96-A532B6436883}" xr6:coauthVersionLast="47" xr6:coauthVersionMax="47" xr10:uidLastSave="{00000000-0000-0000-0000-000000000000}"/>
  <bookViews>
    <workbookView xWindow="-110" yWindow="-110" windowWidth="19420" windowHeight="10300" xr2:uid="{50187C81-CBCF-4720-8038-A51EE59FF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X1752" i="2" l="1"/>
  <c r="Z1752" i="2" s="1"/>
  <c r="X1753" i="2"/>
  <c r="Z1753" i="2" s="1"/>
  <c r="X1754" i="2"/>
  <c r="Z1754" i="2" s="1"/>
  <c r="X1755" i="2"/>
  <c r="Z1755" i="2" s="1"/>
  <c r="X1756" i="2"/>
  <c r="Z1756" i="2" s="1"/>
  <c r="X1757" i="2"/>
  <c r="Z1757" i="2" s="1"/>
  <c r="X1758" i="2"/>
  <c r="Z1758" i="2" s="1"/>
  <c r="X1759" i="2"/>
  <c r="Z1759" i="2" s="1"/>
  <c r="X1760" i="2"/>
  <c r="Z1760" i="2" s="1"/>
  <c r="X1761" i="2"/>
  <c r="Z1761" i="2" s="1"/>
  <c r="X1762" i="2"/>
  <c r="X1763" i="2"/>
  <c r="X1764" i="2"/>
  <c r="Z1764" i="2" s="1"/>
  <c r="X1765" i="2"/>
  <c r="X1766" i="2"/>
  <c r="X1767" i="2"/>
  <c r="X1768" i="2"/>
  <c r="X1769" i="2"/>
  <c r="X1770" i="2"/>
  <c r="Z1770" i="2" s="1"/>
  <c r="X1771" i="2"/>
  <c r="X1772" i="2"/>
  <c r="X1773" i="2"/>
  <c r="X1774" i="2"/>
  <c r="X1775" i="2"/>
  <c r="X1776" i="2"/>
  <c r="X1777" i="2"/>
  <c r="X1778" i="2"/>
  <c r="X1779" i="2"/>
  <c r="X1780" i="2"/>
  <c r="Z1780" i="2" s="1"/>
  <c r="X1781" i="2"/>
  <c r="X1782" i="2"/>
  <c r="X1783" i="2"/>
  <c r="Z1783" i="2" s="1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Z1804" i="2" s="1"/>
  <c r="X1805" i="2"/>
  <c r="Z1805" i="2" s="1"/>
  <c r="X1806" i="2"/>
  <c r="X1807" i="2"/>
  <c r="Z1807" i="2" s="1"/>
  <c r="X1808" i="2"/>
  <c r="Z1808" i="2" s="1"/>
  <c r="X1809" i="2"/>
  <c r="Z1809" i="2" s="1"/>
  <c r="X1810" i="2"/>
  <c r="X1811" i="2"/>
  <c r="X1812" i="2"/>
  <c r="Z1812" i="2" s="1"/>
  <c r="X1813" i="2"/>
  <c r="Z1813" i="2" s="1"/>
  <c r="X1814" i="2"/>
  <c r="Z1814" i="2" s="1"/>
  <c r="X1815" i="2"/>
  <c r="X1816" i="2"/>
  <c r="Z1816" i="2" s="1"/>
  <c r="X1817" i="2"/>
  <c r="Z1817" i="2" s="1"/>
  <c r="X1818" i="2"/>
  <c r="Z1818" i="2" s="1"/>
  <c r="X1819" i="2"/>
  <c r="Z1819" i="2" s="1"/>
  <c r="X1820" i="2"/>
  <c r="Z1820" i="2" s="1"/>
  <c r="X1821" i="2"/>
  <c r="Z1821" i="2" s="1"/>
  <c r="X1822" i="2"/>
  <c r="Z1822" i="2" s="1"/>
  <c r="X1823" i="2"/>
  <c r="X1824" i="2"/>
  <c r="X1825" i="2"/>
  <c r="X1826" i="2"/>
  <c r="X1827" i="2"/>
  <c r="X1828" i="2"/>
  <c r="X1829" i="2"/>
  <c r="X1830" i="2"/>
  <c r="X1831" i="2"/>
  <c r="X1832" i="2"/>
  <c r="Z1832" i="2" s="1"/>
  <c r="X1833" i="2"/>
  <c r="X1834" i="2"/>
  <c r="Z1834" i="2" s="1"/>
  <c r="X1835" i="2"/>
  <c r="Z1835" i="2" s="1"/>
  <c r="X1836" i="2"/>
  <c r="X1837" i="2"/>
  <c r="X1838" i="2"/>
  <c r="X1839" i="2"/>
  <c r="Z1839" i="2" s="1"/>
  <c r="X1840" i="2"/>
  <c r="Z1840" i="2" s="1"/>
  <c r="X1841" i="2"/>
  <c r="X1842" i="2"/>
  <c r="Z1842" i="2" s="1"/>
  <c r="X1843" i="2"/>
  <c r="Z1843" i="2" s="1"/>
  <c r="X1844" i="2"/>
  <c r="Z1844" i="2" s="1"/>
  <c r="X1845" i="2"/>
  <c r="X1846" i="2"/>
  <c r="X1847" i="2"/>
  <c r="X1848" i="2"/>
  <c r="X1849" i="2"/>
  <c r="X1850" i="2"/>
  <c r="X1851" i="2"/>
  <c r="X1852" i="2"/>
  <c r="X1853" i="2"/>
  <c r="X1854" i="2"/>
  <c r="Z1854" i="2" s="1"/>
  <c r="X1855" i="2"/>
  <c r="X1856" i="2"/>
  <c r="X1857" i="2"/>
  <c r="Z1857" i="2" s="1"/>
  <c r="X1858" i="2"/>
  <c r="X1859" i="2"/>
  <c r="X1860" i="2"/>
  <c r="X1861" i="2"/>
  <c r="X1862" i="2"/>
  <c r="X1863" i="2"/>
  <c r="Z1863" i="2" s="1"/>
  <c r="X1864" i="2"/>
  <c r="Z1864" i="2" s="1"/>
  <c r="X1865" i="2"/>
  <c r="X1866" i="2"/>
  <c r="Z1866" i="2" s="1"/>
  <c r="X1867" i="2"/>
  <c r="X1868" i="2"/>
  <c r="X1869" i="2"/>
  <c r="X1870" i="2"/>
  <c r="Z1870" i="2" s="1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Z1897" i="2" s="1"/>
  <c r="X1898" i="2"/>
  <c r="Z1898" i="2" s="1"/>
  <c r="X1899" i="2"/>
  <c r="Z1899" i="2" s="1"/>
  <c r="X1900" i="2"/>
  <c r="Z1900" i="2" s="1"/>
  <c r="X1901" i="2"/>
  <c r="Z1901" i="2" s="1"/>
  <c r="X1902" i="2"/>
  <c r="Z1902" i="2" s="1"/>
  <c r="X1903" i="2"/>
  <c r="Z1903" i="2" s="1"/>
  <c r="X1904" i="2"/>
  <c r="Z1904" i="2" s="1"/>
  <c r="X1905" i="2"/>
  <c r="Z1905" i="2" s="1"/>
  <c r="X1906" i="2"/>
  <c r="Z1906" i="2" s="1"/>
  <c r="X1907" i="2"/>
  <c r="Z1907" i="2" s="1"/>
  <c r="X1908" i="2"/>
  <c r="X1909" i="2"/>
  <c r="X1910" i="2"/>
  <c r="Z1910" i="2" s="1"/>
  <c r="X1911" i="2"/>
  <c r="Z1911" i="2" s="1"/>
  <c r="X1912" i="2"/>
  <c r="Z1912" i="2" s="1"/>
  <c r="X1913" i="2"/>
  <c r="X1914" i="2"/>
  <c r="Z1914" i="2" s="1"/>
  <c r="X1915" i="2"/>
  <c r="Z1915" i="2" s="1"/>
  <c r="X1916" i="2"/>
  <c r="Z1916" i="2" s="1"/>
  <c r="X1917" i="2"/>
  <c r="X1918" i="2"/>
  <c r="X1919" i="2"/>
  <c r="X1920" i="2"/>
  <c r="Z1920" i="2" s="1"/>
  <c r="X1921" i="2"/>
  <c r="Z1921" i="2" s="1"/>
  <c r="X1922" i="2"/>
  <c r="X1923" i="2"/>
  <c r="X1924" i="2"/>
  <c r="X1925" i="2"/>
  <c r="Z1925" i="2" s="1"/>
  <c r="X1926" i="2"/>
  <c r="X1927" i="2"/>
  <c r="Z1927" i="2" s="1"/>
  <c r="X1928" i="2"/>
  <c r="X1929" i="2"/>
  <c r="X1930" i="2"/>
  <c r="Z1930" i="2" s="1"/>
  <c r="X1931" i="2"/>
  <c r="Z1931" i="2" s="1"/>
  <c r="X1932" i="2"/>
  <c r="Z1932" i="2" s="1"/>
  <c r="X1933" i="2"/>
  <c r="X1934" i="2"/>
  <c r="Z1934" i="2" s="1"/>
  <c r="X1935" i="2"/>
  <c r="Z1935" i="2" s="1"/>
  <c r="X1936" i="2"/>
  <c r="X1937" i="2"/>
  <c r="Z1937" i="2" s="1"/>
  <c r="X1938" i="2"/>
  <c r="Z1938" i="2" s="1"/>
  <c r="X1939" i="2"/>
  <c r="Z1939" i="2" s="1"/>
  <c r="X1940" i="2"/>
  <c r="Z1940" i="2" s="1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Z1952" i="2" s="1"/>
  <c r="X1953" i="2"/>
  <c r="Z1953" i="2" s="1"/>
  <c r="X1954" i="2"/>
  <c r="Z1954" i="2" s="1"/>
  <c r="X1955" i="2"/>
  <c r="X1956" i="2"/>
  <c r="Z1956" i="2" s="1"/>
  <c r="X1957" i="2"/>
  <c r="Z1957" i="2" s="1"/>
  <c r="X1958" i="2"/>
  <c r="Z1958" i="2" s="1"/>
  <c r="X1959" i="2"/>
  <c r="Z1959" i="2" s="1"/>
  <c r="X1960" i="2"/>
  <c r="X1961" i="2"/>
  <c r="X1962" i="2"/>
  <c r="X1963" i="2"/>
  <c r="X1964" i="2"/>
  <c r="X1965" i="2"/>
  <c r="X1966" i="2"/>
  <c r="Z1966" i="2" s="1"/>
  <c r="X1967" i="2"/>
  <c r="X1968" i="2"/>
  <c r="X1969" i="2"/>
  <c r="X1970" i="2"/>
  <c r="X1971" i="2"/>
  <c r="X1972" i="2"/>
  <c r="Z1972" i="2" s="1"/>
  <c r="X1973" i="2"/>
  <c r="X1974" i="2"/>
  <c r="X1975" i="2"/>
  <c r="X1976" i="2"/>
  <c r="X1977" i="2"/>
  <c r="X1978" i="2"/>
  <c r="X1979" i="2"/>
  <c r="X1980" i="2"/>
  <c r="Z1980" i="2" s="1"/>
  <c r="X1981" i="2"/>
  <c r="Z1981" i="2" s="1"/>
  <c r="X1982" i="2"/>
  <c r="Z1982" i="2" s="1"/>
  <c r="X1983" i="2"/>
  <c r="Z1983" i="2" s="1"/>
  <c r="X1984" i="2"/>
  <c r="Z1984" i="2" s="1"/>
  <c r="X1985" i="2"/>
  <c r="Z1985" i="2" s="1"/>
  <c r="X1986" i="2"/>
  <c r="X1987" i="2"/>
  <c r="Z1987" i="2" s="1"/>
  <c r="X1988" i="2"/>
  <c r="Z1988" i="2" s="1"/>
  <c r="X1989" i="2"/>
  <c r="X1990" i="2"/>
  <c r="Z1990" i="2" s="1"/>
  <c r="X1991" i="2"/>
  <c r="Z1991" i="2" s="1"/>
  <c r="X1992" i="2"/>
  <c r="Z1992" i="2" s="1"/>
  <c r="X1993" i="2"/>
  <c r="X1994" i="2"/>
  <c r="Z1994" i="2" s="1"/>
  <c r="X1995" i="2"/>
  <c r="Z1995" i="2" s="1"/>
  <c r="X1996" i="2"/>
  <c r="Z1996" i="2" s="1"/>
  <c r="X1997" i="2"/>
  <c r="X1998" i="2"/>
  <c r="Z1998" i="2" s="1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Z2016" i="2" s="1"/>
  <c r="X2017" i="2"/>
  <c r="X2018" i="2"/>
  <c r="Z2018" i="2" s="1"/>
  <c r="X2019" i="2"/>
  <c r="Z2019" i="2" s="1"/>
  <c r="X2020" i="2"/>
  <c r="Z2020" i="2" s="1"/>
  <c r="X2021" i="2"/>
  <c r="X2022" i="2"/>
  <c r="Z2022" i="2" s="1"/>
  <c r="X2023" i="2"/>
  <c r="Z2023" i="2" s="1"/>
  <c r="X2024" i="2"/>
  <c r="Z2024" i="2" s="1"/>
  <c r="X2025" i="2"/>
  <c r="X2026" i="2"/>
  <c r="X2027" i="2"/>
  <c r="Z2027" i="2" s="1"/>
  <c r="Y2027" i="2"/>
  <c r="X2028" i="2"/>
  <c r="Z2028" i="2" s="1"/>
  <c r="X2029" i="2"/>
  <c r="Z2029" i="2" s="1"/>
  <c r="X2030" i="2"/>
  <c r="X2031" i="2"/>
  <c r="X2032" i="2"/>
  <c r="X2033" i="2"/>
  <c r="X2034" i="2"/>
  <c r="X2035" i="2"/>
  <c r="Z2035" i="2" s="1"/>
  <c r="X2036" i="2"/>
  <c r="X2037" i="2"/>
  <c r="X2038" i="2"/>
  <c r="Z2038" i="2" s="1"/>
  <c r="X2039" i="2"/>
  <c r="Z2039" i="2" s="1"/>
  <c r="X2040" i="2"/>
  <c r="Z2040" i="2" s="1"/>
  <c r="X2041" i="2"/>
  <c r="X2042" i="2"/>
  <c r="X2043" i="2"/>
  <c r="Z2043" i="2" s="1"/>
  <c r="X2044" i="2"/>
  <c r="X2045" i="2"/>
  <c r="Z2045" i="2" s="1"/>
  <c r="X2046" i="2"/>
  <c r="X2047" i="2"/>
  <c r="Z2047" i="2" s="1"/>
  <c r="X2048" i="2"/>
  <c r="Z2048" i="2" s="1"/>
  <c r="X2049" i="2"/>
  <c r="Z2049" i="2" s="1"/>
  <c r="X2050" i="2"/>
  <c r="X2051" i="2"/>
  <c r="Z2051" i="2" s="1"/>
  <c r="X2052" i="2"/>
  <c r="X2053" i="2"/>
  <c r="X2054" i="2"/>
  <c r="X2055" i="2"/>
  <c r="X2056" i="2"/>
  <c r="X2057" i="2"/>
  <c r="Z2057" i="2" s="1"/>
  <c r="X2058" i="2"/>
  <c r="Z2058" i="2" s="1"/>
  <c r="X2059" i="2"/>
  <c r="X2060" i="2"/>
  <c r="Z2060" i="2" s="1"/>
  <c r="X2061" i="2"/>
  <c r="X2062" i="2"/>
  <c r="X2063" i="2"/>
  <c r="X2064" i="2"/>
  <c r="Z2064" i="2" s="1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Z2076" i="2" s="1"/>
  <c r="X2077" i="2"/>
  <c r="Z2077" i="2" s="1"/>
  <c r="X2078" i="2"/>
  <c r="X2079" i="2"/>
  <c r="Z2079" i="2" s="1"/>
  <c r="X2080" i="2"/>
  <c r="X2081" i="2"/>
  <c r="X2082" i="2"/>
  <c r="X2083" i="2"/>
  <c r="Z2083" i="2" s="1"/>
  <c r="X2084" i="2"/>
  <c r="X2085" i="2"/>
  <c r="Z2085" i="2" s="1"/>
  <c r="X2086" i="2"/>
  <c r="X2087" i="2"/>
  <c r="X2088" i="2"/>
  <c r="Z2088" i="2" s="1"/>
  <c r="X2089" i="2"/>
  <c r="Z2089" i="2" s="1"/>
  <c r="X2090" i="2"/>
  <c r="Z2090" i="2" s="1"/>
  <c r="X2091" i="2"/>
  <c r="Z2091" i="2" s="1"/>
  <c r="X2092" i="2"/>
  <c r="Z2092" i="2" s="1"/>
  <c r="X2093" i="2"/>
  <c r="Z2093" i="2" s="1"/>
  <c r="X2094" i="2"/>
  <c r="Z2094" i="2" s="1"/>
  <c r="X2095" i="2"/>
  <c r="Z2095" i="2" s="1"/>
  <c r="X2096" i="2"/>
  <c r="Z2096" i="2" s="1"/>
  <c r="Y2096" i="2"/>
  <c r="X2097" i="2"/>
  <c r="Z2097" i="2" s="1"/>
  <c r="X2098" i="2"/>
  <c r="Z2098" i="2" s="1"/>
  <c r="X2099" i="2"/>
  <c r="Z2099" i="2" s="1"/>
  <c r="X2100" i="2"/>
  <c r="Z2100" i="2" s="1"/>
  <c r="X2101" i="2"/>
  <c r="Z2101" i="2" s="1"/>
  <c r="X2102" i="2"/>
  <c r="Z2102" i="2" s="1"/>
  <c r="X2103" i="2"/>
  <c r="Z2103" i="2" s="1"/>
  <c r="X2104" i="2"/>
  <c r="Z2104" i="2" s="1"/>
  <c r="X2105" i="2"/>
  <c r="Z2105" i="2" s="1"/>
  <c r="X2106" i="2"/>
  <c r="X2107" i="2"/>
  <c r="X2108" i="2"/>
  <c r="X2109" i="2"/>
  <c r="Z2109" i="2" s="1"/>
  <c r="X2110" i="2"/>
  <c r="X2111" i="2"/>
  <c r="X2112" i="2"/>
  <c r="X2113" i="2"/>
  <c r="X2114" i="2"/>
  <c r="X2115" i="2"/>
  <c r="X2116" i="2"/>
  <c r="X2117" i="2"/>
  <c r="Z2117" i="2" s="1"/>
  <c r="X2118" i="2"/>
  <c r="Z2118" i="2" s="1"/>
  <c r="X2119" i="2"/>
  <c r="Z2119" i="2" s="1"/>
  <c r="X2120" i="2"/>
  <c r="Z2120" i="2" s="1"/>
  <c r="X2121" i="2"/>
  <c r="Z2121" i="2" s="1"/>
  <c r="X2122" i="2"/>
  <c r="Z2122" i="2" s="1"/>
  <c r="X2123" i="2"/>
  <c r="Z2123" i="2" s="1"/>
  <c r="X2124" i="2"/>
  <c r="X2125" i="2"/>
  <c r="X2126" i="2"/>
  <c r="X2127" i="2"/>
  <c r="X2128" i="2"/>
  <c r="X2129" i="2"/>
  <c r="X2130" i="2"/>
  <c r="X2131" i="2"/>
  <c r="X2132" i="2"/>
  <c r="X2133" i="2"/>
  <c r="X2134" i="2"/>
  <c r="Z2134" i="2" s="1"/>
  <c r="X2135" i="2"/>
  <c r="Z2135" i="2" s="1"/>
  <c r="X2136" i="2"/>
  <c r="Z2136" i="2" s="1"/>
  <c r="X2137" i="2"/>
  <c r="X2138" i="2"/>
  <c r="X2139" i="2"/>
  <c r="Z2139" i="2" s="1"/>
  <c r="X2140" i="2"/>
  <c r="X2141" i="2"/>
  <c r="X2142" i="2"/>
  <c r="X2143" i="2"/>
  <c r="X2144" i="2"/>
  <c r="X2145" i="2"/>
  <c r="X2146" i="2"/>
  <c r="X2147" i="2"/>
  <c r="X2148" i="2"/>
  <c r="Z2148" i="2" s="1"/>
  <c r="X2149" i="2"/>
  <c r="X2150" i="2"/>
  <c r="Z2150" i="2" s="1"/>
  <c r="X2151" i="2"/>
  <c r="Z2151" i="2" s="1"/>
  <c r="X2152" i="2"/>
  <c r="Z2152" i="2" s="1"/>
  <c r="X2153" i="2"/>
  <c r="X2154" i="2"/>
  <c r="X2155" i="2"/>
  <c r="X2156" i="2"/>
  <c r="X2157" i="2"/>
  <c r="X2158" i="2"/>
  <c r="X2159" i="2"/>
  <c r="X2160" i="2"/>
  <c r="X2161" i="2"/>
  <c r="X2162" i="2"/>
  <c r="Z2162" i="2" s="1"/>
  <c r="X2163" i="2"/>
  <c r="Z2163" i="2" s="1"/>
  <c r="X2164" i="2"/>
  <c r="Z2164" i="2" s="1"/>
  <c r="X2165" i="2"/>
  <c r="X2166" i="2"/>
  <c r="Z2166" i="2" s="1"/>
  <c r="X2167" i="2"/>
  <c r="Z2167" i="2" s="1"/>
  <c r="X2168" i="2"/>
  <c r="Z2168" i="2" s="1"/>
  <c r="X2169" i="2"/>
  <c r="Z2169" i="2" s="1"/>
  <c r="X2170" i="2"/>
  <c r="X2171" i="2"/>
  <c r="Z2171" i="2" s="1"/>
  <c r="X2172" i="2"/>
  <c r="Z2172" i="2" s="1"/>
  <c r="X2173" i="2"/>
  <c r="Z2173" i="2" s="1"/>
  <c r="X2174" i="2"/>
  <c r="X2175" i="2"/>
  <c r="Z2175" i="2" s="1"/>
  <c r="X2176" i="2"/>
  <c r="X2177" i="2"/>
  <c r="X2178" i="2"/>
  <c r="X2179" i="2"/>
  <c r="X2180" i="2"/>
  <c r="X2181" i="2"/>
  <c r="Z2181" i="2" s="1"/>
  <c r="X2182" i="2"/>
  <c r="X2183" i="2"/>
  <c r="Z2183" i="2" s="1"/>
  <c r="X2184" i="2"/>
  <c r="Z2184" i="2" s="1"/>
  <c r="X2185" i="2"/>
  <c r="X2186" i="2"/>
  <c r="Z2186" i="2" s="1"/>
  <c r="X2187" i="2"/>
  <c r="Z2187" i="2" s="1"/>
  <c r="X2188" i="2"/>
  <c r="Z2188" i="2" s="1"/>
  <c r="X2189" i="2"/>
  <c r="X2190" i="2"/>
  <c r="X2191" i="2"/>
  <c r="Z2191" i="2" s="1"/>
  <c r="X2192" i="2"/>
  <c r="Z2192" i="2" s="1"/>
  <c r="X2193" i="2"/>
  <c r="X2194" i="2"/>
  <c r="X2195" i="2"/>
  <c r="X2196" i="2"/>
  <c r="X2197" i="2"/>
  <c r="X2198" i="2"/>
  <c r="X2199" i="2"/>
  <c r="X2200" i="2"/>
  <c r="X2201" i="2"/>
  <c r="X2202" i="2"/>
  <c r="X2203" i="2"/>
  <c r="Z2203" i="2" s="1"/>
  <c r="X2204" i="2"/>
  <c r="X2205" i="2"/>
  <c r="X2206" i="2"/>
  <c r="X2207" i="2"/>
  <c r="X2208" i="2"/>
  <c r="X2209" i="2"/>
  <c r="Z2209" i="2" s="1"/>
  <c r="X2210" i="2"/>
  <c r="Z2210" i="2" s="1"/>
  <c r="X2211" i="2"/>
  <c r="X2212" i="2"/>
  <c r="X2213" i="2"/>
  <c r="Z2213" i="2" s="1"/>
  <c r="X2214" i="2"/>
  <c r="Z2214" i="2" s="1"/>
  <c r="X2215" i="2"/>
  <c r="Z2215" i="2" s="1"/>
  <c r="X2216" i="2"/>
  <c r="X2217" i="2"/>
  <c r="Z2217" i="2" s="1"/>
  <c r="X2218" i="2"/>
  <c r="Z2218" i="2" s="1"/>
  <c r="X2219" i="2"/>
  <c r="X2220" i="2"/>
  <c r="Z2220" i="2" s="1"/>
  <c r="X2221" i="2"/>
  <c r="X2222" i="2"/>
  <c r="Z2222" i="2" s="1"/>
  <c r="X2223" i="2"/>
  <c r="X2224" i="2"/>
  <c r="Z2224" i="2" s="1"/>
  <c r="X2225" i="2"/>
  <c r="X2226" i="2"/>
  <c r="X2227" i="2"/>
  <c r="X2228" i="2"/>
  <c r="Z2228" i="2" s="1"/>
  <c r="X2229" i="2"/>
  <c r="X2230" i="2"/>
  <c r="X2231" i="2"/>
  <c r="X2232" i="2"/>
  <c r="X2233" i="2"/>
  <c r="X2234" i="2"/>
  <c r="Z2234" i="2" s="1"/>
  <c r="X2235" i="2"/>
  <c r="Z2235" i="2" s="1"/>
  <c r="X2236" i="2"/>
  <c r="X2237" i="2"/>
  <c r="X2238" i="2"/>
  <c r="X2239" i="2"/>
  <c r="X2240" i="2"/>
  <c r="Z2240" i="2" s="1"/>
  <c r="X2241" i="2"/>
  <c r="Z2241" i="2" s="1"/>
  <c r="X2242" i="2"/>
  <c r="Z2242" i="2" s="1"/>
  <c r="X2243" i="2"/>
  <c r="X2244" i="2"/>
  <c r="Z2244" i="2" s="1"/>
  <c r="X2245" i="2"/>
  <c r="Z2245" i="2" s="1"/>
  <c r="X2246" i="2"/>
  <c r="Z2246" i="2" s="1"/>
  <c r="X2247" i="2"/>
  <c r="X2248" i="2"/>
  <c r="Z2248" i="2" s="1"/>
  <c r="X2249" i="2"/>
  <c r="Z2249" i="2" s="1"/>
  <c r="X2250" i="2"/>
  <c r="Z2250" i="2" s="1"/>
  <c r="X2251" i="2"/>
  <c r="X2252" i="2"/>
  <c r="X2253" i="2"/>
  <c r="X2254" i="2"/>
  <c r="Z2254" i="2" s="1"/>
  <c r="X2255" i="2"/>
  <c r="X2256" i="2"/>
  <c r="Z2256" i="2" s="1"/>
  <c r="X2257" i="2"/>
  <c r="X2258" i="2"/>
  <c r="X2259" i="2"/>
  <c r="Z2259" i="2" s="1"/>
  <c r="X2260" i="2"/>
  <c r="Z2260" i="2" s="1"/>
  <c r="X2261" i="2"/>
  <c r="X2262" i="2"/>
  <c r="Z2262" i="2" s="1"/>
  <c r="X2263" i="2"/>
  <c r="Z2263" i="2" s="1"/>
  <c r="X2264" i="2"/>
  <c r="Z2264" i="2" s="1"/>
  <c r="X2265" i="2"/>
  <c r="X2266" i="2"/>
  <c r="X2267" i="2"/>
  <c r="X2268" i="2"/>
  <c r="X2269" i="2"/>
  <c r="X2270" i="2"/>
  <c r="Z2270" i="2" s="1"/>
  <c r="X2271" i="2"/>
  <c r="X2272" i="2"/>
  <c r="Z2272" i="2" s="1"/>
  <c r="X2273" i="2"/>
  <c r="Z2273" i="2" s="1"/>
  <c r="X2274" i="2"/>
  <c r="Z2274" i="2" s="1"/>
  <c r="X2275" i="2"/>
  <c r="Z2275" i="2" s="1"/>
  <c r="X2276" i="2"/>
  <c r="Z2276" i="2" s="1"/>
  <c r="X2277" i="2"/>
  <c r="Z2277" i="2" s="1"/>
  <c r="X2278" i="2"/>
  <c r="Z2278" i="2" s="1"/>
  <c r="X2279" i="2"/>
  <c r="Z2279" i="2" s="1"/>
  <c r="X2280" i="2"/>
  <c r="X2281" i="2"/>
  <c r="X2282" i="2"/>
  <c r="X2283" i="2"/>
  <c r="X2284" i="2"/>
  <c r="X2285" i="2"/>
  <c r="Z2285" i="2" s="1"/>
  <c r="X2286" i="2"/>
  <c r="X2287" i="2"/>
  <c r="Z2287" i="2" s="1"/>
  <c r="X2288" i="2"/>
  <c r="X2289" i="2"/>
  <c r="Z2289" i="2" s="1"/>
  <c r="X2290" i="2"/>
  <c r="X2291" i="2"/>
  <c r="X2292" i="2"/>
  <c r="X2293" i="2"/>
  <c r="Z2293" i="2" s="1"/>
  <c r="X2294" i="2"/>
  <c r="X2295" i="2"/>
  <c r="Z2295" i="2" s="1"/>
  <c r="X2296" i="2"/>
  <c r="X2297" i="2"/>
  <c r="Z2297" i="2" s="1"/>
  <c r="X2298" i="2"/>
  <c r="X2299" i="2"/>
  <c r="Z2299" i="2" s="1"/>
  <c r="X2300" i="2"/>
  <c r="Z2300" i="2" s="1"/>
  <c r="X2301" i="2"/>
  <c r="X2302" i="2"/>
  <c r="X2303" i="2"/>
  <c r="X2304" i="2"/>
  <c r="X2305" i="2"/>
  <c r="X2306" i="2"/>
  <c r="Z2306" i="2" s="1"/>
  <c r="X2307" i="2"/>
  <c r="Z2307" i="2" s="1"/>
  <c r="X2308" i="2"/>
  <c r="Z2308" i="2" s="1"/>
  <c r="X2309" i="2"/>
  <c r="X2310" i="2"/>
  <c r="X2311" i="2"/>
  <c r="X2312" i="2"/>
  <c r="Z2312" i="2" s="1"/>
  <c r="X2313" i="2"/>
  <c r="X2314" i="2"/>
  <c r="X2315" i="2"/>
  <c r="X2316" i="2"/>
  <c r="Z2316" i="2" s="1"/>
  <c r="X2317" i="2"/>
  <c r="X2318" i="2"/>
  <c r="X2319" i="2"/>
  <c r="Z2319" i="2" s="1"/>
  <c r="X2320" i="2"/>
  <c r="Z2320" i="2" s="1"/>
  <c r="X2321" i="2"/>
  <c r="Z2321" i="2" s="1"/>
  <c r="X2322" i="2"/>
  <c r="X2323" i="2"/>
  <c r="Z2323" i="2" s="1"/>
  <c r="X2324" i="2"/>
  <c r="Z2324" i="2" s="1"/>
  <c r="X2325" i="2"/>
  <c r="Z2325" i="2" s="1"/>
  <c r="X2326" i="2"/>
  <c r="X2327" i="2"/>
  <c r="Z2327" i="2" s="1"/>
  <c r="X2328" i="2"/>
  <c r="X2329" i="2"/>
  <c r="Z2329" i="2" s="1"/>
  <c r="X2330" i="2"/>
  <c r="X2331" i="2"/>
  <c r="Z2331" i="2" s="1"/>
  <c r="X2332" i="2"/>
  <c r="X2333" i="2"/>
  <c r="Z2333" i="2" s="1"/>
  <c r="X2334" i="2"/>
  <c r="X2335" i="2"/>
  <c r="X2336" i="2"/>
  <c r="X2337" i="2"/>
  <c r="X2338" i="2"/>
  <c r="X2339" i="2"/>
  <c r="X2340" i="2"/>
  <c r="X2341" i="2"/>
  <c r="X2342" i="2"/>
  <c r="Z2342" i="2" s="1"/>
  <c r="X2343" i="2"/>
  <c r="X2344" i="2"/>
  <c r="Z2344" i="2" s="1"/>
  <c r="X2345" i="2"/>
  <c r="X2346" i="2"/>
  <c r="Z2346" i="2" s="1"/>
  <c r="X2347" i="2"/>
  <c r="X2348" i="2"/>
  <c r="Z2348" i="2" s="1"/>
  <c r="X2349" i="2"/>
  <c r="X2350" i="2"/>
  <c r="X2351" i="2"/>
  <c r="Z2351" i="2" s="1"/>
  <c r="X2352" i="2"/>
  <c r="Z2352" i="2" s="1"/>
  <c r="X2353" i="2"/>
  <c r="Z2353" i="2" s="1"/>
  <c r="X2354" i="2"/>
  <c r="X2355" i="2"/>
  <c r="Z2355" i="2" s="1"/>
  <c r="X2356" i="2"/>
  <c r="X2357" i="2"/>
  <c r="Z2357" i="2" s="1"/>
  <c r="X2358" i="2"/>
  <c r="Z2358" i="2" s="1"/>
  <c r="X2359" i="2"/>
  <c r="X2360" i="2"/>
  <c r="X2361" i="2"/>
  <c r="Z2361" i="2" s="1"/>
  <c r="X2362" i="2"/>
  <c r="Z2362" i="2" s="1"/>
  <c r="X2363" i="2"/>
  <c r="Z2363" i="2" s="1"/>
  <c r="X2364" i="2"/>
  <c r="Z2364" i="2" s="1"/>
  <c r="X2365" i="2"/>
  <c r="Z2365" i="2" s="1"/>
  <c r="X2366" i="2"/>
  <c r="Z2366" i="2" s="1"/>
  <c r="X2367" i="2"/>
  <c r="Z2367" i="2" s="1"/>
  <c r="X2368" i="2"/>
  <c r="Z2368" i="2" s="1"/>
  <c r="X2369" i="2"/>
  <c r="X2370" i="2"/>
  <c r="Z2370" i="2" s="1"/>
  <c r="X2371" i="2"/>
  <c r="X2372" i="2"/>
  <c r="X2373" i="2"/>
  <c r="X2374" i="2"/>
  <c r="Z2374" i="2" s="1"/>
  <c r="X2375" i="2"/>
  <c r="X2376" i="2"/>
  <c r="X2377" i="2"/>
  <c r="Z2377" i="2" s="1"/>
  <c r="X2378" i="2"/>
  <c r="X2379" i="2"/>
  <c r="X2380" i="2"/>
  <c r="X2381" i="2"/>
  <c r="X2382" i="2"/>
  <c r="X2383" i="2"/>
  <c r="X2384" i="2"/>
  <c r="Z2384" i="2" s="1"/>
  <c r="X2385" i="2"/>
  <c r="Z2385" i="2" s="1"/>
  <c r="X2386" i="2"/>
  <c r="Z2386" i="2" s="1"/>
  <c r="X2387" i="2"/>
  <c r="Z2387" i="2" s="1"/>
  <c r="X2388" i="2"/>
  <c r="X2389" i="2"/>
  <c r="Z2389" i="2" s="1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Z2414" i="2" s="1"/>
  <c r="X2415" i="2"/>
  <c r="X2416" i="2"/>
  <c r="Z2416" i="2" s="1"/>
  <c r="X2417" i="2"/>
  <c r="Z2417" i="2" s="1"/>
  <c r="X2418" i="2"/>
  <c r="X2419" i="2"/>
  <c r="Z2419" i="2" s="1"/>
  <c r="X2420" i="2"/>
  <c r="Z2420" i="2" s="1"/>
  <c r="X2421" i="2"/>
  <c r="X2422" i="2"/>
  <c r="X2423" i="2"/>
  <c r="Z2423" i="2" s="1"/>
  <c r="X2424" i="2"/>
  <c r="X2425" i="2"/>
  <c r="X2426" i="2"/>
  <c r="X2427" i="2"/>
  <c r="Z2427" i="2" s="1"/>
  <c r="X2428" i="2"/>
  <c r="X2429" i="2"/>
  <c r="X2430" i="2"/>
  <c r="X2431" i="2"/>
  <c r="X2432" i="2"/>
  <c r="X2433" i="2"/>
  <c r="Z2433" i="2" s="1"/>
  <c r="X2434" i="2"/>
  <c r="Z2434" i="2" s="1"/>
  <c r="X2435" i="2"/>
  <c r="Z2435" i="2" s="1"/>
  <c r="X2436" i="2"/>
  <c r="Z2436" i="2" s="1"/>
  <c r="X2437" i="2"/>
  <c r="Z2437" i="2" s="1"/>
  <c r="X2438" i="2"/>
  <c r="Z2438" i="2" s="1"/>
  <c r="X2439" i="2"/>
  <c r="Z2439" i="2" s="1"/>
  <c r="X2440" i="2"/>
  <c r="Z2440" i="2" s="1"/>
  <c r="X2441" i="2"/>
  <c r="Z2441" i="2" s="1"/>
  <c r="X2442" i="2"/>
  <c r="Z2442" i="2" s="1"/>
  <c r="X2443" i="2"/>
  <c r="Z2443" i="2" s="1"/>
  <c r="X2444" i="2"/>
  <c r="Z2444" i="2" s="1"/>
  <c r="X2445" i="2"/>
  <c r="Z2445" i="2" s="1"/>
  <c r="X2446" i="2"/>
  <c r="X2447" i="2"/>
  <c r="Z2447" i="2" s="1"/>
  <c r="X2448" i="2"/>
  <c r="Z2448" i="2" s="1"/>
  <c r="X2449" i="2"/>
  <c r="Z2449" i="2" s="1"/>
  <c r="X2450" i="2"/>
  <c r="Z2450" i="2" s="1"/>
  <c r="X2451" i="2"/>
  <c r="Z2451" i="2" s="1"/>
  <c r="X2452" i="2"/>
  <c r="Z2452" i="2" s="1"/>
  <c r="X2453" i="2"/>
  <c r="Z2453" i="2" s="1"/>
  <c r="X2454" i="2"/>
  <c r="X2455" i="2"/>
  <c r="X2456" i="2"/>
  <c r="Z2456" i="2" s="1"/>
  <c r="X2457" i="2"/>
  <c r="Z2457" i="2" s="1"/>
  <c r="X2458" i="2"/>
  <c r="Z2458" i="2" s="1"/>
  <c r="X2459" i="2"/>
  <c r="Z2459" i="2" s="1"/>
  <c r="X2460" i="2"/>
  <c r="Z2460" i="2" s="1"/>
  <c r="X2461" i="2"/>
  <c r="Z2461" i="2" s="1"/>
  <c r="X2462" i="2"/>
  <c r="Z2462" i="2" s="1"/>
  <c r="X2463" i="2"/>
  <c r="X2464" i="2"/>
  <c r="Z2464" i="2" s="1"/>
  <c r="X2465" i="2"/>
  <c r="Z2465" i="2" s="1"/>
  <c r="X2466" i="2"/>
  <c r="Z2466" i="2" s="1"/>
  <c r="X2467" i="2"/>
  <c r="Z2467" i="2" s="1"/>
  <c r="X2468" i="2"/>
  <c r="Z2468" i="2" s="1"/>
  <c r="X2469" i="2"/>
  <c r="Z2469" i="2" s="1"/>
  <c r="X2470" i="2"/>
  <c r="Z2470" i="2" s="1"/>
  <c r="X2471" i="2"/>
  <c r="Z2471" i="2" s="1"/>
  <c r="X2472" i="2"/>
  <c r="Z2472" i="2" s="1"/>
  <c r="X2473" i="2"/>
  <c r="Z2473" i="2" s="1"/>
  <c r="X2474" i="2"/>
  <c r="X2475" i="2"/>
  <c r="Z2475" i="2" s="1"/>
  <c r="X2476" i="2"/>
  <c r="X2477" i="2"/>
  <c r="X2478" i="2"/>
  <c r="X2479" i="2"/>
  <c r="X2480" i="2"/>
  <c r="X2481" i="2"/>
  <c r="X2482" i="2"/>
  <c r="X2483" i="2"/>
  <c r="X2484" i="2"/>
  <c r="X2485" i="2"/>
  <c r="Z2485" i="2" s="1"/>
  <c r="X2486" i="2"/>
  <c r="Z2486" i="2" s="1"/>
  <c r="X2487" i="2"/>
  <c r="X2488" i="2"/>
  <c r="Z2488" i="2" s="1"/>
  <c r="X2489" i="2"/>
  <c r="X2490" i="2"/>
  <c r="Z2490" i="2" s="1"/>
  <c r="X2491" i="2"/>
  <c r="Z2491" i="2" s="1"/>
  <c r="X2492" i="2"/>
  <c r="Z2492" i="2" s="1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Z2517" i="2" s="1"/>
  <c r="X2518" i="2"/>
  <c r="Z2518" i="2" s="1"/>
  <c r="X2519" i="2"/>
  <c r="X2520" i="2"/>
  <c r="X2521" i="2"/>
  <c r="X2522" i="2"/>
  <c r="Z2522" i="2" s="1"/>
  <c r="X2523" i="2"/>
  <c r="X2524" i="2"/>
  <c r="X2525" i="2"/>
  <c r="X2526" i="2"/>
  <c r="X2527" i="2"/>
  <c r="X2528" i="2"/>
  <c r="X2529" i="2"/>
  <c r="Z2529" i="2" s="1"/>
  <c r="X2530" i="2"/>
  <c r="X2531" i="2"/>
  <c r="Z2531" i="2" s="1"/>
  <c r="X2532" i="2"/>
  <c r="Z2532" i="2" s="1"/>
  <c r="X2533" i="2"/>
  <c r="Z2533" i="2" s="1"/>
  <c r="X2534" i="2"/>
  <c r="Z2534" i="2" s="1"/>
  <c r="X2535" i="2"/>
  <c r="X2536" i="2"/>
  <c r="Z2536" i="2" s="1"/>
  <c r="X2537" i="2"/>
  <c r="X2538" i="2"/>
  <c r="X2539" i="2"/>
  <c r="X2540" i="2"/>
  <c r="X2541" i="2"/>
  <c r="X2542" i="2"/>
  <c r="Z2542" i="2" s="1"/>
  <c r="X2543" i="2"/>
  <c r="X2544" i="2"/>
  <c r="Z2544" i="2" s="1"/>
  <c r="X2545" i="2"/>
  <c r="X2546" i="2"/>
  <c r="Z2546" i="2" s="1"/>
  <c r="X2547" i="2"/>
  <c r="X2548" i="2"/>
  <c r="Z2548" i="2" s="1"/>
  <c r="X2549" i="2"/>
  <c r="Z2549" i="2" s="1"/>
  <c r="X2550" i="2"/>
  <c r="X2551" i="2"/>
  <c r="X2552" i="2"/>
  <c r="Z2552" i="2" s="1"/>
  <c r="X2553" i="2"/>
  <c r="Z2553" i="2" s="1"/>
  <c r="X2554" i="2"/>
  <c r="Z2554" i="2" s="1"/>
  <c r="X2555" i="2"/>
  <c r="X2556" i="2"/>
  <c r="Z2556" i="2" s="1"/>
  <c r="X2557" i="2"/>
  <c r="Z2557" i="2" s="1"/>
  <c r="X2558" i="2"/>
  <c r="Z2558" i="2" s="1"/>
  <c r="X2559" i="2"/>
  <c r="X2560" i="2"/>
  <c r="Z2560" i="2" s="1"/>
  <c r="X2561" i="2"/>
  <c r="X2562" i="2"/>
  <c r="Z2562" i="2" s="1"/>
  <c r="X2563" i="2"/>
  <c r="X2564" i="2"/>
  <c r="Z2564" i="2" s="1"/>
  <c r="X2565" i="2"/>
  <c r="Z2565" i="2" s="1"/>
  <c r="X2566" i="2"/>
  <c r="Z2566" i="2" s="1"/>
  <c r="X2567" i="2"/>
  <c r="Z2567" i="2" s="1"/>
  <c r="X2568" i="2"/>
  <c r="Z2568" i="2" s="1"/>
  <c r="X2569" i="2"/>
  <c r="Z2569" i="2" s="1"/>
  <c r="X2570" i="2"/>
  <c r="Z2570" i="2" s="1"/>
  <c r="X2571" i="2"/>
  <c r="Z2571" i="2" s="1"/>
  <c r="X2572" i="2"/>
  <c r="Z2572" i="2" s="1"/>
  <c r="X2573" i="2"/>
  <c r="Z2573" i="2" s="1"/>
  <c r="X2574" i="2"/>
  <c r="Z2574" i="2" s="1"/>
  <c r="X2575" i="2"/>
  <c r="Z2575" i="2" s="1"/>
  <c r="X2576" i="2"/>
  <c r="Z2576" i="2" s="1"/>
  <c r="X2577" i="2"/>
  <c r="Z2577" i="2" s="1"/>
  <c r="X2578" i="2"/>
  <c r="Z2578" i="2" s="1"/>
  <c r="X2579" i="2"/>
  <c r="X2580" i="2"/>
  <c r="Z2580" i="2" s="1"/>
  <c r="X2581" i="2"/>
  <c r="Z2581" i="2" s="1"/>
  <c r="X2582" i="2"/>
  <c r="Z2582" i="2" s="1"/>
  <c r="X2583" i="2"/>
  <c r="Z2583" i="2" s="1"/>
  <c r="X2584" i="2"/>
  <c r="Z2584" i="2" s="1"/>
  <c r="X2585" i="2"/>
  <c r="Z2585" i="2" s="1"/>
  <c r="X2586" i="2"/>
  <c r="Z2586" i="2" s="1"/>
  <c r="X2587" i="2"/>
  <c r="Z2587" i="2" s="1"/>
  <c r="X2588" i="2"/>
  <c r="X2589" i="2"/>
  <c r="X2590" i="2"/>
  <c r="X2591" i="2"/>
  <c r="X2592" i="2"/>
  <c r="Z2592" i="2" s="1"/>
  <c r="X2593" i="2"/>
  <c r="X2594" i="2"/>
  <c r="X2595" i="2"/>
  <c r="X2596" i="2"/>
  <c r="X2597" i="2"/>
  <c r="X2598" i="2"/>
  <c r="X2599" i="2"/>
  <c r="Z2599" i="2" s="1"/>
  <c r="X2600" i="2"/>
  <c r="Z2600" i="2" s="1"/>
  <c r="X2601" i="2"/>
  <c r="Z2601" i="2" s="1"/>
  <c r="X2602" i="2"/>
  <c r="Z2602" i="2" s="1"/>
  <c r="X2603" i="2"/>
  <c r="X2604" i="2"/>
  <c r="X2605" i="2"/>
  <c r="Z2605" i="2" s="1"/>
  <c r="X2606" i="2"/>
  <c r="Z2606" i="2" s="1"/>
  <c r="X2607" i="2"/>
  <c r="X2608" i="2"/>
  <c r="Z2608" i="2" s="1"/>
  <c r="X2609" i="2"/>
  <c r="Z2609" i="2" s="1"/>
  <c r="X2610" i="2"/>
  <c r="Z2610" i="2" s="1"/>
  <c r="X2611" i="2"/>
  <c r="X2612" i="2"/>
  <c r="Z2612" i="2" s="1"/>
  <c r="X2613" i="2"/>
  <c r="Z2613" i="2" s="1"/>
  <c r="X2614" i="2"/>
  <c r="X2615" i="2"/>
  <c r="X2616" i="2"/>
  <c r="X2617" i="2"/>
  <c r="X2618" i="2"/>
  <c r="Z2618" i="2" s="1"/>
  <c r="X2619" i="2"/>
  <c r="Z2619" i="2" s="1"/>
  <c r="X2620" i="2"/>
  <c r="X2621" i="2"/>
  <c r="X2622" i="2"/>
  <c r="Z2622" i="2" s="1"/>
  <c r="X2623" i="2"/>
  <c r="Z2623" i="2" s="1"/>
  <c r="X2624" i="2"/>
  <c r="Z2624" i="2" s="1"/>
  <c r="X2625" i="2"/>
  <c r="X2626" i="2"/>
  <c r="Z2626" i="2" s="1"/>
  <c r="X2627" i="2"/>
  <c r="Z2627" i="2" s="1"/>
  <c r="X2628" i="2"/>
  <c r="Z2628" i="2" s="1"/>
  <c r="X2629" i="2"/>
  <c r="X2630" i="2"/>
  <c r="Z2630" i="2" s="1"/>
  <c r="X2631" i="2"/>
  <c r="Z2631" i="2" s="1"/>
  <c r="X2632" i="2"/>
  <c r="X2633" i="2"/>
  <c r="X2634" i="2"/>
  <c r="Z2634" i="2" s="1"/>
  <c r="X2635" i="2"/>
  <c r="Z2635" i="2" s="1"/>
  <c r="X2636" i="2"/>
  <c r="Z2636" i="2" s="1"/>
  <c r="X2637" i="2"/>
  <c r="X2638" i="2"/>
  <c r="X2639" i="2"/>
  <c r="X2640" i="2"/>
  <c r="X2641" i="2"/>
  <c r="Z2641" i="2" s="1"/>
  <c r="X2642" i="2"/>
  <c r="Z2642" i="2" s="1"/>
  <c r="X2643" i="2"/>
  <c r="X2644" i="2"/>
  <c r="X2645" i="2"/>
  <c r="X2646" i="2"/>
  <c r="X2647" i="2"/>
  <c r="X2648" i="2"/>
  <c r="Z2648" i="2" s="1"/>
  <c r="X2649" i="2"/>
  <c r="X2650" i="2"/>
  <c r="Z2650" i="2" s="1"/>
  <c r="X2651" i="2"/>
  <c r="Z2651" i="2" s="1"/>
  <c r="X2652" i="2"/>
  <c r="Z2652" i="2" s="1"/>
  <c r="X2653" i="2"/>
  <c r="X2654" i="2"/>
  <c r="X2655" i="2"/>
  <c r="X2656" i="2"/>
  <c r="X2657" i="2"/>
  <c r="X2658" i="2"/>
  <c r="X2659" i="2"/>
  <c r="X2660" i="2"/>
  <c r="X2661" i="2"/>
  <c r="Z2661" i="2" s="1"/>
  <c r="X2662" i="2"/>
  <c r="X2663" i="2"/>
  <c r="Z2663" i="2" s="1"/>
  <c r="X2664" i="2"/>
  <c r="X2665" i="2"/>
  <c r="X2666" i="2"/>
  <c r="Z2666" i="2" s="1"/>
  <c r="X2667" i="2"/>
  <c r="X2668" i="2"/>
  <c r="Z2668" i="2" s="1"/>
  <c r="X2669" i="2"/>
  <c r="Z2669" i="2" s="1"/>
  <c r="X2670" i="2"/>
  <c r="Z2670" i="2" s="1"/>
  <c r="X2671" i="2"/>
  <c r="X2672" i="2"/>
  <c r="Z2672" i="2" s="1"/>
  <c r="X2673" i="2"/>
  <c r="X2674" i="2"/>
  <c r="X2675" i="2"/>
  <c r="X2676" i="2"/>
  <c r="X2677" i="2"/>
  <c r="X2678" i="2"/>
  <c r="Z2678" i="2" s="1"/>
  <c r="X2679" i="2"/>
  <c r="X2680" i="2"/>
  <c r="X2681" i="2"/>
  <c r="X2682" i="2"/>
  <c r="Z2682" i="2" s="1"/>
  <c r="X2683" i="2"/>
  <c r="Z2683" i="2" s="1"/>
  <c r="X2684" i="2"/>
  <c r="Z2684" i="2" s="1"/>
  <c r="X2685" i="2"/>
  <c r="X2686" i="2"/>
  <c r="Z2686" i="2" s="1"/>
  <c r="X2687" i="2"/>
  <c r="Z2687" i="2" s="1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Z2703" i="2" s="1"/>
  <c r="X2704" i="2"/>
  <c r="X2705" i="2"/>
  <c r="X2706" i="2"/>
  <c r="X2707" i="2"/>
  <c r="Z2707" i="2" s="1"/>
  <c r="X2708" i="2"/>
  <c r="X2709" i="2"/>
  <c r="X2710" i="2"/>
  <c r="X2711" i="2"/>
  <c r="X2712" i="2"/>
  <c r="X2713" i="2"/>
  <c r="Z2713" i="2" s="1"/>
  <c r="X2714" i="2"/>
  <c r="X2715" i="2"/>
  <c r="X2716" i="2"/>
  <c r="Z2716" i="2" s="1"/>
  <c r="X2717" i="2"/>
  <c r="Z2717" i="2" s="1"/>
  <c r="X2718" i="2"/>
  <c r="Z2718" i="2" s="1"/>
  <c r="X2719" i="2"/>
  <c r="X2720" i="2"/>
  <c r="Z2720" i="2" s="1"/>
  <c r="X2721" i="2"/>
  <c r="X2722" i="2"/>
  <c r="Z2722" i="2" s="1"/>
  <c r="X2723" i="2"/>
  <c r="Z2723" i="2" s="1"/>
  <c r="X2724" i="2"/>
  <c r="Z2724" i="2" s="1"/>
  <c r="X2725" i="2"/>
  <c r="X2726" i="2"/>
  <c r="Z2726" i="2" s="1"/>
  <c r="X2727" i="2"/>
  <c r="Z2727" i="2" s="1"/>
  <c r="X2728" i="2"/>
  <c r="X2729" i="2"/>
  <c r="X2730" i="2"/>
  <c r="X2731" i="2"/>
  <c r="X2732" i="2"/>
  <c r="X2733" i="2"/>
  <c r="X2734" i="2"/>
  <c r="X2735" i="2"/>
  <c r="X2736" i="2"/>
  <c r="X2737" i="2"/>
  <c r="X2738" i="2"/>
  <c r="Z2738" i="2" s="1"/>
  <c r="X2739" i="2"/>
  <c r="Z2739" i="2" s="1"/>
  <c r="X2740" i="2"/>
  <c r="Z2740" i="2" s="1"/>
  <c r="X2741" i="2"/>
  <c r="X2742" i="2"/>
  <c r="X2743" i="2"/>
  <c r="Z2743" i="2" s="1"/>
  <c r="X2744" i="2"/>
  <c r="Z2744" i="2" s="1"/>
  <c r="X2745" i="2"/>
  <c r="Z2745" i="2" s="1"/>
  <c r="X2746" i="2"/>
  <c r="X2747" i="2"/>
  <c r="Z2747" i="2" s="1"/>
  <c r="X2748" i="2"/>
  <c r="Z2748" i="2" s="1"/>
  <c r="X2749" i="2"/>
  <c r="Z2749" i="2" s="1"/>
  <c r="X2750" i="2"/>
  <c r="X2751" i="2"/>
  <c r="X2752" i="2"/>
  <c r="X2753" i="2"/>
  <c r="X2754" i="2"/>
  <c r="X2755" i="2"/>
  <c r="X2756" i="2"/>
  <c r="X2757" i="2"/>
  <c r="X2758" i="2"/>
  <c r="X2759" i="2"/>
  <c r="X2760" i="2"/>
  <c r="Z2760" i="2" s="1"/>
  <c r="X2761" i="2"/>
  <c r="Z2761" i="2" s="1"/>
  <c r="X2762" i="2"/>
  <c r="Z2762" i="2" s="1"/>
  <c r="X2763" i="2"/>
  <c r="X2764" i="2"/>
  <c r="X2765" i="2"/>
  <c r="Z2765" i="2" s="1"/>
  <c r="X2766" i="2"/>
  <c r="Z2766" i="2" s="1"/>
  <c r="X2767" i="2"/>
  <c r="X2768" i="2"/>
  <c r="Z2768" i="2" s="1"/>
  <c r="X2769" i="2"/>
  <c r="X2770" i="2"/>
  <c r="X2771" i="2"/>
  <c r="X2772" i="2"/>
  <c r="Z2772" i="2" s="1"/>
  <c r="X2773" i="2"/>
  <c r="Z2773" i="2" s="1"/>
  <c r="X2774" i="2"/>
  <c r="Z2774" i="2" s="1"/>
  <c r="X2775" i="2"/>
  <c r="X2776" i="2"/>
  <c r="Z2776" i="2" s="1"/>
  <c r="X2777" i="2"/>
  <c r="Z2777" i="2" s="1"/>
  <c r="X2778" i="2"/>
  <c r="X2779" i="2"/>
  <c r="X2780" i="2"/>
  <c r="X2781" i="2"/>
  <c r="X2782" i="2"/>
  <c r="X2783" i="2"/>
  <c r="X2784" i="2"/>
  <c r="Z2784" i="2" s="1"/>
  <c r="X2785" i="2"/>
  <c r="X2786" i="2"/>
  <c r="X2787" i="2"/>
  <c r="X2788" i="2"/>
  <c r="X2789" i="2"/>
  <c r="X2790" i="2"/>
  <c r="Z2790" i="2" s="1"/>
  <c r="X2791" i="2"/>
  <c r="X2792" i="2"/>
  <c r="X2793" i="2"/>
  <c r="X2794" i="2"/>
  <c r="X2795" i="2"/>
  <c r="X2796" i="2"/>
  <c r="Z2796" i="2" s="1"/>
  <c r="X2797" i="2"/>
  <c r="X2798" i="2"/>
  <c r="X2799" i="2"/>
  <c r="X2800" i="2"/>
  <c r="X2801" i="2"/>
  <c r="X2802" i="2"/>
  <c r="Z2802" i="2" s="1"/>
  <c r="X2803" i="2"/>
  <c r="Z2803" i="2" s="1"/>
  <c r="X2804" i="2"/>
  <c r="X2805" i="2"/>
  <c r="X2806" i="2"/>
  <c r="X2807" i="2"/>
  <c r="X2808" i="2"/>
  <c r="Z2808" i="2" s="1"/>
  <c r="X2809" i="2"/>
  <c r="X2810" i="2"/>
  <c r="X2811" i="2"/>
  <c r="X2812" i="2"/>
  <c r="Z2812" i="2" s="1"/>
  <c r="X2813" i="2"/>
  <c r="X2814" i="2"/>
  <c r="X2815" i="2"/>
  <c r="Z2815" i="2" s="1"/>
  <c r="X2816" i="2"/>
  <c r="X2817" i="2"/>
  <c r="Z2817" i="2" s="1"/>
  <c r="X2818" i="2"/>
  <c r="Z2818" i="2" s="1"/>
  <c r="X2819" i="2"/>
  <c r="X2820" i="2"/>
  <c r="X2821" i="2"/>
  <c r="X2822" i="2"/>
  <c r="X2823" i="2"/>
  <c r="X2824" i="2"/>
  <c r="X2825" i="2"/>
  <c r="Z2825" i="2" s="1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Z2837" i="2" s="1"/>
  <c r="X2838" i="2"/>
  <c r="Z2838" i="2" s="1"/>
  <c r="X2839" i="2"/>
  <c r="X2840" i="2"/>
  <c r="X2841" i="2"/>
  <c r="Z2841" i="2" s="1"/>
  <c r="X2842" i="2"/>
  <c r="Z2842" i="2" s="1"/>
  <c r="X2843" i="2"/>
  <c r="Z2843" i="2" s="1"/>
  <c r="X2844" i="2"/>
  <c r="X2845" i="2"/>
  <c r="X2846" i="2"/>
  <c r="X2847" i="2"/>
  <c r="X2848" i="2"/>
  <c r="X2849" i="2"/>
  <c r="Z2849" i="2" s="1"/>
  <c r="X2850" i="2"/>
  <c r="X2851" i="2"/>
  <c r="Z2851" i="2" s="1"/>
  <c r="X2852" i="2"/>
  <c r="Z2852" i="2" s="1"/>
  <c r="X2853" i="2"/>
  <c r="Z2853" i="2" s="1"/>
  <c r="X2854" i="2"/>
  <c r="X2855" i="2"/>
  <c r="Z2855" i="2" s="1"/>
  <c r="X2856" i="2"/>
  <c r="Z2856" i="2" s="1"/>
  <c r="X2857" i="2"/>
  <c r="X2858" i="2"/>
  <c r="X2859" i="2"/>
  <c r="X2860" i="2"/>
  <c r="X2861" i="2"/>
  <c r="X2862" i="2"/>
  <c r="Z2862" i="2" s="1"/>
  <c r="X2863" i="2"/>
  <c r="Z2863" i="2" s="1"/>
  <c r="X2864" i="2"/>
  <c r="Z2864" i="2" s="1"/>
  <c r="X2865" i="2"/>
  <c r="Z2865" i="2" s="1"/>
  <c r="X2866" i="2"/>
  <c r="X2867" i="2"/>
  <c r="X2868" i="2"/>
  <c r="X2869" i="2"/>
  <c r="X2870" i="2"/>
  <c r="X2871" i="2"/>
  <c r="X2872" i="2"/>
  <c r="Z2872" i="2" s="1"/>
  <c r="X2873" i="2"/>
  <c r="Z2873" i="2" s="1"/>
  <c r="X2874" i="2"/>
  <c r="Z2874" i="2" s="1"/>
  <c r="X2875" i="2"/>
  <c r="Z2875" i="2" s="1"/>
  <c r="X2876" i="2"/>
  <c r="Z2876" i="2" s="1"/>
  <c r="X2877" i="2"/>
  <c r="Z2877" i="2" s="1"/>
  <c r="X2878" i="2"/>
  <c r="Z2878" i="2" s="1"/>
  <c r="X2879" i="2"/>
  <c r="Z2879" i="2" s="1"/>
  <c r="X2880" i="2"/>
  <c r="Z2880" i="2" s="1"/>
  <c r="X2881" i="2"/>
  <c r="Z2881" i="2" s="1"/>
  <c r="X2882" i="2"/>
  <c r="Z2882" i="2" s="1"/>
  <c r="X2883" i="2"/>
  <c r="Z2883" i="2" s="1"/>
  <c r="X2884" i="2"/>
  <c r="X2885" i="2"/>
  <c r="Z2885" i="2" s="1"/>
  <c r="X2886" i="2"/>
  <c r="Z2886" i="2" s="1"/>
  <c r="X2887" i="2"/>
  <c r="Z2887" i="2" s="1"/>
  <c r="X2888" i="2"/>
  <c r="X2889" i="2"/>
  <c r="Z2889" i="2" s="1"/>
  <c r="X2890" i="2"/>
  <c r="Z2890" i="2" s="1"/>
  <c r="X2891" i="2"/>
  <c r="Z2891" i="2" s="1"/>
  <c r="X2892" i="2"/>
  <c r="X2893" i="2"/>
  <c r="Z2893" i="2" s="1"/>
  <c r="X2894" i="2"/>
  <c r="Z2894" i="2" s="1"/>
  <c r="X2895" i="2"/>
  <c r="Z2895" i="2" s="1"/>
  <c r="X2896" i="2"/>
  <c r="X2897" i="2"/>
  <c r="Z2897" i="2" s="1"/>
  <c r="X2898" i="2"/>
  <c r="X2899" i="2"/>
  <c r="Z2899" i="2" s="1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Z2912" i="2" s="1"/>
  <c r="X2913" i="2"/>
  <c r="X2914" i="2"/>
  <c r="X2915" i="2"/>
  <c r="X2916" i="2"/>
  <c r="X2917" i="2"/>
  <c r="X2918" i="2"/>
  <c r="Z2918" i="2" s="1"/>
  <c r="X2919" i="2"/>
  <c r="Z2919" i="2" s="1"/>
  <c r="X2920" i="2"/>
  <c r="X2921" i="2"/>
  <c r="X2922" i="2"/>
  <c r="Z2922" i="2" s="1"/>
  <c r="X2923" i="2"/>
  <c r="X2924" i="2"/>
  <c r="X2925" i="2"/>
  <c r="X2926" i="2"/>
  <c r="X2927" i="2"/>
  <c r="X2928" i="2"/>
  <c r="X2929" i="2"/>
  <c r="X2930" i="2"/>
  <c r="X2931" i="2"/>
  <c r="Z2931" i="2" s="1"/>
  <c r="X2932" i="2"/>
  <c r="Z2932" i="2" s="1"/>
  <c r="X2933" i="2"/>
  <c r="X2934" i="2"/>
  <c r="X2935" i="2"/>
  <c r="X2936" i="2"/>
  <c r="X2937" i="2"/>
  <c r="Z2937" i="2" s="1"/>
  <c r="X2938" i="2"/>
  <c r="X2939" i="2"/>
  <c r="Z2939" i="2" s="1"/>
  <c r="X2940" i="2"/>
  <c r="Z2940" i="2" s="1"/>
  <c r="X2941" i="2"/>
  <c r="X2942" i="2"/>
  <c r="X2943" i="2"/>
  <c r="Z2943" i="2" s="1"/>
  <c r="X2944" i="2"/>
  <c r="Z2944" i="2" s="1"/>
  <c r="X2945" i="2"/>
  <c r="Z2945" i="2" s="1"/>
  <c r="X2946" i="2"/>
  <c r="X2947" i="2"/>
  <c r="Z2947" i="2" s="1"/>
  <c r="X2948" i="2"/>
  <c r="Z2948" i="2" s="1"/>
  <c r="X2949" i="2"/>
  <c r="X2950" i="2"/>
  <c r="X2951" i="2"/>
  <c r="X2952" i="2"/>
  <c r="X2953" i="2"/>
  <c r="Z2953" i="2" s="1"/>
  <c r="X2954" i="2"/>
  <c r="X2955" i="2"/>
  <c r="X2956" i="2"/>
  <c r="Z2956" i="2" s="1"/>
  <c r="X2957" i="2"/>
  <c r="X2958" i="2"/>
  <c r="Z2958" i="2" s="1"/>
  <c r="X2959" i="2"/>
  <c r="Z2959" i="2" s="1"/>
  <c r="X2960" i="2"/>
  <c r="Z2960" i="2" s="1"/>
  <c r="X2961" i="2"/>
  <c r="Z2961" i="2" s="1"/>
  <c r="X2962" i="2"/>
  <c r="Z2962" i="2" s="1"/>
  <c r="X2963" i="2"/>
  <c r="X2964" i="2"/>
  <c r="X2965" i="2"/>
  <c r="Z2965" i="2" s="1"/>
  <c r="X2966" i="2"/>
  <c r="X2967" i="2"/>
  <c r="X2968" i="2"/>
  <c r="Z2968" i="2" s="1"/>
  <c r="X2969" i="2"/>
  <c r="Z2969" i="2" s="1"/>
  <c r="X2970" i="2"/>
  <c r="X2971" i="2"/>
  <c r="X2972" i="2"/>
  <c r="X2973" i="2"/>
  <c r="X2974" i="2"/>
  <c r="X2975" i="2"/>
  <c r="X2976" i="2"/>
  <c r="X2977" i="2"/>
  <c r="X2978" i="2"/>
  <c r="Z2978" i="2" s="1"/>
  <c r="X2979" i="2"/>
  <c r="X2980" i="2"/>
  <c r="X2981" i="2"/>
  <c r="X2982" i="2"/>
  <c r="X2983" i="2"/>
  <c r="X2984" i="2"/>
  <c r="X2985" i="2"/>
  <c r="X2986" i="2"/>
  <c r="Z2986" i="2" s="1"/>
  <c r="X2987" i="2"/>
  <c r="X2988" i="2"/>
  <c r="X2989" i="2"/>
  <c r="X2990" i="2"/>
  <c r="Z2990" i="2" s="1"/>
  <c r="X2991" i="2"/>
  <c r="Z2991" i="2" s="1"/>
  <c r="X2992" i="2"/>
  <c r="Z2992" i="2" s="1"/>
  <c r="X2993" i="2"/>
  <c r="X2994" i="2"/>
  <c r="X2995" i="2"/>
  <c r="X2996" i="2"/>
  <c r="Z2996" i="2" s="1"/>
  <c r="X2997" i="2"/>
  <c r="Z2997" i="2" s="1"/>
  <c r="X2998" i="2"/>
  <c r="X2999" i="2"/>
  <c r="Z2999" i="2" s="1"/>
  <c r="X3000" i="2"/>
  <c r="Z3000" i="2" s="1"/>
  <c r="X3001" i="2"/>
  <c r="X3002" i="2"/>
  <c r="X3003" i="2"/>
  <c r="X3004" i="2"/>
  <c r="Z3004" i="2" s="1"/>
  <c r="X3005" i="2"/>
  <c r="Z3005" i="2" s="1"/>
  <c r="X3006" i="2"/>
  <c r="Z3006" i="2" s="1"/>
  <c r="X3007" i="2"/>
  <c r="X3008" i="2"/>
  <c r="Z3008" i="2" s="1"/>
  <c r="X3009" i="2"/>
  <c r="Z3009" i="2" s="1"/>
  <c r="X3010" i="2"/>
  <c r="Z3010" i="2" s="1"/>
  <c r="X3011" i="2"/>
  <c r="X3012" i="2"/>
  <c r="X3013" i="2"/>
  <c r="X3014" i="2"/>
  <c r="X3015" i="2"/>
  <c r="Z3015" i="2" s="1"/>
  <c r="X3016" i="2"/>
  <c r="X3017" i="2"/>
  <c r="X3018" i="2"/>
  <c r="X3019" i="2"/>
  <c r="X3020" i="2"/>
  <c r="Z3020" i="2" s="1"/>
  <c r="X3021" i="2"/>
  <c r="X3022" i="2"/>
  <c r="Z3022" i="2" s="1"/>
  <c r="X3023" i="2"/>
  <c r="Z3023" i="2" s="1"/>
  <c r="X3024" i="2"/>
  <c r="Z3024" i="2" s="1"/>
  <c r="X3025" i="2"/>
  <c r="Z3025" i="2" s="1"/>
  <c r="X3026" i="2"/>
  <c r="X3027" i="2"/>
  <c r="X3028" i="2"/>
  <c r="X3029" i="2"/>
  <c r="X3030" i="2"/>
  <c r="X3031" i="2"/>
  <c r="Z3031" i="2" s="1"/>
  <c r="X3032" i="2"/>
  <c r="Z3032" i="2" s="1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2" i="2"/>
  <c r="Y2" i="2" s="1"/>
  <c r="X3" i="2"/>
  <c r="Y3" i="2" s="1"/>
  <c r="X4" i="2"/>
  <c r="X5" i="2"/>
  <c r="Y5" i="2" s="1"/>
  <c r="X6" i="2"/>
  <c r="Y6" i="2" s="1"/>
  <c r="X7" i="2"/>
  <c r="Y7" i="2" s="1"/>
  <c r="X8" i="2"/>
  <c r="Y8" i="2" s="1"/>
  <c r="X9" i="2"/>
  <c r="X10" i="2"/>
  <c r="Y10" i="2" s="1"/>
  <c r="X11" i="2"/>
  <c r="Y11" i="2" s="1"/>
  <c r="X12" i="2"/>
  <c r="Y12" i="2" s="1"/>
  <c r="X13" i="2"/>
  <c r="Y13" i="2" s="1"/>
  <c r="X14" i="2"/>
  <c r="Y14" i="2" s="1"/>
  <c r="X15" i="2"/>
  <c r="Y15" i="2" s="1"/>
  <c r="X16" i="2"/>
  <c r="X17" i="2"/>
  <c r="X18" i="2"/>
  <c r="X19" i="2"/>
  <c r="X20" i="2"/>
  <c r="X21" i="2"/>
  <c r="X22" i="2"/>
  <c r="X23" i="2"/>
  <c r="X24" i="2"/>
  <c r="X25" i="2"/>
  <c r="X26" i="2"/>
  <c r="Y26" i="2" s="1"/>
  <c r="X27" i="2"/>
  <c r="Y27" i="2" s="1"/>
  <c r="X28" i="2"/>
  <c r="X29" i="2"/>
  <c r="Y29" i="2" s="1"/>
  <c r="X30" i="2"/>
  <c r="Y30" i="2" s="1"/>
  <c r="X31" i="2"/>
  <c r="Y31" i="2" s="1"/>
  <c r="X32" i="2"/>
  <c r="Y32" i="2" s="1"/>
  <c r="X33" i="2"/>
  <c r="Y33" i="2" s="1"/>
  <c r="X34" i="2"/>
  <c r="Y34" i="2" s="1"/>
  <c r="X35" i="2"/>
  <c r="Y35" i="2" s="1"/>
  <c r="X36" i="2"/>
  <c r="Y36" i="2" s="1"/>
  <c r="X37" i="2"/>
  <c r="Y37" i="2" s="1"/>
  <c r="X38" i="2"/>
  <c r="X39" i="2"/>
  <c r="Y39" i="2" s="1"/>
  <c r="X40" i="2"/>
  <c r="Y40" i="2" s="1"/>
  <c r="X41" i="2"/>
  <c r="Y41" i="2" s="1"/>
  <c r="X42" i="2"/>
  <c r="X43" i="2"/>
  <c r="X44" i="2"/>
  <c r="X45" i="2"/>
  <c r="X46" i="2"/>
  <c r="X47" i="2"/>
  <c r="X48" i="2"/>
  <c r="Y48" i="2" s="1"/>
  <c r="X49" i="2"/>
  <c r="Y49" i="2" s="1"/>
  <c r="X50" i="2"/>
  <c r="Y50" i="2" s="1"/>
  <c r="X51" i="2"/>
  <c r="X52" i="2"/>
  <c r="X53" i="2"/>
  <c r="X54" i="2"/>
  <c r="Y54" i="2" s="1"/>
  <c r="X55" i="2"/>
  <c r="Y55" i="2" s="1"/>
  <c r="X56" i="2"/>
  <c r="Y56" i="2" s="1"/>
  <c r="X57" i="2"/>
  <c r="Y57" i="2" s="1"/>
  <c r="X58" i="2"/>
  <c r="X59" i="2"/>
  <c r="Y59" i="2" s="1"/>
  <c r="X60" i="2"/>
  <c r="Y60" i="2" s="1"/>
  <c r="X61" i="2"/>
  <c r="Y61" i="2" s="1"/>
  <c r="X62" i="2"/>
  <c r="Y62" i="2" s="1"/>
  <c r="X63" i="2"/>
  <c r="Y63" i="2" s="1"/>
  <c r="X64" i="2"/>
  <c r="Y64" i="2" s="1"/>
  <c r="X65" i="2"/>
  <c r="Y65" i="2" s="1"/>
  <c r="X66" i="2"/>
  <c r="Y66" i="2" s="1"/>
  <c r="X67" i="2"/>
  <c r="Y67" i="2" s="1"/>
  <c r="X68" i="2"/>
  <c r="Y68" i="2" s="1"/>
  <c r="X69" i="2"/>
  <c r="Y69" i="2" s="1"/>
  <c r="X70" i="2"/>
  <c r="X71" i="2"/>
  <c r="Y71" i="2" s="1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Y84" i="2" s="1"/>
  <c r="X85" i="2"/>
  <c r="X86" i="2"/>
  <c r="X87" i="2"/>
  <c r="Y87" i="2" s="1"/>
  <c r="X88" i="2"/>
  <c r="Y88" i="2" s="1"/>
  <c r="X89" i="2"/>
  <c r="X90" i="2"/>
  <c r="Y90" i="2" s="1"/>
  <c r="X91" i="2"/>
  <c r="Y91" i="2" s="1"/>
  <c r="X92" i="2"/>
  <c r="X93" i="2"/>
  <c r="X94" i="2"/>
  <c r="X95" i="2"/>
  <c r="X96" i="2"/>
  <c r="X97" i="2"/>
  <c r="X98" i="2"/>
  <c r="Y98" i="2" s="1"/>
  <c r="X99" i="2"/>
  <c r="X100" i="2"/>
  <c r="Y100" i="2" s="1"/>
  <c r="X101" i="2"/>
  <c r="Y101" i="2" s="1"/>
  <c r="X102" i="2"/>
  <c r="Y102" i="2" s="1"/>
  <c r="X103" i="2"/>
  <c r="Y103" i="2" s="1"/>
  <c r="X104" i="2"/>
  <c r="Y104" i="2" s="1"/>
  <c r="X105" i="2"/>
  <c r="X106" i="2"/>
  <c r="Y106" i="2" s="1"/>
  <c r="X107" i="2"/>
  <c r="Y107" i="2" s="1"/>
  <c r="X108" i="2"/>
  <c r="Y108" i="2" s="1"/>
  <c r="X109" i="2"/>
  <c r="X110" i="2"/>
  <c r="X111" i="2"/>
  <c r="Y111" i="2" s="1"/>
  <c r="X112" i="2"/>
  <c r="Y112" i="2" s="1"/>
  <c r="X113" i="2"/>
  <c r="Y113" i="2" s="1"/>
  <c r="X114" i="2"/>
  <c r="X115" i="2"/>
  <c r="Y115" i="2" s="1"/>
  <c r="X116" i="2"/>
  <c r="Y116" i="2" s="1"/>
  <c r="X117" i="2"/>
  <c r="Y117" i="2" s="1"/>
  <c r="X118" i="2"/>
  <c r="X119" i="2"/>
  <c r="Y119" i="2" s="1"/>
  <c r="X120" i="2"/>
  <c r="Y120" i="2" s="1"/>
  <c r="X121" i="2"/>
  <c r="Y121" i="2" s="1"/>
  <c r="X122" i="2"/>
  <c r="X123" i="2"/>
  <c r="Y123" i="2" s="1"/>
  <c r="X124" i="2"/>
  <c r="Y124" i="2" s="1"/>
  <c r="X125" i="2"/>
  <c r="Y125" i="2" s="1"/>
  <c r="X126" i="2"/>
  <c r="X127" i="2"/>
  <c r="Y127" i="2" s="1"/>
  <c r="X128" i="2"/>
  <c r="Y128" i="2" s="1"/>
  <c r="X129" i="2"/>
  <c r="Y129" i="2" s="1"/>
  <c r="X130" i="2"/>
  <c r="X131" i="2"/>
  <c r="Y131" i="2" s="1"/>
  <c r="X132" i="2"/>
  <c r="Y132" i="2" s="1"/>
  <c r="X133" i="2"/>
  <c r="Y133" i="2" s="1"/>
  <c r="X134" i="2"/>
  <c r="Y134" i="2" s="1"/>
  <c r="X135" i="2"/>
  <c r="Y135" i="2" s="1"/>
  <c r="X136" i="2"/>
  <c r="X137" i="2"/>
  <c r="X138" i="2"/>
  <c r="Y138" i="2" s="1"/>
  <c r="X139" i="2"/>
  <c r="X140" i="2"/>
  <c r="X141" i="2"/>
  <c r="Y141" i="2" s="1"/>
  <c r="X142" i="2"/>
  <c r="Y142" i="2" s="1"/>
  <c r="X143" i="2"/>
  <c r="Y143" i="2" s="1"/>
  <c r="X144" i="2"/>
  <c r="X145" i="2"/>
  <c r="X146" i="2"/>
  <c r="X147" i="2"/>
  <c r="Y147" i="2" s="1"/>
  <c r="X148" i="2"/>
  <c r="Y148" i="2" s="1"/>
  <c r="X149" i="2"/>
  <c r="X150" i="2"/>
  <c r="Y150" i="2" s="1"/>
  <c r="X151" i="2"/>
  <c r="X152" i="2"/>
  <c r="Y152" i="2" s="1"/>
  <c r="X153" i="2"/>
  <c r="Y153" i="2" s="1"/>
  <c r="X154" i="2"/>
  <c r="X155" i="2"/>
  <c r="Y155" i="2" s="1"/>
  <c r="X156" i="2"/>
  <c r="Y156" i="2" s="1"/>
  <c r="X157" i="2"/>
  <c r="X158" i="2"/>
  <c r="X159" i="2"/>
  <c r="Y159" i="2" s="1"/>
  <c r="X160" i="2"/>
  <c r="Y160" i="2" s="1"/>
  <c r="X161" i="2"/>
  <c r="Y161" i="2" s="1"/>
  <c r="X162" i="2"/>
  <c r="X163" i="2"/>
  <c r="X164" i="2"/>
  <c r="X165" i="2"/>
  <c r="Y165" i="2" s="1"/>
  <c r="X166" i="2"/>
  <c r="X167" i="2"/>
  <c r="X168" i="2"/>
  <c r="X169" i="2"/>
  <c r="X170" i="2"/>
  <c r="Y170" i="2" s="1"/>
  <c r="X171" i="2"/>
  <c r="X172" i="2"/>
  <c r="X173" i="2"/>
  <c r="Y173" i="2" s="1"/>
  <c r="X174" i="2"/>
  <c r="X175" i="2"/>
  <c r="X176" i="2"/>
  <c r="Y176" i="2" s="1"/>
  <c r="X177" i="2"/>
  <c r="Y177" i="2" s="1"/>
  <c r="X178" i="2"/>
  <c r="Y178" i="2" s="1"/>
  <c r="X179" i="2"/>
  <c r="Y179" i="2" s="1"/>
  <c r="X180" i="2"/>
  <c r="Y180" i="2" s="1"/>
  <c r="X181" i="2"/>
  <c r="X182" i="2"/>
  <c r="Y182" i="2" s="1"/>
  <c r="X183" i="2"/>
  <c r="X184" i="2"/>
  <c r="Y184" i="2" s="1"/>
  <c r="X185" i="2"/>
  <c r="Y185" i="2" s="1"/>
  <c r="X186" i="2"/>
  <c r="Y186" i="2" s="1"/>
  <c r="X187" i="2"/>
  <c r="X188" i="2"/>
  <c r="Y188" i="2" s="1"/>
  <c r="X189" i="2"/>
  <c r="Y189" i="2" s="1"/>
  <c r="X190" i="2"/>
  <c r="Y190" i="2" s="1"/>
  <c r="X191" i="2"/>
  <c r="X192" i="2"/>
  <c r="Y192" i="2" s="1"/>
  <c r="X193" i="2"/>
  <c r="X194" i="2"/>
  <c r="Y194" i="2" s="1"/>
  <c r="X195" i="2"/>
  <c r="X196" i="2"/>
  <c r="X197" i="2"/>
  <c r="X198" i="2"/>
  <c r="X199" i="2"/>
  <c r="Y199" i="2" s="1"/>
  <c r="X200" i="2"/>
  <c r="Y200" i="2" s="1"/>
  <c r="X201" i="2"/>
  <c r="Y201" i="2" s="1"/>
  <c r="X202" i="2"/>
  <c r="X203" i="2"/>
  <c r="Y203" i="2" s="1"/>
  <c r="X204" i="2"/>
  <c r="Y204" i="2" s="1"/>
  <c r="X205" i="2"/>
  <c r="Y205" i="2" s="1"/>
  <c r="X206" i="2"/>
  <c r="X207" i="2"/>
  <c r="Y207" i="2" s="1"/>
  <c r="X208" i="2"/>
  <c r="Y208" i="2" s="1"/>
  <c r="X209" i="2"/>
  <c r="X210" i="2"/>
  <c r="Y210" i="2" s="1"/>
  <c r="X211" i="2"/>
  <c r="Y211" i="2" s="1"/>
  <c r="X212" i="2"/>
  <c r="Y212" i="2" s="1"/>
  <c r="X213" i="2"/>
  <c r="Y213" i="2" s="1"/>
  <c r="X214" i="2"/>
  <c r="Y214" i="2" s="1"/>
  <c r="X215" i="2"/>
  <c r="Y215" i="2" s="1"/>
  <c r="X216" i="2"/>
  <c r="X217" i="2"/>
  <c r="X218" i="2"/>
  <c r="X219" i="2"/>
  <c r="X220" i="2"/>
  <c r="X221" i="2"/>
  <c r="Y221" i="2" s="1"/>
  <c r="X222" i="2"/>
  <c r="X223" i="2"/>
  <c r="X224" i="2"/>
  <c r="X225" i="2"/>
  <c r="X226" i="2"/>
  <c r="X227" i="2"/>
  <c r="X228" i="2"/>
  <c r="X229" i="2"/>
  <c r="X230" i="2"/>
  <c r="Y230" i="2" s="1"/>
  <c r="X231" i="2"/>
  <c r="X232" i="2"/>
  <c r="Y232" i="2" s="1"/>
  <c r="X233" i="2"/>
  <c r="X234" i="2"/>
  <c r="X235" i="2"/>
  <c r="Y235" i="2" s="1"/>
  <c r="X236" i="2"/>
  <c r="Y236" i="2" s="1"/>
  <c r="X237" i="2"/>
  <c r="X238" i="2"/>
  <c r="X239" i="2"/>
  <c r="X240" i="2"/>
  <c r="X241" i="2"/>
  <c r="Y241" i="2" s="1"/>
  <c r="X242" i="2"/>
  <c r="X243" i="2"/>
  <c r="X244" i="2"/>
  <c r="X245" i="2"/>
  <c r="X246" i="2"/>
  <c r="X247" i="2"/>
  <c r="Y247" i="2" s="1"/>
  <c r="X248" i="2"/>
  <c r="Y248" i="2" s="1"/>
  <c r="X249" i="2"/>
  <c r="X250" i="2"/>
  <c r="Y250" i="2" s="1"/>
  <c r="X251" i="2"/>
  <c r="X252" i="2"/>
  <c r="X253" i="2"/>
  <c r="X254" i="2"/>
  <c r="X255" i="2"/>
  <c r="X256" i="2"/>
  <c r="Y256" i="2" s="1"/>
  <c r="X257" i="2"/>
  <c r="Y257" i="2" s="1"/>
  <c r="X258" i="2"/>
  <c r="X259" i="2"/>
  <c r="Y259" i="2" s="1"/>
  <c r="X260" i="2"/>
  <c r="X261" i="2"/>
  <c r="Y261" i="2" s="1"/>
  <c r="X262" i="2"/>
  <c r="Y262" i="2" s="1"/>
  <c r="X263" i="2"/>
  <c r="Y263" i="2" s="1"/>
  <c r="X264" i="2"/>
  <c r="X265" i="2"/>
  <c r="Y265" i="2" s="1"/>
  <c r="X266" i="2"/>
  <c r="Y266" i="2" s="1"/>
  <c r="X267" i="2"/>
  <c r="Y267" i="2" s="1"/>
  <c r="X268" i="2"/>
  <c r="Y268" i="2" s="1"/>
  <c r="X269" i="2"/>
  <c r="Y269" i="2" s="1"/>
  <c r="X270" i="2"/>
  <c r="Y270" i="2" s="1"/>
  <c r="X271" i="2"/>
  <c r="Y271" i="2" s="1"/>
  <c r="X272" i="2"/>
  <c r="Y272" i="2" s="1"/>
  <c r="X273" i="2"/>
  <c r="Y273" i="2" s="1"/>
  <c r="X274" i="2"/>
  <c r="Y274" i="2" s="1"/>
  <c r="X275" i="2"/>
  <c r="Y275" i="2" s="1"/>
  <c r="X276" i="2"/>
  <c r="Y276" i="2" s="1"/>
  <c r="X277" i="2"/>
  <c r="Y277" i="2" s="1"/>
  <c r="X278" i="2"/>
  <c r="Y278" i="2" s="1"/>
  <c r="X279" i="2"/>
  <c r="Y279" i="2" s="1"/>
  <c r="X280" i="2"/>
  <c r="X281" i="2"/>
  <c r="Y281" i="2" s="1"/>
  <c r="X282" i="2"/>
  <c r="Y282" i="2" s="1"/>
  <c r="X283" i="2"/>
  <c r="Y283" i="2" s="1"/>
  <c r="X284" i="2"/>
  <c r="Y284" i="2" s="1"/>
  <c r="X285" i="2"/>
  <c r="Y285" i="2" s="1"/>
  <c r="X286" i="2"/>
  <c r="Y286" i="2" s="1"/>
  <c r="X287" i="2"/>
  <c r="Y287" i="2" s="1"/>
  <c r="X288" i="2"/>
  <c r="Y288" i="2" s="1"/>
  <c r="X289" i="2"/>
  <c r="Y289" i="2" s="1"/>
  <c r="X290" i="2"/>
  <c r="Y290" i="2" s="1"/>
  <c r="X291" i="2"/>
  <c r="X292" i="2"/>
  <c r="Y292" i="2" s="1"/>
  <c r="X293" i="2"/>
  <c r="X294" i="2"/>
  <c r="X295" i="2"/>
  <c r="Y295" i="2" s="1"/>
  <c r="X296" i="2"/>
  <c r="X297" i="2"/>
  <c r="Y297" i="2" s="1"/>
  <c r="X298" i="2"/>
  <c r="Y298" i="2" s="1"/>
  <c r="X299" i="2"/>
  <c r="Y299" i="2" s="1"/>
  <c r="X300" i="2"/>
  <c r="Y300" i="2" s="1"/>
  <c r="X301" i="2"/>
  <c r="X302" i="2"/>
  <c r="X303" i="2"/>
  <c r="Y303" i="2" s="1"/>
  <c r="X304" i="2"/>
  <c r="Y304" i="2" s="1"/>
  <c r="X305" i="2"/>
  <c r="Y305" i="2" s="1"/>
  <c r="X306" i="2"/>
  <c r="Y306" i="2" s="1"/>
  <c r="X307" i="2"/>
  <c r="Y307" i="2" s="1"/>
  <c r="X308" i="2"/>
  <c r="Y308" i="2" s="1"/>
  <c r="X309" i="2"/>
  <c r="X310" i="2"/>
  <c r="Y310" i="2" s="1"/>
  <c r="X311" i="2"/>
  <c r="Y311" i="2" s="1"/>
  <c r="X312" i="2"/>
  <c r="Y312" i="2" s="1"/>
  <c r="X313" i="2"/>
  <c r="Y313" i="2" s="1"/>
  <c r="X314" i="2"/>
  <c r="Y314" i="2" s="1"/>
  <c r="X315" i="2"/>
  <c r="Y315" i="2" s="1"/>
  <c r="X316" i="2"/>
  <c r="Y316" i="2" s="1"/>
  <c r="X317" i="2"/>
  <c r="Y317" i="2" s="1"/>
  <c r="X318" i="2"/>
  <c r="Y318" i="2" s="1"/>
  <c r="X319" i="2"/>
  <c r="Y319" i="2" s="1"/>
  <c r="X320" i="2"/>
  <c r="Y320" i="2" s="1"/>
  <c r="X321" i="2"/>
  <c r="Y321" i="2" s="1"/>
  <c r="X322" i="2"/>
  <c r="Y322" i="2" s="1"/>
  <c r="X323" i="2"/>
  <c r="Y323" i="2" s="1"/>
  <c r="X324" i="2"/>
  <c r="X325" i="2"/>
  <c r="X326" i="2"/>
  <c r="X327" i="2"/>
  <c r="X328" i="2"/>
  <c r="X329" i="2"/>
  <c r="X330" i="2"/>
  <c r="X331" i="2"/>
  <c r="Y331" i="2" s="1"/>
  <c r="X332" i="2"/>
  <c r="Y332" i="2" s="1"/>
  <c r="X333" i="2"/>
  <c r="X334" i="2"/>
  <c r="Y334" i="2" s="1"/>
  <c r="X335" i="2"/>
  <c r="Y335" i="2" s="1"/>
  <c r="X336" i="2"/>
  <c r="Y336" i="2" s="1"/>
  <c r="X337" i="2"/>
  <c r="X338" i="2"/>
  <c r="Y338" i="2" s="1"/>
  <c r="X339" i="2"/>
  <c r="Y339" i="2" s="1"/>
  <c r="X340" i="2"/>
  <c r="X341" i="2"/>
  <c r="X342" i="2"/>
  <c r="X343" i="2"/>
  <c r="X344" i="2"/>
  <c r="Y344" i="2" s="1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Y358" i="2" s="1"/>
  <c r="X359" i="2"/>
  <c r="Y359" i="2" s="1"/>
  <c r="X360" i="2"/>
  <c r="Y360" i="2" s="1"/>
  <c r="X361" i="2"/>
  <c r="X362" i="2"/>
  <c r="X363" i="2"/>
  <c r="X364" i="2"/>
  <c r="X365" i="2"/>
  <c r="X366" i="2"/>
  <c r="X367" i="2"/>
  <c r="X368" i="2"/>
  <c r="X369" i="2"/>
  <c r="X370" i="2"/>
  <c r="Y370" i="2" s="1"/>
  <c r="X371" i="2"/>
  <c r="Y371" i="2" s="1"/>
  <c r="X372" i="2"/>
  <c r="X373" i="2"/>
  <c r="Y373" i="2" s="1"/>
  <c r="X374" i="2"/>
  <c r="Y374" i="2" s="1"/>
  <c r="X375" i="2"/>
  <c r="Y375" i="2" s="1"/>
  <c r="X376" i="2"/>
  <c r="Y376" i="2" s="1"/>
  <c r="X377" i="2"/>
  <c r="Y377" i="2" s="1"/>
  <c r="X378" i="2"/>
  <c r="Y378" i="2" s="1"/>
  <c r="X379" i="2"/>
  <c r="Y379" i="2" s="1"/>
  <c r="X380" i="2"/>
  <c r="Y380" i="2" s="1"/>
  <c r="X381" i="2"/>
  <c r="Y381" i="2" s="1"/>
  <c r="X382" i="2"/>
  <c r="Y382" i="2" s="1"/>
  <c r="X383" i="2"/>
  <c r="Y383" i="2" s="1"/>
  <c r="X384" i="2"/>
  <c r="Y384" i="2" s="1"/>
  <c r="X385" i="2"/>
  <c r="Y385" i="2" s="1"/>
  <c r="X386" i="2"/>
  <c r="Y386" i="2" s="1"/>
  <c r="X387" i="2"/>
  <c r="Y387" i="2" s="1"/>
  <c r="X388" i="2"/>
  <c r="Y388" i="2" s="1"/>
  <c r="X389" i="2"/>
  <c r="Y389" i="2" s="1"/>
  <c r="X390" i="2"/>
  <c r="Y390" i="2" s="1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Y408" i="2" s="1"/>
  <c r="X409" i="2"/>
  <c r="X410" i="2"/>
  <c r="X411" i="2"/>
  <c r="Y411" i="2" s="1"/>
  <c r="X412" i="2"/>
  <c r="Y412" i="2" s="1"/>
  <c r="X413" i="2"/>
  <c r="X414" i="2"/>
  <c r="Y414" i="2" s="1"/>
  <c r="X415" i="2"/>
  <c r="X416" i="2"/>
  <c r="Y416" i="2" s="1"/>
  <c r="X417" i="2"/>
  <c r="Y417" i="2" s="1"/>
  <c r="X418" i="2"/>
  <c r="X419" i="2"/>
  <c r="Y419" i="2" s="1"/>
  <c r="X420" i="2"/>
  <c r="Y420" i="2" s="1"/>
  <c r="X421" i="2"/>
  <c r="Y421" i="2" s="1"/>
  <c r="X422" i="2"/>
  <c r="X423" i="2"/>
  <c r="Y423" i="2" s="1"/>
  <c r="X424" i="2"/>
  <c r="X425" i="2"/>
  <c r="Y425" i="2" s="1"/>
  <c r="X426" i="2"/>
  <c r="Y426" i="2" s="1"/>
  <c r="X427" i="2"/>
  <c r="Y427" i="2" s="1"/>
  <c r="X428" i="2"/>
  <c r="X429" i="2"/>
  <c r="X430" i="2"/>
  <c r="X431" i="2"/>
  <c r="X432" i="2"/>
  <c r="X433" i="2"/>
  <c r="X434" i="2"/>
  <c r="X435" i="2"/>
  <c r="Y435" i="2" s="1"/>
  <c r="X436" i="2"/>
  <c r="X437" i="2"/>
  <c r="X438" i="2"/>
  <c r="Y438" i="2" s="1"/>
  <c r="X439" i="2"/>
  <c r="X440" i="2"/>
  <c r="Y440" i="2" s="1"/>
  <c r="X441" i="2"/>
  <c r="Y441" i="2" s="1"/>
  <c r="X442" i="2"/>
  <c r="X443" i="2"/>
  <c r="X444" i="2"/>
  <c r="X445" i="2"/>
  <c r="X446" i="2"/>
  <c r="X447" i="2"/>
  <c r="X448" i="2"/>
  <c r="Y448" i="2" s="1"/>
  <c r="X449" i="2"/>
  <c r="X450" i="2"/>
  <c r="X451" i="2"/>
  <c r="Y451" i="2" s="1"/>
  <c r="X452" i="2"/>
  <c r="Y452" i="2" s="1"/>
  <c r="X453" i="2"/>
  <c r="Y453" i="2" s="1"/>
  <c r="X454" i="2"/>
  <c r="X455" i="2"/>
  <c r="Y455" i="2" s="1"/>
  <c r="X456" i="2"/>
  <c r="Y456" i="2" s="1"/>
  <c r="X457" i="2"/>
  <c r="Y457" i="2" s="1"/>
  <c r="X458" i="2"/>
  <c r="X459" i="2"/>
  <c r="X460" i="2"/>
  <c r="X461" i="2"/>
  <c r="X462" i="2"/>
  <c r="Y462" i="2" s="1"/>
  <c r="X463" i="2"/>
  <c r="X464" i="2"/>
  <c r="X465" i="2"/>
  <c r="X466" i="2"/>
  <c r="Y466" i="2" s="1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Y489" i="2" s="1"/>
  <c r="X490" i="2"/>
  <c r="X491" i="2"/>
  <c r="X492" i="2"/>
  <c r="Y492" i="2" s="1"/>
  <c r="X493" i="2"/>
  <c r="X494" i="2"/>
  <c r="Y494" i="2" s="1"/>
  <c r="X495" i="2"/>
  <c r="Y495" i="2" s="1"/>
  <c r="X496" i="2"/>
  <c r="Y496" i="2" s="1"/>
  <c r="X497" i="2"/>
  <c r="X498" i="2"/>
  <c r="Y498" i="2" s="1"/>
  <c r="X499" i="2"/>
  <c r="X500" i="2"/>
  <c r="Y500" i="2" s="1"/>
  <c r="X501" i="2"/>
  <c r="X502" i="2"/>
  <c r="X503" i="2"/>
  <c r="X504" i="2"/>
  <c r="X505" i="2"/>
  <c r="Y505" i="2" s="1"/>
  <c r="X506" i="2"/>
  <c r="Y506" i="2" s="1"/>
  <c r="X507" i="2"/>
  <c r="Y507" i="2" s="1"/>
  <c r="X508" i="2"/>
  <c r="X509" i="2"/>
  <c r="X510" i="2"/>
  <c r="Y510" i="2" s="1"/>
  <c r="X511" i="2"/>
  <c r="X512" i="2"/>
  <c r="X513" i="2"/>
  <c r="X514" i="2"/>
  <c r="X515" i="2"/>
  <c r="Y515" i="2" s="1"/>
  <c r="X516" i="2"/>
  <c r="Y516" i="2" s="1"/>
  <c r="X517" i="2"/>
  <c r="X518" i="2"/>
  <c r="X519" i="2"/>
  <c r="X520" i="2"/>
  <c r="X521" i="2"/>
  <c r="X522" i="2"/>
  <c r="Y522" i="2" s="1"/>
  <c r="X523" i="2"/>
  <c r="Y523" i="2" s="1"/>
  <c r="X524" i="2"/>
  <c r="X525" i="2"/>
  <c r="X526" i="2"/>
  <c r="Y526" i="2" s="1"/>
  <c r="X527" i="2"/>
  <c r="Y527" i="2" s="1"/>
  <c r="X528" i="2"/>
  <c r="Y528" i="2" s="1"/>
  <c r="X529" i="2"/>
  <c r="Y529" i="2" s="1"/>
  <c r="X530" i="2"/>
  <c r="X531" i="2"/>
  <c r="X532" i="2"/>
  <c r="X533" i="2"/>
  <c r="Y533" i="2" s="1"/>
  <c r="X534" i="2"/>
  <c r="Y534" i="2" s="1"/>
  <c r="X535" i="2"/>
  <c r="X536" i="2"/>
  <c r="Y536" i="2" s="1"/>
  <c r="X537" i="2"/>
  <c r="Y537" i="2" s="1"/>
  <c r="X538" i="2"/>
  <c r="Y538" i="2" s="1"/>
  <c r="X539" i="2"/>
  <c r="X540" i="2"/>
  <c r="Y540" i="2" s="1"/>
  <c r="X541" i="2"/>
  <c r="Y541" i="2" s="1"/>
  <c r="X542" i="2"/>
  <c r="Y542" i="2" s="1"/>
  <c r="X543" i="2"/>
  <c r="X544" i="2"/>
  <c r="Y544" i="2" s="1"/>
  <c r="X545" i="2"/>
  <c r="Y545" i="2" s="1"/>
  <c r="X546" i="2"/>
  <c r="X547" i="2"/>
  <c r="X548" i="2"/>
  <c r="X549" i="2"/>
  <c r="Y549" i="2" s="1"/>
  <c r="X550" i="2"/>
  <c r="X551" i="2"/>
  <c r="Y551" i="2" s="1"/>
  <c r="X552" i="2"/>
  <c r="X553" i="2"/>
  <c r="X554" i="2"/>
  <c r="X555" i="2"/>
  <c r="X556" i="2"/>
  <c r="Y556" i="2" s="1"/>
  <c r="X557" i="2"/>
  <c r="X558" i="2"/>
  <c r="X559" i="2"/>
  <c r="X560" i="2"/>
  <c r="Y560" i="2" s="1"/>
  <c r="X561" i="2"/>
  <c r="Y561" i="2" s="1"/>
  <c r="X562" i="2"/>
  <c r="Y562" i="2" s="1"/>
  <c r="X563" i="2"/>
  <c r="Y563" i="2" s="1"/>
  <c r="X564" i="2"/>
  <c r="Y564" i="2" s="1"/>
  <c r="X565" i="2"/>
  <c r="Y565" i="2" s="1"/>
  <c r="X566" i="2"/>
  <c r="X567" i="2"/>
  <c r="X568" i="2"/>
  <c r="X569" i="2"/>
  <c r="X570" i="2"/>
  <c r="X571" i="2"/>
  <c r="X572" i="2"/>
  <c r="Y572" i="2" s="1"/>
  <c r="X573" i="2"/>
  <c r="X574" i="2"/>
  <c r="X575" i="2"/>
  <c r="Y575" i="2" s="1"/>
  <c r="X576" i="2"/>
  <c r="Y576" i="2" s="1"/>
  <c r="X577" i="2"/>
  <c r="X578" i="2"/>
  <c r="Y578" i="2" s="1"/>
  <c r="X579" i="2"/>
  <c r="Y579" i="2" s="1"/>
  <c r="X580" i="2"/>
  <c r="X581" i="2"/>
  <c r="X582" i="2"/>
  <c r="X583" i="2"/>
  <c r="X584" i="2"/>
  <c r="X585" i="2"/>
  <c r="X586" i="2"/>
  <c r="X587" i="2"/>
  <c r="X588" i="2"/>
  <c r="Y588" i="2" s="1"/>
  <c r="X589" i="2"/>
  <c r="Y589" i="2" s="1"/>
  <c r="X590" i="2"/>
  <c r="Y590" i="2" s="1"/>
  <c r="X591" i="2"/>
  <c r="Y591" i="2" s="1"/>
  <c r="X592" i="2"/>
  <c r="Y592" i="2" s="1"/>
  <c r="X593" i="2"/>
  <c r="Y593" i="2" s="1"/>
  <c r="X594" i="2"/>
  <c r="X595" i="2"/>
  <c r="Y595" i="2" s="1"/>
  <c r="X596" i="2"/>
  <c r="X597" i="2"/>
  <c r="Y597" i="2" s="1"/>
  <c r="X598" i="2"/>
  <c r="X599" i="2"/>
  <c r="Y599" i="2" s="1"/>
  <c r="X600" i="2"/>
  <c r="Y600" i="2" s="1"/>
  <c r="X601" i="2"/>
  <c r="Y601" i="2" s="1"/>
  <c r="X602" i="2"/>
  <c r="Y602" i="2" s="1"/>
  <c r="X603" i="2"/>
  <c r="Y603" i="2" s="1"/>
  <c r="X604" i="2"/>
  <c r="Y604" i="2" s="1"/>
  <c r="X605" i="2"/>
  <c r="Y605" i="2" s="1"/>
  <c r="X606" i="2"/>
  <c r="Y606" i="2" s="1"/>
  <c r="X607" i="2"/>
  <c r="Y607" i="2" s="1"/>
  <c r="X608" i="2"/>
  <c r="Y608" i="2" s="1"/>
  <c r="X609" i="2"/>
  <c r="Y609" i="2" s="1"/>
  <c r="X610" i="2"/>
  <c r="X611" i="2"/>
  <c r="X612" i="2"/>
  <c r="X613" i="2"/>
  <c r="X614" i="2"/>
  <c r="X615" i="2"/>
  <c r="Y615" i="2" s="1"/>
  <c r="X616" i="2"/>
  <c r="Y616" i="2" s="1"/>
  <c r="X617" i="2"/>
  <c r="X618" i="2"/>
  <c r="X619" i="2"/>
  <c r="Y619" i="2" s="1"/>
  <c r="X620" i="2"/>
  <c r="X621" i="2"/>
  <c r="X622" i="2"/>
  <c r="X623" i="2"/>
  <c r="Y623" i="2" s="1"/>
  <c r="X624" i="2"/>
  <c r="X625" i="2"/>
  <c r="Y625" i="2" s="1"/>
  <c r="X626" i="2"/>
  <c r="Y626" i="2" s="1"/>
  <c r="X627" i="2"/>
  <c r="Y627" i="2" s="1"/>
  <c r="X628" i="2"/>
  <c r="X629" i="2"/>
  <c r="X630" i="2"/>
  <c r="X631" i="2"/>
  <c r="X632" i="2"/>
  <c r="X633" i="2"/>
  <c r="Y633" i="2" s="1"/>
  <c r="X634" i="2"/>
  <c r="X635" i="2"/>
  <c r="X636" i="2"/>
  <c r="X637" i="2"/>
  <c r="X638" i="2"/>
  <c r="X639" i="2"/>
  <c r="X640" i="2"/>
  <c r="X641" i="2"/>
  <c r="X642" i="2"/>
  <c r="X643" i="2"/>
  <c r="X644" i="2"/>
  <c r="X645" i="2"/>
  <c r="Y645" i="2" s="1"/>
  <c r="X646" i="2"/>
  <c r="X647" i="2"/>
  <c r="X648" i="2"/>
  <c r="Y648" i="2" s="1"/>
  <c r="X649" i="2"/>
  <c r="Y649" i="2" s="1"/>
  <c r="X650" i="2"/>
  <c r="Y650" i="2" s="1"/>
  <c r="X651" i="2"/>
  <c r="X652" i="2"/>
  <c r="X653" i="2"/>
  <c r="X654" i="2"/>
  <c r="Y654" i="2" s="1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Y671" i="2" s="1"/>
  <c r="X672" i="2"/>
  <c r="Y672" i="2" s="1"/>
  <c r="X673" i="2"/>
  <c r="Y673" i="2" s="1"/>
  <c r="X674" i="2"/>
  <c r="X675" i="2"/>
  <c r="Y675" i="2" s="1"/>
  <c r="X676" i="2"/>
  <c r="X677" i="2"/>
  <c r="X678" i="2"/>
  <c r="X679" i="2"/>
  <c r="X680" i="2"/>
  <c r="X681" i="2"/>
  <c r="Y681" i="2" s="1"/>
  <c r="X682" i="2"/>
  <c r="Y682" i="2" s="1"/>
  <c r="X683" i="2"/>
  <c r="X684" i="2"/>
  <c r="Y684" i="2" s="1"/>
  <c r="X685" i="2"/>
  <c r="X686" i="2"/>
  <c r="X687" i="2"/>
  <c r="Y687" i="2" s="1"/>
  <c r="X688" i="2"/>
  <c r="X689" i="2"/>
  <c r="X690" i="2"/>
  <c r="X691" i="2"/>
  <c r="X692" i="2"/>
  <c r="X693" i="2"/>
  <c r="X694" i="2"/>
  <c r="X695" i="2"/>
  <c r="Y695" i="2" s="1"/>
  <c r="X696" i="2"/>
  <c r="Y696" i="2" s="1"/>
  <c r="X697" i="2"/>
  <c r="X698" i="2"/>
  <c r="X699" i="2"/>
  <c r="Y699" i="2" s="1"/>
  <c r="X700" i="2"/>
  <c r="Y700" i="2" s="1"/>
  <c r="X701" i="2"/>
  <c r="X702" i="2"/>
  <c r="Y702" i="2" s="1"/>
  <c r="X703" i="2"/>
  <c r="Y703" i="2" s="1"/>
  <c r="X704" i="2"/>
  <c r="Y704" i="2" s="1"/>
  <c r="X705" i="2"/>
  <c r="Y705" i="2" s="1"/>
  <c r="X706" i="2"/>
  <c r="Y706" i="2" s="1"/>
  <c r="X707" i="2"/>
  <c r="Y707" i="2" s="1"/>
  <c r="X708" i="2"/>
  <c r="Y708" i="2" s="1"/>
  <c r="X709" i="2"/>
  <c r="Y709" i="2" s="1"/>
  <c r="X710" i="2"/>
  <c r="Y710" i="2" s="1"/>
  <c r="X711" i="2"/>
  <c r="Y711" i="2" s="1"/>
  <c r="X712" i="2"/>
  <c r="X713" i="2"/>
  <c r="Y713" i="2" s="1"/>
  <c r="X714" i="2"/>
  <c r="X715" i="2"/>
  <c r="X716" i="2"/>
  <c r="Y716" i="2" s="1"/>
  <c r="X717" i="2"/>
  <c r="X718" i="2"/>
  <c r="X719" i="2"/>
  <c r="X720" i="2"/>
  <c r="X721" i="2"/>
  <c r="X722" i="2"/>
  <c r="X723" i="2"/>
  <c r="X724" i="2"/>
  <c r="X725" i="2"/>
  <c r="X726" i="2"/>
  <c r="Y726" i="2" s="1"/>
  <c r="X727" i="2"/>
  <c r="X728" i="2"/>
  <c r="X729" i="2"/>
  <c r="Y729" i="2" s="1"/>
  <c r="X730" i="2"/>
  <c r="Y730" i="2" s="1"/>
  <c r="X731" i="2"/>
  <c r="Y731" i="2" s="1"/>
  <c r="X732" i="2"/>
  <c r="Y732" i="2" s="1"/>
  <c r="X733" i="2"/>
  <c r="Y733" i="2" s="1"/>
  <c r="X734" i="2"/>
  <c r="Y734" i="2" s="1"/>
  <c r="X735" i="2"/>
  <c r="X736" i="2"/>
  <c r="Y736" i="2" s="1"/>
  <c r="X737" i="2"/>
  <c r="X738" i="2"/>
  <c r="X739" i="2"/>
  <c r="Y739" i="2" s="1"/>
  <c r="X740" i="2"/>
  <c r="X741" i="2"/>
  <c r="X742" i="2"/>
  <c r="X743" i="2"/>
  <c r="X744" i="2"/>
  <c r="X745" i="2"/>
  <c r="X746" i="2"/>
  <c r="X747" i="2"/>
  <c r="X748" i="2"/>
  <c r="Y748" i="2" s="1"/>
  <c r="X749" i="2"/>
  <c r="X750" i="2"/>
  <c r="X751" i="2"/>
  <c r="X752" i="2"/>
  <c r="X753" i="2"/>
  <c r="X754" i="2"/>
  <c r="X755" i="2"/>
  <c r="Y755" i="2" s="1"/>
  <c r="X756" i="2"/>
  <c r="X757" i="2"/>
  <c r="X758" i="2"/>
  <c r="X759" i="2"/>
  <c r="X760" i="2"/>
  <c r="Y760" i="2" s="1"/>
  <c r="X761" i="2"/>
  <c r="X762" i="2"/>
  <c r="X763" i="2"/>
  <c r="X764" i="2"/>
  <c r="X765" i="2"/>
  <c r="X766" i="2"/>
  <c r="X767" i="2"/>
  <c r="Y767" i="2" s="1"/>
  <c r="X768" i="2"/>
  <c r="X769" i="2"/>
  <c r="X770" i="2"/>
  <c r="X771" i="2"/>
  <c r="X772" i="2"/>
  <c r="X773" i="2"/>
  <c r="X774" i="2"/>
  <c r="X775" i="2"/>
  <c r="Y775" i="2" s="1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Y792" i="2" s="1"/>
  <c r="X793" i="2"/>
  <c r="X794" i="2"/>
  <c r="Y794" i="2" s="1"/>
  <c r="X795" i="2"/>
  <c r="Y795" i="2" s="1"/>
  <c r="X796" i="2"/>
  <c r="Y796" i="2" s="1"/>
  <c r="X797" i="2"/>
  <c r="X798" i="2"/>
  <c r="Y798" i="2" s="1"/>
  <c r="X799" i="2"/>
  <c r="Y799" i="2" s="1"/>
  <c r="X800" i="2"/>
  <c r="Y800" i="2" s="1"/>
  <c r="X801" i="2"/>
  <c r="X802" i="2"/>
  <c r="X803" i="2"/>
  <c r="X804" i="2"/>
  <c r="X805" i="2"/>
  <c r="X806" i="2"/>
  <c r="X807" i="2"/>
  <c r="X808" i="2"/>
  <c r="Y808" i="2" s="1"/>
  <c r="X809" i="2"/>
  <c r="X810" i="2"/>
  <c r="X811" i="2"/>
  <c r="X812" i="2"/>
  <c r="X813" i="2"/>
  <c r="X814" i="2"/>
  <c r="X815" i="2"/>
  <c r="Y815" i="2" s="1"/>
  <c r="X816" i="2"/>
  <c r="X817" i="2"/>
  <c r="X818" i="2"/>
  <c r="X819" i="2"/>
  <c r="X820" i="2"/>
  <c r="X821" i="2"/>
  <c r="X822" i="2"/>
  <c r="Y822" i="2" s="1"/>
  <c r="X823" i="2"/>
  <c r="X824" i="2"/>
  <c r="X825" i="2"/>
  <c r="X826" i="2"/>
  <c r="Y826" i="2" s="1"/>
  <c r="X827" i="2"/>
  <c r="Y827" i="2" s="1"/>
  <c r="X828" i="2"/>
  <c r="X829" i="2"/>
  <c r="Y829" i="2" s="1"/>
  <c r="X830" i="2"/>
  <c r="X831" i="2"/>
  <c r="X832" i="2"/>
  <c r="Y832" i="2" s="1"/>
  <c r="X833" i="2"/>
  <c r="Y833" i="2" s="1"/>
  <c r="X834" i="2"/>
  <c r="X835" i="2"/>
  <c r="Y835" i="2" s="1"/>
  <c r="X836" i="2"/>
  <c r="Y836" i="2" s="1"/>
  <c r="X837" i="2"/>
  <c r="Y837" i="2" s="1"/>
  <c r="X838" i="2"/>
  <c r="X839" i="2"/>
  <c r="Y839" i="2" s="1"/>
  <c r="X840" i="2"/>
  <c r="X841" i="2"/>
  <c r="Y841" i="2" s="1"/>
  <c r="X842" i="2"/>
  <c r="Y842" i="2" s="1"/>
  <c r="X843" i="2"/>
  <c r="X844" i="2"/>
  <c r="X845" i="2"/>
  <c r="Y845" i="2" s="1"/>
  <c r="X846" i="2"/>
  <c r="X847" i="2"/>
  <c r="X848" i="2"/>
  <c r="Y848" i="2" s="1"/>
  <c r="X849" i="2"/>
  <c r="X850" i="2"/>
  <c r="Y850" i="2" s="1"/>
  <c r="X851" i="2"/>
  <c r="Y851" i="2" s="1"/>
  <c r="X852" i="2"/>
  <c r="Y852" i="2" s="1"/>
  <c r="X853" i="2"/>
  <c r="X854" i="2"/>
  <c r="Y854" i="2" s="1"/>
  <c r="X855" i="2"/>
  <c r="Y855" i="2" s="1"/>
  <c r="X856" i="2"/>
  <c r="Y856" i="2" s="1"/>
  <c r="X857" i="2"/>
  <c r="X858" i="2"/>
  <c r="X859" i="2"/>
  <c r="Y859" i="2" s="1"/>
  <c r="X860" i="2"/>
  <c r="X861" i="2"/>
  <c r="X862" i="2"/>
  <c r="Y862" i="2" s="1"/>
  <c r="X863" i="2"/>
  <c r="X864" i="2"/>
  <c r="X865" i="2"/>
  <c r="Y865" i="2" s="1"/>
  <c r="X866" i="2"/>
  <c r="Y866" i="2" s="1"/>
  <c r="X867" i="2"/>
  <c r="Y867" i="2" s="1"/>
  <c r="X868" i="2"/>
  <c r="X869" i="2"/>
  <c r="Y869" i="2" s="1"/>
  <c r="X870" i="2"/>
  <c r="Y870" i="2" s="1"/>
  <c r="X871" i="2"/>
  <c r="Y871" i="2" s="1"/>
  <c r="X872" i="2"/>
  <c r="X873" i="2"/>
  <c r="Y873" i="2" s="1"/>
  <c r="X874" i="2"/>
  <c r="Y874" i="2" s="1"/>
  <c r="X875" i="2"/>
  <c r="Y875" i="2" s="1"/>
  <c r="X876" i="2"/>
  <c r="X877" i="2"/>
  <c r="X878" i="2"/>
  <c r="Y878" i="2" s="1"/>
  <c r="X879" i="2"/>
  <c r="X880" i="2"/>
  <c r="X881" i="2"/>
  <c r="Y881" i="2" s="1"/>
  <c r="X882" i="2"/>
  <c r="Y882" i="2" s="1"/>
  <c r="X883" i="2"/>
  <c r="X884" i="2"/>
  <c r="Y884" i="2" s="1"/>
  <c r="X885" i="2"/>
  <c r="Y885" i="2" s="1"/>
  <c r="X886" i="2"/>
  <c r="X887" i="2"/>
  <c r="X888" i="2"/>
  <c r="Y888" i="2" s="1"/>
  <c r="X889" i="2"/>
  <c r="X890" i="2"/>
  <c r="X891" i="2"/>
  <c r="Y891" i="2" s="1"/>
  <c r="X892" i="2"/>
  <c r="X893" i="2"/>
  <c r="X894" i="2"/>
  <c r="Y894" i="2" s="1"/>
  <c r="X895" i="2"/>
  <c r="X896" i="2"/>
  <c r="Y896" i="2" s="1"/>
  <c r="X897" i="2"/>
  <c r="Y897" i="2" s="1"/>
  <c r="X898" i="2"/>
  <c r="Y898" i="2" s="1"/>
  <c r="X899" i="2"/>
  <c r="X900" i="2"/>
  <c r="Y900" i="2" s="1"/>
  <c r="X901" i="2"/>
  <c r="Y901" i="2" s="1"/>
  <c r="X902" i="2"/>
  <c r="Y902" i="2" s="1"/>
  <c r="X903" i="2"/>
  <c r="X904" i="2"/>
  <c r="Y904" i="2" s="1"/>
  <c r="X905" i="2"/>
  <c r="Y905" i="2" s="1"/>
  <c r="X906" i="2"/>
  <c r="X907" i="2"/>
  <c r="X908" i="2"/>
  <c r="X909" i="2"/>
  <c r="X910" i="2"/>
  <c r="X911" i="2"/>
  <c r="Y911" i="2" s="1"/>
  <c r="X912" i="2"/>
  <c r="X913" i="2"/>
  <c r="Y913" i="2" s="1"/>
  <c r="X914" i="2"/>
  <c r="Y914" i="2" s="1"/>
  <c r="X915" i="2"/>
  <c r="Y915" i="2" s="1"/>
  <c r="X916" i="2"/>
  <c r="Y916" i="2" s="1"/>
  <c r="X917" i="2"/>
  <c r="X918" i="2"/>
  <c r="X919" i="2"/>
  <c r="X920" i="2"/>
  <c r="Y920" i="2" s="1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Y937" i="2" s="1"/>
  <c r="X938" i="2"/>
  <c r="Y938" i="2" s="1"/>
  <c r="X939" i="2"/>
  <c r="X940" i="2"/>
  <c r="Y940" i="2" s="1"/>
  <c r="X941" i="2"/>
  <c r="Y941" i="2" s="1"/>
  <c r="X942" i="2"/>
  <c r="Y942" i="2" s="1"/>
  <c r="X943" i="2"/>
  <c r="X944" i="2"/>
  <c r="Y944" i="2" s="1"/>
  <c r="X945" i="2"/>
  <c r="Y945" i="2" s="1"/>
  <c r="X946" i="2"/>
  <c r="Y946" i="2" s="1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Y974" i="2" s="1"/>
  <c r="X975" i="2"/>
  <c r="Y975" i="2" s="1"/>
  <c r="X976" i="2"/>
  <c r="Y976" i="2" s="1"/>
  <c r="X977" i="2"/>
  <c r="X978" i="2"/>
  <c r="Y978" i="2" s="1"/>
  <c r="X979" i="2"/>
  <c r="X980" i="2"/>
  <c r="X981" i="2"/>
  <c r="X982" i="2"/>
  <c r="Y982" i="2" s="1"/>
  <c r="X983" i="2"/>
  <c r="Y983" i="2" s="1"/>
  <c r="X984" i="2"/>
  <c r="X985" i="2"/>
  <c r="X986" i="2"/>
  <c r="Y986" i="2" s="1"/>
  <c r="X987" i="2"/>
  <c r="Y987" i="2" s="1"/>
  <c r="X988" i="2"/>
  <c r="X989" i="2"/>
  <c r="X990" i="2"/>
  <c r="X991" i="2"/>
  <c r="Y991" i="2" s="1"/>
  <c r="X992" i="2"/>
  <c r="Y992" i="2" s="1"/>
  <c r="X993" i="2"/>
  <c r="X994" i="2"/>
  <c r="X995" i="2"/>
  <c r="Y995" i="2" s="1"/>
  <c r="X996" i="2"/>
  <c r="Y996" i="2" s="1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Y1008" i="2" s="1"/>
  <c r="X1009" i="2"/>
  <c r="X1010" i="2"/>
  <c r="Y1010" i="2" s="1"/>
  <c r="X1011" i="2"/>
  <c r="Y1011" i="2" s="1"/>
  <c r="X1012" i="2"/>
  <c r="X1013" i="2"/>
  <c r="Y1013" i="2" s="1"/>
  <c r="X1014" i="2"/>
  <c r="Y1014" i="2" s="1"/>
  <c r="X1015" i="2"/>
  <c r="Y1015" i="2" s="1"/>
  <c r="X1016" i="2"/>
  <c r="Y1016" i="2" s="1"/>
  <c r="X1017" i="2"/>
  <c r="Y1017" i="2" s="1"/>
  <c r="X1018" i="2"/>
  <c r="Y1018" i="2" s="1"/>
  <c r="X1019" i="2"/>
  <c r="X1020" i="2"/>
  <c r="X1021" i="2"/>
  <c r="X1022" i="2"/>
  <c r="X1023" i="2"/>
  <c r="X1024" i="2"/>
  <c r="Y1024" i="2" s="1"/>
  <c r="X1025" i="2"/>
  <c r="X1026" i="2"/>
  <c r="Y1026" i="2" s="1"/>
  <c r="X1027" i="2"/>
  <c r="Y1027" i="2" s="1"/>
  <c r="X1028" i="2"/>
  <c r="Y1028" i="2" s="1"/>
  <c r="X1029" i="2"/>
  <c r="Y1029" i="2" s="1"/>
  <c r="X1030" i="2"/>
  <c r="X1031" i="2"/>
  <c r="Y1031" i="2" s="1"/>
  <c r="X1032" i="2"/>
  <c r="X1033" i="2"/>
  <c r="X1034" i="2"/>
  <c r="X1035" i="2"/>
  <c r="Y1035" i="2" s="1"/>
  <c r="X1036" i="2"/>
  <c r="X1037" i="2"/>
  <c r="Y1037" i="2" s="1"/>
  <c r="X1038" i="2"/>
  <c r="X1039" i="2"/>
  <c r="X1040" i="2"/>
  <c r="X1041" i="2"/>
  <c r="X1042" i="2"/>
  <c r="Y1042" i="2" s="1"/>
  <c r="X1043" i="2"/>
  <c r="Y1043" i="2" s="1"/>
  <c r="X1044" i="2"/>
  <c r="Y1044" i="2" s="1"/>
  <c r="X1045" i="2"/>
  <c r="Y1045" i="2" s="1"/>
  <c r="X1046" i="2"/>
  <c r="X1047" i="2"/>
  <c r="X1048" i="2"/>
  <c r="X1049" i="2"/>
  <c r="X1050" i="2"/>
  <c r="Y1050" i="2" s="1"/>
  <c r="X1051" i="2"/>
  <c r="Y1051" i="2" s="1"/>
  <c r="X1052" i="2"/>
  <c r="X1053" i="2"/>
  <c r="Y1053" i="2" s="1"/>
  <c r="X1054" i="2"/>
  <c r="Y1054" i="2" s="1"/>
  <c r="X1055" i="2"/>
  <c r="X1056" i="2"/>
  <c r="Y1056" i="2" s="1"/>
  <c r="X1057" i="2"/>
  <c r="X1058" i="2"/>
  <c r="X1059" i="2"/>
  <c r="X1060" i="2"/>
  <c r="X1061" i="2"/>
  <c r="X1062" i="2"/>
  <c r="Y1062" i="2" s="1"/>
  <c r="X1063" i="2"/>
  <c r="X1064" i="2"/>
  <c r="X1065" i="2"/>
  <c r="X1066" i="2"/>
  <c r="Y1066" i="2" s="1"/>
  <c r="X1067" i="2"/>
  <c r="X1068" i="2"/>
  <c r="X1069" i="2"/>
  <c r="X1070" i="2"/>
  <c r="X1071" i="2"/>
  <c r="X1072" i="2"/>
  <c r="X1073" i="2"/>
  <c r="Y1073" i="2" s="1"/>
  <c r="X1074" i="2"/>
  <c r="Y1074" i="2" s="1"/>
  <c r="X1075" i="2"/>
  <c r="Y1075" i="2" s="1"/>
  <c r="X1076" i="2"/>
  <c r="Y1076" i="2" s="1"/>
  <c r="X1077" i="2"/>
  <c r="Y1077" i="2" s="1"/>
  <c r="X1078" i="2"/>
  <c r="X1079" i="2"/>
  <c r="X1080" i="2"/>
  <c r="X1081" i="2"/>
  <c r="X1082" i="2"/>
  <c r="X1083" i="2"/>
  <c r="X1084" i="2"/>
  <c r="Y1084" i="2" s="1"/>
  <c r="X1085" i="2"/>
  <c r="X1086" i="2"/>
  <c r="Y1086" i="2" s="1"/>
  <c r="X1087" i="2"/>
  <c r="X1088" i="2"/>
  <c r="X1089" i="2"/>
  <c r="X1090" i="2"/>
  <c r="Y1090" i="2" s="1"/>
  <c r="X1091" i="2"/>
  <c r="X1092" i="2"/>
  <c r="X1093" i="2"/>
  <c r="Y1093" i="2" s="1"/>
  <c r="X1094" i="2"/>
  <c r="Y1094" i="2" s="1"/>
  <c r="X1095" i="2"/>
  <c r="Y1095" i="2" s="1"/>
  <c r="X1096" i="2"/>
  <c r="Y1096" i="2" s="1"/>
  <c r="X1097" i="2"/>
  <c r="Y1097" i="2" s="1"/>
  <c r="X1098" i="2"/>
  <c r="X1099" i="2"/>
  <c r="Y1099" i="2" s="1"/>
  <c r="X1100" i="2"/>
  <c r="X1101" i="2"/>
  <c r="Y1101" i="2" s="1"/>
  <c r="X1102" i="2"/>
  <c r="X1103" i="2"/>
  <c r="X1104" i="2"/>
  <c r="X1105" i="2"/>
  <c r="X1106" i="2"/>
  <c r="X1107" i="2"/>
  <c r="Y1107" i="2" s="1"/>
  <c r="X1108" i="2"/>
  <c r="Y1108" i="2" s="1"/>
  <c r="X1109" i="2"/>
  <c r="Y1109" i="2" s="1"/>
  <c r="X1110" i="2"/>
  <c r="Y1110" i="2" s="1"/>
  <c r="X1111" i="2"/>
  <c r="Y1111" i="2" s="1"/>
  <c r="X1112" i="2"/>
  <c r="X1113" i="2"/>
  <c r="X1114" i="2"/>
  <c r="Y1114" i="2" s="1"/>
  <c r="X1115" i="2"/>
  <c r="Y1115" i="2" s="1"/>
  <c r="X1116" i="2"/>
  <c r="X1117" i="2"/>
  <c r="Y1117" i="2" s="1"/>
  <c r="X1118" i="2"/>
  <c r="Y1118" i="2" s="1"/>
  <c r="X1119" i="2"/>
  <c r="X1120" i="2"/>
  <c r="X1121" i="2"/>
  <c r="X1122" i="2"/>
  <c r="Y1122" i="2" s="1"/>
  <c r="X1123" i="2"/>
  <c r="X1124" i="2"/>
  <c r="X1125" i="2"/>
  <c r="X1126" i="2"/>
  <c r="X1127" i="2"/>
  <c r="X1128" i="2"/>
  <c r="X1129" i="2"/>
  <c r="X1130" i="2"/>
  <c r="X1131" i="2"/>
  <c r="X1132" i="2"/>
  <c r="X1133" i="2"/>
  <c r="Y1133" i="2" s="1"/>
  <c r="X1134" i="2"/>
  <c r="X1135" i="2"/>
  <c r="Y1135" i="2" s="1"/>
  <c r="X1136" i="2"/>
  <c r="X1137" i="2"/>
  <c r="Y1137" i="2" s="1"/>
  <c r="X1138" i="2"/>
  <c r="X1139" i="2"/>
  <c r="X1140" i="2"/>
  <c r="X1141" i="2"/>
  <c r="X1142" i="2"/>
  <c r="X1143" i="2"/>
  <c r="Y1143" i="2" s="1"/>
  <c r="X1144" i="2"/>
  <c r="Y1144" i="2" s="1"/>
  <c r="X1145" i="2"/>
  <c r="Y1145" i="2" s="1"/>
  <c r="X1146" i="2"/>
  <c r="Y1146" i="2" s="1"/>
  <c r="X1147" i="2"/>
  <c r="Y1147" i="2" s="1"/>
  <c r="X1148" i="2"/>
  <c r="Y1148" i="2" s="1"/>
  <c r="X1149" i="2"/>
  <c r="Y1149" i="2" s="1"/>
  <c r="X1150" i="2"/>
  <c r="Y1150" i="2" s="1"/>
  <c r="X1151" i="2"/>
  <c r="Y1151" i="2" s="1"/>
  <c r="X1152" i="2"/>
  <c r="X1153" i="2"/>
  <c r="X1154" i="2"/>
  <c r="Y1154" i="2" s="1"/>
  <c r="X1155" i="2"/>
  <c r="Y1155" i="2" s="1"/>
  <c r="X1156" i="2"/>
  <c r="Y1156" i="2" s="1"/>
  <c r="X1157" i="2"/>
  <c r="Y1157" i="2" s="1"/>
  <c r="X1158" i="2"/>
  <c r="Y1158" i="2" s="1"/>
  <c r="X1159" i="2"/>
  <c r="Y1159" i="2" s="1"/>
  <c r="X1160" i="2"/>
  <c r="X1161" i="2"/>
  <c r="X1162" i="2"/>
  <c r="X1163" i="2"/>
  <c r="X1164" i="2"/>
  <c r="X1165" i="2"/>
  <c r="X1166" i="2"/>
  <c r="X1167" i="2"/>
  <c r="X1168" i="2"/>
  <c r="Y1168" i="2" s="1"/>
  <c r="X1169" i="2"/>
  <c r="Y1169" i="2" s="1"/>
  <c r="X1170" i="2"/>
  <c r="Y1170" i="2" s="1"/>
  <c r="X1171" i="2"/>
  <c r="X1172" i="2"/>
  <c r="Y1172" i="2" s="1"/>
  <c r="X1173" i="2"/>
  <c r="X1174" i="2"/>
  <c r="X1175" i="2"/>
  <c r="X1176" i="2"/>
  <c r="Y1176" i="2" s="1"/>
  <c r="X1177" i="2"/>
  <c r="Y1177" i="2" s="1"/>
  <c r="X1178" i="2"/>
  <c r="Y1178" i="2" s="1"/>
  <c r="X1179" i="2"/>
  <c r="Y1179" i="2" s="1"/>
  <c r="X1180" i="2"/>
  <c r="Y1180" i="2" s="1"/>
  <c r="X1181" i="2"/>
  <c r="Y1181" i="2" s="1"/>
  <c r="X1182" i="2"/>
  <c r="X1183" i="2"/>
  <c r="X1184" i="2"/>
  <c r="X1185" i="2"/>
  <c r="X1186" i="2"/>
  <c r="Y1186" i="2" s="1"/>
  <c r="X1187" i="2"/>
  <c r="Y1187" i="2" s="1"/>
  <c r="X1188" i="2"/>
  <c r="Y1188" i="2" s="1"/>
  <c r="X1189" i="2"/>
  <c r="X1190" i="2"/>
  <c r="Y1190" i="2" s="1"/>
  <c r="X1191" i="2"/>
  <c r="X1192" i="2"/>
  <c r="X1193" i="2"/>
  <c r="X1194" i="2"/>
  <c r="X1195" i="2"/>
  <c r="Y1195" i="2" s="1"/>
  <c r="X1196" i="2"/>
  <c r="Y1196" i="2" s="1"/>
  <c r="X1197" i="2"/>
  <c r="Y1197" i="2" s="1"/>
  <c r="X1198" i="2"/>
  <c r="X1199" i="2"/>
  <c r="X1200" i="2"/>
  <c r="Y1200" i="2" s="1"/>
  <c r="X1201" i="2"/>
  <c r="X1202" i="2"/>
  <c r="X1203" i="2"/>
  <c r="Y1203" i="2" s="1"/>
  <c r="X1204" i="2"/>
  <c r="Y1204" i="2" s="1"/>
  <c r="X1205" i="2"/>
  <c r="X1206" i="2"/>
  <c r="Y1206" i="2" s="1"/>
  <c r="X1207" i="2"/>
  <c r="Y1207" i="2" s="1"/>
  <c r="X1208" i="2"/>
  <c r="Y1208" i="2" s="1"/>
  <c r="X1209" i="2"/>
  <c r="X1210" i="2"/>
  <c r="Y1210" i="2" s="1"/>
  <c r="X1211" i="2"/>
  <c r="X1212" i="2"/>
  <c r="Y1212" i="2" s="1"/>
  <c r="X1213" i="2"/>
  <c r="Y1213" i="2" s="1"/>
  <c r="X1214" i="2"/>
  <c r="X1215" i="2"/>
  <c r="X1216" i="2"/>
  <c r="Y1216" i="2" s="1"/>
  <c r="X1217" i="2"/>
  <c r="Y1217" i="2" s="1"/>
  <c r="X1218" i="2"/>
  <c r="X1219" i="2"/>
  <c r="Y1219" i="2" s="1"/>
  <c r="X1220" i="2"/>
  <c r="X1221" i="2"/>
  <c r="X1222" i="2"/>
  <c r="Y1222" i="2" s="1"/>
  <c r="X1223" i="2"/>
  <c r="Y1223" i="2" s="1"/>
  <c r="X1224" i="2"/>
  <c r="Y1224" i="2" s="1"/>
  <c r="X1225" i="2"/>
  <c r="Y1225" i="2" s="1"/>
  <c r="X1226" i="2"/>
  <c r="Y1226" i="2" s="1"/>
  <c r="X1227" i="2"/>
  <c r="Y1227" i="2" s="1"/>
  <c r="X1228" i="2"/>
  <c r="Y1228" i="2" s="1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Y1243" i="2" s="1"/>
  <c r="X1244" i="2"/>
  <c r="Y1244" i="2" s="1"/>
  <c r="X1245" i="2"/>
  <c r="Y1245" i="2" s="1"/>
  <c r="X1246" i="2"/>
  <c r="X1247" i="2"/>
  <c r="Y1247" i="2" s="1"/>
  <c r="X1248" i="2"/>
  <c r="Y1248" i="2" s="1"/>
  <c r="X1249" i="2"/>
  <c r="Y1249" i="2" s="1"/>
  <c r="X1250" i="2"/>
  <c r="X1251" i="2"/>
  <c r="Y1251" i="2" s="1"/>
  <c r="X1252" i="2"/>
  <c r="X1253" i="2"/>
  <c r="X1254" i="2"/>
  <c r="Y1254" i="2" s="1"/>
  <c r="X1255" i="2"/>
  <c r="X1256" i="2"/>
  <c r="Y1256" i="2" s="1"/>
  <c r="X1257" i="2"/>
  <c r="Y1257" i="2" s="1"/>
  <c r="X1258" i="2"/>
  <c r="X1259" i="2"/>
  <c r="Y1259" i="2" s="1"/>
  <c r="X1260" i="2"/>
  <c r="Y1260" i="2" s="1"/>
  <c r="X1261" i="2"/>
  <c r="X1262" i="2"/>
  <c r="X1263" i="2"/>
  <c r="X1264" i="2"/>
  <c r="Y1264" i="2" s="1"/>
  <c r="X1265" i="2"/>
  <c r="Y1265" i="2" s="1"/>
  <c r="X1266" i="2"/>
  <c r="Y1266" i="2" s="1"/>
  <c r="X1267" i="2"/>
  <c r="Y1267" i="2" s="1"/>
  <c r="X1268" i="2"/>
  <c r="X1269" i="2"/>
  <c r="Y1269" i="2" s="1"/>
  <c r="X1270" i="2"/>
  <c r="Y1270" i="2" s="1"/>
  <c r="X1271" i="2"/>
  <c r="X1272" i="2"/>
  <c r="X1273" i="2"/>
  <c r="X1274" i="2"/>
  <c r="X1275" i="2"/>
  <c r="X1276" i="2"/>
  <c r="X1277" i="2"/>
  <c r="X1278" i="2"/>
  <c r="X1279" i="2"/>
  <c r="X1280" i="2"/>
  <c r="X1281" i="2"/>
  <c r="Y1281" i="2" s="1"/>
  <c r="X1282" i="2"/>
  <c r="Y1282" i="2" s="1"/>
  <c r="X1283" i="2"/>
  <c r="Y1283" i="2" s="1"/>
  <c r="X1284" i="2"/>
  <c r="Y1284" i="2" s="1"/>
  <c r="X1285" i="2"/>
  <c r="X1286" i="2"/>
  <c r="Y1286" i="2" s="1"/>
  <c r="X1287" i="2"/>
  <c r="Y1287" i="2" s="1"/>
  <c r="X1288" i="2"/>
  <c r="Y1288" i="2" s="1"/>
  <c r="X1289" i="2"/>
  <c r="Y1289" i="2" s="1"/>
  <c r="X1290" i="2"/>
  <c r="X1291" i="2"/>
  <c r="Y1291" i="2" s="1"/>
  <c r="X1292" i="2"/>
  <c r="Y1292" i="2" s="1"/>
  <c r="X1293" i="2"/>
  <c r="X1294" i="2"/>
  <c r="X1295" i="2"/>
  <c r="Y1295" i="2" s="1"/>
  <c r="X1296" i="2"/>
  <c r="X1297" i="2"/>
  <c r="X1298" i="2"/>
  <c r="X1299" i="2"/>
  <c r="Y1299" i="2" s="1"/>
  <c r="X1300" i="2"/>
  <c r="X1301" i="2"/>
  <c r="X1302" i="2"/>
  <c r="X1303" i="2"/>
  <c r="Y1303" i="2" s="1"/>
  <c r="X1304" i="2"/>
  <c r="Y1304" i="2" s="1"/>
  <c r="X1305" i="2"/>
  <c r="Y1305" i="2" s="1"/>
  <c r="X1306" i="2"/>
  <c r="Y1306" i="2" s="1"/>
  <c r="X1307" i="2"/>
  <c r="Y1307" i="2" s="1"/>
  <c r="X1308" i="2"/>
  <c r="X1309" i="2"/>
  <c r="X1310" i="2"/>
  <c r="X1311" i="2"/>
  <c r="X1312" i="2"/>
  <c r="X1313" i="2"/>
  <c r="X1314" i="2"/>
  <c r="X1315" i="2"/>
  <c r="X1316" i="2"/>
  <c r="Y1316" i="2" s="1"/>
  <c r="X1317" i="2"/>
  <c r="X1318" i="2"/>
  <c r="X1319" i="2"/>
  <c r="X1320" i="2"/>
  <c r="Y1320" i="2" s="1"/>
  <c r="X1321" i="2"/>
  <c r="Y1321" i="2" s="1"/>
  <c r="X1322" i="2"/>
  <c r="Y1322" i="2" s="1"/>
  <c r="X1323" i="2"/>
  <c r="X1324" i="2"/>
  <c r="Y1324" i="2" s="1"/>
  <c r="X1325" i="2"/>
  <c r="Y1325" i="2" s="1"/>
  <c r="X1326" i="2"/>
  <c r="Y1326" i="2" s="1"/>
  <c r="X1327" i="2"/>
  <c r="Y1327" i="2" s="1"/>
  <c r="X1328" i="2"/>
  <c r="Y1328" i="2" s="1"/>
  <c r="X1329" i="2"/>
  <c r="Y1329" i="2" s="1"/>
  <c r="X1330" i="2"/>
  <c r="Y1330" i="2" s="1"/>
  <c r="X1331" i="2"/>
  <c r="Y1331" i="2" s="1"/>
  <c r="X1332" i="2"/>
  <c r="Y1332" i="2" s="1"/>
  <c r="X1333" i="2"/>
  <c r="Y1333" i="2" s="1"/>
  <c r="X1334" i="2"/>
  <c r="Y1334" i="2" s="1"/>
  <c r="X1335" i="2"/>
  <c r="Y1335" i="2" s="1"/>
  <c r="X1336" i="2"/>
  <c r="Y1336" i="2" s="1"/>
  <c r="X1337" i="2"/>
  <c r="Y1337" i="2" s="1"/>
  <c r="X1338" i="2"/>
  <c r="Y1338" i="2" s="1"/>
  <c r="X1339" i="2"/>
  <c r="Y1339" i="2" s="1"/>
  <c r="X1340" i="2"/>
  <c r="Y1340" i="2" s="1"/>
  <c r="X1341" i="2"/>
  <c r="Y1341" i="2" s="1"/>
  <c r="X1342" i="2"/>
  <c r="X1343" i="2"/>
  <c r="Y1343" i="2" s="1"/>
  <c r="X1344" i="2"/>
  <c r="Y1344" i="2" s="1"/>
  <c r="X1345" i="2"/>
  <c r="Y1345" i="2" s="1"/>
  <c r="X1346" i="2"/>
  <c r="X1347" i="2"/>
  <c r="Y1347" i="2" s="1"/>
  <c r="X1348" i="2"/>
  <c r="Y1348" i="2" s="1"/>
  <c r="X1349" i="2"/>
  <c r="X1350" i="2"/>
  <c r="X1351" i="2"/>
  <c r="Y1351" i="2" s="1"/>
  <c r="X1352" i="2"/>
  <c r="X1353" i="2"/>
  <c r="Y1353" i="2" s="1"/>
  <c r="X1354" i="2"/>
  <c r="X1355" i="2"/>
  <c r="Y1355" i="2" s="1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Y1367" i="2" s="1"/>
  <c r="X1368" i="2"/>
  <c r="Y1368" i="2" s="1"/>
  <c r="X1369" i="2"/>
  <c r="Y1369" i="2" s="1"/>
  <c r="X1370" i="2"/>
  <c r="Y1370" i="2" s="1"/>
  <c r="X1371" i="2"/>
  <c r="Y1371" i="2" s="1"/>
  <c r="X1372" i="2"/>
  <c r="Y1372" i="2" s="1"/>
  <c r="X1373" i="2"/>
  <c r="Y1373" i="2" s="1"/>
  <c r="X1374" i="2"/>
  <c r="Y1374" i="2" s="1"/>
  <c r="X1375" i="2"/>
  <c r="Y1375" i="2" s="1"/>
  <c r="X1376" i="2"/>
  <c r="Y1376" i="2" s="1"/>
  <c r="X1377" i="2"/>
  <c r="Y1377" i="2" s="1"/>
  <c r="X1378" i="2"/>
  <c r="Y1378" i="2" s="1"/>
  <c r="X1379" i="2"/>
  <c r="X1380" i="2"/>
  <c r="Y1380" i="2" s="1"/>
  <c r="X1381" i="2"/>
  <c r="Y1381" i="2" s="1"/>
  <c r="X1382" i="2"/>
  <c r="Y1382" i="2" s="1"/>
  <c r="X1383" i="2"/>
  <c r="X1384" i="2"/>
  <c r="Y1384" i="2" s="1"/>
  <c r="X1385" i="2"/>
  <c r="Y1385" i="2" s="1"/>
  <c r="X1386" i="2"/>
  <c r="Y1386" i="2" s="1"/>
  <c r="X1387" i="2"/>
  <c r="X1388" i="2"/>
  <c r="Y1388" i="2" s="1"/>
  <c r="X1389" i="2"/>
  <c r="Y1389" i="2" s="1"/>
  <c r="X1390" i="2"/>
  <c r="Y1390" i="2" s="1"/>
  <c r="X1391" i="2"/>
  <c r="Y1391" i="2" s="1"/>
  <c r="X1392" i="2"/>
  <c r="Y1392" i="2" s="1"/>
  <c r="X1393" i="2"/>
  <c r="Y1393" i="2" s="1"/>
  <c r="X1394" i="2"/>
  <c r="Y1394" i="2" s="1"/>
  <c r="X1395" i="2"/>
  <c r="Y1395" i="2" s="1"/>
  <c r="X1396" i="2"/>
  <c r="X1397" i="2"/>
  <c r="X1398" i="2"/>
  <c r="X1399" i="2"/>
  <c r="X1400" i="2"/>
  <c r="X1401" i="2"/>
  <c r="X1402" i="2"/>
  <c r="X1403" i="2"/>
  <c r="X1404" i="2"/>
  <c r="X1405" i="2"/>
  <c r="Y1405" i="2" s="1"/>
  <c r="X1406" i="2"/>
  <c r="X1407" i="2"/>
  <c r="Y1407" i="2" s="1"/>
  <c r="X1408" i="2"/>
  <c r="Y1408" i="2" s="1"/>
  <c r="X1409" i="2"/>
  <c r="Y1409" i="2" s="1"/>
  <c r="X1410" i="2"/>
  <c r="X1411" i="2"/>
  <c r="X1412" i="2"/>
  <c r="X1413" i="2"/>
  <c r="X1414" i="2"/>
  <c r="X1415" i="2"/>
  <c r="X1416" i="2"/>
  <c r="X1417" i="2"/>
  <c r="X1418" i="2"/>
  <c r="X1419" i="2"/>
  <c r="X1420" i="2"/>
  <c r="Y1420" i="2" s="1"/>
  <c r="X1421" i="2"/>
  <c r="X1422" i="2"/>
  <c r="X1423" i="2"/>
  <c r="X1424" i="2"/>
  <c r="X1425" i="2"/>
  <c r="Y1425" i="2" s="1"/>
  <c r="X1426" i="2"/>
  <c r="Y1426" i="2" s="1"/>
  <c r="X1427" i="2"/>
  <c r="Y1427" i="2" s="1"/>
  <c r="X1428" i="2"/>
  <c r="Y1428" i="2" s="1"/>
  <c r="X1429" i="2"/>
  <c r="Y1429" i="2" s="1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Y1441" i="2" s="1"/>
  <c r="X1442" i="2"/>
  <c r="Y1442" i="2" s="1"/>
  <c r="X1443" i="2"/>
  <c r="Y1443" i="2" s="1"/>
  <c r="X1444" i="2"/>
  <c r="X1445" i="2"/>
  <c r="X1446" i="2"/>
  <c r="X1447" i="2"/>
  <c r="Y1447" i="2" s="1"/>
  <c r="X1448" i="2"/>
  <c r="Y1448" i="2" s="1"/>
  <c r="X1449" i="2"/>
  <c r="X1450" i="2"/>
  <c r="X1451" i="2"/>
  <c r="X1452" i="2"/>
  <c r="X1453" i="2"/>
  <c r="X1454" i="2"/>
  <c r="X1455" i="2"/>
  <c r="X1456" i="2"/>
  <c r="X1457" i="2"/>
  <c r="X1458" i="2"/>
  <c r="Y1458" i="2" s="1"/>
  <c r="X1459" i="2"/>
  <c r="Y1459" i="2" s="1"/>
  <c r="X1460" i="2"/>
  <c r="X1461" i="2"/>
  <c r="Y1461" i="2" s="1"/>
  <c r="X1462" i="2"/>
  <c r="X1463" i="2"/>
  <c r="Y1463" i="2" s="1"/>
  <c r="X1464" i="2"/>
  <c r="X1465" i="2"/>
  <c r="Y1465" i="2" s="1"/>
  <c r="X1466" i="2"/>
  <c r="Y1466" i="2" s="1"/>
  <c r="X1467" i="2"/>
  <c r="Y1467" i="2" s="1"/>
  <c r="X1468" i="2"/>
  <c r="Y1468" i="2" s="1"/>
  <c r="X1469" i="2"/>
  <c r="Y1469" i="2" s="1"/>
  <c r="X1470" i="2"/>
  <c r="Y1470" i="2" s="1"/>
  <c r="X1471" i="2"/>
  <c r="X1472" i="2"/>
  <c r="X1473" i="2"/>
  <c r="X1474" i="2"/>
  <c r="X1475" i="2"/>
  <c r="X1476" i="2"/>
  <c r="X1477" i="2"/>
  <c r="Y1477" i="2" s="1"/>
  <c r="X1478" i="2"/>
  <c r="Y1478" i="2" s="1"/>
  <c r="X1479" i="2"/>
  <c r="Y1479" i="2" s="1"/>
  <c r="X1480" i="2"/>
  <c r="X1481" i="2"/>
  <c r="Y1481" i="2" s="1"/>
  <c r="X1482" i="2"/>
  <c r="Y1482" i="2" s="1"/>
  <c r="X1483" i="2"/>
  <c r="Y1483" i="2" s="1"/>
  <c r="X1484" i="2"/>
  <c r="X1485" i="2"/>
  <c r="Y1485" i="2" s="1"/>
  <c r="X1486" i="2"/>
  <c r="Y1486" i="2" s="1"/>
  <c r="X1487" i="2"/>
  <c r="Y1487" i="2" s="1"/>
  <c r="X1488" i="2"/>
  <c r="X1489" i="2"/>
  <c r="Y1489" i="2" s="1"/>
  <c r="X1490" i="2"/>
  <c r="X1491" i="2"/>
  <c r="Y1491" i="2" s="1"/>
  <c r="X1492" i="2"/>
  <c r="X1493" i="2"/>
  <c r="X1494" i="2"/>
  <c r="Y1494" i="2" s="1"/>
  <c r="X1495" i="2"/>
  <c r="X1496" i="2"/>
  <c r="X1497" i="2"/>
  <c r="X1498" i="2"/>
  <c r="X1499" i="2"/>
  <c r="X1500" i="2"/>
  <c r="X1501" i="2"/>
  <c r="X1502" i="2"/>
  <c r="X1503" i="2"/>
  <c r="Y1503" i="2" s="1"/>
  <c r="X1504" i="2"/>
  <c r="Y1504" i="2" s="1"/>
  <c r="X1505" i="2"/>
  <c r="Y1505" i="2" s="1"/>
  <c r="X1506" i="2"/>
  <c r="Y1506" i="2" s="1"/>
  <c r="X1507" i="2"/>
  <c r="Y1507" i="2" s="1"/>
  <c r="X1508" i="2"/>
  <c r="Y1508" i="2" s="1"/>
  <c r="X1509" i="2"/>
  <c r="Y1509" i="2" s="1"/>
  <c r="X1510" i="2"/>
  <c r="X1511" i="2"/>
  <c r="Y1511" i="2" s="1"/>
  <c r="X1512" i="2"/>
  <c r="Y1512" i="2" s="1"/>
  <c r="X1513" i="2"/>
  <c r="X1514" i="2"/>
  <c r="X1515" i="2"/>
  <c r="X1516" i="2"/>
  <c r="Y1516" i="2" s="1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Y1533" i="2" s="1"/>
  <c r="X1534" i="2"/>
  <c r="X1535" i="2"/>
  <c r="X1536" i="2"/>
  <c r="X1537" i="2"/>
  <c r="X1538" i="2"/>
  <c r="X1539" i="2"/>
  <c r="Y1539" i="2" s="1"/>
  <c r="X1540" i="2"/>
  <c r="X1541" i="2"/>
  <c r="Y1541" i="2" s="1"/>
  <c r="X1542" i="2"/>
  <c r="Y1542" i="2" s="1"/>
  <c r="X1543" i="2"/>
  <c r="Y1543" i="2" s="1"/>
  <c r="X1544" i="2"/>
  <c r="Y1544" i="2" s="1"/>
  <c r="X1545" i="2"/>
  <c r="Y1545" i="2" s="1"/>
  <c r="X1546" i="2"/>
  <c r="Y1546" i="2" s="1"/>
  <c r="X1547" i="2"/>
  <c r="Y1547" i="2" s="1"/>
  <c r="X1548" i="2"/>
  <c r="Y1548" i="2" s="1"/>
  <c r="X1549" i="2"/>
  <c r="Y1549" i="2" s="1"/>
  <c r="X1550" i="2"/>
  <c r="X1551" i="2"/>
  <c r="X1552" i="2"/>
  <c r="Y1552" i="2" s="1"/>
  <c r="X1553" i="2"/>
  <c r="Y1553" i="2" s="1"/>
  <c r="X1554" i="2"/>
  <c r="Y1554" i="2" s="1"/>
  <c r="X1555" i="2"/>
  <c r="Y1555" i="2" s="1"/>
  <c r="X1556" i="2"/>
  <c r="X1557" i="2"/>
  <c r="X1558" i="2"/>
  <c r="X1559" i="2"/>
  <c r="Y1559" i="2" s="1"/>
  <c r="X1560" i="2"/>
  <c r="Y1560" i="2" s="1"/>
  <c r="X1561" i="2"/>
  <c r="Y1561" i="2" s="1"/>
  <c r="X1562" i="2"/>
  <c r="Y1562" i="2" s="1"/>
  <c r="X1563" i="2"/>
  <c r="Y1563" i="2" s="1"/>
  <c r="X1564" i="2"/>
  <c r="Y1564" i="2" s="1"/>
  <c r="X1565" i="2"/>
  <c r="Y1565" i="2" s="1"/>
  <c r="X1566" i="2"/>
  <c r="Y1566" i="2" s="1"/>
  <c r="X1567" i="2"/>
  <c r="Y1567" i="2" s="1"/>
  <c r="X1568" i="2"/>
  <c r="Y1568" i="2" s="1"/>
  <c r="X1569" i="2"/>
  <c r="Y1569" i="2" s="1"/>
  <c r="X1570" i="2"/>
  <c r="Y1570" i="2" s="1"/>
  <c r="X1571" i="2"/>
  <c r="Y1571" i="2" s="1"/>
  <c r="X1572" i="2"/>
  <c r="Y1572" i="2" s="1"/>
  <c r="X1573" i="2"/>
  <c r="Y1573" i="2" s="1"/>
  <c r="X1574" i="2"/>
  <c r="Y1574" i="2" s="1"/>
  <c r="X1575" i="2"/>
  <c r="Y1575" i="2" s="1"/>
  <c r="X1576" i="2"/>
  <c r="Y1576" i="2" s="1"/>
  <c r="X1577" i="2"/>
  <c r="Y1577" i="2" s="1"/>
  <c r="X1578" i="2"/>
  <c r="Y1578" i="2" s="1"/>
  <c r="X1579" i="2"/>
  <c r="Y1579" i="2" s="1"/>
  <c r="X1580" i="2"/>
  <c r="Y1580" i="2" s="1"/>
  <c r="X1581" i="2"/>
  <c r="Y1581" i="2" s="1"/>
  <c r="X1582" i="2"/>
  <c r="Y1582" i="2" s="1"/>
  <c r="X1583" i="2"/>
  <c r="Y1583" i="2" s="1"/>
  <c r="X1584" i="2"/>
  <c r="Y1584" i="2" s="1"/>
  <c r="X1585" i="2"/>
  <c r="Y1585" i="2" s="1"/>
  <c r="X1586" i="2"/>
  <c r="Y1586" i="2" s="1"/>
  <c r="X1587" i="2"/>
  <c r="X1588" i="2"/>
  <c r="X1589" i="2"/>
  <c r="Y1589" i="2" s="1"/>
  <c r="X1590" i="2"/>
  <c r="X1591" i="2"/>
  <c r="X1592" i="2"/>
  <c r="X1593" i="2"/>
  <c r="Y1593" i="2" s="1"/>
  <c r="X1594" i="2"/>
  <c r="X1595" i="2"/>
  <c r="Y1595" i="2" s="1"/>
  <c r="X1596" i="2"/>
  <c r="Y1596" i="2" s="1"/>
  <c r="X1597" i="2"/>
  <c r="Y1597" i="2" s="1"/>
  <c r="X1598" i="2"/>
  <c r="X1599" i="2"/>
  <c r="X1600" i="2"/>
  <c r="Y1600" i="2" s="1"/>
  <c r="X1601" i="2"/>
  <c r="Y1601" i="2" s="1"/>
  <c r="X1602" i="2"/>
  <c r="Y1602" i="2" s="1"/>
  <c r="X1603" i="2"/>
  <c r="Y1603" i="2" s="1"/>
  <c r="X1604" i="2"/>
  <c r="Y1604" i="2" s="1"/>
  <c r="X1605" i="2"/>
  <c r="X1606" i="2"/>
  <c r="X1607" i="2"/>
  <c r="X1608" i="2"/>
  <c r="Y1608" i="2" s="1"/>
  <c r="X1609" i="2"/>
  <c r="Y1609" i="2" s="1"/>
  <c r="X1610" i="2"/>
  <c r="Y1610" i="2" s="1"/>
  <c r="X1611" i="2"/>
  <c r="X1612" i="2"/>
  <c r="Y1612" i="2" s="1"/>
  <c r="X1613" i="2"/>
  <c r="Y1613" i="2" s="1"/>
  <c r="X1614" i="2"/>
  <c r="Y1614" i="2" s="1"/>
  <c r="X1615" i="2"/>
  <c r="X1616" i="2"/>
  <c r="X1617" i="2"/>
  <c r="X1618" i="2"/>
  <c r="X1619" i="2"/>
  <c r="X1620" i="2"/>
  <c r="X1621" i="2"/>
  <c r="Y1621" i="2" s="1"/>
  <c r="X1622" i="2"/>
  <c r="X1623" i="2"/>
  <c r="X1624" i="2"/>
  <c r="X1625" i="2"/>
  <c r="X1626" i="2"/>
  <c r="X1627" i="2"/>
  <c r="X1628" i="2"/>
  <c r="X1629" i="2"/>
  <c r="X1630" i="2"/>
  <c r="Y1630" i="2" s="1"/>
  <c r="X1631" i="2"/>
  <c r="Y1631" i="2" s="1"/>
  <c r="X1632" i="2"/>
  <c r="Y1632" i="2" s="1"/>
  <c r="X1633" i="2"/>
  <c r="Y1633" i="2" s="1"/>
  <c r="X1634" i="2"/>
  <c r="Y1634" i="2" s="1"/>
  <c r="X1635" i="2"/>
  <c r="Y1635" i="2" s="1"/>
  <c r="X1636" i="2"/>
  <c r="Y1636" i="2" s="1"/>
  <c r="X1637" i="2"/>
  <c r="X1638" i="2"/>
  <c r="Y1638" i="2" s="1"/>
  <c r="X1639" i="2"/>
  <c r="Y1639" i="2" s="1"/>
  <c r="X1640" i="2"/>
  <c r="Y1640" i="2" s="1"/>
  <c r="X1641" i="2"/>
  <c r="Y1641" i="2" s="1"/>
  <c r="X1642" i="2"/>
  <c r="Y1642" i="2" s="1"/>
  <c r="X1643" i="2"/>
  <c r="X1644" i="2"/>
  <c r="X1645" i="2"/>
  <c r="X1646" i="2"/>
  <c r="X1647" i="2"/>
  <c r="X1648" i="2"/>
  <c r="X1649" i="2"/>
  <c r="X1650" i="2"/>
  <c r="Y1650" i="2" s="1"/>
  <c r="X1651" i="2"/>
  <c r="Y1651" i="2" s="1"/>
  <c r="X1652" i="2"/>
  <c r="Y1652" i="2" s="1"/>
  <c r="X1653" i="2"/>
  <c r="X1654" i="2"/>
  <c r="Y1654" i="2" s="1"/>
  <c r="X1655" i="2"/>
  <c r="X1656" i="2"/>
  <c r="X1657" i="2"/>
  <c r="Y1657" i="2" s="1"/>
  <c r="X1658" i="2"/>
  <c r="Y1658" i="2" s="1"/>
  <c r="X1659" i="2"/>
  <c r="Y1659" i="2" s="1"/>
  <c r="X1660" i="2"/>
  <c r="Y1660" i="2" s="1"/>
  <c r="X1661" i="2"/>
  <c r="X1662" i="2"/>
  <c r="X1663" i="2"/>
  <c r="Y1663" i="2" s="1"/>
  <c r="X1664" i="2"/>
  <c r="Y1664" i="2" s="1"/>
  <c r="X1665" i="2"/>
  <c r="Y1665" i="2" s="1"/>
  <c r="X1666" i="2"/>
  <c r="Y1666" i="2" s="1"/>
  <c r="X1667" i="2"/>
  <c r="Y1667" i="2" s="1"/>
  <c r="X1668" i="2"/>
  <c r="Y1668" i="2" s="1"/>
  <c r="X1669" i="2"/>
  <c r="Y1669" i="2" s="1"/>
  <c r="X1670" i="2"/>
  <c r="X1671" i="2"/>
  <c r="X1672" i="2"/>
  <c r="X1673" i="2"/>
  <c r="X1674" i="2"/>
  <c r="Y1674" i="2" s="1"/>
  <c r="X1675" i="2"/>
  <c r="Y1675" i="2" s="1"/>
  <c r="X1676" i="2"/>
  <c r="Y1676" i="2" s="1"/>
  <c r="X1677" i="2"/>
  <c r="Y1677" i="2" s="1"/>
  <c r="X1678" i="2"/>
  <c r="Y1678" i="2" s="1"/>
  <c r="X1679" i="2"/>
  <c r="X1680" i="2"/>
  <c r="X1681" i="2"/>
  <c r="X1682" i="2"/>
  <c r="X1683" i="2"/>
  <c r="X1684" i="2"/>
  <c r="X1685" i="2"/>
  <c r="X1686" i="2"/>
  <c r="X1687" i="2"/>
  <c r="Y1687" i="2" s="1"/>
  <c r="X1688" i="2"/>
  <c r="Y1688" i="2" s="1"/>
  <c r="X1689" i="2"/>
  <c r="X1690" i="2"/>
  <c r="Y1690" i="2" s="1"/>
  <c r="X1691" i="2"/>
  <c r="Y1691" i="2" s="1"/>
  <c r="X1692" i="2"/>
  <c r="Y1692" i="2" s="1"/>
  <c r="X1693" i="2"/>
  <c r="Y1693" i="2" s="1"/>
  <c r="X1694" i="2"/>
  <c r="Y1694" i="2" s="1"/>
  <c r="X1695" i="2"/>
  <c r="Y1695" i="2" s="1"/>
  <c r="X1696" i="2"/>
  <c r="Y1696" i="2" s="1"/>
  <c r="X1697" i="2"/>
  <c r="Y1697" i="2" s="1"/>
  <c r="X1698" i="2"/>
  <c r="Y1698" i="2" s="1"/>
  <c r="X1699" i="2"/>
  <c r="X1700" i="2"/>
  <c r="X1701" i="2"/>
  <c r="Y1701" i="2" s="1"/>
  <c r="X1702" i="2"/>
  <c r="Y1702" i="2" s="1"/>
  <c r="X1703" i="2"/>
  <c r="Y1703" i="2" s="1"/>
  <c r="X1704" i="2"/>
  <c r="Y1704" i="2" s="1"/>
  <c r="X1705" i="2"/>
  <c r="X1706" i="2"/>
  <c r="Y1706" i="2" s="1"/>
  <c r="X1707" i="2"/>
  <c r="Y1707" i="2" s="1"/>
  <c r="X1708" i="2"/>
  <c r="Y1708" i="2" s="1"/>
  <c r="X1709" i="2"/>
  <c r="Y1709" i="2" s="1"/>
  <c r="X1710" i="2"/>
  <c r="Y1710" i="2" s="1"/>
  <c r="X1711" i="2"/>
  <c r="Y1711" i="2" s="1"/>
  <c r="X1712" i="2"/>
  <c r="Y1712" i="2" s="1"/>
  <c r="X1713" i="2"/>
  <c r="Y1713" i="2" s="1"/>
  <c r="X1714" i="2"/>
  <c r="Y1714" i="2" s="1"/>
  <c r="X1715" i="2"/>
  <c r="Y1715" i="2" s="1"/>
  <c r="X1716" i="2"/>
  <c r="Y1716" i="2" s="1"/>
  <c r="X1717" i="2"/>
  <c r="Y1717" i="2" s="1"/>
  <c r="X1718" i="2"/>
  <c r="Y1718" i="2" s="1"/>
  <c r="X1719" i="2"/>
  <c r="Y1719" i="2" s="1"/>
  <c r="X1720" i="2"/>
  <c r="Y1720" i="2" s="1"/>
  <c r="X1721" i="2"/>
  <c r="Y1721" i="2" s="1"/>
  <c r="X1722" i="2"/>
  <c r="X1723" i="2"/>
  <c r="X1724" i="2"/>
  <c r="X1725" i="2"/>
  <c r="X1726" i="2"/>
  <c r="X1727" i="2"/>
  <c r="X1728" i="2"/>
  <c r="Y1728" i="2" s="1"/>
  <c r="X1729" i="2"/>
  <c r="X1730" i="2"/>
  <c r="X1731" i="2"/>
  <c r="X1732" i="2"/>
  <c r="X1733" i="2"/>
  <c r="X1734" i="2"/>
  <c r="X1735" i="2"/>
  <c r="X1736" i="2"/>
  <c r="X1737" i="2"/>
  <c r="Y1737" i="2" s="1"/>
  <c r="X1738" i="2"/>
  <c r="Y1738" i="2" s="1"/>
  <c r="X1739" i="2"/>
  <c r="Y1739" i="2" s="1"/>
  <c r="X1740" i="2"/>
  <c r="Y1740" i="2" s="1"/>
  <c r="X1741" i="2"/>
  <c r="Y1741" i="2" s="1"/>
  <c r="X1742" i="2"/>
  <c r="X1743" i="2"/>
  <c r="Y1743" i="2" s="1"/>
  <c r="X1744" i="2"/>
  <c r="X1745" i="2"/>
  <c r="Y1745" i="2" s="1"/>
  <c r="X1746" i="2"/>
  <c r="Y1746" i="2" s="1"/>
  <c r="X1747" i="2"/>
  <c r="Y1747" i="2" s="1"/>
  <c r="X1748" i="2"/>
  <c r="Y1748" i="2" s="1"/>
  <c r="X1749" i="2"/>
  <c r="Y1749" i="2" s="1"/>
  <c r="X1750" i="2"/>
  <c r="Y1750" i="2" s="1"/>
  <c r="X1751" i="2"/>
  <c r="Y1751" i="2" s="1"/>
  <c r="Z900" i="2" l="1"/>
  <c r="Z1096" i="2"/>
  <c r="Z983" i="2"/>
  <c r="Z529" i="2"/>
  <c r="Y1840" i="2"/>
  <c r="Z1172" i="2"/>
  <c r="Y2473" i="2"/>
  <c r="Y2184" i="2"/>
  <c r="Z1351" i="2"/>
  <c r="Z257" i="2"/>
  <c r="Y2610" i="2"/>
  <c r="Y2325" i="2"/>
  <c r="Z920" i="2"/>
  <c r="Y2585" i="2"/>
  <c r="Z732" i="2"/>
  <c r="Y2862" i="2"/>
  <c r="Z794" i="2"/>
  <c r="Y2517" i="2"/>
  <c r="Y2490" i="2"/>
  <c r="Y2121" i="2"/>
  <c r="Z534" i="2"/>
  <c r="Z121" i="2"/>
  <c r="Z34" i="2"/>
  <c r="Y2546" i="2"/>
  <c r="Z1638" i="2"/>
  <c r="Z1610" i="2"/>
  <c r="Z505" i="2"/>
  <c r="Z143" i="2"/>
  <c r="Y2684" i="2"/>
  <c r="Z1355" i="2"/>
  <c r="Z1745" i="2"/>
  <c r="Z1738" i="2"/>
  <c r="Z1373" i="2"/>
  <c r="Z734" i="2"/>
  <c r="Z704" i="2"/>
  <c r="Y3032" i="2"/>
  <c r="Y2461" i="2"/>
  <c r="Y2450" i="2"/>
  <c r="Y2387" i="2"/>
  <c r="Y2245" i="2"/>
  <c r="Z1751" i="2"/>
  <c r="Z1650" i="2"/>
  <c r="Z250" i="2"/>
  <c r="Y1954" i="2"/>
  <c r="Y2986" i="2"/>
  <c r="Y2883" i="2"/>
  <c r="Y2188" i="2"/>
  <c r="Y1914" i="2"/>
  <c r="Z1561" i="2"/>
  <c r="Z1394" i="2"/>
  <c r="Z687" i="2"/>
  <c r="Z672" i="2"/>
  <c r="Z492" i="2"/>
  <c r="Y2873" i="2"/>
  <c r="Y2669" i="2"/>
  <c r="Y2722" i="2"/>
  <c r="Y2285" i="2"/>
  <c r="Y2085" i="2"/>
  <c r="Z1330" i="2"/>
  <c r="Z1316" i="2"/>
  <c r="Z1245" i="2"/>
  <c r="Z1223" i="2"/>
  <c r="Z1043" i="2"/>
  <c r="Z600" i="2"/>
  <c r="Z516" i="2"/>
  <c r="Z313" i="2"/>
  <c r="Y2838" i="2"/>
  <c r="Y1990" i="2"/>
  <c r="Z1748" i="2"/>
  <c r="Z1719" i="2"/>
  <c r="Z1322" i="2"/>
  <c r="Z438" i="2"/>
  <c r="Z180" i="2"/>
  <c r="Y2959" i="2"/>
  <c r="Y2852" i="2"/>
  <c r="Y2672" i="2"/>
  <c r="Y2650" i="2"/>
  <c r="Y2565" i="2"/>
  <c r="Y2558" i="2"/>
  <c r="Y2467" i="2"/>
  <c r="Y2351" i="2"/>
  <c r="Y2175" i="2"/>
  <c r="Y2203" i="2"/>
  <c r="Z1639" i="2"/>
  <c r="Z1243" i="2"/>
  <c r="Z1213" i="2"/>
  <c r="Z650" i="2"/>
  <c r="Z627" i="2"/>
  <c r="Z604" i="2"/>
  <c r="Z590" i="2"/>
  <c r="Z317" i="2"/>
  <c r="Z311" i="2"/>
  <c r="Z37" i="2"/>
  <c r="Y2958" i="2"/>
  <c r="Y2342" i="2"/>
  <c r="Y1994" i="2"/>
  <c r="Y1925" i="2"/>
  <c r="Z1707" i="2"/>
  <c r="Z1676" i="2"/>
  <c r="Z1640" i="2"/>
  <c r="Z1565" i="2"/>
  <c r="Z1465" i="2"/>
  <c r="Z1395" i="2"/>
  <c r="Z1381" i="2"/>
  <c r="Z1338" i="2"/>
  <c r="Z1264" i="2"/>
  <c r="Z1249" i="2"/>
  <c r="Z1145" i="2"/>
  <c r="Z457" i="2"/>
  <c r="Z427" i="2"/>
  <c r="Z421" i="2"/>
  <c r="Z414" i="2"/>
  <c r="Z383" i="2"/>
  <c r="Z336" i="2"/>
  <c r="Z286" i="2"/>
  <c r="Z266" i="2"/>
  <c r="Z214" i="2"/>
  <c r="Z8" i="2"/>
  <c r="Y2891" i="2"/>
  <c r="Y2877" i="2"/>
  <c r="Y2842" i="2"/>
  <c r="Y2726" i="2"/>
  <c r="Y2569" i="2"/>
  <c r="Y2307" i="2"/>
  <c r="Y2300" i="2"/>
  <c r="Y2134" i="2"/>
  <c r="Z1284" i="2"/>
  <c r="Z978" i="2"/>
  <c r="Y2299" i="2"/>
  <c r="Y2171" i="2"/>
  <c r="Y1984" i="2"/>
  <c r="Z1711" i="2"/>
  <c r="Z1658" i="2"/>
  <c r="Z1577" i="2"/>
  <c r="Z1407" i="2"/>
  <c r="Z1111" i="2"/>
  <c r="Z1029" i="2"/>
  <c r="Z298" i="2"/>
  <c r="Z284" i="2"/>
  <c r="Z270" i="2"/>
  <c r="Z90" i="2"/>
  <c r="Y2817" i="2"/>
  <c r="Y2762" i="2"/>
  <c r="Y2642" i="2"/>
  <c r="Y1809" i="2"/>
  <c r="Y1770" i="2"/>
  <c r="Z1074" i="2"/>
  <c r="Z854" i="2"/>
  <c r="Y2440" i="2"/>
  <c r="Y2417" i="2"/>
  <c r="Y2355" i="2"/>
  <c r="Y2100" i="2"/>
  <c r="Y2079" i="2"/>
  <c r="Z1657" i="2"/>
  <c r="Z1506" i="2"/>
  <c r="Z1377" i="2"/>
  <c r="Z875" i="2"/>
  <c r="Z799" i="2"/>
  <c r="Z708" i="2"/>
  <c r="Z542" i="2"/>
  <c r="Z423" i="2"/>
  <c r="Z303" i="2"/>
  <c r="Z186" i="2"/>
  <c r="Z125" i="2"/>
  <c r="Z1265" i="2"/>
  <c r="Z995" i="2"/>
  <c r="Z867" i="2"/>
  <c r="Z845" i="2"/>
  <c r="Z282" i="2"/>
  <c r="Z3" i="2"/>
  <c r="Y2843" i="2"/>
  <c r="Z1489" i="2"/>
  <c r="Z1244" i="2"/>
  <c r="Z1200" i="2"/>
  <c r="Z1108" i="2"/>
  <c r="Z1086" i="2"/>
  <c r="Z987" i="2"/>
  <c r="Z896" i="2"/>
  <c r="Z798" i="2"/>
  <c r="Z654" i="2"/>
  <c r="Z230" i="2"/>
  <c r="Z117" i="2"/>
  <c r="Y2969" i="2"/>
  <c r="Y2668" i="2"/>
  <c r="Y2577" i="2"/>
  <c r="Y2518" i="2"/>
  <c r="Y2256" i="2"/>
  <c r="Y2045" i="2"/>
  <c r="Y2038" i="2"/>
  <c r="Y2024" i="2"/>
  <c r="Y1972" i="2"/>
  <c r="Y1957" i="2"/>
  <c r="Y1920" i="2"/>
  <c r="Y1835" i="2"/>
  <c r="Y1812" i="2"/>
  <c r="Y1759" i="2"/>
  <c r="Z1704" i="2"/>
  <c r="Z1642" i="2"/>
  <c r="Z1548" i="2"/>
  <c r="Z1543" i="2"/>
  <c r="Z1425" i="2"/>
  <c r="Z1391" i="2"/>
  <c r="Z1385" i="2"/>
  <c r="Z1353" i="2"/>
  <c r="Z1289" i="2"/>
  <c r="Z1256" i="2"/>
  <c r="Z1180" i="2"/>
  <c r="Z1158" i="2"/>
  <c r="Z1137" i="2"/>
  <c r="Z1026" i="2"/>
  <c r="Z1013" i="2"/>
  <c r="Z992" i="2"/>
  <c r="Z944" i="2"/>
  <c r="Z902" i="2"/>
  <c r="Z891" i="2"/>
  <c r="Z865" i="2"/>
  <c r="Z851" i="2"/>
  <c r="Z606" i="2"/>
  <c r="Z588" i="2"/>
  <c r="Z268" i="2"/>
  <c r="Z248" i="2"/>
  <c r="Z182" i="2"/>
  <c r="Z176" i="2"/>
  <c r="Z153" i="2"/>
  <c r="Y3004" i="2"/>
  <c r="Y2880" i="2"/>
  <c r="Y2875" i="2"/>
  <c r="Y2419" i="2"/>
  <c r="Y2389" i="2"/>
  <c r="Y2361" i="2"/>
  <c r="Y2254" i="2"/>
  <c r="Y2109" i="2"/>
  <c r="Y2083" i="2"/>
  <c r="Y2077" i="2"/>
  <c r="Y1992" i="2"/>
  <c r="Y1952" i="2"/>
  <c r="Y1916" i="2"/>
  <c r="Z1749" i="2"/>
  <c r="Z1715" i="2"/>
  <c r="Z1695" i="2"/>
  <c r="Z1688" i="2"/>
  <c r="Z1666" i="2"/>
  <c r="Z1660" i="2"/>
  <c r="Z1553" i="2"/>
  <c r="Z1512" i="2"/>
  <c r="Z1429" i="2"/>
  <c r="Z1384" i="2"/>
  <c r="Z1260" i="2"/>
  <c r="Z1094" i="2"/>
  <c r="Z1051" i="2"/>
  <c r="Z1037" i="2"/>
  <c r="Z1017" i="2"/>
  <c r="Z996" i="2"/>
  <c r="Z991" i="2"/>
  <c r="Z937" i="2"/>
  <c r="Z915" i="2"/>
  <c r="Z869" i="2"/>
  <c r="Z835" i="2"/>
  <c r="Z730" i="2"/>
  <c r="Z592" i="2"/>
  <c r="Z564" i="2"/>
  <c r="Z272" i="2"/>
  <c r="Z201" i="2"/>
  <c r="Z129" i="2"/>
  <c r="Z62" i="2"/>
  <c r="Y2897" i="2"/>
  <c r="Y2803" i="2"/>
  <c r="Y2749" i="2"/>
  <c r="Y2583" i="2"/>
  <c r="Y2536" i="2"/>
  <c r="Y2465" i="2"/>
  <c r="Y2452" i="2"/>
  <c r="Y2353" i="2"/>
  <c r="Y2215" i="2"/>
  <c r="Y2186" i="2"/>
  <c r="Y2173" i="2"/>
  <c r="Y2167" i="2"/>
  <c r="Y2136" i="2"/>
  <c r="Y2060" i="2"/>
  <c r="Y2040" i="2"/>
  <c r="Z1545" i="2"/>
  <c r="Z1286" i="2"/>
  <c r="Z1247" i="2"/>
  <c r="Z1227" i="2"/>
  <c r="Z1118" i="2"/>
  <c r="Z1093" i="2"/>
  <c r="Z946" i="2"/>
  <c r="Z941" i="2"/>
  <c r="Z894" i="2"/>
  <c r="Z888" i="2"/>
  <c r="Z881" i="2"/>
  <c r="Z706" i="2"/>
  <c r="Y2740" i="2"/>
  <c r="Y2682" i="2"/>
  <c r="Y2648" i="2"/>
  <c r="Y2618" i="2"/>
  <c r="Y2548" i="2"/>
  <c r="Y2475" i="2"/>
  <c r="Y2469" i="2"/>
  <c r="Y2457" i="2"/>
  <c r="Y2444" i="2"/>
  <c r="Y2438" i="2"/>
  <c r="Y2287" i="2"/>
  <c r="Z1539" i="2"/>
  <c r="Z1516" i="2"/>
  <c r="Z1382" i="2"/>
  <c r="Z1291" i="2"/>
  <c r="Z1154" i="2"/>
  <c r="Z1097" i="2"/>
  <c r="Z1015" i="2"/>
  <c r="Z795" i="2"/>
  <c r="Z576" i="2"/>
  <c r="Z1747" i="2"/>
  <c r="Z1663" i="2"/>
  <c r="Z1585" i="2"/>
  <c r="Z1544" i="2"/>
  <c r="Z1494" i="2"/>
  <c r="Z1426" i="2"/>
  <c r="Z1420" i="2"/>
  <c r="Z1392" i="2"/>
  <c r="Z1386" i="2"/>
  <c r="Z1369" i="2"/>
  <c r="Z1334" i="2"/>
  <c r="Z1257" i="2"/>
  <c r="Z1251" i="2"/>
  <c r="Z1212" i="2"/>
  <c r="Z1117" i="2"/>
  <c r="Z1062" i="2"/>
  <c r="Z1027" i="2"/>
  <c r="Z982" i="2"/>
  <c r="Z945" i="2"/>
  <c r="Z940" i="2"/>
  <c r="Z898" i="2"/>
  <c r="Z623" i="2"/>
  <c r="Z602" i="2"/>
  <c r="Z538" i="2"/>
  <c r="Z510" i="2"/>
  <c r="Z496" i="2"/>
  <c r="Z315" i="2"/>
  <c r="Z288" i="2"/>
  <c r="Z190" i="2"/>
  <c r="Z36" i="2"/>
  <c r="Z30" i="2"/>
  <c r="Y2961" i="2"/>
  <c r="Y2956" i="2"/>
  <c r="Y2887" i="2"/>
  <c r="Y2881" i="2"/>
  <c r="Y2876" i="2"/>
  <c r="Y2856" i="2"/>
  <c r="Y2837" i="2"/>
  <c r="Y2724" i="2"/>
  <c r="Y2686" i="2"/>
  <c r="Y2652" i="2"/>
  <c r="Y2573" i="2"/>
  <c r="Y2567" i="2"/>
  <c r="Y2488" i="2"/>
  <c r="Y2385" i="2"/>
  <c r="Y2370" i="2"/>
  <c r="Y2321" i="2"/>
  <c r="Y2249" i="2"/>
  <c r="Y2104" i="2"/>
  <c r="Y2098" i="2"/>
  <c r="Y2049" i="2"/>
  <c r="Y2043" i="2"/>
  <c r="Y2016" i="2"/>
  <c r="Y1988" i="2"/>
  <c r="Y1982" i="2"/>
  <c r="Y1939" i="2"/>
  <c r="Y1912" i="2"/>
  <c r="Y1897" i="2"/>
  <c r="Y1866" i="2"/>
  <c r="Y1290" i="2"/>
  <c r="Z1290" i="2"/>
  <c r="Y594" i="2"/>
  <c r="Z594" i="2"/>
  <c r="Y1214" i="2"/>
  <c r="Z1214" i="2"/>
  <c r="Y1098" i="2"/>
  <c r="Z1098" i="2"/>
  <c r="Y858" i="2"/>
  <c r="Z858" i="2"/>
  <c r="Y802" i="2"/>
  <c r="Z802" i="2"/>
  <c r="Y1220" i="2"/>
  <c r="Z1220" i="2"/>
  <c r="Y1404" i="2"/>
  <c r="Z1404" i="2"/>
  <c r="Y1342" i="2"/>
  <c r="Z1342" i="2"/>
  <c r="Y1263" i="2"/>
  <c r="Z1263" i="2"/>
  <c r="Y1242" i="2"/>
  <c r="Z1242" i="2"/>
  <c r="Y1185" i="2"/>
  <c r="Z1185" i="2"/>
  <c r="Y1025" i="2"/>
  <c r="Z1025" i="2"/>
  <c r="Y1006" i="2"/>
  <c r="Z1006" i="2"/>
  <c r="Y912" i="2"/>
  <c r="Z912" i="2"/>
  <c r="Y809" i="2"/>
  <c r="Z809" i="2"/>
  <c r="Y693" i="2"/>
  <c r="Z693" i="2"/>
  <c r="Y470" i="2"/>
  <c r="Z470" i="2"/>
  <c r="Y433" i="2"/>
  <c r="Z433" i="2"/>
  <c r="Y309" i="2"/>
  <c r="Z309" i="2"/>
  <c r="Y85" i="2"/>
  <c r="Z85" i="2"/>
  <c r="Y4" i="2"/>
  <c r="Z4" i="2"/>
  <c r="Z2826" i="2"/>
  <c r="Y2826" i="2"/>
  <c r="Z2764" i="2"/>
  <c r="Y2764" i="2"/>
  <c r="Z2735" i="2"/>
  <c r="Y2735" i="2"/>
  <c r="Z2664" i="2"/>
  <c r="Y2664" i="2"/>
  <c r="Z2620" i="2"/>
  <c r="Y2620" i="2"/>
  <c r="Z2550" i="2"/>
  <c r="Y2550" i="2"/>
  <c r="Z2310" i="2"/>
  <c r="Y2310" i="2"/>
  <c r="Z1741" i="2"/>
  <c r="Z1737" i="2"/>
  <c r="Z1718" i="2"/>
  <c r="Z1714" i="2"/>
  <c r="Z1710" i="2"/>
  <c r="Z1706" i="2"/>
  <c r="Z1687" i="2"/>
  <c r="Z1675" i="2"/>
  <c r="Z1669" i="2"/>
  <c r="Z1609" i="2"/>
  <c r="Z1596" i="2"/>
  <c r="Z1552" i="2"/>
  <c r="Z1547" i="2"/>
  <c r="Z1267" i="2"/>
  <c r="Y1246" i="2"/>
  <c r="Z1246" i="2"/>
  <c r="Y1233" i="2"/>
  <c r="Z1233" i="2"/>
  <c r="Z1219" i="2"/>
  <c r="Z1115" i="2"/>
  <c r="Z1109" i="2"/>
  <c r="Y1012" i="2"/>
  <c r="Z1012" i="2"/>
  <c r="Y973" i="2"/>
  <c r="Z973" i="2"/>
  <c r="Y939" i="2"/>
  <c r="Z939" i="2"/>
  <c r="Z911" i="2"/>
  <c r="Z904" i="2"/>
  <c r="Y863" i="2"/>
  <c r="Z863" i="2"/>
  <c r="Y831" i="2"/>
  <c r="Z831" i="2"/>
  <c r="Y756" i="2"/>
  <c r="Z756" i="2"/>
  <c r="Y712" i="2"/>
  <c r="Z712" i="2"/>
  <c r="Y610" i="2"/>
  <c r="Z610" i="2"/>
  <c r="Y499" i="2"/>
  <c r="Z499" i="2"/>
  <c r="Z319" i="2"/>
  <c r="Y264" i="2"/>
  <c r="Z264" i="2"/>
  <c r="Z236" i="2"/>
  <c r="Y157" i="2"/>
  <c r="Z157" i="2"/>
  <c r="Y99" i="2"/>
  <c r="Z99" i="2"/>
  <c r="Z2928" i="2"/>
  <c r="Y2928" i="2"/>
  <c r="Z2839" i="2"/>
  <c r="Y2839" i="2"/>
  <c r="Z2317" i="2"/>
  <c r="Y2317" i="2"/>
  <c r="Z2258" i="2"/>
  <c r="Y2258" i="2"/>
  <c r="Z2898" i="2"/>
  <c r="Y2898" i="2"/>
  <c r="Y38" i="2"/>
  <c r="Z38" i="2"/>
  <c r="Z2160" i="2"/>
  <c r="Y2160" i="2"/>
  <c r="Z1750" i="2"/>
  <c r="Z1746" i="2"/>
  <c r="Z1664" i="2"/>
  <c r="Z1659" i="2"/>
  <c r="Z1654" i="2"/>
  <c r="Z1641" i="2"/>
  <c r="Z1630" i="2"/>
  <c r="Z1569" i="2"/>
  <c r="Z1442" i="2"/>
  <c r="Z1408" i="2"/>
  <c r="Z1390" i="2"/>
  <c r="Y1354" i="2"/>
  <c r="Z1354" i="2"/>
  <c r="Y1293" i="2"/>
  <c r="Z1293" i="2"/>
  <c r="Z1287" i="2"/>
  <c r="Y1250" i="2"/>
  <c r="Z1250" i="2"/>
  <c r="Y1240" i="2"/>
  <c r="Z1240" i="2"/>
  <c r="Y1205" i="2"/>
  <c r="Z1205" i="2"/>
  <c r="Y1183" i="2"/>
  <c r="Z1183" i="2"/>
  <c r="Z1176" i="2"/>
  <c r="Z1170" i="2"/>
  <c r="Z1149" i="2"/>
  <c r="Z1042" i="2"/>
  <c r="Y1023" i="2"/>
  <c r="Z1023" i="2"/>
  <c r="Z1016" i="2"/>
  <c r="Z1011" i="2"/>
  <c r="Y979" i="2"/>
  <c r="Z979" i="2"/>
  <c r="Y943" i="2"/>
  <c r="Z943" i="2"/>
  <c r="Z938" i="2"/>
  <c r="Z873" i="2"/>
  <c r="Z855" i="2"/>
  <c r="Z850" i="2"/>
  <c r="Z836" i="2"/>
  <c r="Y617" i="2"/>
  <c r="Z617" i="2"/>
  <c r="Y598" i="2"/>
  <c r="Z598" i="2"/>
  <c r="Y585" i="2"/>
  <c r="Z585" i="2"/>
  <c r="Z453" i="2"/>
  <c r="Z274" i="2"/>
  <c r="Y9" i="2"/>
  <c r="Z9" i="2"/>
  <c r="Z3001" i="2"/>
  <c r="Y3001" i="2"/>
  <c r="Z2935" i="2"/>
  <c r="Y2935" i="2"/>
  <c r="Z2770" i="2"/>
  <c r="Y2770" i="2"/>
  <c r="Z2696" i="2"/>
  <c r="Y2696" i="2"/>
  <c r="Z2330" i="2"/>
  <c r="Y2330" i="2"/>
  <c r="Y1383" i="2"/>
  <c r="Z1383" i="2"/>
  <c r="Y1253" i="2"/>
  <c r="Z1253" i="2"/>
  <c r="Y1132" i="2"/>
  <c r="Z1132" i="2"/>
  <c r="Y1087" i="2"/>
  <c r="Z1087" i="2"/>
  <c r="Y1387" i="2"/>
  <c r="Z1387" i="2"/>
  <c r="Y1258" i="2"/>
  <c r="Z1258" i="2"/>
  <c r="Y999" i="2"/>
  <c r="Z999" i="2"/>
  <c r="Y449" i="2"/>
  <c r="Z449" i="2"/>
  <c r="Y70" i="2"/>
  <c r="Z70" i="2"/>
  <c r="Z2728" i="2"/>
  <c r="Y2728" i="2"/>
  <c r="Z2545" i="2"/>
  <c r="Y2545" i="2"/>
  <c r="Y1480" i="2"/>
  <c r="Z1480" i="2"/>
  <c r="Z1740" i="2"/>
  <c r="Z1728" i="2"/>
  <c r="Z1721" i="2"/>
  <c r="Z1717" i="2"/>
  <c r="Z1713" i="2"/>
  <c r="Z1709" i="2"/>
  <c r="Z1691" i="2"/>
  <c r="Z1678" i="2"/>
  <c r="Z1674" i="2"/>
  <c r="Z1668" i="2"/>
  <c r="Z1608" i="2"/>
  <c r="Z1601" i="2"/>
  <c r="Z1581" i="2"/>
  <c r="Z1555" i="2"/>
  <c r="Z1541" i="2"/>
  <c r="Z1469" i="2"/>
  <c r="Z1463" i="2"/>
  <c r="Z1448" i="2"/>
  <c r="Z1427" i="2"/>
  <c r="Z1380" i="2"/>
  <c r="Z1326" i="2"/>
  <c r="Z1320" i="2"/>
  <c r="Z1299" i="2"/>
  <c r="Z1053" i="2"/>
  <c r="Y984" i="2"/>
  <c r="Z984" i="2"/>
  <c r="Y947" i="2"/>
  <c r="Z947" i="2"/>
  <c r="Z942" i="2"/>
  <c r="Y879" i="2"/>
  <c r="Z879" i="2"/>
  <c r="Y861" i="2"/>
  <c r="Z861" i="2"/>
  <c r="Z829" i="2"/>
  <c r="Y778" i="2"/>
  <c r="Z778" i="2"/>
  <c r="Z710" i="2"/>
  <c r="Z608" i="2"/>
  <c r="Z332" i="2"/>
  <c r="Z170" i="2"/>
  <c r="Y105" i="2"/>
  <c r="Z105" i="2"/>
  <c r="Z3007" i="2"/>
  <c r="Y3007" i="2"/>
  <c r="Z2711" i="2"/>
  <c r="Y2711" i="2"/>
  <c r="Z2190" i="2"/>
  <c r="Y2190" i="2"/>
  <c r="Y280" i="2"/>
  <c r="Z280" i="2"/>
  <c r="Z2632" i="2"/>
  <c r="Y2632" i="2"/>
  <c r="Y1406" i="2"/>
  <c r="Z1406" i="2"/>
  <c r="Y1209" i="2"/>
  <c r="Z1209" i="2"/>
  <c r="Y28" i="2"/>
  <c r="Z28" i="2"/>
  <c r="Y1460" i="2"/>
  <c r="Z1460" i="2"/>
  <c r="Y1484" i="2"/>
  <c r="Z1484" i="2"/>
  <c r="Y1346" i="2"/>
  <c r="Z1346" i="2"/>
  <c r="Y1189" i="2"/>
  <c r="Z1189" i="2"/>
  <c r="Y1034" i="2"/>
  <c r="Z1034" i="2"/>
  <c r="Y909" i="2"/>
  <c r="Z909" i="2"/>
  <c r="Y717" i="2"/>
  <c r="Z717" i="2"/>
  <c r="Y697" i="2"/>
  <c r="Z697" i="2"/>
  <c r="Y674" i="2"/>
  <c r="Z674" i="2"/>
  <c r="Y596" i="2"/>
  <c r="Z596" i="2"/>
  <c r="Y525" i="2"/>
  <c r="Z525" i="2"/>
  <c r="Y58" i="2"/>
  <c r="Z58" i="2"/>
  <c r="Z2941" i="2"/>
  <c r="Y2941" i="2"/>
  <c r="Z1739" i="2"/>
  <c r="Z1720" i="2"/>
  <c r="Z1716" i="2"/>
  <c r="Z1712" i="2"/>
  <c r="Z1708" i="2"/>
  <c r="Z1677" i="2"/>
  <c r="Z1667" i="2"/>
  <c r="Z1634" i="2"/>
  <c r="Z1593" i="2"/>
  <c r="Z1573" i="2"/>
  <c r="Z1554" i="2"/>
  <c r="Z1549" i="2"/>
  <c r="Y1540" i="2"/>
  <c r="Z1540" i="2"/>
  <c r="Z1511" i="2"/>
  <c r="Z1388" i="2"/>
  <c r="Z1304" i="2"/>
  <c r="Z1259" i="2"/>
  <c r="Z1248" i="2"/>
  <c r="Z1195" i="2"/>
  <c r="Y1112" i="2"/>
  <c r="Z1112" i="2"/>
  <c r="Z1107" i="2"/>
  <c r="Y1052" i="2"/>
  <c r="Z1052" i="2"/>
  <c r="Z1045" i="2"/>
  <c r="Y877" i="2"/>
  <c r="Z877" i="2"/>
  <c r="Z871" i="2"/>
  <c r="Z859" i="2"/>
  <c r="Y768" i="2"/>
  <c r="Z768" i="2"/>
  <c r="Z736" i="2"/>
  <c r="Y644" i="2"/>
  <c r="Z644" i="2"/>
  <c r="Z290" i="2"/>
  <c r="Z13" i="2"/>
  <c r="Z2211" i="2"/>
  <c r="Y2211" i="2"/>
  <c r="Y1757" i="2"/>
  <c r="Y2776" i="2"/>
  <c r="Y2760" i="2"/>
  <c r="Y2747" i="2"/>
  <c r="Y2718" i="2"/>
  <c r="Y2670" i="2"/>
  <c r="Y2608" i="2"/>
  <c r="Y2602" i="2"/>
  <c r="Y2581" i="2"/>
  <c r="Y2556" i="2"/>
  <c r="Y2534" i="2"/>
  <c r="Y2491" i="2"/>
  <c r="Y2486" i="2"/>
  <c r="Y2448" i="2"/>
  <c r="Y2436" i="2"/>
  <c r="Y2365" i="2"/>
  <c r="Y2277" i="2"/>
  <c r="Y2264" i="2"/>
  <c r="Y2139" i="2"/>
  <c r="Y2119" i="2"/>
  <c r="Y2094" i="2"/>
  <c r="Y2088" i="2"/>
  <c r="Y2022" i="2"/>
  <c r="Y1934" i="2"/>
  <c r="Y1910" i="2"/>
  <c r="Y1807" i="2"/>
  <c r="Y1832" i="2"/>
  <c r="Y1761" i="2"/>
  <c r="Y1817" i="2"/>
  <c r="Z387" i="2"/>
  <c r="Z375" i="2"/>
  <c r="Z360" i="2"/>
  <c r="Z323" i="2"/>
  <c r="Z307" i="2"/>
  <c r="Z295" i="2"/>
  <c r="Z278" i="2"/>
  <c r="Z262" i="2"/>
  <c r="Z161" i="2"/>
  <c r="Z148" i="2"/>
  <c r="Z134" i="2"/>
  <c r="Z103" i="2"/>
  <c r="Z49" i="2"/>
  <c r="Z26" i="2"/>
  <c r="Z12" i="2"/>
  <c r="Y3024" i="2"/>
  <c r="Y3010" i="2"/>
  <c r="Y2945" i="2"/>
  <c r="Y2918" i="2"/>
  <c r="Y2849" i="2"/>
  <c r="Y2774" i="2"/>
  <c r="Y2745" i="2"/>
  <c r="Y2663" i="2"/>
  <c r="Y2636" i="2"/>
  <c r="Y2624" i="2"/>
  <c r="Y2606" i="2"/>
  <c r="Y2554" i="2"/>
  <c r="Y2544" i="2"/>
  <c r="Y2434" i="2"/>
  <c r="Y2427" i="2"/>
  <c r="Y2275" i="2"/>
  <c r="Y2262" i="2"/>
  <c r="Y2164" i="2"/>
  <c r="Y2151" i="2"/>
  <c r="Y2117" i="2"/>
  <c r="Y2092" i="2"/>
  <c r="Y2020" i="2"/>
  <c r="Y1932" i="2"/>
  <c r="Y1901" i="2"/>
  <c r="Y1843" i="2"/>
  <c r="Y1805" i="2"/>
  <c r="Y1753" i="2"/>
  <c r="Z739" i="2"/>
  <c r="Z702" i="2"/>
  <c r="Z682" i="2"/>
  <c r="Z562" i="2"/>
  <c r="Z527" i="2"/>
  <c r="Z212" i="2"/>
  <c r="Z205" i="2"/>
  <c r="Z199" i="2"/>
  <c r="Z173" i="2"/>
  <c r="Z107" i="2"/>
  <c r="Z66" i="2"/>
  <c r="Z60" i="2"/>
  <c r="Z54" i="2"/>
  <c r="Z40" i="2"/>
  <c r="Z11" i="2"/>
  <c r="Y3023" i="2"/>
  <c r="Y2997" i="2"/>
  <c r="Y2990" i="2"/>
  <c r="Y2962" i="2"/>
  <c r="Y2937" i="2"/>
  <c r="Y2895" i="2"/>
  <c r="Y2853" i="2"/>
  <c r="Y2815" i="2"/>
  <c r="Y2773" i="2"/>
  <c r="Y2738" i="2"/>
  <c r="Y2720" i="2"/>
  <c r="Y1870" i="2"/>
  <c r="Y1864" i="2"/>
  <c r="Y1821" i="2"/>
  <c r="Z385" i="2"/>
  <c r="Z379" i="2"/>
  <c r="Z321" i="2"/>
  <c r="Z305" i="2"/>
  <c r="Z276" i="2"/>
  <c r="Z232" i="2"/>
  <c r="Z132" i="2"/>
  <c r="Z113" i="2"/>
  <c r="Z29" i="2"/>
  <c r="Z5" i="2"/>
  <c r="Y3008" i="2"/>
  <c r="Y2968" i="2"/>
  <c r="Y2872" i="2"/>
  <c r="Y2865" i="2"/>
  <c r="Y2784" i="2"/>
  <c r="Y2777" i="2"/>
  <c r="Y2766" i="2"/>
  <c r="Y2761" i="2"/>
  <c r="Y2748" i="2"/>
  <c r="Y2743" i="2"/>
  <c r="Y2713" i="2"/>
  <c r="Y2634" i="2"/>
  <c r="Y2628" i="2"/>
  <c r="Y2622" i="2"/>
  <c r="Y2552" i="2"/>
  <c r="Y2542" i="2"/>
  <c r="Y2529" i="2"/>
  <c r="Y2492" i="2"/>
  <c r="Y2273" i="2"/>
  <c r="Y2260" i="2"/>
  <c r="Y2242" i="2"/>
  <c r="Y2235" i="2"/>
  <c r="Y2220" i="2"/>
  <c r="Y2192" i="2"/>
  <c r="Y2162" i="2"/>
  <c r="Y2029" i="2"/>
  <c r="Y2018" i="2"/>
  <c r="Y1996" i="2"/>
  <c r="Y1930" i="2"/>
  <c r="Y1905" i="2"/>
  <c r="Y1899" i="2"/>
  <c r="Y1814" i="2"/>
  <c r="Z2746" i="2"/>
  <c r="Y2746" i="2"/>
  <c r="Z2422" i="2"/>
  <c r="Y2422" i="2"/>
  <c r="Z2247" i="2"/>
  <c r="Y2247" i="2"/>
  <c r="Z2212" i="2"/>
  <c r="Y2212" i="2"/>
  <c r="Z2161" i="2"/>
  <c r="Y2161" i="2"/>
  <c r="Z1546" i="2"/>
  <c r="Z1542" i="2"/>
  <c r="Z1447" i="2"/>
  <c r="Z1428" i="2"/>
  <c r="Z1409" i="2"/>
  <c r="Z1405" i="2"/>
  <c r="Z1393" i="2"/>
  <c r="Z1389" i="2"/>
  <c r="Z1321" i="2"/>
  <c r="Z1292" i="2"/>
  <c r="Z1288" i="2"/>
  <c r="Z1266" i="2"/>
  <c r="Z1133" i="2"/>
  <c r="Z1110" i="2"/>
  <c r="Z1099" i="2"/>
  <c r="Z1095" i="2"/>
  <c r="Z1090" i="2"/>
  <c r="Z1054" i="2"/>
  <c r="Z1050" i="2"/>
  <c r="Z1044" i="2"/>
  <c r="Z1028" i="2"/>
  <c r="Z1024" i="2"/>
  <c r="Z1018" i="2"/>
  <c r="Z1014" i="2"/>
  <c r="Z1010" i="2"/>
  <c r="Y910" i="2"/>
  <c r="Z910" i="2"/>
  <c r="Y849" i="2"/>
  <c r="Z849" i="2"/>
  <c r="Y793" i="2"/>
  <c r="Z793" i="2"/>
  <c r="Y642" i="2"/>
  <c r="Z642" i="2"/>
  <c r="Y439" i="2"/>
  <c r="Z439" i="2"/>
  <c r="Z2942" i="2"/>
  <c r="Y2942" i="2"/>
  <c r="Z2888" i="2"/>
  <c r="Y2888" i="2"/>
  <c r="Z2794" i="2"/>
  <c r="Y2794" i="2"/>
  <c r="Z2681" i="2"/>
  <c r="Y2681" i="2"/>
  <c r="Z2579" i="2"/>
  <c r="Y2579" i="2"/>
  <c r="Z2446" i="2"/>
  <c r="Y2446" i="2"/>
  <c r="Z2252" i="2"/>
  <c r="Y2252" i="2"/>
  <c r="Z1784" i="2"/>
  <c r="Y1784" i="2"/>
  <c r="Y801" i="2"/>
  <c r="Z801" i="2"/>
  <c r="Y539" i="2"/>
  <c r="Z539" i="2"/>
  <c r="Y450" i="2"/>
  <c r="Z450" i="2"/>
  <c r="Y333" i="2"/>
  <c r="Z333" i="2"/>
  <c r="Y191" i="2"/>
  <c r="Z191" i="2"/>
  <c r="Y140" i="2"/>
  <c r="Z140" i="2"/>
  <c r="Z1665" i="2"/>
  <c r="Y183" i="2"/>
  <c r="Z183" i="2"/>
  <c r="Y158" i="2"/>
  <c r="Z158" i="2"/>
  <c r="Y899" i="2"/>
  <c r="Z899" i="2"/>
  <c r="Y698" i="2"/>
  <c r="Z698" i="2"/>
  <c r="Y337" i="2"/>
  <c r="Z337" i="2"/>
  <c r="Y144" i="2"/>
  <c r="Z144" i="2"/>
  <c r="Y118" i="2"/>
  <c r="Z118" i="2"/>
  <c r="Y86" i="2"/>
  <c r="Z86" i="2"/>
  <c r="Z3002" i="2"/>
  <c r="Y3002" i="2"/>
  <c r="Z2901" i="2"/>
  <c r="Y2901" i="2"/>
  <c r="Z2769" i="2"/>
  <c r="Y2769" i="2"/>
  <c r="Z2763" i="2"/>
  <c r="Y2763" i="2"/>
  <c r="Z2643" i="2"/>
  <c r="Y2643" i="2"/>
  <c r="Z2271" i="2"/>
  <c r="Y2271" i="2"/>
  <c r="Z2185" i="2"/>
  <c r="Y2185" i="2"/>
  <c r="Z1929" i="2"/>
  <c r="Y1929" i="2"/>
  <c r="Z1743" i="2"/>
  <c r="Z1703" i="2"/>
  <c r="Z1698" i="2"/>
  <c r="Z1694" i="2"/>
  <c r="Z1690" i="2"/>
  <c r="Z1633" i="2"/>
  <c r="Z1621" i="2"/>
  <c r="Z1614" i="2"/>
  <c r="Z1604" i="2"/>
  <c r="Z1600" i="2"/>
  <c r="Z1595" i="2"/>
  <c r="Z1589" i="2"/>
  <c r="Z1584" i="2"/>
  <c r="Z1580" i="2"/>
  <c r="Z1576" i="2"/>
  <c r="Z1572" i="2"/>
  <c r="Z1568" i="2"/>
  <c r="Z1564" i="2"/>
  <c r="Z1560" i="2"/>
  <c r="Z1509" i="2"/>
  <c r="Z1505" i="2"/>
  <c r="Z1487" i="2"/>
  <c r="Z1483" i="2"/>
  <c r="Z1479" i="2"/>
  <c r="Z1468" i="2"/>
  <c r="Z1459" i="2"/>
  <c r="Z1441" i="2"/>
  <c r="Z1376" i="2"/>
  <c r="Z1372" i="2"/>
  <c r="Z1368" i="2"/>
  <c r="Z1345" i="2"/>
  <c r="Z1341" i="2"/>
  <c r="Z1337" i="2"/>
  <c r="Z1333" i="2"/>
  <c r="Z1329" i="2"/>
  <c r="Z1325" i="2"/>
  <c r="Z1307" i="2"/>
  <c r="Z1303" i="2"/>
  <c r="Z1283" i="2"/>
  <c r="Z1270" i="2"/>
  <c r="Z1226" i="2"/>
  <c r="Z1222" i="2"/>
  <c r="Z1217" i="2"/>
  <c r="Z1208" i="2"/>
  <c r="Z1204" i="2"/>
  <c r="Z1188" i="2"/>
  <c r="Z1179" i="2"/>
  <c r="Z1169" i="2"/>
  <c r="Z1157" i="2"/>
  <c r="Z1148" i="2"/>
  <c r="Z1144" i="2"/>
  <c r="Z1114" i="2"/>
  <c r="Z1084" i="2"/>
  <c r="Z1077" i="2"/>
  <c r="Z1073" i="2"/>
  <c r="Z1066" i="2"/>
  <c r="Z986" i="2"/>
  <c r="Z976" i="2"/>
  <c r="Z914" i="2"/>
  <c r="Y903" i="2"/>
  <c r="Z903" i="2"/>
  <c r="Y886" i="2"/>
  <c r="Z886" i="2"/>
  <c r="Y880" i="2"/>
  <c r="Z880" i="2"/>
  <c r="Y864" i="2"/>
  <c r="Z864" i="2"/>
  <c r="Z841" i="2"/>
  <c r="Y683" i="2"/>
  <c r="Z683" i="2"/>
  <c r="Y535" i="2"/>
  <c r="Z535" i="2"/>
  <c r="Z419" i="2"/>
  <c r="Z389" i="2"/>
  <c r="Z373" i="2"/>
  <c r="Z300" i="2"/>
  <c r="Y187" i="2"/>
  <c r="Z187" i="2"/>
  <c r="Y162" i="2"/>
  <c r="Z162" i="2"/>
  <c r="Y110" i="2"/>
  <c r="Z110" i="2"/>
  <c r="Z64" i="2"/>
  <c r="Z7" i="2"/>
  <c r="Y3006" i="2"/>
  <c r="Z2296" i="2"/>
  <c r="Y2296" i="2"/>
  <c r="Z1806" i="2"/>
  <c r="Y1806" i="2"/>
  <c r="Y857" i="2"/>
  <c r="Z857" i="2"/>
  <c r="Y828" i="2"/>
  <c r="Z828" i="2"/>
  <c r="Y694" i="2"/>
  <c r="Z694" i="2"/>
  <c r="Y410" i="2"/>
  <c r="Z410" i="2"/>
  <c r="Y114" i="2"/>
  <c r="Z114" i="2"/>
  <c r="Y813" i="2"/>
  <c r="Z813" i="2"/>
  <c r="Y434" i="2"/>
  <c r="Z434" i="2"/>
  <c r="Y369" i="2"/>
  <c r="Z369" i="2"/>
  <c r="Y876" i="2"/>
  <c r="Z876" i="2"/>
  <c r="Y635" i="2"/>
  <c r="Z635" i="2"/>
  <c r="Y543" i="2"/>
  <c r="Z543" i="2"/>
  <c r="Y454" i="2"/>
  <c r="Z454" i="2"/>
  <c r="Y853" i="2"/>
  <c r="Z853" i="2"/>
  <c r="Y816" i="2"/>
  <c r="Z816" i="2"/>
  <c r="Y797" i="2"/>
  <c r="Z797" i="2"/>
  <c r="Y769" i="2"/>
  <c r="Z769" i="2"/>
  <c r="Y647" i="2"/>
  <c r="Z647" i="2"/>
  <c r="Y618" i="2"/>
  <c r="Z618" i="2"/>
  <c r="Y424" i="2"/>
  <c r="Z424" i="2"/>
  <c r="Y404" i="2"/>
  <c r="Z404" i="2"/>
  <c r="Y219" i="2"/>
  <c r="Z219" i="2"/>
  <c r="Y206" i="2"/>
  <c r="Z206" i="2"/>
  <c r="Y122" i="2"/>
  <c r="Z122" i="2"/>
  <c r="Z2921" i="2"/>
  <c r="Y2921" i="2"/>
  <c r="Z2836" i="2"/>
  <c r="Y2836" i="2"/>
  <c r="Z2463" i="2"/>
  <c r="Y2463" i="2"/>
  <c r="Z2086" i="2"/>
  <c r="Y2086" i="2"/>
  <c r="Z1993" i="2"/>
  <c r="Y1993" i="2"/>
  <c r="Z1823" i="2"/>
  <c r="Y1823" i="2"/>
  <c r="Y614" i="2"/>
  <c r="Z614" i="2"/>
  <c r="Z1702" i="2"/>
  <c r="Z1697" i="2"/>
  <c r="Z1693" i="2"/>
  <c r="Z1652" i="2"/>
  <c r="Z1636" i="2"/>
  <c r="Z1632" i="2"/>
  <c r="Z1613" i="2"/>
  <c r="Z1603" i="2"/>
  <c r="Z1583" i="2"/>
  <c r="Z1579" i="2"/>
  <c r="Z1575" i="2"/>
  <c r="Z1571" i="2"/>
  <c r="Z1567" i="2"/>
  <c r="Z1563" i="2"/>
  <c r="Z1559" i="2"/>
  <c r="Z1508" i="2"/>
  <c r="Z1504" i="2"/>
  <c r="Z1491" i="2"/>
  <c r="Z1486" i="2"/>
  <c r="Z1482" i="2"/>
  <c r="Z1478" i="2"/>
  <c r="Z1467" i="2"/>
  <c r="Z1458" i="2"/>
  <c r="Z1375" i="2"/>
  <c r="Z1371" i="2"/>
  <c r="Z1367" i="2"/>
  <c r="Z1348" i="2"/>
  <c r="Z1344" i="2"/>
  <c r="Z1340" i="2"/>
  <c r="Z1336" i="2"/>
  <c r="Z1332" i="2"/>
  <c r="Z1328" i="2"/>
  <c r="Z1324" i="2"/>
  <c r="Z1306" i="2"/>
  <c r="Z1295" i="2"/>
  <c r="Z1282" i="2"/>
  <c r="Z1269" i="2"/>
  <c r="Z1225" i="2"/>
  <c r="Z1216" i="2"/>
  <c r="Z1207" i="2"/>
  <c r="Z1203" i="2"/>
  <c r="Z1197" i="2"/>
  <c r="Z1187" i="2"/>
  <c r="Z1178" i="2"/>
  <c r="Z1168" i="2"/>
  <c r="Z1156" i="2"/>
  <c r="Z1151" i="2"/>
  <c r="Z1147" i="2"/>
  <c r="Z1143" i="2"/>
  <c r="Z1076" i="2"/>
  <c r="Z1031" i="2"/>
  <c r="Z1008" i="2"/>
  <c r="Z975" i="2"/>
  <c r="Z884" i="2"/>
  <c r="Y868" i="2"/>
  <c r="Z868" i="2"/>
  <c r="Y834" i="2"/>
  <c r="Z834" i="2"/>
  <c r="Z822" i="2"/>
  <c r="Z815" i="2"/>
  <c r="Z775" i="2"/>
  <c r="Y688" i="2"/>
  <c r="Z688" i="2"/>
  <c r="Z507" i="2"/>
  <c r="Z377" i="2"/>
  <c r="Y357" i="2"/>
  <c r="Z357" i="2"/>
  <c r="Y168" i="2"/>
  <c r="Z168" i="2"/>
  <c r="Y154" i="2"/>
  <c r="Z154" i="2"/>
  <c r="Z68" i="2"/>
  <c r="Y52" i="2"/>
  <c r="Z52" i="2"/>
  <c r="Z15" i="2"/>
  <c r="Z3017" i="2"/>
  <c r="Y3017" i="2"/>
  <c r="Y2992" i="2"/>
  <c r="Z2946" i="2"/>
  <c r="Y2946" i="2"/>
  <c r="Z2892" i="2"/>
  <c r="Y2892" i="2"/>
  <c r="Y2864" i="2"/>
  <c r="Z2840" i="2"/>
  <c r="Y2840" i="2"/>
  <c r="Z2827" i="2"/>
  <c r="Y2827" i="2"/>
  <c r="Z2604" i="2"/>
  <c r="Y2604" i="2"/>
  <c r="Y2348" i="2"/>
  <c r="Y2102" i="2"/>
  <c r="Z2050" i="2"/>
  <c r="Y2050" i="2"/>
  <c r="Z1830" i="2"/>
  <c r="Y1830" i="2"/>
  <c r="Z2998" i="2"/>
  <c r="Y2998" i="2"/>
  <c r="Z2603" i="2"/>
  <c r="Y2603" i="2"/>
  <c r="Z2326" i="2"/>
  <c r="Y2326" i="2"/>
  <c r="Z2149" i="2"/>
  <c r="Y2149" i="2"/>
  <c r="Z1701" i="2"/>
  <c r="Z1696" i="2"/>
  <c r="Z1692" i="2"/>
  <c r="Z1651" i="2"/>
  <c r="Z1635" i="2"/>
  <c r="Z1631" i="2"/>
  <c r="Z1612" i="2"/>
  <c r="Z1602" i="2"/>
  <c r="Z1597" i="2"/>
  <c r="Z1586" i="2"/>
  <c r="Z1582" i="2"/>
  <c r="Z1578" i="2"/>
  <c r="Z1574" i="2"/>
  <c r="Z1570" i="2"/>
  <c r="Z1566" i="2"/>
  <c r="Z1562" i="2"/>
  <c r="Z1533" i="2"/>
  <c r="Z1507" i="2"/>
  <c r="Z1503" i="2"/>
  <c r="Z1485" i="2"/>
  <c r="Z1481" i="2"/>
  <c r="Z1477" i="2"/>
  <c r="Z1470" i="2"/>
  <c r="Z1466" i="2"/>
  <c r="Z1461" i="2"/>
  <c r="Z1443" i="2"/>
  <c r="Z1378" i="2"/>
  <c r="Z1374" i="2"/>
  <c r="Z1370" i="2"/>
  <c r="Z1347" i="2"/>
  <c r="Z1343" i="2"/>
  <c r="Z1339" i="2"/>
  <c r="Z1335" i="2"/>
  <c r="Z1331" i="2"/>
  <c r="Z1327" i="2"/>
  <c r="Z1305" i="2"/>
  <c r="Z1281" i="2"/>
  <c r="Z1254" i="2"/>
  <c r="Z1228" i="2"/>
  <c r="Z1224" i="2"/>
  <c r="Z1210" i="2"/>
  <c r="Z1206" i="2"/>
  <c r="Z1196" i="2"/>
  <c r="Z1190" i="2"/>
  <c r="Z1186" i="2"/>
  <c r="Z1181" i="2"/>
  <c r="Z1177" i="2"/>
  <c r="Z1159" i="2"/>
  <c r="Z1155" i="2"/>
  <c r="Z1150" i="2"/>
  <c r="Z1146" i="2"/>
  <c r="Z1135" i="2"/>
  <c r="Z1122" i="2"/>
  <c r="Z1101" i="2"/>
  <c r="Z1075" i="2"/>
  <c r="Z1056" i="2"/>
  <c r="Z1035" i="2"/>
  <c r="Z974" i="2"/>
  <c r="Z916" i="2"/>
  <c r="Y895" i="2"/>
  <c r="Z895" i="2"/>
  <c r="Y872" i="2"/>
  <c r="Z872" i="2"/>
  <c r="Z832" i="2"/>
  <c r="Z827" i="2"/>
  <c r="Y737" i="2"/>
  <c r="Z737" i="2"/>
  <c r="Z560" i="2"/>
  <c r="Y493" i="2"/>
  <c r="Z493" i="2"/>
  <c r="Y428" i="2"/>
  <c r="Z428" i="2"/>
  <c r="Z381" i="2"/>
  <c r="Z210" i="2"/>
  <c r="Z178" i="2"/>
  <c r="Y126" i="2"/>
  <c r="Z126" i="2"/>
  <c r="Z101" i="2"/>
  <c r="Y81" i="2"/>
  <c r="Z81" i="2"/>
  <c r="Z56" i="2"/>
  <c r="Z32" i="2"/>
  <c r="Y3022" i="2"/>
  <c r="Z2938" i="2"/>
  <c r="Y2938" i="2"/>
  <c r="Y2932" i="2"/>
  <c r="Y2879" i="2"/>
  <c r="Y2626" i="2"/>
  <c r="Z2621" i="2"/>
  <c r="Y2621" i="2"/>
  <c r="Z2563" i="2"/>
  <c r="Y2563" i="2"/>
  <c r="Z2551" i="2"/>
  <c r="Y2551" i="2"/>
  <c r="Z2528" i="2"/>
  <c r="Y2528" i="2"/>
  <c r="Z905" i="2"/>
  <c r="Z901" i="2"/>
  <c r="Z897" i="2"/>
  <c r="Z882" i="2"/>
  <c r="Z878" i="2"/>
  <c r="Z874" i="2"/>
  <c r="Z870" i="2"/>
  <c r="Z866" i="2"/>
  <c r="Z862" i="2"/>
  <c r="Z839" i="2"/>
  <c r="Z826" i="2"/>
  <c r="Z808" i="2"/>
  <c r="Z755" i="2"/>
  <c r="Z748" i="2"/>
  <c r="Z731" i="2"/>
  <c r="Z726" i="2"/>
  <c r="Z713" i="2"/>
  <c r="Z709" i="2"/>
  <c r="Z705" i="2"/>
  <c r="Z675" i="2"/>
  <c r="Z671" i="2"/>
  <c r="Z645" i="2"/>
  <c r="Z633" i="2"/>
  <c r="Z607" i="2"/>
  <c r="Z603" i="2"/>
  <c r="Z599" i="2"/>
  <c r="Z595" i="2"/>
  <c r="Z591" i="2"/>
  <c r="Z575" i="2"/>
  <c r="Z563" i="2"/>
  <c r="Z528" i="2"/>
  <c r="Z506" i="2"/>
  <c r="Z500" i="2"/>
  <c r="Z408" i="2"/>
  <c r="Z388" i="2"/>
  <c r="Z384" i="2"/>
  <c r="Z380" i="2"/>
  <c r="Z376" i="2"/>
  <c r="Z320" i="2"/>
  <c r="Z316" i="2"/>
  <c r="Z312" i="2"/>
  <c r="Z308" i="2"/>
  <c r="Z304" i="2"/>
  <c r="Z299" i="2"/>
  <c r="Z289" i="2"/>
  <c r="Z285" i="2"/>
  <c r="Z281" i="2"/>
  <c r="Z277" i="2"/>
  <c r="Z273" i="2"/>
  <c r="Z269" i="2"/>
  <c r="Z265" i="2"/>
  <c r="Z261" i="2"/>
  <c r="Z256" i="2"/>
  <c r="Z213" i="2"/>
  <c r="Z200" i="2"/>
  <c r="Z194" i="2"/>
  <c r="Z177" i="2"/>
  <c r="Z138" i="2"/>
  <c r="Z133" i="2"/>
  <c r="Z108" i="2"/>
  <c r="Z104" i="2"/>
  <c r="Z100" i="2"/>
  <c r="Z71" i="2"/>
  <c r="Z67" i="2"/>
  <c r="Z63" i="2"/>
  <c r="Z59" i="2"/>
  <c r="Z55" i="2"/>
  <c r="Z50" i="2"/>
  <c r="Z39" i="2"/>
  <c r="Z35" i="2"/>
  <c r="Z31" i="2"/>
  <c r="Z27" i="2"/>
  <c r="Z14" i="2"/>
  <c r="Z10" i="2"/>
  <c r="Z6" i="2"/>
  <c r="Z2" i="2"/>
  <c r="AA1854" i="2" s="1"/>
  <c r="Y3025" i="2"/>
  <c r="Y3015" i="2"/>
  <c r="Y3009" i="2"/>
  <c r="Y3005" i="2"/>
  <c r="Y2991" i="2"/>
  <c r="Y2978" i="2"/>
  <c r="Y2965" i="2"/>
  <c r="Y2960" i="2"/>
  <c r="Y2931" i="2"/>
  <c r="Y2919" i="2"/>
  <c r="Y2899" i="2"/>
  <c r="Y2882" i="2"/>
  <c r="Y2878" i="2"/>
  <c r="Y2874" i="2"/>
  <c r="Y2863" i="2"/>
  <c r="Z2857" i="2"/>
  <c r="Y2857" i="2"/>
  <c r="Z2834" i="2"/>
  <c r="Y2834" i="2"/>
  <c r="Z2767" i="2"/>
  <c r="Y2767" i="2"/>
  <c r="Y2723" i="2"/>
  <c r="Z2685" i="2"/>
  <c r="Y2685" i="2"/>
  <c r="Z2649" i="2"/>
  <c r="Y2649" i="2"/>
  <c r="Y2630" i="2"/>
  <c r="Z2625" i="2"/>
  <c r="Y2625" i="2"/>
  <c r="Z2555" i="2"/>
  <c r="Y2555" i="2"/>
  <c r="Z2390" i="2"/>
  <c r="Y2390" i="2"/>
  <c r="Y2358" i="2"/>
  <c r="Y2312" i="2"/>
  <c r="Z2257" i="2"/>
  <c r="Y2257" i="2"/>
  <c r="Z2239" i="2"/>
  <c r="Y2239" i="2"/>
  <c r="Y2090" i="2"/>
  <c r="Z1997" i="2"/>
  <c r="Y1997" i="2"/>
  <c r="Y1980" i="2"/>
  <c r="Y1966" i="2"/>
  <c r="Y1959" i="2"/>
  <c r="Y1755" i="2"/>
  <c r="Z767" i="2"/>
  <c r="Z760" i="2"/>
  <c r="Z700" i="2"/>
  <c r="Z696" i="2"/>
  <c r="Z681" i="2"/>
  <c r="Z649" i="2"/>
  <c r="Z626" i="2"/>
  <c r="Z616" i="2"/>
  <c r="Z579" i="2"/>
  <c r="Z551" i="2"/>
  <c r="Z545" i="2"/>
  <c r="Z541" i="2"/>
  <c r="Z537" i="2"/>
  <c r="Z533" i="2"/>
  <c r="Z523" i="2"/>
  <c r="Z495" i="2"/>
  <c r="Z462" i="2"/>
  <c r="Z456" i="2"/>
  <c r="Z452" i="2"/>
  <c r="Z448" i="2"/>
  <c r="Z441" i="2"/>
  <c r="Z426" i="2"/>
  <c r="Z417" i="2"/>
  <c r="Z412" i="2"/>
  <c r="Z371" i="2"/>
  <c r="Z359" i="2"/>
  <c r="Z339" i="2"/>
  <c r="Z335" i="2"/>
  <c r="Z331" i="2"/>
  <c r="Z208" i="2"/>
  <c r="Z204" i="2"/>
  <c r="Z189" i="2"/>
  <c r="Z185" i="2"/>
  <c r="Z165" i="2"/>
  <c r="Z160" i="2"/>
  <c r="Z156" i="2"/>
  <c r="Z152" i="2"/>
  <c r="Z147" i="2"/>
  <c r="Z142" i="2"/>
  <c r="Z128" i="2"/>
  <c r="Z124" i="2"/>
  <c r="Z120" i="2"/>
  <c r="Z116" i="2"/>
  <c r="Z112" i="2"/>
  <c r="Z88" i="2"/>
  <c r="Z84" i="2"/>
  <c r="Y3031" i="2"/>
  <c r="Y3020" i="2"/>
  <c r="Y3000" i="2"/>
  <c r="Y2996" i="2"/>
  <c r="Y2948" i="2"/>
  <c r="Y2944" i="2"/>
  <c r="Y2940" i="2"/>
  <c r="Y2912" i="2"/>
  <c r="Y2894" i="2"/>
  <c r="Y2890" i="2"/>
  <c r="Y2886" i="2"/>
  <c r="Z2844" i="2"/>
  <c r="Y2844" i="2"/>
  <c r="Y2812" i="2"/>
  <c r="Y2744" i="2"/>
  <c r="Y2739" i="2"/>
  <c r="Y2727" i="2"/>
  <c r="Z2712" i="2"/>
  <c r="Y2712" i="2"/>
  <c r="Z2671" i="2"/>
  <c r="Y2671" i="2"/>
  <c r="Y2666" i="2"/>
  <c r="Y2661" i="2"/>
  <c r="Y2612" i="2"/>
  <c r="Z2607" i="2"/>
  <c r="Y2607" i="2"/>
  <c r="Y2587" i="2"/>
  <c r="Y2571" i="2"/>
  <c r="Y2532" i="2"/>
  <c r="Y2471" i="2"/>
  <c r="Y2363" i="2"/>
  <c r="Z2318" i="2"/>
  <c r="Y2318" i="2"/>
  <c r="Z2286" i="2"/>
  <c r="Y2286" i="2"/>
  <c r="Y2279" i="2"/>
  <c r="Z2216" i="2"/>
  <c r="Y2216" i="2"/>
  <c r="Z2189" i="2"/>
  <c r="Y2189" i="2"/>
  <c r="Z2056" i="2"/>
  <c r="Y2056" i="2"/>
  <c r="Z2037" i="2"/>
  <c r="Y2037" i="2"/>
  <c r="Z1933" i="2"/>
  <c r="Y1933" i="2"/>
  <c r="Y1903" i="2"/>
  <c r="Z1846" i="2"/>
  <c r="Y1846" i="2"/>
  <c r="Z2850" i="2"/>
  <c r="Y2850" i="2"/>
  <c r="Z2771" i="2"/>
  <c r="Y2771" i="2"/>
  <c r="Z2697" i="2"/>
  <c r="Y2697" i="2"/>
  <c r="Z2653" i="2"/>
  <c r="Y2653" i="2"/>
  <c r="Z2629" i="2"/>
  <c r="Y2629" i="2"/>
  <c r="Z2559" i="2"/>
  <c r="Y2559" i="2"/>
  <c r="Z2537" i="2"/>
  <c r="Y2537" i="2"/>
  <c r="Z2261" i="2"/>
  <c r="Y2261" i="2"/>
  <c r="Z2011" i="2"/>
  <c r="Y2011" i="2"/>
  <c r="Z913" i="2"/>
  <c r="Z885" i="2"/>
  <c r="Z856" i="2"/>
  <c r="Z852" i="2"/>
  <c r="Z848" i="2"/>
  <c r="Z842" i="2"/>
  <c r="Z837" i="2"/>
  <c r="Z833" i="2"/>
  <c r="Z800" i="2"/>
  <c r="Z796" i="2"/>
  <c r="Z792" i="2"/>
  <c r="Z699" i="2"/>
  <c r="Z695" i="2"/>
  <c r="Z684" i="2"/>
  <c r="Z648" i="2"/>
  <c r="Z625" i="2"/>
  <c r="Z619" i="2"/>
  <c r="Z615" i="2"/>
  <c r="Z578" i="2"/>
  <c r="Z556" i="2"/>
  <c r="Z544" i="2"/>
  <c r="Z540" i="2"/>
  <c r="Z536" i="2"/>
  <c r="Z522" i="2"/>
  <c r="Z494" i="2"/>
  <c r="Z489" i="2"/>
  <c r="Z455" i="2"/>
  <c r="Z451" i="2"/>
  <c r="Z440" i="2"/>
  <c r="Z435" i="2"/>
  <c r="Z425" i="2"/>
  <c r="Z416" i="2"/>
  <c r="Z411" i="2"/>
  <c r="Z370" i="2"/>
  <c r="Z358" i="2"/>
  <c r="Z344" i="2"/>
  <c r="Z338" i="2"/>
  <c r="Z334" i="2"/>
  <c r="Z292" i="2"/>
  <c r="Z259" i="2"/>
  <c r="Z241" i="2"/>
  <c r="Z235" i="2"/>
  <c r="Z207" i="2"/>
  <c r="Z203" i="2"/>
  <c r="Z192" i="2"/>
  <c r="Z188" i="2"/>
  <c r="Z184" i="2"/>
  <c r="Z159" i="2"/>
  <c r="Z155" i="2"/>
  <c r="Z141" i="2"/>
  <c r="Z127" i="2"/>
  <c r="Z123" i="2"/>
  <c r="Z119" i="2"/>
  <c r="Z115" i="2"/>
  <c r="Z111" i="2"/>
  <c r="Z87" i="2"/>
  <c r="Y2999" i="2"/>
  <c r="Y2953" i="2"/>
  <c r="Y2947" i="2"/>
  <c r="Y2943" i="2"/>
  <c r="Y2939" i="2"/>
  <c r="Y2922" i="2"/>
  <c r="Y2893" i="2"/>
  <c r="Y2889" i="2"/>
  <c r="Y2885" i="2"/>
  <c r="Z2811" i="2"/>
  <c r="Y2811" i="2"/>
  <c r="Y2765" i="2"/>
  <c r="Y2716" i="2"/>
  <c r="Y2703" i="2"/>
  <c r="Z2660" i="2"/>
  <c r="Y2660" i="2"/>
  <c r="Z2611" i="2"/>
  <c r="Y2611" i="2"/>
  <c r="Y2600" i="2"/>
  <c r="Y2575" i="2"/>
  <c r="Z2543" i="2"/>
  <c r="Y2543" i="2"/>
  <c r="Z2489" i="2"/>
  <c r="Y2489" i="2"/>
  <c r="Y2459" i="2"/>
  <c r="Y2442" i="2"/>
  <c r="Z2418" i="2"/>
  <c r="Y2418" i="2"/>
  <c r="Y2367" i="2"/>
  <c r="Z2208" i="2"/>
  <c r="Y2208" i="2"/>
  <c r="Y2169" i="2"/>
  <c r="Y2123" i="2"/>
  <c r="Z2041" i="2"/>
  <c r="Y2041" i="2"/>
  <c r="Z2017" i="2"/>
  <c r="Y2017" i="2"/>
  <c r="Y1937" i="2"/>
  <c r="Y1907" i="2"/>
  <c r="Y1819" i="2"/>
  <c r="Y1764" i="2"/>
  <c r="Z733" i="2"/>
  <c r="Z729" i="2"/>
  <c r="Z716" i="2"/>
  <c r="Z711" i="2"/>
  <c r="Z707" i="2"/>
  <c r="Z703" i="2"/>
  <c r="Z673" i="2"/>
  <c r="Z609" i="2"/>
  <c r="Z605" i="2"/>
  <c r="Z601" i="2"/>
  <c r="Z597" i="2"/>
  <c r="Z593" i="2"/>
  <c r="Z589" i="2"/>
  <c r="Z572" i="2"/>
  <c r="Z565" i="2"/>
  <c r="Z561" i="2"/>
  <c r="Z549" i="2"/>
  <c r="Z526" i="2"/>
  <c r="Z515" i="2"/>
  <c r="Z498" i="2"/>
  <c r="Z466" i="2"/>
  <c r="Z420" i="2"/>
  <c r="Z390" i="2"/>
  <c r="Z386" i="2"/>
  <c r="Z382" i="2"/>
  <c r="Z378" i="2"/>
  <c r="Z374" i="2"/>
  <c r="Z322" i="2"/>
  <c r="Z318" i="2"/>
  <c r="Z314" i="2"/>
  <c r="Z310" i="2"/>
  <c r="Z306" i="2"/>
  <c r="Z297" i="2"/>
  <c r="Z287" i="2"/>
  <c r="Z283" i="2"/>
  <c r="Z279" i="2"/>
  <c r="Z275" i="2"/>
  <c r="Z271" i="2"/>
  <c r="Z267" i="2"/>
  <c r="Z263" i="2"/>
  <c r="Z247" i="2"/>
  <c r="Z221" i="2"/>
  <c r="Z215" i="2"/>
  <c r="Z211" i="2"/>
  <c r="Z179" i="2"/>
  <c r="Z150" i="2"/>
  <c r="Z135" i="2"/>
  <c r="Z131" i="2"/>
  <c r="Z106" i="2"/>
  <c r="Z102" i="2"/>
  <c r="Z98" i="2"/>
  <c r="Z91" i="2"/>
  <c r="Z69" i="2"/>
  <c r="Z65" i="2"/>
  <c r="Z61" i="2"/>
  <c r="Z57" i="2"/>
  <c r="Z48" i="2"/>
  <c r="Z41" i="2"/>
  <c r="Z33" i="2"/>
  <c r="Z2816" i="2"/>
  <c r="Y2816" i="2"/>
  <c r="Z2721" i="2"/>
  <c r="Y2721" i="2"/>
  <c r="Z2633" i="2"/>
  <c r="Y2633" i="2"/>
  <c r="Z2547" i="2"/>
  <c r="Y2547" i="2"/>
  <c r="Z2493" i="2"/>
  <c r="Y2493" i="2"/>
  <c r="Z2322" i="2"/>
  <c r="Y2322" i="2"/>
  <c r="Z2174" i="2"/>
  <c r="Y2174" i="2"/>
  <c r="Z2046" i="2"/>
  <c r="Y2046" i="2"/>
  <c r="Z1989" i="2"/>
  <c r="Y1989" i="2"/>
  <c r="Z2725" i="2"/>
  <c r="Y2725" i="2"/>
  <c r="Z2715" i="2"/>
  <c r="Y2715" i="2"/>
  <c r="Z2516" i="2"/>
  <c r="Y2516" i="2"/>
  <c r="Z2021" i="2"/>
  <c r="Y2021" i="2"/>
  <c r="Z1865" i="2"/>
  <c r="Y1865" i="2"/>
  <c r="Y2599" i="2"/>
  <c r="Y2592" i="2"/>
  <c r="Y2586" i="2"/>
  <c r="Y2582" i="2"/>
  <c r="Y2578" i="2"/>
  <c r="Y2574" i="2"/>
  <c r="Y2570" i="2"/>
  <c r="Y2566" i="2"/>
  <c r="Y2562" i="2"/>
  <c r="Y2531" i="2"/>
  <c r="Y2470" i="2"/>
  <c r="Y2466" i="2"/>
  <c r="Y2462" i="2"/>
  <c r="Y2458" i="2"/>
  <c r="Y2453" i="2"/>
  <c r="Y2449" i="2"/>
  <c r="Y2445" i="2"/>
  <c r="Y2441" i="2"/>
  <c r="Y2437" i="2"/>
  <c r="Y2433" i="2"/>
  <c r="Y2384" i="2"/>
  <c r="Y2377" i="2"/>
  <c r="Y2366" i="2"/>
  <c r="Y2362" i="2"/>
  <c r="Y2357" i="2"/>
  <c r="Y2352" i="2"/>
  <c r="Y2329" i="2"/>
  <c r="Y2306" i="2"/>
  <c r="Y2295" i="2"/>
  <c r="Y2289" i="2"/>
  <c r="Y2278" i="2"/>
  <c r="Y2274" i="2"/>
  <c r="Y2270" i="2"/>
  <c r="Y2250" i="2"/>
  <c r="Y2246" i="2"/>
  <c r="Y2224" i="2"/>
  <c r="Y2168" i="2"/>
  <c r="Y2152" i="2"/>
  <c r="Y2148" i="2"/>
  <c r="Y2135" i="2"/>
  <c r="Y2122" i="2"/>
  <c r="Y2118" i="2"/>
  <c r="Y2105" i="2"/>
  <c r="Y2101" i="2"/>
  <c r="Y2097" i="2"/>
  <c r="Y2093" i="2"/>
  <c r="Y2089" i="2"/>
  <c r="Y2035" i="2"/>
  <c r="Y1983" i="2"/>
  <c r="Y1958" i="2"/>
  <c r="Y1940" i="2"/>
  <c r="Y1927" i="2"/>
  <c r="Y1921" i="2"/>
  <c r="Y1911" i="2"/>
  <c r="Y1906" i="2"/>
  <c r="Y1902" i="2"/>
  <c r="Y1898" i="2"/>
  <c r="Y1857" i="2"/>
  <c r="Y1844" i="2"/>
  <c r="Y1834" i="2"/>
  <c r="Y1822" i="2"/>
  <c r="Y1818" i="2"/>
  <c r="Y1783" i="2"/>
  <c r="Y1758" i="2"/>
  <c r="Y1754" i="2"/>
  <c r="Y2557" i="2"/>
  <c r="Y2553" i="2"/>
  <c r="Y2549" i="2"/>
  <c r="Y2420" i="2"/>
  <c r="Y2416" i="2"/>
  <c r="Y2346" i="2"/>
  <c r="Y2333" i="2"/>
  <c r="Y2324" i="2"/>
  <c r="Y2320" i="2"/>
  <c r="Y2316" i="2"/>
  <c r="Y2263" i="2"/>
  <c r="Y2259" i="2"/>
  <c r="Y2241" i="2"/>
  <c r="Y2218" i="2"/>
  <c r="Y2214" i="2"/>
  <c r="Y2210" i="2"/>
  <c r="Y2191" i="2"/>
  <c r="Y2187" i="2"/>
  <c r="Y2183" i="2"/>
  <c r="Y2172" i="2"/>
  <c r="Y2163" i="2"/>
  <c r="Y2064" i="2"/>
  <c r="Y2058" i="2"/>
  <c r="Y2048" i="2"/>
  <c r="Y2039" i="2"/>
  <c r="Y2028" i="2"/>
  <c r="Y2023" i="2"/>
  <c r="Y2019" i="2"/>
  <c r="Y1995" i="2"/>
  <c r="Y1991" i="2"/>
  <c r="Y1987" i="2"/>
  <c r="Y1953" i="2"/>
  <c r="Y1935" i="2"/>
  <c r="Y1931" i="2"/>
  <c r="Y1915" i="2"/>
  <c r="Y1863" i="2"/>
  <c r="Y1839" i="2"/>
  <c r="Y1813" i="2"/>
  <c r="Y1808" i="2"/>
  <c r="Y1804" i="2"/>
  <c r="Y2851" i="2"/>
  <c r="Y2841" i="2"/>
  <c r="Y2796" i="2"/>
  <c r="Y2790" i="2"/>
  <c r="Y2772" i="2"/>
  <c r="Y2768" i="2"/>
  <c r="Y2560" i="2"/>
  <c r="Y2327" i="2"/>
  <c r="Y2323" i="2"/>
  <c r="Y2319" i="2"/>
  <c r="Y2293" i="2"/>
  <c r="Y2240" i="2"/>
  <c r="Y2228" i="2"/>
  <c r="Y2222" i="2"/>
  <c r="Y2217" i="2"/>
  <c r="Y2213" i="2"/>
  <c r="Y2209" i="2"/>
  <c r="Y2057" i="2"/>
  <c r="Y2051" i="2"/>
  <c r="Y2047" i="2"/>
  <c r="Y1998" i="2"/>
  <c r="Y2855" i="2"/>
  <c r="Y2825" i="2"/>
  <c r="Y2818" i="2"/>
  <c r="Y2808" i="2"/>
  <c r="Y2802" i="2"/>
  <c r="Y2717" i="2"/>
  <c r="Y2707" i="2"/>
  <c r="Y2687" i="2"/>
  <c r="Y2683" i="2"/>
  <c r="Y2678" i="2"/>
  <c r="Y2651" i="2"/>
  <c r="Y2641" i="2"/>
  <c r="Y2635" i="2"/>
  <c r="Y2631" i="2"/>
  <c r="Y2627" i="2"/>
  <c r="Y2623" i="2"/>
  <c r="Y2619" i="2"/>
  <c r="Y2613" i="2"/>
  <c r="Y2609" i="2"/>
  <c r="Y2605" i="2"/>
  <c r="Y2601" i="2"/>
  <c r="Y2584" i="2"/>
  <c r="Y2580" i="2"/>
  <c r="Y2576" i="2"/>
  <c r="Y2572" i="2"/>
  <c r="Y2568" i="2"/>
  <c r="Y2564" i="2"/>
  <c r="Y2533" i="2"/>
  <c r="Y2522" i="2"/>
  <c r="Y2485" i="2"/>
  <c r="Y2472" i="2"/>
  <c r="Y2468" i="2"/>
  <c r="Y2464" i="2"/>
  <c r="Y2460" i="2"/>
  <c r="Y2456" i="2"/>
  <c r="Y2451" i="2"/>
  <c r="Y2447" i="2"/>
  <c r="Y2443" i="2"/>
  <c r="Y2439" i="2"/>
  <c r="Y2435" i="2"/>
  <c r="Y2423" i="2"/>
  <c r="Y2414" i="2"/>
  <c r="Y2386" i="2"/>
  <c r="Y2374" i="2"/>
  <c r="Y2368" i="2"/>
  <c r="Y2364" i="2"/>
  <c r="Y2344" i="2"/>
  <c r="Y2331" i="2"/>
  <c r="Y2308" i="2"/>
  <c r="Y2297" i="2"/>
  <c r="Y2276" i="2"/>
  <c r="Y2272" i="2"/>
  <c r="Y2248" i="2"/>
  <c r="Y2244" i="2"/>
  <c r="Y2234" i="2"/>
  <c r="Y2181" i="2"/>
  <c r="Y2166" i="2"/>
  <c r="Y2150" i="2"/>
  <c r="Y2120" i="2"/>
  <c r="Y2103" i="2"/>
  <c r="Y2099" i="2"/>
  <c r="Y2095" i="2"/>
  <c r="Y2091" i="2"/>
  <c r="Y2076" i="2"/>
  <c r="Y1985" i="2"/>
  <c r="Y1981" i="2"/>
  <c r="Y1956" i="2"/>
  <c r="Y1938" i="2"/>
  <c r="Y1904" i="2"/>
  <c r="Y1900" i="2"/>
  <c r="Y1854" i="2"/>
  <c r="Y1842" i="2"/>
  <c r="Y1820" i="2"/>
  <c r="Y1816" i="2"/>
  <c r="Y1780" i="2"/>
  <c r="Y1760" i="2"/>
  <c r="Y1756" i="2"/>
  <c r="Y1752" i="2"/>
  <c r="AA2484" i="2"/>
  <c r="AA2007" i="2"/>
  <c r="AA1639" i="2"/>
  <c r="AA1631" i="2"/>
  <c r="AA1607" i="2"/>
  <c r="AA2906" i="2"/>
  <c r="AA2884" i="2"/>
  <c r="AA2784" i="2"/>
  <c r="AA2656" i="2"/>
  <c r="AA2522" i="2"/>
  <c r="AA2385" i="2"/>
  <c r="AA2363" i="2"/>
  <c r="AA2345" i="2"/>
  <c r="AA2225" i="2"/>
  <c r="AA2192" i="2"/>
  <c r="AA2131" i="2"/>
  <c r="AA2129" i="2"/>
  <c r="AA2032" i="2"/>
  <c r="AA2014" i="2"/>
  <c r="AA2012" i="2"/>
  <c r="AA2002" i="2"/>
  <c r="AA1948" i="2"/>
  <c r="AA1926" i="2"/>
  <c r="AA1914" i="2"/>
  <c r="AA1910" i="2"/>
  <c r="AA1873" i="2"/>
  <c r="AA1871" i="2"/>
  <c r="AA1864" i="2"/>
  <c r="AA1845" i="2"/>
  <c r="AA1827" i="2"/>
  <c r="AA1807" i="2"/>
  <c r="AA1799" i="2"/>
  <c r="AA1797" i="2"/>
  <c r="AA1769" i="2"/>
  <c r="AA1765" i="2"/>
  <c r="AA1748" i="2"/>
  <c r="AA1746" i="2"/>
  <c r="AA1720" i="2"/>
  <c r="AA1712" i="2"/>
  <c r="AA1710" i="2"/>
  <c r="AA1703" i="2"/>
  <c r="AA1690" i="2"/>
  <c r="AA1676" i="2"/>
  <c r="AA1674" i="2"/>
  <c r="AA1672" i="2"/>
  <c r="AA1650" i="2"/>
  <c r="AA1646" i="2"/>
  <c r="AA1644" i="2"/>
  <c r="AA1632" i="2"/>
  <c r="AA1624" i="2"/>
  <c r="AA1610" i="2"/>
  <c r="AA1608" i="2"/>
  <c r="AA1603" i="2"/>
  <c r="AA1585" i="2"/>
  <c r="AA1581" i="2"/>
  <c r="AA1569" i="2"/>
  <c r="AA1567" i="2"/>
  <c r="AA1543" i="2"/>
  <c r="AA1539" i="2"/>
  <c r="AA1533" i="2"/>
  <c r="AA1531" i="2"/>
  <c r="AA1517" i="2"/>
  <c r="AA1510" i="2"/>
  <c r="AA1509" i="2"/>
  <c r="AA1508" i="2"/>
  <c r="AA1498" i="2"/>
  <c r="AA1494" i="2"/>
  <c r="AA1493" i="2"/>
  <c r="AA1489" i="2"/>
  <c r="AA1483" i="2"/>
  <c r="AA1476" i="2"/>
  <c r="AA1475" i="2"/>
  <c r="AA1474" i="2"/>
  <c r="AA1465" i="2"/>
  <c r="AA1461" i="2"/>
  <c r="AA1457" i="2"/>
  <c r="AA1454" i="2"/>
  <c r="AA1445" i="2"/>
  <c r="AA1443" i="2"/>
  <c r="AA1442" i="2"/>
  <c r="AA1441" i="2"/>
  <c r="AA1430" i="2"/>
  <c r="AA1425" i="2"/>
  <c r="AA1422" i="2"/>
  <c r="AA1421" i="2"/>
  <c r="AA1412" i="2"/>
  <c r="AA1410" i="2"/>
  <c r="AA1409" i="2"/>
  <c r="AA1403" i="2"/>
  <c r="AA1397" i="2"/>
  <c r="AA1390" i="2"/>
  <c r="AA1389" i="2"/>
  <c r="AA1388" i="2"/>
  <c r="AA1379" i="2"/>
  <c r="AA1377" i="2"/>
  <c r="AA1371" i="2"/>
  <c r="AA1370" i="2"/>
  <c r="AA1361" i="2"/>
  <c r="AA1358" i="2"/>
  <c r="AA1357" i="2"/>
  <c r="AA1356" i="2"/>
  <c r="AA1355" i="2"/>
  <c r="AA1346" i="2"/>
  <c r="AA1345" i="2"/>
  <c r="AA1339" i="2"/>
  <c r="AA1338" i="2"/>
  <c r="AA1337" i="2"/>
  <c r="AA1326" i="2"/>
  <c r="AA1325" i="2"/>
  <c r="AA1324" i="2"/>
  <c r="AA1323" i="2"/>
  <c r="AA1317" i="2"/>
  <c r="AA1313" i="2"/>
  <c r="AA1307" i="2"/>
  <c r="AA1306" i="2"/>
  <c r="AA1305" i="2"/>
  <c r="AA1302" i="2"/>
  <c r="AA1293" i="2"/>
  <c r="AA1292" i="2"/>
  <c r="AA1291" i="2"/>
  <c r="AA1285" i="2"/>
  <c r="AA1284" i="2"/>
  <c r="AA1275" i="2"/>
  <c r="AA1274" i="2"/>
  <c r="AA1273" i="2"/>
  <c r="AA1270" i="2"/>
  <c r="AA1269" i="2"/>
  <c r="AA1260" i="2"/>
  <c r="AA1259" i="2"/>
  <c r="AA1253" i="2"/>
  <c r="AA1252" i="2"/>
  <c r="AA1251" i="2"/>
  <c r="AA1242" i="2"/>
  <c r="AA1241" i="2"/>
  <c r="AA1238" i="2"/>
  <c r="AA1237" i="2"/>
  <c r="AA1233" i="2"/>
  <c r="AA1227" i="2"/>
  <c r="AA1221" i="2"/>
  <c r="AA1220" i="2"/>
  <c r="AA1219" i="2"/>
  <c r="AA1218" i="2"/>
  <c r="AA1209" i="2"/>
  <c r="AA1206" i="2"/>
  <c r="AA1205" i="2"/>
  <c r="AA1201" i="2"/>
  <c r="AA1198" i="2"/>
  <c r="AA1189" i="2"/>
  <c r="AA1188" i="2"/>
  <c r="AA1187" i="2"/>
  <c r="AA1186" i="2"/>
  <c r="AA1185" i="2"/>
  <c r="AA1174" i="2"/>
  <c r="AA1173" i="2"/>
  <c r="AA1169" i="2"/>
  <c r="AA1166" i="2"/>
  <c r="AA1165" i="2"/>
  <c r="AA1156" i="2"/>
  <c r="AA1155" i="2"/>
  <c r="AA1154" i="2"/>
  <c r="AA1153" i="2"/>
  <c r="AA1147" i="2"/>
  <c r="AA1143" i="2"/>
  <c r="AA1139" i="2"/>
  <c r="AA1138" i="2"/>
  <c r="AA1137" i="2"/>
  <c r="AA1136" i="2"/>
  <c r="AA1129" i="2"/>
  <c r="AA1128" i="2"/>
  <c r="AA1127" i="2"/>
  <c r="AA1123" i="2"/>
  <c r="AA1122" i="2"/>
  <c r="AA1115" i="2"/>
  <c r="AA1114" i="2"/>
  <c r="AA1113" i="2"/>
  <c r="AA1112" i="2"/>
  <c r="AA1111" i="2"/>
  <c r="AA1104" i="2"/>
  <c r="AA1103" i="2"/>
  <c r="AA1099" i="2"/>
  <c r="AA1098" i="2"/>
  <c r="AA1097" i="2"/>
  <c r="AA1090" i="2"/>
  <c r="AA1089" i="2"/>
  <c r="AA1088" i="2"/>
  <c r="AA1087" i="2"/>
  <c r="AA1083" i="2"/>
  <c r="AA1079" i="2"/>
  <c r="AA1075" i="2"/>
  <c r="AA1074" i="2"/>
  <c r="AA1073" i="2"/>
  <c r="AA1072" i="2"/>
  <c r="AA1065" i="2"/>
  <c r="AA1064" i="2"/>
  <c r="AA1063" i="2"/>
  <c r="AA1059" i="2"/>
  <c r="AA1058" i="2"/>
  <c r="AA1051" i="2"/>
  <c r="AA1050" i="2"/>
  <c r="AA1049" i="2"/>
  <c r="AA1048" i="2"/>
  <c r="AA1047" i="2"/>
  <c r="AA1040" i="2"/>
  <c r="AA1039" i="2"/>
  <c r="AA1035" i="2"/>
  <c r="AA1034" i="2"/>
  <c r="AA1033" i="2"/>
  <c r="AA1026" i="2"/>
  <c r="AA1025" i="2"/>
  <c r="AA1024" i="2"/>
  <c r="AA1023" i="2"/>
  <c r="AA1019" i="2"/>
  <c r="AA1015" i="2"/>
  <c r="AA1011" i="2"/>
  <c r="AA1010" i="2"/>
  <c r="AA1009" i="2"/>
  <c r="AA1008" i="2"/>
  <c r="AA1001" i="2"/>
  <c r="AA1000" i="2"/>
  <c r="AA999" i="2"/>
  <c r="AA995" i="2"/>
  <c r="AA994" i="2"/>
  <c r="AA987" i="2"/>
  <c r="AA986" i="2"/>
  <c r="AA985" i="2"/>
  <c r="AA984" i="2"/>
  <c r="AA983" i="2"/>
  <c r="AA976" i="2"/>
  <c r="AA975" i="2"/>
  <c r="AA971" i="2"/>
  <c r="AA970" i="2"/>
  <c r="AA969" i="2"/>
  <c r="AA962" i="2"/>
  <c r="AA961" i="2"/>
  <c r="AA960" i="2"/>
  <c r="AA959" i="2"/>
  <c r="AA955" i="2"/>
  <c r="AA951" i="2"/>
  <c r="AA949" i="2"/>
  <c r="AA947" i="2"/>
  <c r="AA946" i="2"/>
  <c r="AA945" i="2"/>
  <c r="AA940" i="2"/>
  <c r="AA939" i="2"/>
  <c r="AA938" i="2"/>
  <c r="AA937" i="2"/>
  <c r="AA936" i="2"/>
  <c r="AA932" i="2"/>
  <c r="AA931" i="2"/>
  <c r="AA930" i="2"/>
  <c r="AA929" i="2"/>
  <c r="AA928" i="2"/>
  <c r="AA924" i="2"/>
  <c r="AA923" i="2"/>
  <c r="AA922" i="2"/>
  <c r="AA921" i="2"/>
  <c r="AA920" i="2"/>
  <c r="AA916" i="2"/>
  <c r="AA915" i="2"/>
  <c r="AA914" i="2"/>
  <c r="AA913" i="2"/>
  <c r="AA912" i="2"/>
  <c r="AA908" i="2"/>
  <c r="AA907" i="2"/>
  <c r="AA906" i="2"/>
  <c r="AA905" i="2"/>
  <c r="AA904" i="2"/>
  <c r="AA900" i="2"/>
  <c r="AA899" i="2"/>
  <c r="AA898" i="2"/>
  <c r="AA897" i="2"/>
  <c r="AA896" i="2"/>
  <c r="AA892" i="2"/>
  <c r="AA891" i="2"/>
  <c r="AA890" i="2"/>
  <c r="AA889" i="2"/>
  <c r="AA888" i="2"/>
  <c r="AA884" i="2"/>
  <c r="AA883" i="2"/>
  <c r="AA882" i="2"/>
  <c r="AA881" i="2"/>
  <c r="AA880" i="2"/>
  <c r="AA876" i="2"/>
  <c r="AA875" i="2"/>
  <c r="AA874" i="2"/>
  <c r="AA873" i="2"/>
  <c r="AA872" i="2"/>
  <c r="AA868" i="2"/>
  <c r="AA867" i="2"/>
  <c r="AA866" i="2"/>
  <c r="AA865" i="2"/>
  <c r="AA864" i="2"/>
  <c r="AA860" i="2"/>
  <c r="AA859" i="2"/>
  <c r="AA858" i="2"/>
  <c r="AA857" i="2"/>
  <c r="AA856" i="2"/>
  <c r="AA852" i="2"/>
  <c r="AA851" i="2"/>
  <c r="AA850" i="2"/>
  <c r="AA849" i="2"/>
  <c r="AA848" i="2"/>
  <c r="AA844" i="2"/>
  <c r="AA843" i="2"/>
  <c r="AA842" i="2"/>
  <c r="AA841" i="2"/>
  <c r="AA840" i="2"/>
  <c r="AA836" i="2"/>
  <c r="AA835" i="2"/>
  <c r="AA834" i="2"/>
  <c r="AA833" i="2"/>
  <c r="AA832" i="2"/>
  <c r="AA828" i="2"/>
  <c r="AA827" i="2"/>
  <c r="AA826" i="2"/>
  <c r="AA825" i="2"/>
  <c r="AA824" i="2"/>
  <c r="AA820" i="2"/>
  <c r="AA819" i="2"/>
  <c r="AA818" i="2"/>
  <c r="AA817" i="2"/>
  <c r="AA816" i="2"/>
  <c r="AA812" i="2"/>
  <c r="AA811" i="2"/>
  <c r="AA810" i="2"/>
  <c r="AA809" i="2"/>
  <c r="AA808" i="2"/>
  <c r="AA804" i="2"/>
  <c r="AA803" i="2"/>
  <c r="AA802" i="2"/>
  <c r="AA801" i="2"/>
  <c r="AA800" i="2"/>
  <c r="AA796" i="2"/>
  <c r="AA795" i="2"/>
  <c r="AA794" i="2"/>
  <c r="AA793" i="2"/>
  <c r="AA792" i="2"/>
  <c r="AA788" i="2"/>
  <c r="AA787" i="2"/>
  <c r="AA786" i="2"/>
  <c r="AA785" i="2"/>
  <c r="AA784" i="2"/>
  <c r="AA780" i="2"/>
  <c r="AA779" i="2"/>
  <c r="AA778" i="2"/>
  <c r="AA777" i="2"/>
  <c r="AA776" i="2"/>
  <c r="AA772" i="2"/>
  <c r="AA771" i="2"/>
  <c r="AA770" i="2"/>
  <c r="AA769" i="2"/>
  <c r="AA768" i="2"/>
  <c r="AA764" i="2"/>
  <c r="AA763" i="2"/>
  <c r="AA762" i="2"/>
  <c r="AA761" i="2"/>
  <c r="AA760" i="2"/>
  <c r="AA756" i="2"/>
  <c r="AA755" i="2"/>
  <c r="AA754" i="2"/>
  <c r="AA753" i="2"/>
  <c r="AA752" i="2"/>
  <c r="AA748" i="2"/>
  <c r="AA747" i="2"/>
  <c r="AA746" i="2"/>
  <c r="AA745" i="2"/>
  <c r="AA744" i="2"/>
  <c r="AA740" i="2"/>
  <c r="AA739" i="2"/>
  <c r="AA738" i="2"/>
  <c r="AA737" i="2"/>
  <c r="AA736" i="2"/>
  <c r="AA732" i="2"/>
  <c r="AA731" i="2"/>
  <c r="AA730" i="2"/>
  <c r="AA729" i="2"/>
  <c r="AA728" i="2"/>
  <c r="AA724" i="2"/>
  <c r="AA723" i="2"/>
  <c r="AA722" i="2"/>
  <c r="AA721" i="2"/>
  <c r="AA720" i="2"/>
  <c r="AA716" i="2"/>
  <c r="AA715" i="2"/>
  <c r="AA714" i="2"/>
  <c r="AA713" i="2"/>
  <c r="AA712" i="2"/>
  <c r="AA708" i="2"/>
  <c r="AA707" i="2"/>
  <c r="AA706" i="2"/>
  <c r="AA705" i="2"/>
  <c r="AA704" i="2"/>
  <c r="AA700" i="2"/>
  <c r="AA699" i="2"/>
  <c r="AA698" i="2"/>
  <c r="AA697" i="2"/>
  <c r="AA696" i="2"/>
  <c r="AA692" i="2"/>
  <c r="AA691" i="2"/>
  <c r="AA690" i="2"/>
  <c r="AA689" i="2"/>
  <c r="AA688" i="2"/>
  <c r="AA684" i="2"/>
  <c r="AA683" i="2"/>
  <c r="AA682" i="2"/>
  <c r="AA681" i="2"/>
  <c r="AA680" i="2"/>
  <c r="AA676" i="2"/>
  <c r="AA675" i="2"/>
  <c r="AA674" i="2"/>
  <c r="AA673" i="2"/>
  <c r="AA672" i="2"/>
  <c r="AA668" i="2"/>
  <c r="AA667" i="2"/>
  <c r="AA666" i="2"/>
  <c r="AA665" i="2"/>
  <c r="AA664" i="2"/>
  <c r="AA663" i="2"/>
  <c r="AA661" i="2"/>
  <c r="AA660" i="2"/>
  <c r="AA659" i="2"/>
  <c r="AA658" i="2"/>
  <c r="AA657" i="2"/>
  <c r="AA656" i="2"/>
  <c r="AA655" i="2"/>
  <c r="AA653" i="2"/>
  <c r="AA652" i="2"/>
  <c r="AA651" i="2"/>
  <c r="AA650" i="2"/>
  <c r="AA649" i="2"/>
  <c r="AA648" i="2"/>
  <c r="AA647" i="2"/>
  <c r="AA645" i="2"/>
  <c r="AA644" i="2"/>
  <c r="AA643" i="2"/>
  <c r="AA642" i="2"/>
  <c r="AA641" i="2"/>
  <c r="AA640" i="2"/>
  <c r="AA639" i="2"/>
  <c r="AA637" i="2"/>
  <c r="AA636" i="2"/>
  <c r="AA635" i="2"/>
  <c r="AA634" i="2"/>
  <c r="AA633" i="2"/>
  <c r="AA632" i="2"/>
  <c r="AA631" i="2"/>
  <c r="AA629" i="2"/>
  <c r="AA628" i="2"/>
  <c r="AA627" i="2"/>
  <c r="AA626" i="2"/>
  <c r="AA625" i="2"/>
  <c r="AA624" i="2"/>
  <c r="AA623" i="2"/>
  <c r="AA621" i="2"/>
  <c r="AA620" i="2"/>
  <c r="AA619" i="2"/>
  <c r="AA618" i="2"/>
  <c r="AA617" i="2"/>
  <c r="AA616" i="2"/>
  <c r="AA615" i="2"/>
  <c r="AA613" i="2"/>
  <c r="AA612" i="2"/>
  <c r="AA611" i="2"/>
  <c r="AA610" i="2"/>
  <c r="AA609" i="2"/>
  <c r="AA608" i="2"/>
  <c r="AA607" i="2"/>
  <c r="AA605" i="2"/>
  <c r="AA604" i="2"/>
  <c r="AA603" i="2"/>
  <c r="AA602" i="2"/>
  <c r="AA601" i="2"/>
  <c r="AA600" i="2"/>
  <c r="AA599" i="2"/>
  <c r="AA597" i="2"/>
  <c r="AA596" i="2"/>
  <c r="AA595" i="2"/>
  <c r="AA594" i="2"/>
  <c r="AA593" i="2"/>
  <c r="AA592" i="2"/>
  <c r="AA591" i="2"/>
  <c r="AA589" i="2"/>
  <c r="AA588" i="2"/>
  <c r="AA587" i="2"/>
  <c r="AA586" i="2"/>
  <c r="AA585" i="2"/>
  <c r="AA584" i="2"/>
  <c r="AA583" i="2"/>
  <c r="AA581" i="2"/>
  <c r="AA580" i="2"/>
  <c r="AA579" i="2"/>
  <c r="AA578" i="2"/>
  <c r="AA577" i="2"/>
  <c r="AA576" i="2"/>
  <c r="AA575" i="2"/>
  <c r="AA573" i="2"/>
  <c r="AA572" i="2"/>
  <c r="AA571" i="2"/>
  <c r="AA570" i="2"/>
  <c r="AA569" i="2"/>
  <c r="AA568" i="2"/>
  <c r="AA567" i="2"/>
  <c r="AA565" i="2"/>
  <c r="AA564" i="2"/>
  <c r="AA563" i="2"/>
  <c r="AA562" i="2"/>
  <c r="AA561" i="2"/>
  <c r="AA560" i="2"/>
  <c r="AA559" i="2"/>
  <c r="AA557" i="2"/>
  <c r="AA556" i="2"/>
  <c r="AA555" i="2"/>
  <c r="AA554" i="2"/>
  <c r="AA553" i="2"/>
  <c r="AA552" i="2"/>
  <c r="AA551" i="2"/>
  <c r="AA549" i="2"/>
  <c r="AA548" i="2"/>
  <c r="AA547" i="2"/>
  <c r="AA546" i="2"/>
  <c r="AA545" i="2"/>
  <c r="AA544" i="2"/>
  <c r="AA543" i="2"/>
  <c r="AA541" i="2"/>
  <c r="AA540" i="2"/>
  <c r="AA539" i="2"/>
  <c r="AA538" i="2"/>
  <c r="AA537" i="2"/>
  <c r="AA536" i="2"/>
  <c r="AA535" i="2"/>
  <c r="AA533" i="2"/>
  <c r="AA532" i="2"/>
  <c r="AA531" i="2"/>
  <c r="AA530" i="2"/>
  <c r="AA529" i="2"/>
  <c r="AA528" i="2"/>
  <c r="AA527" i="2"/>
  <c r="AA525" i="2"/>
  <c r="AA524" i="2"/>
  <c r="AA523" i="2"/>
  <c r="AA522" i="2"/>
  <c r="AA521" i="2"/>
  <c r="AA520" i="2"/>
  <c r="AA519" i="2"/>
  <c r="AA517" i="2"/>
  <c r="AA516" i="2"/>
  <c r="AA515" i="2"/>
  <c r="AA514" i="2"/>
  <c r="AA513" i="2"/>
  <c r="AA512" i="2"/>
  <c r="AA511" i="2"/>
  <c r="AA509" i="2"/>
  <c r="AA508" i="2"/>
  <c r="AA507" i="2"/>
  <c r="AA506" i="2"/>
  <c r="AA505" i="2"/>
  <c r="AA504" i="2"/>
  <c r="AA503" i="2"/>
  <c r="AA501" i="2"/>
  <c r="AA500" i="2"/>
  <c r="AA499" i="2"/>
  <c r="AA498" i="2"/>
  <c r="AA497" i="2"/>
  <c r="AA496" i="2"/>
  <c r="AA495" i="2"/>
  <c r="AA493" i="2"/>
  <c r="AA492" i="2"/>
  <c r="AA491" i="2"/>
  <c r="AA490" i="2"/>
  <c r="AA489" i="2"/>
  <c r="AA488" i="2"/>
  <c r="AA487" i="2"/>
  <c r="AA485" i="2"/>
  <c r="AA484" i="2"/>
  <c r="AA483" i="2"/>
  <c r="AA482" i="2"/>
  <c r="AA481" i="2"/>
  <c r="AA480" i="2"/>
  <c r="AA479" i="2"/>
  <c r="AA477" i="2"/>
  <c r="AA476" i="2"/>
  <c r="AA475" i="2"/>
  <c r="AA474" i="2"/>
  <c r="AA473" i="2"/>
  <c r="AA472" i="2"/>
  <c r="AA471" i="2"/>
  <c r="AA469" i="2"/>
  <c r="AA468" i="2"/>
  <c r="AA467" i="2"/>
  <c r="AA466" i="2"/>
  <c r="AA465" i="2"/>
  <c r="AA464" i="2"/>
  <c r="AA463" i="2"/>
  <c r="AA461" i="2"/>
  <c r="AA460" i="2"/>
  <c r="AA459" i="2"/>
  <c r="AA458" i="2"/>
  <c r="AA457" i="2"/>
  <c r="AA456" i="2"/>
  <c r="AA455" i="2"/>
  <c r="AA453" i="2"/>
  <c r="AA452" i="2"/>
  <c r="AA451" i="2"/>
  <c r="AA450" i="2"/>
  <c r="AA449" i="2"/>
  <c r="AA448" i="2"/>
  <c r="AA447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Z1762" i="2"/>
  <c r="Y1762" i="2"/>
  <c r="Z1763" i="2"/>
  <c r="Y1763" i="2"/>
  <c r="Z1765" i="2"/>
  <c r="Y1765" i="2"/>
  <c r="Z1766" i="2"/>
  <c r="Y1766" i="2"/>
  <c r="Z1767" i="2"/>
  <c r="Y1767" i="2"/>
  <c r="Z1768" i="2"/>
  <c r="Y1768" i="2"/>
  <c r="Z1769" i="2"/>
  <c r="Y1769" i="2"/>
  <c r="Z1771" i="2"/>
  <c r="Y1771" i="2"/>
  <c r="Z1772" i="2"/>
  <c r="Y1772" i="2"/>
  <c r="Z1773" i="2"/>
  <c r="Y1773" i="2"/>
  <c r="Z1774" i="2"/>
  <c r="Y1774" i="2"/>
  <c r="Z1775" i="2"/>
  <c r="Y1775" i="2"/>
  <c r="Z1776" i="2"/>
  <c r="Y1776" i="2"/>
  <c r="Z1777" i="2"/>
  <c r="Y1777" i="2"/>
  <c r="Z1778" i="2"/>
  <c r="Y1778" i="2"/>
  <c r="Z1779" i="2"/>
  <c r="Y1779" i="2"/>
  <c r="Z1781" i="2"/>
  <c r="Y1781" i="2"/>
  <c r="Z1782" i="2"/>
  <c r="Y1782" i="2"/>
  <c r="Z1785" i="2"/>
  <c r="Y1785" i="2"/>
  <c r="Z1786" i="2"/>
  <c r="Y1786" i="2"/>
  <c r="Z1787" i="2"/>
  <c r="Y1787" i="2"/>
  <c r="Z1788" i="2"/>
  <c r="Y1788" i="2"/>
  <c r="Z1789" i="2"/>
  <c r="Y1789" i="2"/>
  <c r="Z1790" i="2"/>
  <c r="Y1790" i="2"/>
  <c r="Z1791" i="2"/>
  <c r="Y1791" i="2"/>
  <c r="Z1792" i="2"/>
  <c r="Y1792" i="2"/>
  <c r="Z1793" i="2"/>
  <c r="Y1793" i="2"/>
  <c r="Z1794" i="2"/>
  <c r="Y1794" i="2"/>
  <c r="Z1795" i="2"/>
  <c r="Y1795" i="2"/>
  <c r="Z1796" i="2"/>
  <c r="Y1796" i="2"/>
  <c r="Z1797" i="2"/>
  <c r="Y1797" i="2"/>
  <c r="Z1798" i="2"/>
  <c r="Y1798" i="2"/>
  <c r="Z1799" i="2"/>
  <c r="Y1799" i="2"/>
  <c r="Z1800" i="2"/>
  <c r="Y1800" i="2"/>
  <c r="Z1801" i="2"/>
  <c r="Y1801" i="2"/>
  <c r="Z1802" i="2"/>
  <c r="Y1802" i="2"/>
  <c r="Z1803" i="2"/>
  <c r="Y1803" i="2"/>
  <c r="Z1810" i="2"/>
  <c r="Y1810" i="2"/>
  <c r="Z1811" i="2"/>
  <c r="Y1811" i="2"/>
  <c r="Z1815" i="2"/>
  <c r="Y1815" i="2"/>
  <c r="Z1824" i="2"/>
  <c r="Y1824" i="2"/>
  <c r="Z1825" i="2"/>
  <c r="Y1825" i="2"/>
  <c r="Z1826" i="2"/>
  <c r="Y1826" i="2"/>
  <c r="Z1827" i="2"/>
  <c r="Y1827" i="2"/>
  <c r="Z1828" i="2"/>
  <c r="Y1828" i="2"/>
  <c r="Z1829" i="2"/>
  <c r="Y1829" i="2"/>
  <c r="Z1831" i="2"/>
  <c r="Y1831" i="2"/>
  <c r="Z1833" i="2"/>
  <c r="Y1833" i="2"/>
  <c r="Z1836" i="2"/>
  <c r="Y1836" i="2"/>
  <c r="Z1837" i="2"/>
  <c r="Y1837" i="2"/>
  <c r="Z1838" i="2"/>
  <c r="Y1838" i="2"/>
  <c r="Z1841" i="2"/>
  <c r="Y1841" i="2"/>
  <c r="Z1845" i="2"/>
  <c r="Y1845" i="2"/>
  <c r="Z1847" i="2"/>
  <c r="Y1847" i="2"/>
  <c r="Z1848" i="2"/>
  <c r="Y1848" i="2"/>
  <c r="Z1849" i="2"/>
  <c r="Y1849" i="2"/>
  <c r="Z1850" i="2"/>
  <c r="Y1850" i="2"/>
  <c r="Z1851" i="2"/>
  <c r="Y1851" i="2"/>
  <c r="Z1852" i="2"/>
  <c r="Y1852" i="2"/>
  <c r="Z1853" i="2"/>
  <c r="Y1853" i="2"/>
  <c r="Z1855" i="2"/>
  <c r="Y1855" i="2"/>
  <c r="Z1856" i="2"/>
  <c r="Y1856" i="2"/>
  <c r="Z1858" i="2"/>
  <c r="Y1858" i="2"/>
  <c r="Z1859" i="2"/>
  <c r="Y1859" i="2"/>
  <c r="Z1860" i="2"/>
  <c r="Y1860" i="2"/>
  <c r="Z1861" i="2"/>
  <c r="Y1861" i="2"/>
  <c r="Z1862" i="2"/>
  <c r="Y1862" i="2"/>
  <c r="Z1867" i="2"/>
  <c r="Y1867" i="2"/>
  <c r="Z1868" i="2"/>
  <c r="Y1868" i="2"/>
  <c r="Z1869" i="2"/>
  <c r="Y1869" i="2"/>
  <c r="Z1871" i="2"/>
  <c r="Y1871" i="2"/>
  <c r="Z1872" i="2"/>
  <c r="Y1872" i="2"/>
  <c r="Z1873" i="2"/>
  <c r="Y1873" i="2"/>
  <c r="Z1874" i="2"/>
  <c r="Y1874" i="2"/>
  <c r="Z1875" i="2"/>
  <c r="Y1875" i="2"/>
  <c r="Z1876" i="2"/>
  <c r="Y1876" i="2"/>
  <c r="Z1877" i="2"/>
  <c r="Y1877" i="2"/>
  <c r="Z1878" i="2"/>
  <c r="Y1878" i="2"/>
  <c r="Z1879" i="2"/>
  <c r="Y1879" i="2"/>
  <c r="Z1880" i="2"/>
  <c r="Y1880" i="2"/>
  <c r="Z1881" i="2"/>
  <c r="Y1881" i="2"/>
  <c r="Z1882" i="2"/>
  <c r="Y1882" i="2"/>
  <c r="Z1883" i="2"/>
  <c r="Y1883" i="2"/>
  <c r="Z1884" i="2"/>
  <c r="Y1884" i="2"/>
  <c r="Z1885" i="2"/>
  <c r="Y1885" i="2"/>
  <c r="Z1886" i="2"/>
  <c r="Y1886" i="2"/>
  <c r="Z1887" i="2"/>
  <c r="Y1887" i="2"/>
  <c r="Z1888" i="2"/>
  <c r="Y1888" i="2"/>
  <c r="Z1889" i="2"/>
  <c r="Y1889" i="2"/>
  <c r="Z1890" i="2"/>
  <c r="Y1890" i="2"/>
  <c r="Z1891" i="2"/>
  <c r="Y1891" i="2"/>
  <c r="Z1892" i="2"/>
  <c r="Y1892" i="2"/>
  <c r="Z1893" i="2"/>
  <c r="Y1893" i="2"/>
  <c r="Z1894" i="2"/>
  <c r="Y1894" i="2"/>
  <c r="Z1895" i="2"/>
  <c r="Y1895" i="2"/>
  <c r="Z1896" i="2"/>
  <c r="Y1896" i="2"/>
  <c r="Z1908" i="2"/>
  <c r="Y1908" i="2"/>
  <c r="Z1909" i="2"/>
  <c r="Y1909" i="2"/>
  <c r="Z1913" i="2"/>
  <c r="Y1913" i="2"/>
  <c r="Z1917" i="2"/>
  <c r="Y1917" i="2"/>
  <c r="Z1918" i="2"/>
  <c r="Y1918" i="2"/>
  <c r="Z1919" i="2"/>
  <c r="Y1919" i="2"/>
  <c r="Z1922" i="2"/>
  <c r="Y1922" i="2"/>
  <c r="Z1923" i="2"/>
  <c r="Y1923" i="2"/>
  <c r="Z1924" i="2"/>
  <c r="Y1924" i="2"/>
  <c r="Z1926" i="2"/>
  <c r="Y1926" i="2"/>
  <c r="Z1928" i="2"/>
  <c r="Y1928" i="2"/>
  <c r="Z1936" i="2"/>
  <c r="Y1936" i="2"/>
  <c r="Z1941" i="2"/>
  <c r="Y1941" i="2"/>
  <c r="Z1942" i="2"/>
  <c r="Y1942" i="2"/>
  <c r="Z1943" i="2"/>
  <c r="Y1943" i="2"/>
  <c r="Z1944" i="2"/>
  <c r="Y1944" i="2"/>
  <c r="Z1945" i="2"/>
  <c r="Y1945" i="2"/>
  <c r="Z1946" i="2"/>
  <c r="Y1946" i="2"/>
  <c r="Z1947" i="2"/>
  <c r="Y1947" i="2"/>
  <c r="Z1948" i="2"/>
  <c r="Y1948" i="2"/>
  <c r="Z1949" i="2"/>
  <c r="Y1949" i="2"/>
  <c r="Z1950" i="2"/>
  <c r="Y1950" i="2"/>
  <c r="Z1951" i="2"/>
  <c r="Y1951" i="2"/>
  <c r="Z1955" i="2"/>
  <c r="Y1955" i="2"/>
  <c r="Z1960" i="2"/>
  <c r="Y1960" i="2"/>
  <c r="Z1961" i="2"/>
  <c r="Y1961" i="2"/>
  <c r="Z1962" i="2"/>
  <c r="Y1962" i="2"/>
  <c r="Z1963" i="2"/>
  <c r="Y1963" i="2"/>
  <c r="Z1964" i="2"/>
  <c r="Y1964" i="2"/>
  <c r="Z1965" i="2"/>
  <c r="Y1965" i="2"/>
  <c r="Z1967" i="2"/>
  <c r="Y1967" i="2"/>
  <c r="Z1968" i="2"/>
  <c r="Y1968" i="2"/>
  <c r="Z1969" i="2"/>
  <c r="Y1969" i="2"/>
  <c r="Z1970" i="2"/>
  <c r="Y1970" i="2"/>
  <c r="Z1971" i="2"/>
  <c r="Y1971" i="2"/>
  <c r="Z1973" i="2"/>
  <c r="Y1973" i="2"/>
  <c r="Z1974" i="2"/>
  <c r="Y1974" i="2"/>
  <c r="Z1975" i="2"/>
  <c r="Y1975" i="2"/>
  <c r="Z1976" i="2"/>
  <c r="Y1976" i="2"/>
  <c r="Z1977" i="2"/>
  <c r="Y1977" i="2"/>
  <c r="Z1978" i="2"/>
  <c r="Y1978" i="2"/>
  <c r="Z1979" i="2"/>
  <c r="Y1979" i="2"/>
  <c r="Z1986" i="2"/>
  <c r="Y1986" i="2"/>
  <c r="Z1999" i="2"/>
  <c r="Y1999" i="2"/>
  <c r="Z2000" i="2"/>
  <c r="Y2000" i="2"/>
  <c r="Z2001" i="2"/>
  <c r="Y2001" i="2"/>
  <c r="Z2002" i="2"/>
  <c r="Y2002" i="2"/>
  <c r="Z2003" i="2"/>
  <c r="Y2003" i="2"/>
  <c r="Z2004" i="2"/>
  <c r="Y2004" i="2"/>
  <c r="Z2005" i="2"/>
  <c r="Y2005" i="2"/>
  <c r="Z2006" i="2"/>
  <c r="Y2006" i="2"/>
  <c r="Z2007" i="2"/>
  <c r="Y2007" i="2"/>
  <c r="Z2008" i="2"/>
  <c r="Y2008" i="2"/>
  <c r="Z2009" i="2"/>
  <c r="Y2009" i="2"/>
  <c r="Z2010" i="2"/>
  <c r="Y2010" i="2"/>
  <c r="Z2012" i="2"/>
  <c r="Y2012" i="2"/>
  <c r="Z2013" i="2"/>
  <c r="Y2013" i="2"/>
  <c r="Z2014" i="2"/>
  <c r="Y2014" i="2"/>
  <c r="Z2015" i="2"/>
  <c r="Y2015" i="2"/>
  <c r="Z2025" i="2"/>
  <c r="Y2025" i="2"/>
  <c r="Z2026" i="2"/>
  <c r="Y2026" i="2"/>
  <c r="Z2030" i="2"/>
  <c r="Y2030" i="2"/>
  <c r="Z2031" i="2"/>
  <c r="Y2031" i="2"/>
  <c r="Z2032" i="2"/>
  <c r="Y2032" i="2"/>
  <c r="Z2033" i="2"/>
  <c r="Y2033" i="2"/>
  <c r="Z2034" i="2"/>
  <c r="Y2034" i="2"/>
  <c r="Z2036" i="2"/>
  <c r="Y2036" i="2"/>
  <c r="Z2042" i="2"/>
  <c r="Y2042" i="2"/>
  <c r="Z2044" i="2"/>
  <c r="Y2044" i="2"/>
  <c r="Z2052" i="2"/>
  <c r="Y2052" i="2"/>
  <c r="Z2053" i="2"/>
  <c r="Y2053" i="2"/>
  <c r="Z2054" i="2"/>
  <c r="Y2054" i="2"/>
  <c r="Z2055" i="2"/>
  <c r="Y2055" i="2"/>
  <c r="Z2059" i="2"/>
  <c r="Y2059" i="2"/>
  <c r="Z2061" i="2"/>
  <c r="Y2061" i="2"/>
  <c r="Z2062" i="2"/>
  <c r="Y2062" i="2"/>
  <c r="Z2063" i="2"/>
  <c r="Y2063" i="2"/>
  <c r="Z2065" i="2"/>
  <c r="Y2065" i="2"/>
  <c r="Z2066" i="2"/>
  <c r="Y2066" i="2"/>
  <c r="Z2067" i="2"/>
  <c r="Y2067" i="2"/>
  <c r="Z2068" i="2"/>
  <c r="Y2068" i="2"/>
  <c r="Z2069" i="2"/>
  <c r="Y2069" i="2"/>
  <c r="Z2070" i="2"/>
  <c r="Y2070" i="2"/>
  <c r="Z2071" i="2"/>
  <c r="Y2071" i="2"/>
  <c r="Z2072" i="2"/>
  <c r="Y2072" i="2"/>
  <c r="Z2073" i="2"/>
  <c r="Y2073" i="2"/>
  <c r="Z2074" i="2"/>
  <c r="Y2074" i="2"/>
  <c r="Z2075" i="2"/>
  <c r="Y2075" i="2"/>
  <c r="Z2078" i="2"/>
  <c r="Y2078" i="2"/>
  <c r="Z2080" i="2"/>
  <c r="Y2080" i="2"/>
  <c r="Z2081" i="2"/>
  <c r="Y2081" i="2"/>
  <c r="Z2082" i="2"/>
  <c r="Y2082" i="2"/>
  <c r="Z2084" i="2"/>
  <c r="Y2084" i="2"/>
  <c r="Z2087" i="2"/>
  <c r="Y2087" i="2"/>
  <c r="Z2106" i="2"/>
  <c r="Y2106" i="2"/>
  <c r="Z2107" i="2"/>
  <c r="Y2107" i="2"/>
  <c r="Z2108" i="2"/>
  <c r="Y2108" i="2"/>
  <c r="Z2110" i="2"/>
  <c r="Y2110" i="2"/>
  <c r="Z2111" i="2"/>
  <c r="Y2111" i="2"/>
  <c r="Z2112" i="2"/>
  <c r="Y2112" i="2"/>
  <c r="Z2113" i="2"/>
  <c r="Y2113" i="2"/>
  <c r="Z2114" i="2"/>
  <c r="Y2114" i="2"/>
  <c r="Z2115" i="2"/>
  <c r="Y2115" i="2"/>
  <c r="Z2116" i="2"/>
  <c r="Y2116" i="2"/>
  <c r="Z2124" i="2"/>
  <c r="Y2124" i="2"/>
  <c r="Z2125" i="2"/>
  <c r="Y2125" i="2"/>
  <c r="Z2126" i="2"/>
  <c r="Y2126" i="2"/>
  <c r="Z2127" i="2"/>
  <c r="Y2127" i="2"/>
  <c r="Z2128" i="2"/>
  <c r="Y2128" i="2"/>
  <c r="Z2129" i="2"/>
  <c r="Y2129" i="2"/>
  <c r="Z2130" i="2"/>
  <c r="Y2130" i="2"/>
  <c r="Z2131" i="2"/>
  <c r="Y2131" i="2"/>
  <c r="Z2132" i="2"/>
  <c r="Y2132" i="2"/>
  <c r="Z2133" i="2"/>
  <c r="Y2133" i="2"/>
  <c r="Z2137" i="2"/>
  <c r="Y2137" i="2"/>
  <c r="Z2138" i="2"/>
  <c r="Y2138" i="2"/>
  <c r="Z2140" i="2"/>
  <c r="Y2140" i="2"/>
  <c r="Z2141" i="2"/>
  <c r="Y2141" i="2"/>
  <c r="Z2142" i="2"/>
  <c r="Y2142" i="2"/>
  <c r="Z2143" i="2"/>
  <c r="Y2143" i="2"/>
  <c r="Z2144" i="2"/>
  <c r="Y2144" i="2"/>
  <c r="Z2145" i="2"/>
  <c r="Y2145" i="2"/>
  <c r="Z2146" i="2"/>
  <c r="Y2146" i="2"/>
  <c r="Z2147" i="2"/>
  <c r="Y2147" i="2"/>
  <c r="Z2153" i="2"/>
  <c r="Y2153" i="2"/>
  <c r="Z2154" i="2"/>
  <c r="Y2154" i="2"/>
  <c r="Z2155" i="2"/>
  <c r="Y2155" i="2"/>
  <c r="Z2156" i="2"/>
  <c r="Y2156" i="2"/>
  <c r="Z2157" i="2"/>
  <c r="Y2157" i="2"/>
  <c r="Z2158" i="2"/>
  <c r="Y2158" i="2"/>
  <c r="Z2159" i="2"/>
  <c r="Y2159" i="2"/>
  <c r="Z2165" i="2"/>
  <c r="Y2165" i="2"/>
  <c r="Z2170" i="2"/>
  <c r="Y2170" i="2"/>
  <c r="Z2176" i="2"/>
  <c r="Y2176" i="2"/>
  <c r="Z2177" i="2"/>
  <c r="Y2177" i="2"/>
  <c r="Z2178" i="2"/>
  <c r="Y2178" i="2"/>
  <c r="Z2179" i="2"/>
  <c r="Y2179" i="2"/>
  <c r="Z2180" i="2"/>
  <c r="Y2180" i="2"/>
  <c r="Z2182" i="2"/>
  <c r="Y2182" i="2"/>
  <c r="Z2193" i="2"/>
  <c r="Y2193" i="2"/>
  <c r="Z2194" i="2"/>
  <c r="Y2194" i="2"/>
  <c r="Z2195" i="2"/>
  <c r="Y2195" i="2"/>
  <c r="Z2196" i="2"/>
  <c r="Y2196" i="2"/>
  <c r="Z2197" i="2"/>
  <c r="Y2197" i="2"/>
  <c r="Z2198" i="2"/>
  <c r="Y2198" i="2"/>
  <c r="Z2199" i="2"/>
  <c r="Y2199" i="2"/>
  <c r="Z2200" i="2"/>
  <c r="Y2200" i="2"/>
  <c r="Z2201" i="2"/>
  <c r="Y2201" i="2"/>
  <c r="Z2202" i="2"/>
  <c r="Y2202" i="2"/>
  <c r="Z2204" i="2"/>
  <c r="Y2204" i="2"/>
  <c r="Z2205" i="2"/>
  <c r="Y2205" i="2"/>
  <c r="Z2206" i="2"/>
  <c r="Y2206" i="2"/>
  <c r="Z2207" i="2"/>
  <c r="Y2207" i="2"/>
  <c r="Z2219" i="2"/>
  <c r="Y2219" i="2"/>
  <c r="Z2221" i="2"/>
  <c r="Y2221" i="2"/>
  <c r="Z2223" i="2"/>
  <c r="Y2223" i="2"/>
  <c r="Z2225" i="2"/>
  <c r="Y2225" i="2"/>
  <c r="Z2226" i="2"/>
  <c r="Y2226" i="2"/>
  <c r="Z2227" i="2"/>
  <c r="Y2227" i="2"/>
  <c r="Z2229" i="2"/>
  <c r="Y2229" i="2"/>
  <c r="Z2230" i="2"/>
  <c r="Y2230" i="2"/>
  <c r="Z2231" i="2"/>
  <c r="Y2231" i="2"/>
  <c r="Z2232" i="2"/>
  <c r="Y2232" i="2"/>
  <c r="Z2233" i="2"/>
  <c r="Y2233" i="2"/>
  <c r="Z2236" i="2"/>
  <c r="Y2236" i="2"/>
  <c r="Z2237" i="2"/>
  <c r="Y2237" i="2"/>
  <c r="Z2238" i="2"/>
  <c r="Y2238" i="2"/>
  <c r="Z2243" i="2"/>
  <c r="Y2243" i="2"/>
  <c r="Z2251" i="2"/>
  <c r="Y2251" i="2"/>
  <c r="Z2253" i="2"/>
  <c r="Y2253" i="2"/>
  <c r="Z2255" i="2"/>
  <c r="Y2255" i="2"/>
  <c r="Z2265" i="2"/>
  <c r="Y2265" i="2"/>
  <c r="Z2266" i="2"/>
  <c r="Y2266" i="2"/>
  <c r="Z2267" i="2"/>
  <c r="Y2267" i="2"/>
  <c r="Z2268" i="2"/>
  <c r="Y2268" i="2"/>
  <c r="Z2269" i="2"/>
  <c r="Y2269" i="2"/>
  <c r="Z2280" i="2"/>
  <c r="Y2280" i="2"/>
  <c r="Z2281" i="2"/>
  <c r="Y2281" i="2"/>
  <c r="Z2282" i="2"/>
  <c r="Y2282" i="2"/>
  <c r="Z2283" i="2"/>
  <c r="Y2283" i="2"/>
  <c r="Z2284" i="2"/>
  <c r="Y2284" i="2"/>
  <c r="Z2288" i="2"/>
  <c r="Y2288" i="2"/>
  <c r="Z2290" i="2"/>
  <c r="Y2290" i="2"/>
  <c r="Z2291" i="2"/>
  <c r="Y2291" i="2"/>
  <c r="Z2292" i="2"/>
  <c r="Y2292" i="2"/>
  <c r="Z2294" i="2"/>
  <c r="Y2294" i="2"/>
  <c r="Z2298" i="2"/>
  <c r="Y2298" i="2"/>
  <c r="Z2301" i="2"/>
  <c r="Y2301" i="2"/>
  <c r="Z2302" i="2"/>
  <c r="Y2302" i="2"/>
  <c r="Z2303" i="2"/>
  <c r="Y2303" i="2"/>
  <c r="Z2304" i="2"/>
  <c r="Y2304" i="2"/>
  <c r="Z2305" i="2"/>
  <c r="Y2305" i="2"/>
  <c r="Z2309" i="2"/>
  <c r="Y2309" i="2"/>
  <c r="Z2311" i="2"/>
  <c r="Y2311" i="2"/>
  <c r="Z2313" i="2"/>
  <c r="Y2313" i="2"/>
  <c r="Z2314" i="2"/>
  <c r="Y2314" i="2"/>
  <c r="Z2315" i="2"/>
  <c r="Y2315" i="2"/>
  <c r="Z2328" i="2"/>
  <c r="Y2328" i="2"/>
  <c r="Z2332" i="2"/>
  <c r="Y2332" i="2"/>
  <c r="Z2334" i="2"/>
  <c r="Y2334" i="2"/>
  <c r="Z2335" i="2"/>
  <c r="Y2335" i="2"/>
  <c r="Z2336" i="2"/>
  <c r="Y2336" i="2"/>
  <c r="Z2337" i="2"/>
  <c r="Y2337" i="2"/>
  <c r="Z2338" i="2"/>
  <c r="Y2338" i="2"/>
  <c r="Z2339" i="2"/>
  <c r="Y2339" i="2"/>
  <c r="Z2340" i="2"/>
  <c r="Y2340" i="2"/>
  <c r="Z2341" i="2"/>
  <c r="Y2341" i="2"/>
  <c r="Z2343" i="2"/>
  <c r="Y2343" i="2"/>
  <c r="Z2345" i="2"/>
  <c r="Y2345" i="2"/>
  <c r="Z2347" i="2"/>
  <c r="Y2347" i="2"/>
  <c r="Z2349" i="2"/>
  <c r="Y2349" i="2"/>
  <c r="Z2350" i="2"/>
  <c r="Y2350" i="2"/>
  <c r="Z2354" i="2"/>
  <c r="Y2354" i="2"/>
  <c r="Z2356" i="2"/>
  <c r="Y2356" i="2"/>
  <c r="Z2359" i="2"/>
  <c r="Y2359" i="2"/>
  <c r="Z2360" i="2"/>
  <c r="Y2360" i="2"/>
  <c r="Z2369" i="2"/>
  <c r="Y2369" i="2"/>
  <c r="Z2371" i="2"/>
  <c r="Y2371" i="2"/>
  <c r="Z2372" i="2"/>
  <c r="Y2372" i="2"/>
  <c r="Z2373" i="2"/>
  <c r="Y2373" i="2"/>
  <c r="Z2375" i="2"/>
  <c r="Y2375" i="2"/>
  <c r="Z2376" i="2"/>
  <c r="Y2376" i="2"/>
  <c r="Z2378" i="2"/>
  <c r="Y2378" i="2"/>
  <c r="Z2379" i="2"/>
  <c r="Y2379" i="2"/>
  <c r="Z2380" i="2"/>
  <c r="Y2380" i="2"/>
  <c r="Z2381" i="2"/>
  <c r="Y2381" i="2"/>
  <c r="Z2382" i="2"/>
  <c r="Y2382" i="2"/>
  <c r="Z2383" i="2"/>
  <c r="Y2383" i="2"/>
  <c r="Z2388" i="2"/>
  <c r="Y2388" i="2"/>
  <c r="Z2391" i="2"/>
  <c r="Y2391" i="2"/>
  <c r="Z2392" i="2"/>
  <c r="Y2392" i="2"/>
  <c r="Z2393" i="2"/>
  <c r="Y2393" i="2"/>
  <c r="Z2394" i="2"/>
  <c r="Y2394" i="2"/>
  <c r="Z2395" i="2"/>
  <c r="Y2395" i="2"/>
  <c r="Z2396" i="2"/>
  <c r="Y2396" i="2"/>
  <c r="Z2397" i="2"/>
  <c r="Y2397" i="2"/>
  <c r="Z2398" i="2"/>
  <c r="Y2398" i="2"/>
  <c r="Z2399" i="2"/>
  <c r="Y2399" i="2"/>
  <c r="Z2400" i="2"/>
  <c r="Y2400" i="2"/>
  <c r="Z2401" i="2"/>
  <c r="Y2401" i="2"/>
  <c r="Z2402" i="2"/>
  <c r="Y2402" i="2"/>
  <c r="Z2403" i="2"/>
  <c r="Y2403" i="2"/>
  <c r="Z2404" i="2"/>
  <c r="Y2404" i="2"/>
  <c r="Z2405" i="2"/>
  <c r="Y2405" i="2"/>
  <c r="Z2406" i="2"/>
  <c r="Y2406" i="2"/>
  <c r="Z2407" i="2"/>
  <c r="Y2407" i="2"/>
  <c r="Z2408" i="2"/>
  <c r="Y2408" i="2"/>
  <c r="Z2409" i="2"/>
  <c r="Y2409" i="2"/>
  <c r="Z2410" i="2"/>
  <c r="Y2410" i="2"/>
  <c r="Z2411" i="2"/>
  <c r="Y2411" i="2"/>
  <c r="Z2412" i="2"/>
  <c r="Y2412" i="2"/>
  <c r="Z2413" i="2"/>
  <c r="Y2413" i="2"/>
  <c r="Z2415" i="2"/>
  <c r="Y2415" i="2"/>
  <c r="Z2421" i="2"/>
  <c r="Y2421" i="2"/>
  <c r="Z2424" i="2"/>
  <c r="Y2424" i="2"/>
  <c r="Z2425" i="2"/>
  <c r="Y2425" i="2"/>
  <c r="Z2426" i="2"/>
  <c r="Y2426" i="2"/>
  <c r="Z2428" i="2"/>
  <c r="Y2428" i="2"/>
  <c r="Z2429" i="2"/>
  <c r="Y2429" i="2"/>
  <c r="Z2430" i="2"/>
  <c r="Y2430" i="2"/>
  <c r="Z2431" i="2"/>
  <c r="Y2431" i="2"/>
  <c r="Z2432" i="2"/>
  <c r="Y2432" i="2"/>
  <c r="Z2454" i="2"/>
  <c r="Y2454" i="2"/>
  <c r="Z2455" i="2"/>
  <c r="Y2455" i="2"/>
  <c r="Z2474" i="2"/>
  <c r="Y2474" i="2"/>
  <c r="Z2476" i="2"/>
  <c r="Y2476" i="2"/>
  <c r="Z2477" i="2"/>
  <c r="Y2477" i="2"/>
  <c r="Z2478" i="2"/>
  <c r="Y2478" i="2"/>
  <c r="Z2479" i="2"/>
  <c r="Y2479" i="2"/>
  <c r="Z2480" i="2"/>
  <c r="Y2480" i="2"/>
  <c r="Z2481" i="2"/>
  <c r="Y2481" i="2"/>
  <c r="Z2482" i="2"/>
  <c r="Y2482" i="2"/>
  <c r="Z2483" i="2"/>
  <c r="Y2483" i="2"/>
  <c r="Z2484" i="2"/>
  <c r="Y2484" i="2"/>
  <c r="Z2487" i="2"/>
  <c r="Y2487" i="2"/>
  <c r="Z2494" i="2"/>
  <c r="Y2494" i="2"/>
  <c r="Z2495" i="2"/>
  <c r="Y2495" i="2"/>
  <c r="Z2496" i="2"/>
  <c r="Y2496" i="2"/>
  <c r="Z2497" i="2"/>
  <c r="Y2497" i="2"/>
  <c r="Z2498" i="2"/>
  <c r="Y2498" i="2"/>
  <c r="Z2499" i="2"/>
  <c r="Y2499" i="2"/>
  <c r="Z2500" i="2"/>
  <c r="Y2500" i="2"/>
  <c r="Z2501" i="2"/>
  <c r="Y2501" i="2"/>
  <c r="Z2502" i="2"/>
  <c r="Y2502" i="2"/>
  <c r="Z2503" i="2"/>
  <c r="Y2503" i="2"/>
  <c r="Z2504" i="2"/>
  <c r="Y2504" i="2"/>
  <c r="Z2505" i="2"/>
  <c r="Y2505" i="2"/>
  <c r="Z2506" i="2"/>
  <c r="Y2506" i="2"/>
  <c r="Z2507" i="2"/>
  <c r="Y2507" i="2"/>
  <c r="Z2508" i="2"/>
  <c r="Y2508" i="2"/>
  <c r="Z2509" i="2"/>
  <c r="Y2509" i="2"/>
  <c r="Z2510" i="2"/>
  <c r="Y2510" i="2"/>
  <c r="Z2511" i="2"/>
  <c r="Y2511" i="2"/>
  <c r="Z2512" i="2"/>
  <c r="Y2512" i="2"/>
  <c r="Z2513" i="2"/>
  <c r="Y2513" i="2"/>
  <c r="Z2514" i="2"/>
  <c r="Y2514" i="2"/>
  <c r="Z2515" i="2"/>
  <c r="Y2515" i="2"/>
  <c r="Z2519" i="2"/>
  <c r="Y2519" i="2"/>
  <c r="Z2520" i="2"/>
  <c r="Y2520" i="2"/>
  <c r="Z2521" i="2"/>
  <c r="Y2521" i="2"/>
  <c r="Z2523" i="2"/>
  <c r="Y2523" i="2"/>
  <c r="Z2524" i="2"/>
  <c r="Y2524" i="2"/>
  <c r="Z2525" i="2"/>
  <c r="Y2525" i="2"/>
  <c r="Z2526" i="2"/>
  <c r="Y2526" i="2"/>
  <c r="Z2527" i="2"/>
  <c r="Y2527" i="2"/>
  <c r="Z2530" i="2"/>
  <c r="Y2530" i="2"/>
  <c r="Z2535" i="2"/>
  <c r="Y2535" i="2"/>
  <c r="Z2538" i="2"/>
  <c r="Y2538" i="2"/>
  <c r="Z2539" i="2"/>
  <c r="Y2539" i="2"/>
  <c r="Z2540" i="2"/>
  <c r="Y2540" i="2"/>
  <c r="Z2541" i="2"/>
  <c r="Y2541" i="2"/>
  <c r="Z2561" i="2"/>
  <c r="Y2561" i="2"/>
  <c r="Z2588" i="2"/>
  <c r="Y2588" i="2"/>
  <c r="Z2589" i="2"/>
  <c r="Y2589" i="2"/>
  <c r="Z2590" i="2"/>
  <c r="Y2590" i="2"/>
  <c r="Z2591" i="2"/>
  <c r="Y2591" i="2"/>
  <c r="Z2593" i="2"/>
  <c r="Y2593" i="2"/>
  <c r="Z2594" i="2"/>
  <c r="Y2594" i="2"/>
  <c r="Z2595" i="2"/>
  <c r="Y2595" i="2"/>
  <c r="Z2596" i="2"/>
  <c r="Y2596" i="2"/>
  <c r="Z2597" i="2"/>
  <c r="Y2597" i="2"/>
  <c r="Z2598" i="2"/>
  <c r="Y2598" i="2"/>
  <c r="Z2614" i="2"/>
  <c r="Y2614" i="2"/>
  <c r="Z2615" i="2"/>
  <c r="Y2615" i="2"/>
  <c r="Z2616" i="2"/>
  <c r="Y2616" i="2"/>
  <c r="Z2617" i="2"/>
  <c r="Y2617" i="2"/>
  <c r="Z2637" i="2"/>
  <c r="Y2637" i="2"/>
  <c r="Z2638" i="2"/>
  <c r="Y2638" i="2"/>
  <c r="Z2639" i="2"/>
  <c r="Y2639" i="2"/>
  <c r="Z2640" i="2"/>
  <c r="Y2640" i="2"/>
  <c r="Z2644" i="2"/>
  <c r="Y2644" i="2"/>
  <c r="Z2645" i="2"/>
  <c r="Y2645" i="2"/>
  <c r="Z2646" i="2"/>
  <c r="Y2646" i="2"/>
  <c r="Z2647" i="2"/>
  <c r="Y2647" i="2"/>
  <c r="Z2654" i="2"/>
  <c r="Y2654" i="2"/>
  <c r="Z2655" i="2"/>
  <c r="Y2655" i="2"/>
  <c r="Z2656" i="2"/>
  <c r="Y2656" i="2"/>
  <c r="Z2657" i="2"/>
  <c r="Y2657" i="2"/>
  <c r="Z2658" i="2"/>
  <c r="Y2658" i="2"/>
  <c r="Z2659" i="2"/>
  <c r="Y2659" i="2"/>
  <c r="Z2662" i="2"/>
  <c r="Y2662" i="2"/>
  <c r="Z2665" i="2"/>
  <c r="Y2665" i="2"/>
  <c r="Z2667" i="2"/>
  <c r="Y2667" i="2"/>
  <c r="Z2673" i="2"/>
  <c r="Y2673" i="2"/>
  <c r="Z2674" i="2"/>
  <c r="Y2674" i="2"/>
  <c r="Z2675" i="2"/>
  <c r="Y2675" i="2"/>
  <c r="Z2676" i="2"/>
  <c r="Y2676" i="2"/>
  <c r="Z2677" i="2"/>
  <c r="Y2677" i="2"/>
  <c r="Z2679" i="2"/>
  <c r="Y2679" i="2"/>
  <c r="Z2680" i="2"/>
  <c r="Y2680" i="2"/>
  <c r="Z2688" i="2"/>
  <c r="Y2688" i="2"/>
  <c r="Z2689" i="2"/>
  <c r="Y2689" i="2"/>
  <c r="Z2690" i="2"/>
  <c r="Y2690" i="2"/>
  <c r="Z2691" i="2"/>
  <c r="Y2691" i="2"/>
  <c r="Z2692" i="2"/>
  <c r="Y2692" i="2"/>
  <c r="Z2693" i="2"/>
  <c r="Y2693" i="2"/>
  <c r="Z2694" i="2"/>
  <c r="Y2694" i="2"/>
  <c r="Z2695" i="2"/>
  <c r="Y2695" i="2"/>
  <c r="Z2698" i="2"/>
  <c r="Y2698" i="2"/>
  <c r="Z2699" i="2"/>
  <c r="Y2699" i="2"/>
  <c r="Z2700" i="2"/>
  <c r="Y2700" i="2"/>
  <c r="Z2701" i="2"/>
  <c r="Y2701" i="2"/>
  <c r="Z2702" i="2"/>
  <c r="Y2702" i="2"/>
  <c r="Z2704" i="2"/>
  <c r="Y2704" i="2"/>
  <c r="Z2705" i="2"/>
  <c r="Y2705" i="2"/>
  <c r="Z2706" i="2"/>
  <c r="Y2706" i="2"/>
  <c r="Z2708" i="2"/>
  <c r="Y2708" i="2"/>
  <c r="Z2709" i="2"/>
  <c r="Y2709" i="2"/>
  <c r="Z2710" i="2"/>
  <c r="Y2710" i="2"/>
  <c r="Z2714" i="2"/>
  <c r="Y2714" i="2"/>
  <c r="Z2719" i="2"/>
  <c r="Y2719" i="2"/>
  <c r="Z2729" i="2"/>
  <c r="Y2729" i="2"/>
  <c r="Z2730" i="2"/>
  <c r="Y2730" i="2"/>
  <c r="Z2731" i="2"/>
  <c r="Y2731" i="2"/>
  <c r="Z2732" i="2"/>
  <c r="Y2732" i="2"/>
  <c r="Z2733" i="2"/>
  <c r="Y2733" i="2"/>
  <c r="Z2734" i="2"/>
  <c r="Y2734" i="2"/>
  <c r="Z2736" i="2"/>
  <c r="Y2736" i="2"/>
  <c r="Z2737" i="2"/>
  <c r="Y2737" i="2"/>
  <c r="Z2741" i="2"/>
  <c r="Y2741" i="2"/>
  <c r="Z2742" i="2"/>
  <c r="Y2742" i="2"/>
  <c r="Z2750" i="2"/>
  <c r="Y2750" i="2"/>
  <c r="Z2751" i="2"/>
  <c r="Y2751" i="2"/>
  <c r="Z2752" i="2"/>
  <c r="Y2752" i="2"/>
  <c r="Z2753" i="2"/>
  <c r="Y2753" i="2"/>
  <c r="Z2754" i="2"/>
  <c r="Y2754" i="2"/>
  <c r="Z2755" i="2"/>
  <c r="Y2755" i="2"/>
  <c r="Z2756" i="2"/>
  <c r="Y2756" i="2"/>
  <c r="Z2757" i="2"/>
  <c r="Y2757" i="2"/>
  <c r="Z2758" i="2"/>
  <c r="Y2758" i="2"/>
  <c r="Z2759" i="2"/>
  <c r="Y2759" i="2"/>
  <c r="Z2775" i="2"/>
  <c r="Y2775" i="2"/>
  <c r="Z2778" i="2"/>
  <c r="Y2778" i="2"/>
  <c r="Z2779" i="2"/>
  <c r="Y2779" i="2"/>
  <c r="Z2780" i="2"/>
  <c r="Y2780" i="2"/>
  <c r="Z2781" i="2"/>
  <c r="Y2781" i="2"/>
  <c r="Z2782" i="2"/>
  <c r="Y2782" i="2"/>
  <c r="Z2783" i="2"/>
  <c r="Y2783" i="2"/>
  <c r="Z2785" i="2"/>
  <c r="Y2785" i="2"/>
  <c r="Z2786" i="2"/>
  <c r="Y2786" i="2"/>
  <c r="Z2787" i="2"/>
  <c r="Y2787" i="2"/>
  <c r="Z2788" i="2"/>
  <c r="Y2788" i="2"/>
  <c r="Z2789" i="2"/>
  <c r="Y2789" i="2"/>
  <c r="Z2791" i="2"/>
  <c r="Y2791" i="2"/>
  <c r="Z2792" i="2"/>
  <c r="Y2792" i="2"/>
  <c r="Z2793" i="2"/>
  <c r="Y2793" i="2"/>
  <c r="Z2795" i="2"/>
  <c r="Y2795" i="2"/>
  <c r="Z2797" i="2"/>
  <c r="Y2797" i="2"/>
  <c r="Z2798" i="2"/>
  <c r="Y2798" i="2"/>
  <c r="Z2799" i="2"/>
  <c r="Y2799" i="2"/>
  <c r="Z2800" i="2"/>
  <c r="Y2800" i="2"/>
  <c r="Z2801" i="2"/>
  <c r="Y2801" i="2"/>
  <c r="Z2804" i="2"/>
  <c r="Y2804" i="2"/>
  <c r="Z2805" i="2"/>
  <c r="Y2805" i="2"/>
  <c r="Z2806" i="2"/>
  <c r="Y2806" i="2"/>
  <c r="Z2807" i="2"/>
  <c r="Y2807" i="2"/>
  <c r="Z2809" i="2"/>
  <c r="Y2809" i="2"/>
  <c r="Z2810" i="2"/>
  <c r="Y2810" i="2"/>
  <c r="Z2813" i="2"/>
  <c r="Y2813" i="2"/>
  <c r="Z2814" i="2"/>
  <c r="Y2814" i="2"/>
  <c r="Z2819" i="2"/>
  <c r="Y2819" i="2"/>
  <c r="Z2820" i="2"/>
  <c r="Y2820" i="2"/>
  <c r="Z2821" i="2"/>
  <c r="Y2821" i="2"/>
  <c r="Z2822" i="2"/>
  <c r="Y2822" i="2"/>
  <c r="Z2823" i="2"/>
  <c r="Y2823" i="2"/>
  <c r="Z2824" i="2"/>
  <c r="Y2824" i="2"/>
  <c r="Z2828" i="2"/>
  <c r="Y2828" i="2"/>
  <c r="Z2829" i="2"/>
  <c r="Y2829" i="2"/>
  <c r="Z2830" i="2"/>
  <c r="Y2830" i="2"/>
  <c r="Z2831" i="2"/>
  <c r="Y2831" i="2"/>
  <c r="Z2832" i="2"/>
  <c r="Y2832" i="2"/>
  <c r="Z2833" i="2"/>
  <c r="Y2833" i="2"/>
  <c r="Z2835" i="2"/>
  <c r="Y2835" i="2"/>
  <c r="Z2845" i="2"/>
  <c r="Y2845" i="2"/>
  <c r="Z2846" i="2"/>
  <c r="Y2846" i="2"/>
  <c r="Z2847" i="2"/>
  <c r="Y2847" i="2"/>
  <c r="Z2848" i="2"/>
  <c r="Y2848" i="2"/>
  <c r="Z2854" i="2"/>
  <c r="Y2854" i="2"/>
  <c r="Z2858" i="2"/>
  <c r="Y2858" i="2"/>
  <c r="Z2859" i="2"/>
  <c r="Y2859" i="2"/>
  <c r="Z2860" i="2"/>
  <c r="Y2860" i="2"/>
  <c r="Z2861" i="2"/>
  <c r="Y2861" i="2"/>
  <c r="Z2866" i="2"/>
  <c r="Y2866" i="2"/>
  <c r="Z2867" i="2"/>
  <c r="Y2867" i="2"/>
  <c r="Z2868" i="2"/>
  <c r="Y2868" i="2"/>
  <c r="Z2869" i="2"/>
  <c r="Y2869" i="2"/>
  <c r="Z2870" i="2"/>
  <c r="Y2870" i="2"/>
  <c r="Z2871" i="2"/>
  <c r="Y2871" i="2"/>
  <c r="Z2884" i="2"/>
  <c r="Y2884" i="2"/>
  <c r="Z2896" i="2"/>
  <c r="Y2896" i="2"/>
  <c r="Z2900" i="2"/>
  <c r="Y2900" i="2"/>
  <c r="Z2902" i="2"/>
  <c r="Y2902" i="2"/>
  <c r="Z2903" i="2"/>
  <c r="Y2903" i="2"/>
  <c r="Z2904" i="2"/>
  <c r="Y2904" i="2"/>
  <c r="Z2905" i="2"/>
  <c r="Y2905" i="2"/>
  <c r="Z2906" i="2"/>
  <c r="Y2906" i="2"/>
  <c r="Z2907" i="2"/>
  <c r="Y2907" i="2"/>
  <c r="Z2908" i="2"/>
  <c r="Y2908" i="2"/>
  <c r="Z2909" i="2"/>
  <c r="Y2909" i="2"/>
  <c r="Z2910" i="2"/>
  <c r="Y2910" i="2"/>
  <c r="Z2911" i="2"/>
  <c r="Y2911" i="2"/>
  <c r="Z2913" i="2"/>
  <c r="Y2913" i="2"/>
  <c r="Z2914" i="2"/>
  <c r="Y2914" i="2"/>
  <c r="Z2915" i="2"/>
  <c r="Y2915" i="2"/>
  <c r="Z2916" i="2"/>
  <c r="Y2916" i="2"/>
  <c r="Z2917" i="2"/>
  <c r="Y2917" i="2"/>
  <c r="Z2920" i="2"/>
  <c r="Y2920" i="2"/>
  <c r="Z2923" i="2"/>
  <c r="Y2923" i="2"/>
  <c r="Z2924" i="2"/>
  <c r="Y2924" i="2"/>
  <c r="Z2925" i="2"/>
  <c r="Y2925" i="2"/>
  <c r="Z2926" i="2"/>
  <c r="Y2926" i="2"/>
  <c r="Z2927" i="2"/>
  <c r="Y2927" i="2"/>
  <c r="Z2929" i="2"/>
  <c r="Y2929" i="2"/>
  <c r="Z2930" i="2"/>
  <c r="Y2930" i="2"/>
  <c r="Z2933" i="2"/>
  <c r="Y2933" i="2"/>
  <c r="Z2934" i="2"/>
  <c r="Y2934" i="2"/>
  <c r="Z2936" i="2"/>
  <c r="Y2936" i="2"/>
  <c r="Z2949" i="2"/>
  <c r="Y2949" i="2"/>
  <c r="Z2950" i="2"/>
  <c r="Y2950" i="2"/>
  <c r="Z2951" i="2"/>
  <c r="Y2951" i="2"/>
  <c r="Z2952" i="2"/>
  <c r="Y2952" i="2"/>
  <c r="Z2954" i="2"/>
  <c r="Y2954" i="2"/>
  <c r="Z2955" i="2"/>
  <c r="Y2955" i="2"/>
  <c r="Z2957" i="2"/>
  <c r="Y2957" i="2"/>
  <c r="Z2963" i="2"/>
  <c r="Y2963" i="2"/>
  <c r="Z2964" i="2"/>
  <c r="Y2964" i="2"/>
  <c r="Z2966" i="2"/>
  <c r="Y2966" i="2"/>
  <c r="Z2967" i="2"/>
  <c r="Y2967" i="2"/>
  <c r="Z2970" i="2"/>
  <c r="Y2970" i="2"/>
  <c r="Z2971" i="2"/>
  <c r="Y2971" i="2"/>
  <c r="Z2972" i="2"/>
  <c r="Y2972" i="2"/>
  <c r="Z2973" i="2"/>
  <c r="Y2973" i="2"/>
  <c r="Z2974" i="2"/>
  <c r="Y2974" i="2"/>
  <c r="Z2975" i="2"/>
  <c r="Y2975" i="2"/>
  <c r="Z2976" i="2"/>
  <c r="Y2976" i="2"/>
  <c r="Z2977" i="2"/>
  <c r="Y2977" i="2"/>
  <c r="Z2979" i="2"/>
  <c r="Y2979" i="2"/>
  <c r="Z2980" i="2"/>
  <c r="Y2980" i="2"/>
  <c r="Z2981" i="2"/>
  <c r="Y2981" i="2"/>
  <c r="Z2982" i="2"/>
  <c r="Y2982" i="2"/>
  <c r="Z2983" i="2"/>
  <c r="Y2983" i="2"/>
  <c r="Z2984" i="2"/>
  <c r="Y2984" i="2"/>
  <c r="Z2985" i="2"/>
  <c r="Y2985" i="2"/>
  <c r="Z2987" i="2"/>
  <c r="Y2987" i="2"/>
  <c r="Z2988" i="2"/>
  <c r="Y2988" i="2"/>
  <c r="Z2989" i="2"/>
  <c r="Y2989" i="2"/>
  <c r="Z2993" i="2"/>
  <c r="Y2993" i="2"/>
  <c r="Z2994" i="2"/>
  <c r="Y2994" i="2"/>
  <c r="Z2995" i="2"/>
  <c r="Y2995" i="2"/>
  <c r="Z3003" i="2"/>
  <c r="Y3003" i="2"/>
  <c r="Z3011" i="2"/>
  <c r="Y3011" i="2"/>
  <c r="Z3012" i="2"/>
  <c r="Y3012" i="2"/>
  <c r="Z3013" i="2"/>
  <c r="Y3013" i="2"/>
  <c r="Z3014" i="2"/>
  <c r="Y3014" i="2"/>
  <c r="Z3016" i="2"/>
  <c r="Y3016" i="2"/>
  <c r="Z3018" i="2"/>
  <c r="Y3018" i="2"/>
  <c r="Z3019" i="2"/>
  <c r="Y3019" i="2"/>
  <c r="Z3021" i="2"/>
  <c r="Y3021" i="2"/>
  <c r="Z3026" i="2"/>
  <c r="Y3026" i="2"/>
  <c r="Z3027" i="2"/>
  <c r="Y3027" i="2"/>
  <c r="Z3028" i="2"/>
  <c r="Y3028" i="2"/>
  <c r="Z3029" i="2"/>
  <c r="Y3029" i="2"/>
  <c r="Z3030" i="2"/>
  <c r="Y3030" i="2"/>
  <c r="Z3033" i="2"/>
  <c r="Y3033" i="2"/>
  <c r="Z3034" i="2"/>
  <c r="Y3034" i="2"/>
  <c r="Z3035" i="2"/>
  <c r="Y3035" i="2"/>
  <c r="Z3036" i="2"/>
  <c r="Y3036" i="2"/>
  <c r="Z3037" i="2"/>
  <c r="Y3037" i="2"/>
  <c r="Z3038" i="2"/>
  <c r="Y3038" i="2"/>
  <c r="Z3039" i="2"/>
  <c r="Y3039" i="2"/>
  <c r="Z3040" i="2"/>
  <c r="Y3040" i="2"/>
  <c r="Z3041" i="2"/>
  <c r="Y3041" i="2"/>
  <c r="Z3042" i="2"/>
  <c r="Y3042" i="2"/>
  <c r="Z3043" i="2"/>
  <c r="Y3043" i="2"/>
  <c r="Z3044" i="2"/>
  <c r="Y3044" i="2"/>
  <c r="Z3045" i="2"/>
  <c r="Y3045" i="2"/>
  <c r="Y16" i="2"/>
  <c r="Z16" i="2"/>
  <c r="Y17" i="2"/>
  <c r="Z17" i="2"/>
  <c r="Y18" i="2"/>
  <c r="Z18" i="2"/>
  <c r="Y19" i="2"/>
  <c r="Z19" i="2"/>
  <c r="Y20" i="2"/>
  <c r="Z20" i="2"/>
  <c r="Y21" i="2"/>
  <c r="Z21" i="2"/>
  <c r="Y22" i="2"/>
  <c r="Z22" i="2"/>
  <c r="Y23" i="2"/>
  <c r="Z23" i="2"/>
  <c r="Y24" i="2"/>
  <c r="Z24" i="2"/>
  <c r="Y25" i="2"/>
  <c r="Z25" i="2"/>
  <c r="Y42" i="2"/>
  <c r="Z42" i="2"/>
  <c r="Y43" i="2"/>
  <c r="Z43" i="2"/>
  <c r="Y44" i="2"/>
  <c r="Z44" i="2"/>
  <c r="Y45" i="2"/>
  <c r="Z45" i="2"/>
  <c r="Y46" i="2"/>
  <c r="Z46" i="2"/>
  <c r="Y47" i="2"/>
  <c r="Z47" i="2"/>
  <c r="Y51" i="2"/>
  <c r="Z51" i="2"/>
  <c r="Y53" i="2"/>
  <c r="Z53" i="2"/>
  <c r="Y72" i="2"/>
  <c r="Z72" i="2"/>
  <c r="Y73" i="2"/>
  <c r="Z73" i="2"/>
  <c r="Y74" i="2"/>
  <c r="Z74" i="2"/>
  <c r="Y75" i="2"/>
  <c r="Z75" i="2"/>
  <c r="Y76" i="2"/>
  <c r="Z76" i="2"/>
  <c r="Y77" i="2"/>
  <c r="Z77" i="2"/>
  <c r="Y78" i="2"/>
  <c r="Z78" i="2"/>
  <c r="Y79" i="2"/>
  <c r="Z79" i="2"/>
  <c r="Y80" i="2"/>
  <c r="Z80" i="2"/>
  <c r="Y82" i="2"/>
  <c r="Z82" i="2"/>
  <c r="Y83" i="2"/>
  <c r="Z83" i="2"/>
  <c r="Y89" i="2"/>
  <c r="Z89" i="2"/>
  <c r="Y92" i="2"/>
  <c r="Z92" i="2"/>
  <c r="Y93" i="2"/>
  <c r="Z93" i="2"/>
  <c r="Y94" i="2"/>
  <c r="Z94" i="2"/>
  <c r="Y95" i="2"/>
  <c r="Z95" i="2"/>
  <c r="Y96" i="2"/>
  <c r="Z96" i="2"/>
  <c r="Y97" i="2"/>
  <c r="Z97" i="2"/>
  <c r="Y109" i="2"/>
  <c r="Z109" i="2"/>
  <c r="Y130" i="2"/>
  <c r="Z130" i="2"/>
  <c r="Y136" i="2"/>
  <c r="Z136" i="2"/>
  <c r="Y137" i="2"/>
  <c r="Z137" i="2"/>
  <c r="Y139" i="2"/>
  <c r="Z139" i="2"/>
  <c r="Y145" i="2"/>
  <c r="Z145" i="2"/>
  <c r="Y146" i="2"/>
  <c r="Z146" i="2"/>
  <c r="Y149" i="2"/>
  <c r="Z149" i="2"/>
  <c r="Y151" i="2"/>
  <c r="Z151" i="2"/>
  <c r="Y163" i="2"/>
  <c r="Z163" i="2"/>
  <c r="Y164" i="2"/>
  <c r="Z164" i="2"/>
  <c r="Y166" i="2"/>
  <c r="Z166" i="2"/>
  <c r="Y167" i="2"/>
  <c r="Z167" i="2"/>
  <c r="Y169" i="2"/>
  <c r="Z169" i="2"/>
  <c r="Y171" i="2"/>
  <c r="Z171" i="2"/>
  <c r="Y172" i="2"/>
  <c r="Z172" i="2"/>
  <c r="Y174" i="2"/>
  <c r="Z174" i="2"/>
  <c r="Y175" i="2"/>
  <c r="Z175" i="2"/>
  <c r="Y181" i="2"/>
  <c r="Z181" i="2"/>
  <c r="Y193" i="2"/>
  <c r="Z193" i="2"/>
  <c r="Y195" i="2"/>
  <c r="Z195" i="2"/>
  <c r="Y196" i="2"/>
  <c r="Z196" i="2"/>
  <c r="Y197" i="2"/>
  <c r="Z197" i="2"/>
  <c r="Y198" i="2"/>
  <c r="Z198" i="2"/>
  <c r="Y202" i="2"/>
  <c r="Z202" i="2"/>
  <c r="Y209" i="2"/>
  <c r="Z209" i="2"/>
  <c r="Y216" i="2"/>
  <c r="Z216" i="2"/>
  <c r="Y217" i="2"/>
  <c r="Z217" i="2"/>
  <c r="Y218" i="2"/>
  <c r="Z218" i="2"/>
  <c r="Y220" i="2"/>
  <c r="Z220" i="2"/>
  <c r="Y222" i="2"/>
  <c r="Z222" i="2"/>
  <c r="Y223" i="2"/>
  <c r="Z223" i="2"/>
  <c r="Y224" i="2"/>
  <c r="Z224" i="2"/>
  <c r="Y225" i="2"/>
  <c r="Z225" i="2"/>
  <c r="Y226" i="2"/>
  <c r="Z226" i="2"/>
  <c r="Y227" i="2"/>
  <c r="Z227" i="2"/>
  <c r="Y228" i="2"/>
  <c r="Z228" i="2"/>
  <c r="Y229" i="2"/>
  <c r="Z229" i="2"/>
  <c r="Y231" i="2"/>
  <c r="Z231" i="2"/>
  <c r="Y233" i="2"/>
  <c r="Z233" i="2"/>
  <c r="Y234" i="2"/>
  <c r="Z234" i="2"/>
  <c r="Y237" i="2"/>
  <c r="Z237" i="2"/>
  <c r="Y238" i="2"/>
  <c r="Z238" i="2"/>
  <c r="Y239" i="2"/>
  <c r="Z239" i="2"/>
  <c r="Y240" i="2"/>
  <c r="Z240" i="2"/>
  <c r="Y242" i="2"/>
  <c r="Z242" i="2"/>
  <c r="Y243" i="2"/>
  <c r="Z243" i="2"/>
  <c r="Y244" i="2"/>
  <c r="Z244" i="2"/>
  <c r="Y245" i="2"/>
  <c r="Z245" i="2"/>
  <c r="Y246" i="2"/>
  <c r="Z246" i="2"/>
  <c r="Y249" i="2"/>
  <c r="Z249" i="2"/>
  <c r="Y251" i="2"/>
  <c r="Z251" i="2"/>
  <c r="Y252" i="2"/>
  <c r="Z252" i="2"/>
  <c r="Y253" i="2"/>
  <c r="Z253" i="2"/>
  <c r="Y254" i="2"/>
  <c r="Z254" i="2"/>
  <c r="Y255" i="2"/>
  <c r="Z255" i="2"/>
  <c r="Y258" i="2"/>
  <c r="Z258" i="2"/>
  <c r="Y260" i="2"/>
  <c r="Z260" i="2"/>
  <c r="Y291" i="2"/>
  <c r="Z291" i="2"/>
  <c r="Y293" i="2"/>
  <c r="Z293" i="2"/>
  <c r="Y294" i="2"/>
  <c r="Z294" i="2"/>
  <c r="Y296" i="2"/>
  <c r="Z296" i="2"/>
  <c r="Y301" i="2"/>
  <c r="Z301" i="2"/>
  <c r="Y302" i="2"/>
  <c r="Z302" i="2"/>
  <c r="Y324" i="2"/>
  <c r="Z324" i="2"/>
  <c r="Y325" i="2"/>
  <c r="Z325" i="2"/>
  <c r="Y326" i="2"/>
  <c r="Z326" i="2"/>
  <c r="Y327" i="2"/>
  <c r="Z327" i="2"/>
  <c r="Y328" i="2"/>
  <c r="Z328" i="2"/>
  <c r="Y329" i="2"/>
  <c r="Z329" i="2"/>
  <c r="Y330" i="2"/>
  <c r="Z330" i="2"/>
  <c r="Y340" i="2"/>
  <c r="Z340" i="2"/>
  <c r="Y341" i="2"/>
  <c r="Z341" i="2"/>
  <c r="Y342" i="2"/>
  <c r="Z342" i="2"/>
  <c r="Y343" i="2"/>
  <c r="Z343" i="2"/>
  <c r="Y345" i="2"/>
  <c r="Z345" i="2"/>
  <c r="Y346" i="2"/>
  <c r="Z346" i="2"/>
  <c r="Y347" i="2"/>
  <c r="Z347" i="2"/>
  <c r="Y348" i="2"/>
  <c r="Z348" i="2"/>
  <c r="Y349" i="2"/>
  <c r="Z349" i="2"/>
  <c r="Y350" i="2"/>
  <c r="Z350" i="2"/>
  <c r="Y351" i="2"/>
  <c r="Z351" i="2"/>
  <c r="Y352" i="2"/>
  <c r="Z352" i="2"/>
  <c r="Y353" i="2"/>
  <c r="Z353" i="2"/>
  <c r="Y354" i="2"/>
  <c r="Z354" i="2"/>
  <c r="Y355" i="2"/>
  <c r="Z355" i="2"/>
  <c r="Y356" i="2"/>
  <c r="Z356" i="2"/>
  <c r="Y361" i="2"/>
  <c r="Z361" i="2"/>
  <c r="Y362" i="2"/>
  <c r="Z362" i="2"/>
  <c r="Y363" i="2"/>
  <c r="Z363" i="2"/>
  <c r="Y364" i="2"/>
  <c r="Z364" i="2"/>
  <c r="Y365" i="2"/>
  <c r="Z365" i="2"/>
  <c r="Y366" i="2"/>
  <c r="Z366" i="2"/>
  <c r="Y367" i="2"/>
  <c r="Z367" i="2"/>
  <c r="Y368" i="2"/>
  <c r="Z368" i="2"/>
  <c r="Y372" i="2"/>
  <c r="Z372" i="2"/>
  <c r="Y391" i="2"/>
  <c r="Z391" i="2"/>
  <c r="Y392" i="2"/>
  <c r="Z392" i="2"/>
  <c r="Y393" i="2"/>
  <c r="Z393" i="2"/>
  <c r="Y394" i="2"/>
  <c r="Z394" i="2"/>
  <c r="Y395" i="2"/>
  <c r="Z395" i="2"/>
  <c r="Y396" i="2"/>
  <c r="Z396" i="2"/>
  <c r="Y397" i="2"/>
  <c r="Z397" i="2"/>
  <c r="Y398" i="2"/>
  <c r="Z398" i="2"/>
  <c r="Y399" i="2"/>
  <c r="Z399" i="2"/>
  <c r="Y400" i="2"/>
  <c r="Z400" i="2"/>
  <c r="Y401" i="2"/>
  <c r="Z401" i="2"/>
  <c r="Y402" i="2"/>
  <c r="Z402" i="2"/>
  <c r="Y403" i="2"/>
  <c r="Z403" i="2"/>
  <c r="Y405" i="2"/>
  <c r="Z405" i="2"/>
  <c r="Y406" i="2"/>
  <c r="Z406" i="2"/>
  <c r="Y407" i="2"/>
  <c r="Z407" i="2"/>
  <c r="Y409" i="2"/>
  <c r="Z409" i="2"/>
  <c r="Y413" i="2"/>
  <c r="Z413" i="2"/>
  <c r="Y415" i="2"/>
  <c r="Z415" i="2"/>
  <c r="Y418" i="2"/>
  <c r="Z418" i="2"/>
  <c r="Y422" i="2"/>
  <c r="Z422" i="2"/>
  <c r="Y429" i="2"/>
  <c r="Z429" i="2"/>
  <c r="Y430" i="2"/>
  <c r="Z430" i="2"/>
  <c r="Y431" i="2"/>
  <c r="Z431" i="2"/>
  <c r="Y432" i="2"/>
  <c r="Z432" i="2"/>
  <c r="Y436" i="2"/>
  <c r="Z436" i="2"/>
  <c r="Y437" i="2"/>
  <c r="Z437" i="2"/>
  <c r="Y442" i="2"/>
  <c r="Z442" i="2"/>
  <c r="Y443" i="2"/>
  <c r="Z443" i="2"/>
  <c r="Y444" i="2"/>
  <c r="Z444" i="2"/>
  <c r="Y445" i="2"/>
  <c r="Z445" i="2"/>
  <c r="Y446" i="2"/>
  <c r="Z446" i="2"/>
  <c r="Y447" i="2"/>
  <c r="Z447" i="2"/>
  <c r="Y458" i="2"/>
  <c r="Z458" i="2"/>
  <c r="Y459" i="2"/>
  <c r="Z459" i="2"/>
  <c r="Y460" i="2"/>
  <c r="Z460" i="2"/>
  <c r="Y461" i="2"/>
  <c r="Z461" i="2"/>
  <c r="Y463" i="2"/>
  <c r="Z463" i="2"/>
  <c r="Y464" i="2"/>
  <c r="Z464" i="2"/>
  <c r="Y465" i="2"/>
  <c r="Z465" i="2"/>
  <c r="Y467" i="2"/>
  <c r="Z467" i="2"/>
  <c r="Y468" i="2"/>
  <c r="Z468" i="2"/>
  <c r="Y469" i="2"/>
  <c r="Z469" i="2"/>
  <c r="Y471" i="2"/>
  <c r="Z471" i="2"/>
  <c r="Y472" i="2"/>
  <c r="Z472" i="2"/>
  <c r="Y473" i="2"/>
  <c r="Z473" i="2"/>
  <c r="Y474" i="2"/>
  <c r="Z474" i="2"/>
  <c r="Y475" i="2"/>
  <c r="Z475" i="2"/>
  <c r="Y476" i="2"/>
  <c r="Z476" i="2"/>
  <c r="Y477" i="2"/>
  <c r="Z477" i="2"/>
  <c r="Y478" i="2"/>
  <c r="Z478" i="2"/>
  <c r="Y479" i="2"/>
  <c r="Z479" i="2"/>
  <c r="Y480" i="2"/>
  <c r="Z480" i="2"/>
  <c r="Y481" i="2"/>
  <c r="Z481" i="2"/>
  <c r="Y482" i="2"/>
  <c r="Z482" i="2"/>
  <c r="Y483" i="2"/>
  <c r="Z483" i="2"/>
  <c r="Y484" i="2"/>
  <c r="Z484" i="2"/>
  <c r="Y485" i="2"/>
  <c r="Z485" i="2"/>
  <c r="Y486" i="2"/>
  <c r="Z486" i="2"/>
  <c r="Y487" i="2"/>
  <c r="Z487" i="2"/>
  <c r="Y488" i="2"/>
  <c r="Z488" i="2"/>
  <c r="Y490" i="2"/>
  <c r="Z490" i="2"/>
  <c r="Y491" i="2"/>
  <c r="Z491" i="2"/>
  <c r="Y497" i="2"/>
  <c r="Z497" i="2"/>
  <c r="Y501" i="2"/>
  <c r="Z501" i="2"/>
  <c r="Y502" i="2"/>
  <c r="Z502" i="2"/>
  <c r="Y503" i="2"/>
  <c r="Z503" i="2"/>
  <c r="Y504" i="2"/>
  <c r="Z504" i="2"/>
  <c r="Y508" i="2"/>
  <c r="Z508" i="2"/>
  <c r="Y509" i="2"/>
  <c r="Z509" i="2"/>
  <c r="Y511" i="2"/>
  <c r="Z511" i="2"/>
  <c r="Y512" i="2"/>
  <c r="Z512" i="2"/>
  <c r="Y513" i="2"/>
  <c r="Z513" i="2"/>
  <c r="Y514" i="2"/>
  <c r="Z514" i="2"/>
  <c r="Y517" i="2"/>
  <c r="Z517" i="2"/>
  <c r="Y518" i="2"/>
  <c r="Z518" i="2"/>
  <c r="Y519" i="2"/>
  <c r="Z519" i="2"/>
  <c r="Y520" i="2"/>
  <c r="Z520" i="2"/>
  <c r="Y521" i="2"/>
  <c r="Z521" i="2"/>
  <c r="Y524" i="2"/>
  <c r="Z524" i="2"/>
  <c r="Y530" i="2"/>
  <c r="Z530" i="2"/>
  <c r="Y531" i="2"/>
  <c r="Z531" i="2"/>
  <c r="Y532" i="2"/>
  <c r="Z532" i="2"/>
  <c r="Y546" i="2"/>
  <c r="Z546" i="2"/>
  <c r="Y547" i="2"/>
  <c r="Z547" i="2"/>
  <c r="Y548" i="2"/>
  <c r="Z548" i="2"/>
  <c r="Y550" i="2"/>
  <c r="Z550" i="2"/>
  <c r="Y552" i="2"/>
  <c r="Z552" i="2"/>
  <c r="Y553" i="2"/>
  <c r="Z553" i="2"/>
  <c r="Y554" i="2"/>
  <c r="Z554" i="2"/>
  <c r="Y555" i="2"/>
  <c r="Z555" i="2"/>
  <c r="Y557" i="2"/>
  <c r="Z557" i="2"/>
  <c r="Y558" i="2"/>
  <c r="Z558" i="2"/>
  <c r="Y559" i="2"/>
  <c r="Z559" i="2"/>
  <c r="Y566" i="2"/>
  <c r="Z566" i="2"/>
  <c r="Y567" i="2"/>
  <c r="Z567" i="2"/>
  <c r="Y568" i="2"/>
  <c r="Z568" i="2"/>
  <c r="Y569" i="2"/>
  <c r="Z569" i="2"/>
  <c r="Y570" i="2"/>
  <c r="Z570" i="2"/>
  <c r="Y571" i="2"/>
  <c r="Z571" i="2"/>
  <c r="Y573" i="2"/>
  <c r="Z573" i="2"/>
  <c r="Y574" i="2"/>
  <c r="Z574" i="2"/>
  <c r="Y577" i="2"/>
  <c r="Z577" i="2"/>
  <c r="Y580" i="2"/>
  <c r="Z580" i="2"/>
  <c r="Y581" i="2"/>
  <c r="Z581" i="2"/>
  <c r="Y582" i="2"/>
  <c r="Z582" i="2"/>
  <c r="Y583" i="2"/>
  <c r="Z583" i="2"/>
  <c r="Y584" i="2"/>
  <c r="Z584" i="2"/>
  <c r="Y586" i="2"/>
  <c r="Z586" i="2"/>
  <c r="Y587" i="2"/>
  <c r="Z587" i="2"/>
  <c r="Y611" i="2"/>
  <c r="Z611" i="2"/>
  <c r="Y612" i="2"/>
  <c r="Z612" i="2"/>
  <c r="Y613" i="2"/>
  <c r="Z613" i="2"/>
  <c r="Y620" i="2"/>
  <c r="Z620" i="2"/>
  <c r="Y621" i="2"/>
  <c r="Z621" i="2"/>
  <c r="Y622" i="2"/>
  <c r="Z622" i="2"/>
  <c r="Y624" i="2"/>
  <c r="Z624" i="2"/>
  <c r="Y628" i="2"/>
  <c r="Z628" i="2"/>
  <c r="Y629" i="2"/>
  <c r="Z629" i="2"/>
  <c r="Y630" i="2"/>
  <c r="Z630" i="2"/>
  <c r="Y631" i="2"/>
  <c r="Z631" i="2"/>
  <c r="Y632" i="2"/>
  <c r="Z632" i="2"/>
  <c r="Y634" i="2"/>
  <c r="Z634" i="2"/>
  <c r="Y636" i="2"/>
  <c r="Z636" i="2"/>
  <c r="Y637" i="2"/>
  <c r="Z637" i="2"/>
  <c r="Y638" i="2"/>
  <c r="Z638" i="2"/>
  <c r="Y639" i="2"/>
  <c r="Z639" i="2"/>
  <c r="Y640" i="2"/>
  <c r="Z640" i="2"/>
  <c r="Y641" i="2"/>
  <c r="Z641" i="2"/>
  <c r="Y643" i="2"/>
  <c r="Z643" i="2"/>
  <c r="Y646" i="2"/>
  <c r="Z646" i="2"/>
  <c r="Y651" i="2"/>
  <c r="Z651" i="2"/>
  <c r="Y652" i="2"/>
  <c r="Z652" i="2"/>
  <c r="Y653" i="2"/>
  <c r="Z653" i="2"/>
  <c r="Y655" i="2"/>
  <c r="Z655" i="2"/>
  <c r="Y656" i="2"/>
  <c r="Z656" i="2"/>
  <c r="Y657" i="2"/>
  <c r="Z657" i="2"/>
  <c r="Y658" i="2"/>
  <c r="Z658" i="2"/>
  <c r="Y659" i="2"/>
  <c r="Z659" i="2"/>
  <c r="Y660" i="2"/>
  <c r="Z660" i="2"/>
  <c r="Y661" i="2"/>
  <c r="Z661" i="2"/>
  <c r="Y662" i="2"/>
  <c r="Z662" i="2"/>
  <c r="Y663" i="2"/>
  <c r="Z663" i="2"/>
  <c r="Y664" i="2"/>
  <c r="Z664" i="2"/>
  <c r="Y665" i="2"/>
  <c r="Z665" i="2"/>
  <c r="Y666" i="2"/>
  <c r="Z666" i="2"/>
  <c r="Y667" i="2"/>
  <c r="Z667" i="2"/>
  <c r="Y668" i="2"/>
  <c r="Z668" i="2"/>
  <c r="Y669" i="2"/>
  <c r="Z669" i="2"/>
  <c r="Y670" i="2"/>
  <c r="Z670" i="2"/>
  <c r="Y676" i="2"/>
  <c r="Z676" i="2"/>
  <c r="Y677" i="2"/>
  <c r="Z677" i="2"/>
  <c r="Y678" i="2"/>
  <c r="Z678" i="2"/>
  <c r="Y679" i="2"/>
  <c r="Z679" i="2"/>
  <c r="Y680" i="2"/>
  <c r="Z680" i="2"/>
  <c r="Y685" i="2"/>
  <c r="Z685" i="2"/>
  <c r="Y686" i="2"/>
  <c r="Z686" i="2"/>
  <c r="Y689" i="2"/>
  <c r="Z689" i="2"/>
  <c r="Y690" i="2"/>
  <c r="Z690" i="2"/>
  <c r="Y691" i="2"/>
  <c r="Z691" i="2"/>
  <c r="Y692" i="2"/>
  <c r="Z692" i="2"/>
  <c r="Y701" i="2"/>
  <c r="Z701" i="2"/>
  <c r="Y714" i="2"/>
  <c r="Z714" i="2"/>
  <c r="Y715" i="2"/>
  <c r="Z715" i="2"/>
  <c r="Y718" i="2"/>
  <c r="Z718" i="2"/>
  <c r="Y719" i="2"/>
  <c r="Z719" i="2"/>
  <c r="Y720" i="2"/>
  <c r="Z720" i="2"/>
  <c r="Y721" i="2"/>
  <c r="Z721" i="2"/>
  <c r="Y722" i="2"/>
  <c r="Z722" i="2"/>
  <c r="Y723" i="2"/>
  <c r="Z723" i="2"/>
  <c r="Y724" i="2"/>
  <c r="Z724" i="2"/>
  <c r="Y725" i="2"/>
  <c r="Z725" i="2"/>
  <c r="Y727" i="2"/>
  <c r="Z727" i="2"/>
  <c r="Y728" i="2"/>
  <c r="Z728" i="2"/>
  <c r="Y735" i="2"/>
  <c r="Z735" i="2"/>
  <c r="Y738" i="2"/>
  <c r="Z738" i="2"/>
  <c r="Y740" i="2"/>
  <c r="Z740" i="2"/>
  <c r="Y741" i="2"/>
  <c r="Z741" i="2"/>
  <c r="Y742" i="2"/>
  <c r="Z742" i="2"/>
  <c r="Y743" i="2"/>
  <c r="Z743" i="2"/>
  <c r="Y744" i="2"/>
  <c r="Z744" i="2"/>
  <c r="Y745" i="2"/>
  <c r="Z745" i="2"/>
  <c r="Y746" i="2"/>
  <c r="Z746" i="2"/>
  <c r="Y747" i="2"/>
  <c r="Z747" i="2"/>
  <c r="Y749" i="2"/>
  <c r="Z749" i="2"/>
  <c r="Y750" i="2"/>
  <c r="Z750" i="2"/>
  <c r="Y751" i="2"/>
  <c r="Z751" i="2"/>
  <c r="Y752" i="2"/>
  <c r="Z752" i="2"/>
  <c r="Y753" i="2"/>
  <c r="Z753" i="2"/>
  <c r="Y754" i="2"/>
  <c r="Z754" i="2"/>
  <c r="Y757" i="2"/>
  <c r="Z757" i="2"/>
  <c r="Y758" i="2"/>
  <c r="Z758" i="2"/>
  <c r="Y759" i="2"/>
  <c r="Z759" i="2"/>
  <c r="Y761" i="2"/>
  <c r="Z761" i="2"/>
  <c r="Y762" i="2"/>
  <c r="Z762" i="2"/>
  <c r="Y763" i="2"/>
  <c r="Z763" i="2"/>
  <c r="Y764" i="2"/>
  <c r="Z764" i="2"/>
  <c r="Y765" i="2"/>
  <c r="Z765" i="2"/>
  <c r="Y766" i="2"/>
  <c r="Z766" i="2"/>
  <c r="Y770" i="2"/>
  <c r="Z770" i="2"/>
  <c r="Y771" i="2"/>
  <c r="Z771" i="2"/>
  <c r="Y772" i="2"/>
  <c r="Z772" i="2"/>
  <c r="Y773" i="2"/>
  <c r="Z773" i="2"/>
  <c r="Y774" i="2"/>
  <c r="Z774" i="2"/>
  <c r="Y776" i="2"/>
  <c r="Z776" i="2"/>
  <c r="Y777" i="2"/>
  <c r="Z777" i="2"/>
  <c r="Y779" i="2"/>
  <c r="Z779" i="2"/>
  <c r="Y780" i="2"/>
  <c r="Z780" i="2"/>
  <c r="Y781" i="2"/>
  <c r="Z781" i="2"/>
  <c r="Y782" i="2"/>
  <c r="Z782" i="2"/>
  <c r="Y783" i="2"/>
  <c r="Z783" i="2"/>
  <c r="Y784" i="2"/>
  <c r="Z784" i="2"/>
  <c r="Y785" i="2"/>
  <c r="Z785" i="2"/>
  <c r="Y786" i="2"/>
  <c r="Z786" i="2"/>
  <c r="Y787" i="2"/>
  <c r="Z787" i="2"/>
  <c r="Y788" i="2"/>
  <c r="Z788" i="2"/>
  <c r="Y789" i="2"/>
  <c r="Z789" i="2"/>
  <c r="Y790" i="2"/>
  <c r="Z790" i="2"/>
  <c r="Y791" i="2"/>
  <c r="Z791" i="2"/>
  <c r="Y803" i="2"/>
  <c r="Z803" i="2"/>
  <c r="Y804" i="2"/>
  <c r="Z804" i="2"/>
  <c r="Y805" i="2"/>
  <c r="Z805" i="2"/>
  <c r="Y806" i="2"/>
  <c r="Z806" i="2"/>
  <c r="Y807" i="2"/>
  <c r="Z807" i="2"/>
  <c r="Y810" i="2"/>
  <c r="Z810" i="2"/>
  <c r="Y811" i="2"/>
  <c r="Z811" i="2"/>
  <c r="Y812" i="2"/>
  <c r="Z812" i="2"/>
  <c r="Y814" i="2"/>
  <c r="Z814" i="2"/>
  <c r="Y817" i="2"/>
  <c r="Z817" i="2"/>
  <c r="Y818" i="2"/>
  <c r="Z818" i="2"/>
  <c r="Y819" i="2"/>
  <c r="Z819" i="2"/>
  <c r="Y820" i="2"/>
  <c r="Z820" i="2"/>
  <c r="Y821" i="2"/>
  <c r="Z821" i="2"/>
  <c r="Y823" i="2"/>
  <c r="Z823" i="2"/>
  <c r="Y824" i="2"/>
  <c r="Z824" i="2"/>
  <c r="Y825" i="2"/>
  <c r="Z825" i="2"/>
  <c r="Y830" i="2"/>
  <c r="Z830" i="2"/>
  <c r="Y838" i="2"/>
  <c r="Z838" i="2"/>
  <c r="Y840" i="2"/>
  <c r="Z840" i="2"/>
  <c r="Y843" i="2"/>
  <c r="Z843" i="2"/>
  <c r="Y844" i="2"/>
  <c r="Z844" i="2"/>
  <c r="Y846" i="2"/>
  <c r="Z846" i="2"/>
  <c r="Y847" i="2"/>
  <c r="Z847" i="2"/>
  <c r="Y860" i="2"/>
  <c r="Z860" i="2"/>
  <c r="Y883" i="2"/>
  <c r="Z883" i="2"/>
  <c r="Y887" i="2"/>
  <c r="Z887" i="2"/>
  <c r="Y889" i="2"/>
  <c r="Z889" i="2"/>
  <c r="Y890" i="2"/>
  <c r="Z890" i="2"/>
  <c r="Y892" i="2"/>
  <c r="Z892" i="2"/>
  <c r="Y893" i="2"/>
  <c r="Z893" i="2"/>
  <c r="Y906" i="2"/>
  <c r="Z906" i="2"/>
  <c r="Y907" i="2"/>
  <c r="Z907" i="2"/>
  <c r="Y908" i="2"/>
  <c r="Z908" i="2"/>
  <c r="Y917" i="2"/>
  <c r="Z917" i="2"/>
  <c r="Y918" i="2"/>
  <c r="Z918" i="2"/>
  <c r="Y919" i="2"/>
  <c r="Z919" i="2"/>
  <c r="Y921" i="2"/>
  <c r="Z921" i="2"/>
  <c r="Y922" i="2"/>
  <c r="Z922" i="2"/>
  <c r="Y923" i="2"/>
  <c r="Z923" i="2"/>
  <c r="Y924" i="2"/>
  <c r="Z924" i="2"/>
  <c r="Y925" i="2"/>
  <c r="Z925" i="2"/>
  <c r="Y926" i="2"/>
  <c r="Z926" i="2"/>
  <c r="Y927" i="2"/>
  <c r="Z927" i="2"/>
  <c r="Y928" i="2"/>
  <c r="Z928" i="2"/>
  <c r="Y929" i="2"/>
  <c r="Z929" i="2"/>
  <c r="Y930" i="2"/>
  <c r="Z930" i="2"/>
  <c r="Y931" i="2"/>
  <c r="Z931" i="2"/>
  <c r="Y932" i="2"/>
  <c r="Z932" i="2"/>
  <c r="Y933" i="2"/>
  <c r="Z933" i="2"/>
  <c r="Y934" i="2"/>
  <c r="Z934" i="2"/>
  <c r="Y935" i="2"/>
  <c r="Z935" i="2"/>
  <c r="Y936" i="2"/>
  <c r="Z936" i="2"/>
  <c r="Y948" i="2"/>
  <c r="Z948" i="2"/>
  <c r="Y949" i="2"/>
  <c r="Z949" i="2"/>
  <c r="Y950" i="2"/>
  <c r="Z950" i="2"/>
  <c r="Y951" i="2"/>
  <c r="Z951" i="2"/>
  <c r="Y952" i="2"/>
  <c r="Z952" i="2"/>
  <c r="Y953" i="2"/>
  <c r="Z953" i="2"/>
  <c r="Y954" i="2"/>
  <c r="Z954" i="2"/>
  <c r="Y955" i="2"/>
  <c r="Z955" i="2"/>
  <c r="Y956" i="2"/>
  <c r="Z956" i="2"/>
  <c r="Y957" i="2"/>
  <c r="Z957" i="2"/>
  <c r="Y958" i="2"/>
  <c r="Z958" i="2"/>
  <c r="Y959" i="2"/>
  <c r="Z959" i="2"/>
  <c r="Y960" i="2"/>
  <c r="Z960" i="2"/>
  <c r="Y961" i="2"/>
  <c r="Z961" i="2"/>
  <c r="Y962" i="2"/>
  <c r="Z962" i="2"/>
  <c r="Y963" i="2"/>
  <c r="Z963" i="2"/>
  <c r="Y964" i="2"/>
  <c r="Z964" i="2"/>
  <c r="Y965" i="2"/>
  <c r="Z965" i="2"/>
  <c r="Y966" i="2"/>
  <c r="Z966" i="2"/>
  <c r="Y967" i="2"/>
  <c r="Z967" i="2"/>
  <c r="Y968" i="2"/>
  <c r="Z968" i="2"/>
  <c r="Y969" i="2"/>
  <c r="Z969" i="2"/>
  <c r="Y970" i="2"/>
  <c r="Z970" i="2"/>
  <c r="Y971" i="2"/>
  <c r="Z971" i="2"/>
  <c r="Y972" i="2"/>
  <c r="Z972" i="2"/>
  <c r="Y977" i="2"/>
  <c r="Z977" i="2"/>
  <c r="Y980" i="2"/>
  <c r="Z980" i="2"/>
  <c r="Y981" i="2"/>
  <c r="Z981" i="2"/>
  <c r="Y985" i="2"/>
  <c r="Z985" i="2"/>
  <c r="Y988" i="2"/>
  <c r="Z988" i="2"/>
  <c r="Y989" i="2"/>
  <c r="Z989" i="2"/>
  <c r="Y990" i="2"/>
  <c r="Z990" i="2"/>
  <c r="Y993" i="2"/>
  <c r="Z993" i="2"/>
  <c r="Y994" i="2"/>
  <c r="Z994" i="2"/>
  <c r="Y997" i="2"/>
  <c r="Z997" i="2"/>
  <c r="Y998" i="2"/>
  <c r="Z998" i="2"/>
  <c r="Y1000" i="2"/>
  <c r="Z1000" i="2"/>
  <c r="Y1001" i="2"/>
  <c r="Z1001" i="2"/>
  <c r="Y1002" i="2"/>
  <c r="Z1002" i="2"/>
  <c r="Y1003" i="2"/>
  <c r="Z1003" i="2"/>
  <c r="Y1004" i="2"/>
  <c r="Z1004" i="2"/>
  <c r="Y1005" i="2"/>
  <c r="Z1005" i="2"/>
  <c r="Y1007" i="2"/>
  <c r="Z1007" i="2"/>
  <c r="Y1009" i="2"/>
  <c r="Z1009" i="2"/>
  <c r="Y1019" i="2"/>
  <c r="Z1019" i="2"/>
  <c r="Y1020" i="2"/>
  <c r="Z1020" i="2"/>
  <c r="Y1021" i="2"/>
  <c r="Z1021" i="2"/>
  <c r="Y1022" i="2"/>
  <c r="Z1022" i="2"/>
  <c r="Y1030" i="2"/>
  <c r="Z1030" i="2"/>
  <c r="Y1032" i="2"/>
  <c r="Z1032" i="2"/>
  <c r="Y1033" i="2"/>
  <c r="Z1033" i="2"/>
  <c r="Y1036" i="2"/>
  <c r="Z1036" i="2"/>
  <c r="Y1038" i="2"/>
  <c r="Z1038" i="2"/>
  <c r="Y1039" i="2"/>
  <c r="Z1039" i="2"/>
  <c r="Y1040" i="2"/>
  <c r="Z1040" i="2"/>
  <c r="Y1041" i="2"/>
  <c r="Z1041" i="2"/>
  <c r="Y1046" i="2"/>
  <c r="Z1046" i="2"/>
  <c r="Y1047" i="2"/>
  <c r="Z1047" i="2"/>
  <c r="Y1048" i="2"/>
  <c r="Z1048" i="2"/>
  <c r="Y1049" i="2"/>
  <c r="Z1049" i="2"/>
  <c r="Y1055" i="2"/>
  <c r="Z1055" i="2"/>
  <c r="Y1057" i="2"/>
  <c r="Z1057" i="2"/>
  <c r="Y1058" i="2"/>
  <c r="Z1058" i="2"/>
  <c r="Y1059" i="2"/>
  <c r="Z1059" i="2"/>
  <c r="Y1060" i="2"/>
  <c r="Z1060" i="2"/>
  <c r="Y1061" i="2"/>
  <c r="Z1061" i="2"/>
  <c r="Y1063" i="2"/>
  <c r="Z1063" i="2"/>
  <c r="Y1064" i="2"/>
  <c r="Z1064" i="2"/>
  <c r="Y1065" i="2"/>
  <c r="Z1065" i="2"/>
  <c r="Y1067" i="2"/>
  <c r="Z1067" i="2"/>
  <c r="Y1068" i="2"/>
  <c r="Z1068" i="2"/>
  <c r="Y1069" i="2"/>
  <c r="Z1069" i="2"/>
  <c r="Y1070" i="2"/>
  <c r="Z1070" i="2"/>
  <c r="Y1071" i="2"/>
  <c r="Z1071" i="2"/>
  <c r="Y1072" i="2"/>
  <c r="Z1072" i="2"/>
  <c r="Y1078" i="2"/>
  <c r="Z1078" i="2"/>
  <c r="Y1079" i="2"/>
  <c r="Z1079" i="2"/>
  <c r="Y1080" i="2"/>
  <c r="Z1080" i="2"/>
  <c r="Y1081" i="2"/>
  <c r="Z1081" i="2"/>
  <c r="Y1082" i="2"/>
  <c r="Z1082" i="2"/>
  <c r="Y1083" i="2"/>
  <c r="Z1083" i="2"/>
  <c r="Y1085" i="2"/>
  <c r="Z1085" i="2"/>
  <c r="Y1088" i="2"/>
  <c r="Z1088" i="2"/>
  <c r="Y1089" i="2"/>
  <c r="Z1089" i="2"/>
  <c r="Y1091" i="2"/>
  <c r="Z1091" i="2"/>
  <c r="Y1092" i="2"/>
  <c r="Z1092" i="2"/>
  <c r="Y1100" i="2"/>
  <c r="Z1100" i="2"/>
  <c r="Y1102" i="2"/>
  <c r="Z1102" i="2"/>
  <c r="Y1103" i="2"/>
  <c r="Z1103" i="2"/>
  <c r="Y1104" i="2"/>
  <c r="Z1104" i="2"/>
  <c r="Y1105" i="2"/>
  <c r="Z1105" i="2"/>
  <c r="Y1106" i="2"/>
  <c r="Z1106" i="2"/>
  <c r="Y1113" i="2"/>
  <c r="Z1113" i="2"/>
  <c r="Y1116" i="2"/>
  <c r="Z1116" i="2"/>
  <c r="Y1119" i="2"/>
  <c r="Z1119" i="2"/>
  <c r="Y1120" i="2"/>
  <c r="Z1120" i="2"/>
  <c r="Y1121" i="2"/>
  <c r="Z1121" i="2"/>
  <c r="Y1123" i="2"/>
  <c r="Z1123" i="2"/>
  <c r="Y1124" i="2"/>
  <c r="Z1124" i="2"/>
  <c r="Y1125" i="2"/>
  <c r="Z1125" i="2"/>
  <c r="Y1126" i="2"/>
  <c r="Z1126" i="2"/>
  <c r="Y1127" i="2"/>
  <c r="Z1127" i="2"/>
  <c r="Y1128" i="2"/>
  <c r="Z1128" i="2"/>
  <c r="Y1129" i="2"/>
  <c r="Z1129" i="2"/>
  <c r="Y1130" i="2"/>
  <c r="Z1130" i="2"/>
  <c r="Y1131" i="2"/>
  <c r="Z1131" i="2"/>
  <c r="Y1134" i="2"/>
  <c r="Z1134" i="2"/>
  <c r="Y1136" i="2"/>
  <c r="Z1136" i="2"/>
  <c r="Y1138" i="2"/>
  <c r="Z1138" i="2"/>
  <c r="Y1139" i="2"/>
  <c r="Z1139" i="2"/>
  <c r="Y1140" i="2"/>
  <c r="Z1140" i="2"/>
  <c r="Y1141" i="2"/>
  <c r="Z1141" i="2"/>
  <c r="Y1142" i="2"/>
  <c r="Z1142" i="2"/>
  <c r="Y1152" i="2"/>
  <c r="Z1152" i="2"/>
  <c r="Y1153" i="2"/>
  <c r="Z1153" i="2"/>
  <c r="Y1160" i="2"/>
  <c r="Z1160" i="2"/>
  <c r="Y1161" i="2"/>
  <c r="Z1161" i="2"/>
  <c r="Y1162" i="2"/>
  <c r="Z1162" i="2"/>
  <c r="Y1163" i="2"/>
  <c r="Z1163" i="2"/>
  <c r="Y1164" i="2"/>
  <c r="Z1164" i="2"/>
  <c r="Y1165" i="2"/>
  <c r="Z1165" i="2"/>
  <c r="Y1166" i="2"/>
  <c r="Z1166" i="2"/>
  <c r="Y1167" i="2"/>
  <c r="Z1167" i="2"/>
  <c r="Y1171" i="2"/>
  <c r="Z1171" i="2"/>
  <c r="Y1173" i="2"/>
  <c r="Z1173" i="2"/>
  <c r="Y1174" i="2"/>
  <c r="Z1174" i="2"/>
  <c r="Y1175" i="2"/>
  <c r="Z1175" i="2"/>
  <c r="Y1182" i="2"/>
  <c r="Z1182" i="2"/>
  <c r="Y1184" i="2"/>
  <c r="Z1184" i="2"/>
  <c r="Y1191" i="2"/>
  <c r="Z1191" i="2"/>
  <c r="Y1192" i="2"/>
  <c r="Z1192" i="2"/>
  <c r="Y1193" i="2"/>
  <c r="Z1193" i="2"/>
  <c r="Y1194" i="2"/>
  <c r="Z1194" i="2"/>
  <c r="Y1198" i="2"/>
  <c r="Z1198" i="2"/>
  <c r="Y1199" i="2"/>
  <c r="Z1199" i="2"/>
  <c r="Y1201" i="2"/>
  <c r="Z1201" i="2"/>
  <c r="Y1202" i="2"/>
  <c r="Z1202" i="2"/>
  <c r="Y1211" i="2"/>
  <c r="Z1211" i="2"/>
  <c r="Y1215" i="2"/>
  <c r="Z1215" i="2"/>
  <c r="Y1218" i="2"/>
  <c r="Z1218" i="2"/>
  <c r="Y1221" i="2"/>
  <c r="Z1221" i="2"/>
  <c r="Y1229" i="2"/>
  <c r="Z1229" i="2"/>
  <c r="Y1230" i="2"/>
  <c r="Z1230" i="2"/>
  <c r="Y1231" i="2"/>
  <c r="Z1231" i="2"/>
  <c r="Y1232" i="2"/>
  <c r="Z1232" i="2"/>
  <c r="Y1234" i="2"/>
  <c r="Z1234" i="2"/>
  <c r="Y1235" i="2"/>
  <c r="Z1235" i="2"/>
  <c r="Y1236" i="2"/>
  <c r="Z1236" i="2"/>
  <c r="Y1237" i="2"/>
  <c r="Z1237" i="2"/>
  <c r="Y1238" i="2"/>
  <c r="Z1238" i="2"/>
  <c r="Y1239" i="2"/>
  <c r="Z1239" i="2"/>
  <c r="Y1241" i="2"/>
  <c r="Z1241" i="2"/>
  <c r="Y1252" i="2"/>
  <c r="Z1252" i="2"/>
  <c r="Y1255" i="2"/>
  <c r="Z1255" i="2"/>
  <c r="Y1261" i="2"/>
  <c r="Z1261" i="2"/>
  <c r="Y1262" i="2"/>
  <c r="Z1262" i="2"/>
  <c r="Y1268" i="2"/>
  <c r="Z1268" i="2"/>
  <c r="Y1271" i="2"/>
  <c r="Z1271" i="2"/>
  <c r="Y1272" i="2"/>
  <c r="Z1272" i="2"/>
  <c r="Y1273" i="2"/>
  <c r="Z1273" i="2"/>
  <c r="Y1274" i="2"/>
  <c r="Z1274" i="2"/>
  <c r="Y1275" i="2"/>
  <c r="Z1275" i="2"/>
  <c r="Y1276" i="2"/>
  <c r="Z1276" i="2"/>
  <c r="Y1277" i="2"/>
  <c r="Z1277" i="2"/>
  <c r="Y1278" i="2"/>
  <c r="Z1278" i="2"/>
  <c r="Y1279" i="2"/>
  <c r="Z1279" i="2"/>
  <c r="Y1280" i="2"/>
  <c r="Z1280" i="2"/>
  <c r="Y1285" i="2"/>
  <c r="Z1285" i="2"/>
  <c r="Y1294" i="2"/>
  <c r="Z1294" i="2"/>
  <c r="Y1296" i="2"/>
  <c r="Z1296" i="2"/>
  <c r="Y1297" i="2"/>
  <c r="Z1297" i="2"/>
  <c r="Y1298" i="2"/>
  <c r="Z1298" i="2"/>
  <c r="Y1300" i="2"/>
  <c r="Z1300" i="2"/>
  <c r="Y1301" i="2"/>
  <c r="Z1301" i="2"/>
  <c r="Y1302" i="2"/>
  <c r="Z1302" i="2"/>
  <c r="Y1308" i="2"/>
  <c r="Z1308" i="2"/>
  <c r="Y1309" i="2"/>
  <c r="Z1309" i="2"/>
  <c r="Y1310" i="2"/>
  <c r="Z1310" i="2"/>
  <c r="Y1311" i="2"/>
  <c r="Z1311" i="2"/>
  <c r="Y1312" i="2"/>
  <c r="Z1312" i="2"/>
  <c r="Y1313" i="2"/>
  <c r="Z1313" i="2"/>
  <c r="Y1314" i="2"/>
  <c r="Z1314" i="2"/>
  <c r="Y1315" i="2"/>
  <c r="Z1315" i="2"/>
  <c r="Y1317" i="2"/>
  <c r="Z1317" i="2"/>
  <c r="Y1318" i="2"/>
  <c r="Z1318" i="2"/>
  <c r="Y1319" i="2"/>
  <c r="Z1319" i="2"/>
  <c r="Y1323" i="2"/>
  <c r="Z1323" i="2"/>
  <c r="Y1349" i="2"/>
  <c r="Z1349" i="2"/>
  <c r="Y1350" i="2"/>
  <c r="Z1350" i="2"/>
  <c r="Y1352" i="2"/>
  <c r="Z1352" i="2"/>
  <c r="Y1356" i="2"/>
  <c r="Z1356" i="2"/>
  <c r="Y1357" i="2"/>
  <c r="Z1357" i="2"/>
  <c r="Y1358" i="2"/>
  <c r="Z1358" i="2"/>
  <c r="Y1359" i="2"/>
  <c r="Z1359" i="2"/>
  <c r="Y1360" i="2"/>
  <c r="Z1360" i="2"/>
  <c r="Y1361" i="2"/>
  <c r="Z1361" i="2"/>
  <c r="Y1362" i="2"/>
  <c r="Z1362" i="2"/>
  <c r="Y1363" i="2"/>
  <c r="Z1363" i="2"/>
  <c r="Y1364" i="2"/>
  <c r="Z1364" i="2"/>
  <c r="Y1365" i="2"/>
  <c r="Z1365" i="2"/>
  <c r="Y1366" i="2"/>
  <c r="Z1366" i="2"/>
  <c r="Y1379" i="2"/>
  <c r="Z1379" i="2"/>
  <c r="Y1396" i="2"/>
  <c r="Z1396" i="2"/>
  <c r="Y1397" i="2"/>
  <c r="Z1397" i="2"/>
  <c r="Y1398" i="2"/>
  <c r="Z1398" i="2"/>
  <c r="Y1399" i="2"/>
  <c r="Z1399" i="2"/>
  <c r="Y1400" i="2"/>
  <c r="Z1400" i="2"/>
  <c r="Y1401" i="2"/>
  <c r="Z1401" i="2"/>
  <c r="Y1402" i="2"/>
  <c r="Z1402" i="2"/>
  <c r="Y1403" i="2"/>
  <c r="Z1403" i="2"/>
  <c r="Y1410" i="2"/>
  <c r="Z1410" i="2"/>
  <c r="Y1411" i="2"/>
  <c r="Z1411" i="2"/>
  <c r="Y1412" i="2"/>
  <c r="Z1412" i="2"/>
  <c r="Y1413" i="2"/>
  <c r="Z1413" i="2"/>
  <c r="Y1414" i="2"/>
  <c r="Z1414" i="2"/>
  <c r="Y1415" i="2"/>
  <c r="Z1415" i="2"/>
  <c r="Y1416" i="2"/>
  <c r="Z1416" i="2"/>
  <c r="Y1417" i="2"/>
  <c r="Z1417" i="2"/>
  <c r="Y1418" i="2"/>
  <c r="Z1418" i="2"/>
  <c r="Y1419" i="2"/>
  <c r="Z1419" i="2"/>
  <c r="Y1421" i="2"/>
  <c r="Z1421" i="2"/>
  <c r="Y1422" i="2"/>
  <c r="Z1422" i="2"/>
  <c r="Y1423" i="2"/>
  <c r="Z1423" i="2"/>
  <c r="Y1424" i="2"/>
  <c r="Z1424" i="2"/>
  <c r="Y1430" i="2"/>
  <c r="Z1430" i="2"/>
  <c r="Y1431" i="2"/>
  <c r="Z1431" i="2"/>
  <c r="Y1432" i="2"/>
  <c r="Z1432" i="2"/>
  <c r="Y1433" i="2"/>
  <c r="Z1433" i="2"/>
  <c r="Y1434" i="2"/>
  <c r="Z1434" i="2"/>
  <c r="Y1435" i="2"/>
  <c r="Z1435" i="2"/>
  <c r="Y1436" i="2"/>
  <c r="Z1436" i="2"/>
  <c r="Y1437" i="2"/>
  <c r="Z1437" i="2"/>
  <c r="Y1438" i="2"/>
  <c r="Z1438" i="2"/>
  <c r="Y1439" i="2"/>
  <c r="Z1439" i="2"/>
  <c r="Y1440" i="2"/>
  <c r="Z1440" i="2"/>
  <c r="Y1444" i="2"/>
  <c r="Z1444" i="2"/>
  <c r="Y1445" i="2"/>
  <c r="Z1445" i="2"/>
  <c r="Y1446" i="2"/>
  <c r="Z1446" i="2"/>
  <c r="Y1449" i="2"/>
  <c r="Z1449" i="2"/>
  <c r="Y1450" i="2"/>
  <c r="Z1450" i="2"/>
  <c r="Y1451" i="2"/>
  <c r="Z1451" i="2"/>
  <c r="Y1452" i="2"/>
  <c r="Z1452" i="2"/>
  <c r="Y1453" i="2"/>
  <c r="Z1453" i="2"/>
  <c r="Y1454" i="2"/>
  <c r="Z1454" i="2"/>
  <c r="Y1455" i="2"/>
  <c r="Z1455" i="2"/>
  <c r="Y1456" i="2"/>
  <c r="Z1456" i="2"/>
  <c r="Y1457" i="2"/>
  <c r="Z1457" i="2"/>
  <c r="Y1462" i="2"/>
  <c r="Z1462" i="2"/>
  <c r="Y1464" i="2"/>
  <c r="Z1464" i="2"/>
  <c r="Y1471" i="2"/>
  <c r="Z1471" i="2"/>
  <c r="Y1472" i="2"/>
  <c r="Z1472" i="2"/>
  <c r="Y1473" i="2"/>
  <c r="Z1473" i="2"/>
  <c r="Y1474" i="2"/>
  <c r="Z1474" i="2"/>
  <c r="Y1475" i="2"/>
  <c r="Z1475" i="2"/>
  <c r="Y1476" i="2"/>
  <c r="Z1476" i="2"/>
  <c r="Y1488" i="2"/>
  <c r="Z1488" i="2"/>
  <c r="Y1490" i="2"/>
  <c r="Z1490" i="2"/>
  <c r="Y1492" i="2"/>
  <c r="Z1492" i="2"/>
  <c r="Y1493" i="2"/>
  <c r="Z1493" i="2"/>
  <c r="Y1495" i="2"/>
  <c r="Z1495" i="2"/>
  <c r="Y1496" i="2"/>
  <c r="Z1496" i="2"/>
  <c r="Y1497" i="2"/>
  <c r="Z1497" i="2"/>
  <c r="Y1498" i="2"/>
  <c r="Z1498" i="2"/>
  <c r="Y1499" i="2"/>
  <c r="Z1499" i="2"/>
  <c r="Y1500" i="2"/>
  <c r="Z1500" i="2"/>
  <c r="Y1501" i="2"/>
  <c r="Z1501" i="2"/>
  <c r="Y1502" i="2"/>
  <c r="Z1502" i="2"/>
  <c r="Y1510" i="2"/>
  <c r="Z1510" i="2"/>
  <c r="Y1513" i="2"/>
  <c r="Z1513" i="2"/>
  <c r="Y1514" i="2"/>
  <c r="Z1514" i="2"/>
  <c r="Y1515" i="2"/>
  <c r="Z1515" i="2"/>
  <c r="Y1517" i="2"/>
  <c r="Z1517" i="2"/>
  <c r="Y1518" i="2"/>
  <c r="Z1518" i="2"/>
  <c r="Y1519" i="2"/>
  <c r="Z1519" i="2"/>
  <c r="Y1520" i="2"/>
  <c r="Z1520" i="2"/>
  <c r="Y1521" i="2"/>
  <c r="Z1521" i="2"/>
  <c r="Y1522" i="2"/>
  <c r="Z1522" i="2"/>
  <c r="Y1523" i="2"/>
  <c r="Z1523" i="2"/>
  <c r="Y1524" i="2"/>
  <c r="Z1524" i="2"/>
  <c r="Y1525" i="2"/>
  <c r="Z1525" i="2"/>
  <c r="Y1526" i="2"/>
  <c r="Z1526" i="2"/>
  <c r="Y1527" i="2"/>
  <c r="Z1527" i="2"/>
  <c r="Y1528" i="2"/>
  <c r="Z1528" i="2"/>
  <c r="Y1529" i="2"/>
  <c r="Z1529" i="2"/>
  <c r="Y1530" i="2"/>
  <c r="Z1530" i="2"/>
  <c r="Y1531" i="2"/>
  <c r="Z1531" i="2"/>
  <c r="Y1532" i="2"/>
  <c r="Z1532" i="2"/>
  <c r="Y1534" i="2"/>
  <c r="Z1534" i="2"/>
  <c r="Y1535" i="2"/>
  <c r="Z1535" i="2"/>
  <c r="Y1536" i="2"/>
  <c r="Z1536" i="2"/>
  <c r="Y1537" i="2"/>
  <c r="Z1537" i="2"/>
  <c r="Y1538" i="2"/>
  <c r="Z1538" i="2"/>
  <c r="Y1550" i="2"/>
  <c r="Z1550" i="2"/>
  <c r="Y1551" i="2"/>
  <c r="Z1551" i="2"/>
  <c r="Y1556" i="2"/>
  <c r="Z1556" i="2"/>
  <c r="Y1557" i="2"/>
  <c r="Z1557" i="2"/>
  <c r="Y1558" i="2"/>
  <c r="Z1558" i="2"/>
  <c r="Y1587" i="2"/>
  <c r="Z1587" i="2"/>
  <c r="Y1588" i="2"/>
  <c r="Z1588" i="2"/>
  <c r="Y1590" i="2"/>
  <c r="Z1590" i="2"/>
  <c r="Y1591" i="2"/>
  <c r="Z1591" i="2"/>
  <c r="Y1592" i="2"/>
  <c r="Z1592" i="2"/>
  <c r="Y1594" i="2"/>
  <c r="Z1594" i="2"/>
  <c r="Y1598" i="2"/>
  <c r="Z1598" i="2"/>
  <c r="Y1599" i="2"/>
  <c r="Z1599" i="2"/>
  <c r="Y1605" i="2"/>
  <c r="Z1605" i="2"/>
  <c r="Y1606" i="2"/>
  <c r="Z1606" i="2"/>
  <c r="Y1607" i="2"/>
  <c r="Z1607" i="2"/>
  <c r="Y1611" i="2"/>
  <c r="Z1611" i="2"/>
  <c r="Y1615" i="2"/>
  <c r="Z1615" i="2"/>
  <c r="Y1616" i="2"/>
  <c r="Z1616" i="2"/>
  <c r="Y1617" i="2"/>
  <c r="Z1617" i="2"/>
  <c r="Y1618" i="2"/>
  <c r="Z1618" i="2"/>
  <c r="Y1619" i="2"/>
  <c r="Z1619" i="2"/>
  <c r="Y1620" i="2"/>
  <c r="Z1620" i="2"/>
  <c r="Y1622" i="2"/>
  <c r="Z1622" i="2"/>
  <c r="Y1623" i="2"/>
  <c r="Z1623" i="2"/>
  <c r="Y1624" i="2"/>
  <c r="Z1624" i="2"/>
  <c r="Y1625" i="2"/>
  <c r="Z1625" i="2"/>
  <c r="Y1626" i="2"/>
  <c r="Z1626" i="2"/>
  <c r="Y1627" i="2"/>
  <c r="Z1627" i="2"/>
  <c r="Y1628" i="2"/>
  <c r="Z1628" i="2"/>
  <c r="Y1629" i="2"/>
  <c r="Z1629" i="2"/>
  <c r="Y1637" i="2"/>
  <c r="Z1637" i="2"/>
  <c r="Y1643" i="2"/>
  <c r="Z1643" i="2"/>
  <c r="Y1644" i="2"/>
  <c r="Z1644" i="2"/>
  <c r="Y1645" i="2"/>
  <c r="Z1645" i="2"/>
  <c r="Y1646" i="2"/>
  <c r="Z1646" i="2"/>
  <c r="Y1647" i="2"/>
  <c r="Z1647" i="2"/>
  <c r="Y1648" i="2"/>
  <c r="Z1648" i="2"/>
  <c r="Y1649" i="2"/>
  <c r="Z1649" i="2"/>
  <c r="Y1653" i="2"/>
  <c r="Z1653" i="2"/>
  <c r="Y1655" i="2"/>
  <c r="Z1655" i="2"/>
  <c r="Y1656" i="2"/>
  <c r="Z1656" i="2"/>
  <c r="Y1661" i="2"/>
  <c r="Z1661" i="2"/>
  <c r="Y1662" i="2"/>
  <c r="Z1662" i="2"/>
  <c r="Y1670" i="2"/>
  <c r="Z1670" i="2"/>
  <c r="Y1671" i="2"/>
  <c r="Z1671" i="2"/>
  <c r="Y1672" i="2"/>
  <c r="Z1672" i="2"/>
  <c r="Y1673" i="2"/>
  <c r="Z1673" i="2"/>
  <c r="Y1679" i="2"/>
  <c r="Z1679" i="2"/>
  <c r="Y1680" i="2"/>
  <c r="Z1680" i="2"/>
  <c r="Y1681" i="2"/>
  <c r="Z1681" i="2"/>
  <c r="Y1682" i="2"/>
  <c r="Z1682" i="2"/>
  <c r="Y1683" i="2"/>
  <c r="Z1683" i="2"/>
  <c r="Y1684" i="2"/>
  <c r="Z1684" i="2"/>
  <c r="Y1685" i="2"/>
  <c r="Z1685" i="2"/>
  <c r="Y1686" i="2"/>
  <c r="Z1686" i="2"/>
  <c r="Y1689" i="2"/>
  <c r="Z1689" i="2"/>
  <c r="Y1699" i="2"/>
  <c r="Z1699" i="2"/>
  <c r="Y1700" i="2"/>
  <c r="Z1700" i="2"/>
  <c r="Y1705" i="2"/>
  <c r="Z1705" i="2"/>
  <c r="Y1722" i="2"/>
  <c r="Z1722" i="2"/>
  <c r="Y1723" i="2"/>
  <c r="Z1723" i="2"/>
  <c r="Y1724" i="2"/>
  <c r="Z1724" i="2"/>
  <c r="Y1725" i="2"/>
  <c r="Z1725" i="2"/>
  <c r="Y1726" i="2"/>
  <c r="Z1726" i="2"/>
  <c r="Y1727" i="2"/>
  <c r="Z1727" i="2"/>
  <c r="Y1729" i="2"/>
  <c r="Z1729" i="2"/>
  <c r="Y1730" i="2"/>
  <c r="Z1730" i="2"/>
  <c r="Y1731" i="2"/>
  <c r="Z1731" i="2"/>
  <c r="Y1732" i="2"/>
  <c r="Z1732" i="2"/>
  <c r="Y1733" i="2"/>
  <c r="Z1733" i="2"/>
  <c r="Y1734" i="2"/>
  <c r="Z1734" i="2"/>
  <c r="Y1735" i="2"/>
  <c r="Z1735" i="2"/>
  <c r="Y1736" i="2"/>
  <c r="Z1736" i="2"/>
  <c r="Y1742" i="2"/>
  <c r="Z1742" i="2"/>
  <c r="Y1744" i="2"/>
  <c r="Z1744" i="2"/>
  <c r="AA1378" i="2" l="1"/>
  <c r="AA1393" i="2"/>
  <c r="AA1411" i="2"/>
  <c r="AA1429" i="2"/>
  <c r="AA1444" i="2"/>
  <c r="AA1462" i="2"/>
  <c r="AA1477" i="2"/>
  <c r="AA1497" i="2"/>
  <c r="AA1516" i="2"/>
  <c r="AA1541" i="2"/>
  <c r="AA1583" i="2"/>
  <c r="AA1612" i="2"/>
  <c r="AA1648" i="2"/>
  <c r="AA1689" i="2"/>
  <c r="AA1714" i="2"/>
  <c r="AA1767" i="2"/>
  <c r="AA1813" i="2"/>
  <c r="AA1872" i="2"/>
  <c r="AA1936" i="2"/>
  <c r="AA2016" i="2"/>
  <c r="AA2219" i="2"/>
  <c r="AA2389" i="2"/>
  <c r="AA2886" i="2"/>
  <c r="AA2750" i="2"/>
  <c r="AA2230" i="2"/>
  <c r="AA1947" i="2"/>
  <c r="AA1717" i="2"/>
  <c r="AA1558" i="2"/>
  <c r="AA2961" i="2"/>
  <c r="AA2837" i="2"/>
  <c r="AA2705" i="2"/>
  <c r="AA2578" i="2"/>
  <c r="AA2431" i="2"/>
  <c r="AA2323" i="2"/>
  <c r="AA2259" i="2"/>
  <c r="AA2208" i="2"/>
  <c r="AA2145" i="2"/>
  <c r="AA2098" i="2"/>
  <c r="AA2047" i="2"/>
  <c r="AA2000" i="2"/>
  <c r="AA1952" i="2"/>
  <c r="AA1918" i="2"/>
  <c r="AA1892" i="2"/>
  <c r="AA1863" i="2"/>
  <c r="AA1839" i="2"/>
  <c r="AA1811" i="2"/>
  <c r="AA1783" i="2"/>
  <c r="AA1763" i="2"/>
  <c r="AA1742" i="2"/>
  <c r="AA1718" i="2"/>
  <c r="AA1698" i="2"/>
  <c r="AA1688" i="2"/>
  <c r="AA1670" i="2"/>
  <c r="AA1654" i="2"/>
  <c r="AA1638" i="2"/>
  <c r="AA1622" i="2"/>
  <c r="AA1606" i="2"/>
  <c r="AA1591" i="2"/>
  <c r="AA1575" i="2"/>
  <c r="AA1553" i="2"/>
  <c r="AA1537" i="2"/>
  <c r="AA1521" i="2"/>
  <c r="AA1513" i="2"/>
  <c r="AA1505" i="2"/>
  <c r="AA1496" i="2"/>
  <c r="AA1488" i="2"/>
  <c r="AA1480" i="2"/>
  <c r="AA1472" i="2"/>
  <c r="AA1464" i="2"/>
  <c r="AA1456" i="2"/>
  <c r="AA1448" i="2"/>
  <c r="AA1440" i="2"/>
  <c r="AA1432" i="2"/>
  <c r="AA1424" i="2"/>
  <c r="AA1416" i="2"/>
  <c r="AA1408" i="2"/>
  <c r="AA1400" i="2"/>
  <c r="AA1392" i="2"/>
  <c r="AA1384" i="2"/>
  <c r="AA1376" i="2"/>
  <c r="AA1368" i="2"/>
  <c r="AA1360" i="2"/>
  <c r="AA1352" i="2"/>
  <c r="AA1344" i="2"/>
  <c r="AA1336" i="2"/>
  <c r="AA1328" i="2"/>
  <c r="AA1320" i="2"/>
  <c r="AA1312" i="2"/>
  <c r="AA1304" i="2"/>
  <c r="AA1296" i="2"/>
  <c r="AA1288" i="2"/>
  <c r="AA1280" i="2"/>
  <c r="AA1272" i="2"/>
  <c r="AA1264" i="2"/>
  <c r="AA1256" i="2"/>
  <c r="AA1248" i="2"/>
  <c r="AA1240" i="2"/>
  <c r="AA1232" i="2"/>
  <c r="AA1224" i="2"/>
  <c r="AA1216" i="2"/>
  <c r="AA1208" i="2"/>
  <c r="AA1200" i="2"/>
  <c r="AA1192" i="2"/>
  <c r="AA1184" i="2"/>
  <c r="AA1176" i="2"/>
  <c r="AA1168" i="2"/>
  <c r="AA1160" i="2"/>
  <c r="AA1152" i="2"/>
  <c r="AA2720" i="2"/>
  <c r="AA2165" i="2"/>
  <c r="AA1899" i="2"/>
  <c r="AA1715" i="2"/>
  <c r="AA1538" i="2"/>
  <c r="AA2933" i="2"/>
  <c r="AA2833" i="2"/>
  <c r="AA2686" i="2"/>
  <c r="AA2547" i="2"/>
  <c r="AA2427" i="2"/>
  <c r="AA2321" i="2"/>
  <c r="AA2257" i="2"/>
  <c r="AA2206" i="2"/>
  <c r="AA2143" i="2"/>
  <c r="AA2096" i="2"/>
  <c r="AA2045" i="2"/>
  <c r="AA1985" i="2"/>
  <c r="AA1950" i="2"/>
  <c r="AA1916" i="2"/>
  <c r="AA1890" i="2"/>
  <c r="AA1860" i="2"/>
  <c r="AA1831" i="2"/>
  <c r="AA1809" i="2"/>
  <c r="AA1781" i="2"/>
  <c r="AA1761" i="2"/>
  <c r="AA1736" i="2"/>
  <c r="AA1716" i="2"/>
  <c r="AA1697" i="2"/>
  <c r="AA1684" i="2"/>
  <c r="AA1668" i="2"/>
  <c r="AA1652" i="2"/>
  <c r="AA1636" i="2"/>
  <c r="AA1620" i="2"/>
  <c r="AA1605" i="2"/>
  <c r="AA1589" i="2"/>
  <c r="AA1573" i="2"/>
  <c r="AA1551" i="2"/>
  <c r="AA1535" i="2"/>
  <c r="AA1520" i="2"/>
  <c r="AA1512" i="2"/>
  <c r="AA1504" i="2"/>
  <c r="AA1495" i="2"/>
  <c r="AA1487" i="2"/>
  <c r="AA1479" i="2"/>
  <c r="AA1471" i="2"/>
  <c r="AA1463" i="2"/>
  <c r="AA1455" i="2"/>
  <c r="AA1447" i="2"/>
  <c r="AA1439" i="2"/>
  <c r="AA1431" i="2"/>
  <c r="AA1423" i="2"/>
  <c r="AA1415" i="2"/>
  <c r="AA1407" i="2"/>
  <c r="AA1399" i="2"/>
  <c r="AA1391" i="2"/>
  <c r="AA1383" i="2"/>
  <c r="AA1375" i="2"/>
  <c r="AA1367" i="2"/>
  <c r="AA1359" i="2"/>
  <c r="AA1351" i="2"/>
  <c r="AA1343" i="2"/>
  <c r="AA1335" i="2"/>
  <c r="AA1327" i="2"/>
  <c r="AA1319" i="2"/>
  <c r="AA1311" i="2"/>
  <c r="AA1303" i="2"/>
  <c r="AA1295" i="2"/>
  <c r="AA1287" i="2"/>
  <c r="AA1279" i="2"/>
  <c r="AA1271" i="2"/>
  <c r="AA1263" i="2"/>
  <c r="AA1255" i="2"/>
  <c r="AA1247" i="2"/>
  <c r="AA1239" i="2"/>
  <c r="AA1231" i="2"/>
  <c r="AA1223" i="2"/>
  <c r="AA1215" i="2"/>
  <c r="AA1207" i="2"/>
  <c r="AA1199" i="2"/>
  <c r="AA1191" i="2"/>
  <c r="AA1183" i="2"/>
  <c r="AA1175" i="2"/>
  <c r="AA1167" i="2"/>
  <c r="AA1159" i="2"/>
  <c r="AA1151" i="2"/>
  <c r="AA2589" i="2"/>
  <c r="AA2160" i="2"/>
  <c r="AA1861" i="2"/>
  <c r="AA1665" i="2"/>
  <c r="AA1534" i="2"/>
  <c r="AA2921" i="2"/>
  <c r="AA2807" i="2"/>
  <c r="AA2680" i="2"/>
  <c r="AA2524" i="2"/>
  <c r="AA2407" i="2"/>
  <c r="AA2309" i="2"/>
  <c r="AA2245" i="2"/>
  <c r="AA2194" i="2"/>
  <c r="AA2141" i="2"/>
  <c r="AA2081" i="2"/>
  <c r="AA2034" i="2"/>
  <c r="AA2948" i="2"/>
  <c r="AA2310" i="2"/>
  <c r="AA1959" i="2"/>
  <c r="AA1747" i="2"/>
  <c r="AA1580" i="2"/>
  <c r="AA2963" i="2"/>
  <c r="AA2860" i="2"/>
  <c r="AA2733" i="2"/>
  <c r="AA2582" i="2"/>
  <c r="AA2449" i="2"/>
  <c r="AA2343" i="2"/>
  <c r="AA2275" i="2"/>
  <c r="AA2218" i="2"/>
  <c r="AA2161" i="2"/>
  <c r="AA2109" i="2"/>
  <c r="AA2049" i="2"/>
  <c r="AA2468" i="2"/>
  <c r="AA1814" i="2"/>
  <c r="AA3012" i="2"/>
  <c r="AA2782" i="2"/>
  <c r="AA2495" i="2"/>
  <c r="AA2291" i="2"/>
  <c r="AA2176" i="2"/>
  <c r="AA2077" i="2"/>
  <c r="AA1982" i="2"/>
  <c r="AA1934" i="2"/>
  <c r="AA1898" i="2"/>
  <c r="AA1859" i="2"/>
  <c r="AA1825" i="2"/>
  <c r="AA1793" i="2"/>
  <c r="AA1759" i="2"/>
  <c r="AA1730" i="2"/>
  <c r="AA1701" i="2"/>
  <c r="AA1682" i="2"/>
  <c r="AA1662" i="2"/>
  <c r="AA1642" i="2"/>
  <c r="AA1618" i="2"/>
  <c r="AA1599" i="2"/>
  <c r="AA1579" i="2"/>
  <c r="AA1549" i="2"/>
  <c r="AA1529" i="2"/>
  <c r="AA1515" i="2"/>
  <c r="AA1503" i="2"/>
  <c r="AA1492" i="2"/>
  <c r="AA1482" i="2"/>
  <c r="AA1470" i="2"/>
  <c r="AA1460" i="2"/>
  <c r="AA1450" i="2"/>
  <c r="AA1438" i="2"/>
  <c r="AA1428" i="2"/>
  <c r="AA1418" i="2"/>
  <c r="AA1406" i="2"/>
  <c r="AA1396" i="2"/>
  <c r="AA1386" i="2"/>
  <c r="AA1374" i="2"/>
  <c r="AA1364" i="2"/>
  <c r="AA1354" i="2"/>
  <c r="AA1342" i="2"/>
  <c r="AA1332" i="2"/>
  <c r="AA1322" i="2"/>
  <c r="AA1310" i="2"/>
  <c r="AA1300" i="2"/>
  <c r="AA1290" i="2"/>
  <c r="AA1278" i="2"/>
  <c r="AA1268" i="2"/>
  <c r="AA1258" i="2"/>
  <c r="AA1246" i="2"/>
  <c r="AA1236" i="2"/>
  <c r="AA1226" i="2"/>
  <c r="AA1214" i="2"/>
  <c r="AA1204" i="2"/>
  <c r="AA1194" i="2"/>
  <c r="AA1182" i="2"/>
  <c r="AA1172" i="2"/>
  <c r="AA1162" i="2"/>
  <c r="AA1150" i="2"/>
  <c r="AA1142" i="2"/>
  <c r="AA1134" i="2"/>
  <c r="AA1126" i="2"/>
  <c r="AA1118" i="2"/>
  <c r="AA1110" i="2"/>
  <c r="AA1102" i="2"/>
  <c r="AA1094" i="2"/>
  <c r="AA1086" i="2"/>
  <c r="AA1078" i="2"/>
  <c r="AA1070" i="2"/>
  <c r="AA1062" i="2"/>
  <c r="AA1054" i="2"/>
  <c r="AA1046" i="2"/>
  <c r="AA1038" i="2"/>
  <c r="AA1030" i="2"/>
  <c r="AA1022" i="2"/>
  <c r="AA1014" i="2"/>
  <c r="AA1006" i="2"/>
  <c r="AA998" i="2"/>
  <c r="AA990" i="2"/>
  <c r="AA982" i="2"/>
  <c r="AA974" i="2"/>
  <c r="AA966" i="2"/>
  <c r="AA958" i="2"/>
  <c r="AA950" i="2"/>
  <c r="AA942" i="2"/>
  <c r="AA2382" i="2"/>
  <c r="AA1782" i="2"/>
  <c r="AA3010" i="2"/>
  <c r="AA2757" i="2"/>
  <c r="AA2473" i="2"/>
  <c r="AA2289" i="2"/>
  <c r="AA2174" i="2"/>
  <c r="AA2067" i="2"/>
  <c r="AA1981" i="2"/>
  <c r="AA1932" i="2"/>
  <c r="AA1894" i="2"/>
  <c r="AA1857" i="2"/>
  <c r="AA1823" i="2"/>
  <c r="AA1791" i="2"/>
  <c r="AA1752" i="2"/>
  <c r="AA1728" i="2"/>
  <c r="AA1699" i="2"/>
  <c r="AA1680" i="2"/>
  <c r="AA1660" i="2"/>
  <c r="AA1640" i="2"/>
  <c r="AA1616" i="2"/>
  <c r="AA1597" i="2"/>
  <c r="AA1577" i="2"/>
  <c r="AA1547" i="2"/>
  <c r="AA1527" i="2"/>
  <c r="AA1514" i="2"/>
  <c r="AA1502" i="2"/>
  <c r="AA1491" i="2"/>
  <c r="AA1481" i="2"/>
  <c r="AA1469" i="2"/>
  <c r="AA1459" i="2"/>
  <c r="AA1449" i="2"/>
  <c r="AA1437" i="2"/>
  <c r="AA1427" i="2"/>
  <c r="AA1417" i="2"/>
  <c r="AA1405" i="2"/>
  <c r="AA1395" i="2"/>
  <c r="AA1385" i="2"/>
  <c r="AA1373" i="2"/>
  <c r="AA1363" i="2"/>
  <c r="AA1353" i="2"/>
  <c r="AA1341" i="2"/>
  <c r="AA1331" i="2"/>
  <c r="AA1321" i="2"/>
  <c r="AA1309" i="2"/>
  <c r="AA1299" i="2"/>
  <c r="AA1289" i="2"/>
  <c r="AA1277" i="2"/>
  <c r="AA1267" i="2"/>
  <c r="AA1257" i="2"/>
  <c r="AA1245" i="2"/>
  <c r="AA1235" i="2"/>
  <c r="AA1225" i="2"/>
  <c r="AA1213" i="2"/>
  <c r="AA1203" i="2"/>
  <c r="AA1193" i="2"/>
  <c r="AA1181" i="2"/>
  <c r="AA1171" i="2"/>
  <c r="AA1161" i="2"/>
  <c r="AA1149" i="2"/>
  <c r="AA1141" i="2"/>
  <c r="AA1133" i="2"/>
  <c r="AA1125" i="2"/>
  <c r="AA1117" i="2"/>
  <c r="AA1109" i="2"/>
  <c r="AA1101" i="2"/>
  <c r="AA1093" i="2"/>
  <c r="AA1085" i="2"/>
  <c r="AA1077" i="2"/>
  <c r="AA1069" i="2"/>
  <c r="AA1061" i="2"/>
  <c r="AA1053" i="2"/>
  <c r="AA1045" i="2"/>
  <c r="AA1037" i="2"/>
  <c r="AA1029" i="2"/>
  <c r="AA1021" i="2"/>
  <c r="AA1013" i="2"/>
  <c r="AA1005" i="2"/>
  <c r="AA997" i="2"/>
  <c r="AA989" i="2"/>
  <c r="AA981" i="2"/>
  <c r="AA973" i="2"/>
  <c r="AA965" i="2"/>
  <c r="AA957" i="2"/>
  <c r="AA2316" i="2"/>
  <c r="AA1780" i="2"/>
  <c r="AA2984" i="2"/>
  <c r="AA2735" i="2"/>
  <c r="AA2471" i="2"/>
  <c r="AA2277" i="2"/>
  <c r="AA2163" i="2"/>
  <c r="AA2065" i="2"/>
  <c r="AA1972" i="2"/>
  <c r="AA1930" i="2"/>
  <c r="AA1876" i="2"/>
  <c r="AA1847" i="2"/>
  <c r="AA1815" i="2"/>
  <c r="AA1779" i="2"/>
  <c r="AA1750" i="2"/>
  <c r="AA1726" i="2"/>
  <c r="AA1696" i="2"/>
  <c r="AA1678" i="2"/>
  <c r="AA1658" i="2"/>
  <c r="AA1634" i="2"/>
  <c r="AA1615" i="2"/>
  <c r="AA1595" i="2"/>
  <c r="AA1571" i="2"/>
  <c r="AA1545" i="2"/>
  <c r="AA1525" i="2"/>
  <c r="AA1511" i="2"/>
  <c r="AA1501" i="2"/>
  <c r="AA1490" i="2"/>
  <c r="AA1478" i="2"/>
  <c r="AA1468" i="2"/>
  <c r="AA1458" i="2"/>
  <c r="AA1446" i="2"/>
  <c r="AA1436" i="2"/>
  <c r="AA1426" i="2"/>
  <c r="AA1414" i="2"/>
  <c r="AA1404" i="2"/>
  <c r="AA1394" i="2"/>
  <c r="AA1382" i="2"/>
  <c r="AA1372" i="2"/>
  <c r="AA1362" i="2"/>
  <c r="AA1350" i="2"/>
  <c r="AA1340" i="2"/>
  <c r="AA1330" i="2"/>
  <c r="AA1318" i="2"/>
  <c r="AA1308" i="2"/>
  <c r="AA1298" i="2"/>
  <c r="AA1286" i="2"/>
  <c r="AA1276" i="2"/>
  <c r="AA1266" i="2"/>
  <c r="AA1254" i="2"/>
  <c r="AA1244" i="2"/>
  <c r="AA1234" i="2"/>
  <c r="AA1222" i="2"/>
  <c r="AA1212" i="2"/>
  <c r="AA1202" i="2"/>
  <c r="AA1190" i="2"/>
  <c r="AA1180" i="2"/>
  <c r="AA1170" i="2"/>
  <c r="AA1158" i="2"/>
  <c r="AA1148" i="2"/>
  <c r="AA1140" i="2"/>
  <c r="AA1132" i="2"/>
  <c r="AA1124" i="2"/>
  <c r="AA1116" i="2"/>
  <c r="AA1108" i="2"/>
  <c r="AA1100" i="2"/>
  <c r="AA1092" i="2"/>
  <c r="AA1084" i="2"/>
  <c r="AA1076" i="2"/>
  <c r="AA1068" i="2"/>
  <c r="AA1060" i="2"/>
  <c r="AA1052" i="2"/>
  <c r="AA1044" i="2"/>
  <c r="AA1036" i="2"/>
  <c r="AA1028" i="2"/>
  <c r="AA1020" i="2"/>
  <c r="AA1012" i="2"/>
  <c r="AA1004" i="2"/>
  <c r="AA996" i="2"/>
  <c r="AA988" i="2"/>
  <c r="AA980" i="2"/>
  <c r="AA972" i="2"/>
  <c r="AA964" i="2"/>
  <c r="AA956" i="2"/>
  <c r="AA948" i="2"/>
  <c r="AA669" i="2"/>
  <c r="AA677" i="2"/>
  <c r="AA685" i="2"/>
  <c r="AA693" i="2"/>
  <c r="AA701" i="2"/>
  <c r="AA709" i="2"/>
  <c r="AA717" i="2"/>
  <c r="AA725" i="2"/>
  <c r="AA733" i="2"/>
  <c r="AA741" i="2"/>
  <c r="AA749" i="2"/>
  <c r="AA757" i="2"/>
  <c r="AA765" i="2"/>
  <c r="AA773" i="2"/>
  <c r="AA781" i="2"/>
  <c r="AA789" i="2"/>
  <c r="AA797" i="2"/>
  <c r="AA805" i="2"/>
  <c r="AA813" i="2"/>
  <c r="AA821" i="2"/>
  <c r="AA829" i="2"/>
  <c r="AA837" i="2"/>
  <c r="AA845" i="2"/>
  <c r="AA853" i="2"/>
  <c r="AA861" i="2"/>
  <c r="AA869" i="2"/>
  <c r="AA877" i="2"/>
  <c r="AA885" i="2"/>
  <c r="AA893" i="2"/>
  <c r="AA901" i="2"/>
  <c r="AA909" i="2"/>
  <c r="AA917" i="2"/>
  <c r="AA925" i="2"/>
  <c r="AA933" i="2"/>
  <c r="AA941" i="2"/>
  <c r="AA952" i="2"/>
  <c r="AA963" i="2"/>
  <c r="AA977" i="2"/>
  <c r="AA991" i="2"/>
  <c r="AA1002" i="2"/>
  <c r="AA1016" i="2"/>
  <c r="AA1027" i="2"/>
  <c r="AA1041" i="2"/>
  <c r="AA1055" i="2"/>
  <c r="AA1066" i="2"/>
  <c r="AA1080" i="2"/>
  <c r="AA1091" i="2"/>
  <c r="AA1105" i="2"/>
  <c r="AA1119" i="2"/>
  <c r="AA1130" i="2"/>
  <c r="AA1144" i="2"/>
  <c r="AA1157" i="2"/>
  <c r="AA1177" i="2"/>
  <c r="AA1195" i="2"/>
  <c r="AA1210" i="2"/>
  <c r="AA1228" i="2"/>
  <c r="AA1243" i="2"/>
  <c r="AA1261" i="2"/>
  <c r="AA1281" i="2"/>
  <c r="AA1294" i="2"/>
  <c r="AA1314" i="2"/>
  <c r="AA1329" i="2"/>
  <c r="AA1347" i="2"/>
  <c r="AA1365" i="2"/>
  <c r="AA1380" i="2"/>
  <c r="AA1398" i="2"/>
  <c r="AA1413" i="2"/>
  <c r="AA1433" i="2"/>
  <c r="AA1451" i="2"/>
  <c r="AA1466" i="2"/>
  <c r="AA1484" i="2"/>
  <c r="AA1499" i="2"/>
  <c r="AA1518" i="2"/>
  <c r="AA1561" i="2"/>
  <c r="AA1587" i="2"/>
  <c r="AA1626" i="2"/>
  <c r="AA1656" i="2"/>
  <c r="AA1691" i="2"/>
  <c r="AA1732" i="2"/>
  <c r="AA1775" i="2"/>
  <c r="AA1829" i="2"/>
  <c r="AA1874" i="2"/>
  <c r="AA1954" i="2"/>
  <c r="AA2079" i="2"/>
  <c r="AA2227" i="2"/>
  <c r="AA2606" i="2"/>
  <c r="AA2918" i="2"/>
  <c r="AA2054" i="2"/>
  <c r="AA446" i="2"/>
  <c r="AA454" i="2"/>
  <c r="AA462" i="2"/>
  <c r="AA470" i="2"/>
  <c r="AA478" i="2"/>
  <c r="AA486" i="2"/>
  <c r="AA494" i="2"/>
  <c r="AA502" i="2"/>
  <c r="AA510" i="2"/>
  <c r="AA518" i="2"/>
  <c r="AA526" i="2"/>
  <c r="AA534" i="2"/>
  <c r="AA542" i="2"/>
  <c r="AA550" i="2"/>
  <c r="AA558" i="2"/>
  <c r="AA566" i="2"/>
  <c r="AA574" i="2"/>
  <c r="AA582" i="2"/>
  <c r="AA590" i="2"/>
  <c r="AA598" i="2"/>
  <c r="AA606" i="2"/>
  <c r="AA614" i="2"/>
  <c r="AA622" i="2"/>
  <c r="AA630" i="2"/>
  <c r="AA638" i="2"/>
  <c r="AA646" i="2"/>
  <c r="AA654" i="2"/>
  <c r="AA662" i="2"/>
  <c r="AA670" i="2"/>
  <c r="AA678" i="2"/>
  <c r="AA686" i="2"/>
  <c r="AA694" i="2"/>
  <c r="AA702" i="2"/>
  <c r="AA710" i="2"/>
  <c r="AA718" i="2"/>
  <c r="AA726" i="2"/>
  <c r="AA734" i="2"/>
  <c r="AA742" i="2"/>
  <c r="AA750" i="2"/>
  <c r="AA758" i="2"/>
  <c r="AA766" i="2"/>
  <c r="AA774" i="2"/>
  <c r="AA782" i="2"/>
  <c r="AA790" i="2"/>
  <c r="AA798" i="2"/>
  <c r="AA806" i="2"/>
  <c r="AA814" i="2"/>
  <c r="AA822" i="2"/>
  <c r="AA830" i="2"/>
  <c r="AA838" i="2"/>
  <c r="AA846" i="2"/>
  <c r="AA854" i="2"/>
  <c r="AA862" i="2"/>
  <c r="AA870" i="2"/>
  <c r="AA878" i="2"/>
  <c r="AA886" i="2"/>
  <c r="AA894" i="2"/>
  <c r="AA902" i="2"/>
  <c r="AA910" i="2"/>
  <c r="AA918" i="2"/>
  <c r="AA926" i="2"/>
  <c r="AA934" i="2"/>
  <c r="AA943" i="2"/>
  <c r="AA953" i="2"/>
  <c r="AA967" i="2"/>
  <c r="AA978" i="2"/>
  <c r="AA992" i="2"/>
  <c r="AA1003" i="2"/>
  <c r="AA1017" i="2"/>
  <c r="AA1031" i="2"/>
  <c r="AA1042" i="2"/>
  <c r="AA1056" i="2"/>
  <c r="AA1067" i="2"/>
  <c r="AA1081" i="2"/>
  <c r="AA1095" i="2"/>
  <c r="AA1106" i="2"/>
  <c r="AA1120" i="2"/>
  <c r="AA1131" i="2"/>
  <c r="AA1145" i="2"/>
  <c r="AA1163" i="2"/>
  <c r="AA1178" i="2"/>
  <c r="AA1196" i="2"/>
  <c r="AA1211" i="2"/>
  <c r="AA1229" i="2"/>
  <c r="AA1249" i="2"/>
  <c r="AA1262" i="2"/>
  <c r="AA1282" i="2"/>
  <c r="AA1297" i="2"/>
  <c r="AA1315" i="2"/>
  <c r="AA1333" i="2"/>
  <c r="AA1348" i="2"/>
  <c r="AA1366" i="2"/>
  <c r="AA1381" i="2"/>
  <c r="AA1401" i="2"/>
  <c r="AA1419" i="2"/>
  <c r="AA1434" i="2"/>
  <c r="AA1452" i="2"/>
  <c r="AA1467" i="2"/>
  <c r="AA1485" i="2"/>
  <c r="AA1506" i="2"/>
  <c r="AA1519" i="2"/>
  <c r="AA1563" i="2"/>
  <c r="AA1593" i="2"/>
  <c r="AA1628" i="2"/>
  <c r="AA1664" i="2"/>
  <c r="AA1692" i="2"/>
  <c r="AA1734" i="2"/>
  <c r="AA1777" i="2"/>
  <c r="AA1841" i="2"/>
  <c r="AA1900" i="2"/>
  <c r="AA1956" i="2"/>
  <c r="AA2111" i="2"/>
  <c r="AA2243" i="2"/>
  <c r="AA2631" i="2"/>
  <c r="AA3034" i="2"/>
  <c r="AA2064" i="2"/>
  <c r="AA671" i="2"/>
  <c r="AA679" i="2"/>
  <c r="AA687" i="2"/>
  <c r="AA695" i="2"/>
  <c r="AA703" i="2"/>
  <c r="AA711" i="2"/>
  <c r="AA719" i="2"/>
  <c r="AA727" i="2"/>
  <c r="AA735" i="2"/>
  <c r="AA743" i="2"/>
  <c r="AA751" i="2"/>
  <c r="AA759" i="2"/>
  <c r="AA767" i="2"/>
  <c r="AA775" i="2"/>
  <c r="AA783" i="2"/>
  <c r="AA791" i="2"/>
  <c r="AA799" i="2"/>
  <c r="AA807" i="2"/>
  <c r="AA815" i="2"/>
  <c r="AA823" i="2"/>
  <c r="AA831" i="2"/>
  <c r="AA839" i="2"/>
  <c r="AA847" i="2"/>
  <c r="AA855" i="2"/>
  <c r="AA863" i="2"/>
  <c r="AA871" i="2"/>
  <c r="AA879" i="2"/>
  <c r="AA887" i="2"/>
  <c r="AA895" i="2"/>
  <c r="AA903" i="2"/>
  <c r="AA911" i="2"/>
  <c r="AA919" i="2"/>
  <c r="AA927" i="2"/>
  <c r="AA935" i="2"/>
  <c r="AA944" i="2"/>
  <c r="AA954" i="2"/>
  <c r="AA968" i="2"/>
  <c r="AA979" i="2"/>
  <c r="AA993" i="2"/>
  <c r="AA1007" i="2"/>
  <c r="AA1018" i="2"/>
  <c r="AA1032" i="2"/>
  <c r="AA1043" i="2"/>
  <c r="AA1057" i="2"/>
  <c r="AA1071" i="2"/>
  <c r="AA1082" i="2"/>
  <c r="AA1096" i="2"/>
  <c r="AA1107" i="2"/>
  <c r="AA1121" i="2"/>
  <c r="AA1135" i="2"/>
  <c r="AA1146" i="2"/>
  <c r="AA1164" i="2"/>
  <c r="AA1179" i="2"/>
  <c r="AA1197" i="2"/>
  <c r="AA1217" i="2"/>
  <c r="AA1230" i="2"/>
  <c r="AA1250" i="2"/>
  <c r="AA1265" i="2"/>
  <c r="AA1283" i="2"/>
  <c r="AA1301" i="2"/>
  <c r="AA1316" i="2"/>
  <c r="AA1334" i="2"/>
  <c r="AA1349" i="2"/>
  <c r="AA1369" i="2"/>
  <c r="AA1387" i="2"/>
  <c r="AA1402" i="2"/>
  <c r="AA1420" i="2"/>
  <c r="AA1435" i="2"/>
  <c r="AA1453" i="2"/>
  <c r="AA1473" i="2"/>
  <c r="AA1486" i="2"/>
  <c r="AA1507" i="2"/>
  <c r="AA1523" i="2"/>
  <c r="AA1565" i="2"/>
  <c r="AA1601" i="2"/>
  <c r="AA1630" i="2"/>
  <c r="AA1666" i="2"/>
  <c r="AA1693" i="2"/>
  <c r="AA1744" i="2"/>
  <c r="AA1795" i="2"/>
  <c r="AA1843" i="2"/>
  <c r="AA1908" i="2"/>
  <c r="AA1970" i="2"/>
  <c r="AA2113" i="2"/>
  <c r="AA2307" i="2"/>
  <c r="AA2633" i="2"/>
  <c r="AA1582" i="2"/>
  <c r="AA2106" i="2"/>
  <c r="AA2997" i="2"/>
  <c r="AA2889" i="2"/>
  <c r="AA2760" i="2"/>
  <c r="AA2663" i="2"/>
  <c r="AA2583" i="2"/>
  <c r="AA2502" i="2"/>
  <c r="AA2446" i="2"/>
  <c r="AA2404" i="2"/>
  <c r="AA2348" i="2"/>
  <c r="AA2302" i="2"/>
  <c r="AA2254" i="2"/>
  <c r="AA2187" i="2"/>
  <c r="AA2158" i="2"/>
  <c r="AA2128" i="2"/>
  <c r="AA2091" i="2"/>
  <c r="AA2058" i="2"/>
  <c r="AA2031" i="2"/>
  <c r="AA1992" i="2"/>
  <c r="AA1963" i="2"/>
  <c r="AA1931" i="2"/>
  <c r="AA1897" i="2"/>
  <c r="AA1879" i="2"/>
  <c r="AA1844" i="2"/>
  <c r="AA1820" i="2"/>
  <c r="AA1796" i="2"/>
  <c r="AA1774" i="2"/>
  <c r="AA1753" i="2"/>
  <c r="AA1733" i="2"/>
  <c r="AA1711" i="2"/>
  <c r="AA1677" i="2"/>
  <c r="AA1657" i="2"/>
  <c r="AA1635" i="2"/>
  <c r="AA1619" i="2"/>
  <c r="AA1602" i="2"/>
  <c r="AA1586" i="2"/>
  <c r="AA1570" i="2"/>
  <c r="AA1557" i="2"/>
  <c r="AA1544" i="2"/>
  <c r="AA1528" i="2"/>
  <c r="AA3038" i="2"/>
  <c r="AA3022" i="2"/>
  <c r="AA3006" i="2"/>
  <c r="AA2990" i="2"/>
  <c r="AA2975" i="2"/>
  <c r="AA2959" i="2"/>
  <c r="AA2943" i="2"/>
  <c r="AA2928" i="2"/>
  <c r="AA2920" i="2"/>
  <c r="AA2912" i="2"/>
  <c r="AA2904" i="2"/>
  <c r="AA2890" i="2"/>
  <c r="AA2874" i="2"/>
  <c r="AA2859" i="2"/>
  <c r="AA2843" i="2"/>
  <c r="AA2827" i="2"/>
  <c r="AA2811" i="2"/>
  <c r="AA2794" i="2"/>
  <c r="AA2779" i="2"/>
  <c r="AA2763" i="2"/>
  <c r="AA2747" i="2"/>
  <c r="AA2731" i="2"/>
  <c r="AA2715" i="2"/>
  <c r="AA2699" i="2"/>
  <c r="AA2684" i="2"/>
  <c r="AA2668" i="2"/>
  <c r="AA2652" i="2"/>
  <c r="AA2637" i="2"/>
  <c r="AA2621" i="2"/>
  <c r="AA2604" i="2"/>
  <c r="AA2588" i="2"/>
  <c r="AA2572" i="2"/>
  <c r="AA2551" i="2"/>
  <c r="AA2534" i="2"/>
  <c r="AA2518" i="2"/>
  <c r="AA2501" i="2"/>
  <c r="AA2485" i="2"/>
  <c r="AA3005" i="2"/>
  <c r="AA2849" i="2"/>
  <c r="AA2752" i="2"/>
  <c r="AA2638" i="2"/>
  <c r="AA2560" i="2"/>
  <c r="AA2500" i="2"/>
  <c r="AA2444" i="2"/>
  <c r="AA2388" i="2"/>
  <c r="AA2342" i="2"/>
  <c r="AA2294" i="2"/>
  <c r="AA2244" i="2"/>
  <c r="AA2185" i="2"/>
  <c r="AA2154" i="2"/>
  <c r="AA2118" i="2"/>
  <c r="AA2089" i="2"/>
  <c r="AA2056" i="2"/>
  <c r="AA2023" i="2"/>
  <c r="AA1990" i="2"/>
  <c r="AA1961" i="2"/>
  <c r="AA1925" i="2"/>
  <c r="AA1895" i="2"/>
  <c r="AA1865" i="2"/>
  <c r="AA1842" i="2"/>
  <c r="AA1816" i="2"/>
  <c r="AA1794" i="2"/>
  <c r="AA1772" i="2"/>
  <c r="AA1751" i="2"/>
  <c r="AA1731" i="2"/>
  <c r="AA1709" i="2"/>
  <c r="AA1675" i="2"/>
  <c r="AA1655" i="2"/>
  <c r="AA1633" i="2"/>
  <c r="AA1617" i="2"/>
  <c r="AA1600" i="2"/>
  <c r="AA1584" i="2"/>
  <c r="AA1568" i="2"/>
  <c r="AA1556" i="2"/>
  <c r="AA1542" i="2"/>
  <c r="AA1526" i="2"/>
  <c r="AA3036" i="2"/>
  <c r="AA3020" i="2"/>
  <c r="AA3004" i="2"/>
  <c r="AA2988" i="2"/>
  <c r="AA2973" i="2"/>
  <c r="AA2957" i="2"/>
  <c r="AA2941" i="2"/>
  <c r="AA2927" i="2"/>
  <c r="AA2919" i="2"/>
  <c r="AA2911" i="2"/>
  <c r="AA2903" i="2"/>
  <c r="AA2888" i="2"/>
  <c r="AA2872" i="2"/>
  <c r="AA2857" i="2"/>
  <c r="AA2841" i="2"/>
  <c r="AA2825" i="2"/>
  <c r="AA2809" i="2"/>
  <c r="AA2792" i="2"/>
  <c r="AA2776" i="2"/>
  <c r="AA2761" i="2"/>
  <c r="AA2745" i="2"/>
  <c r="AA2729" i="2"/>
  <c r="AA2713" i="2"/>
  <c r="AA2697" i="2"/>
  <c r="AA2682" i="2"/>
  <c r="AA2666" i="2"/>
  <c r="AA2650" i="2"/>
  <c r="AA2635" i="2"/>
  <c r="AA2619" i="2"/>
  <c r="AA2602" i="2"/>
  <c r="AA2586" i="2"/>
  <c r="AA2570" i="2"/>
  <c r="AA2549" i="2"/>
  <c r="AA2532" i="2"/>
  <c r="AA2516" i="2"/>
  <c r="AA2499" i="2"/>
  <c r="AA2483" i="2"/>
  <c r="AA2467" i="2"/>
  <c r="AA2451" i="2"/>
  <c r="AA2435" i="2"/>
  <c r="AA2419" i="2"/>
  <c r="AA2403" i="2"/>
  <c r="AA2387" i="2"/>
  <c r="AA2371" i="2"/>
  <c r="AA2355" i="2"/>
  <c r="AA2339" i="2"/>
  <c r="AA2956" i="2"/>
  <c r="AA2832" i="2"/>
  <c r="AA2718" i="2"/>
  <c r="AA2614" i="2"/>
  <c r="AA2546" i="2"/>
  <c r="AA2478" i="2"/>
  <c r="AA2420" i="2"/>
  <c r="AA2374" i="2"/>
  <c r="AA2326" i="2"/>
  <c r="AA2276" i="2"/>
  <c r="AA2228" i="2"/>
  <c r="AA2177" i="2"/>
  <c r="AA2138" i="2"/>
  <c r="AA2110" i="2"/>
  <c r="AA2078" i="2"/>
  <c r="AA2043" i="2"/>
  <c r="AA2011" i="2"/>
  <c r="AA1983" i="2"/>
  <c r="AA1945" i="2"/>
  <c r="AA1915" i="2"/>
  <c r="AA1885" i="2"/>
  <c r="AA1858" i="2"/>
  <c r="AA1832" i="2"/>
  <c r="AA1810" i="2"/>
  <c r="AA1784" i="2"/>
  <c r="AA1764" i="2"/>
  <c r="AA1743" i="2"/>
  <c r="AA1721" i="2"/>
  <c r="AA1702" i="2"/>
  <c r="AA1667" i="2"/>
  <c r="AA1645" i="2"/>
  <c r="AA1627" i="2"/>
  <c r="AA1611" i="2"/>
  <c r="AA1594" i="2"/>
  <c r="AA1578" i="2"/>
  <c r="AA1562" i="2"/>
  <c r="AA1552" i="2"/>
  <c r="AA1536" i="2"/>
  <c r="AA1500" i="2"/>
  <c r="AA3030" i="2"/>
  <c r="AA3014" i="2"/>
  <c r="AA2998" i="2"/>
  <c r="AA2983" i="2"/>
  <c r="AA2967" i="2"/>
  <c r="AA2951" i="2"/>
  <c r="AA2935" i="2"/>
  <c r="AA2924" i="2"/>
  <c r="AA2916" i="2"/>
  <c r="AA2908" i="2"/>
  <c r="AA2898" i="2"/>
  <c r="AA2882" i="2"/>
  <c r="AA2866" i="2"/>
  <c r="AA2850" i="2"/>
  <c r="AA2835" i="2"/>
  <c r="AA2819" i="2"/>
  <c r="AA2803" i="2"/>
  <c r="AA2786" i="2"/>
  <c r="AA2770" i="2"/>
  <c r="AA2755" i="2"/>
  <c r="AA2739" i="2"/>
  <c r="AA2723" i="2"/>
  <c r="AA2707" i="2"/>
  <c r="AA2692" i="2"/>
  <c r="AA2676" i="2"/>
  <c r="AA2660" i="2"/>
  <c r="AA2644" i="2"/>
  <c r="AA2629" i="2"/>
  <c r="AA2613" i="2"/>
  <c r="AA2596" i="2"/>
  <c r="AA2580" i="2"/>
  <c r="AA2564" i="2"/>
  <c r="AA2543" i="2"/>
  <c r="AA2526" i="2"/>
  <c r="AA2510" i="2"/>
  <c r="AA2493" i="2"/>
  <c r="AA2477" i="2"/>
  <c r="AA2461" i="2"/>
  <c r="AA2445" i="2"/>
  <c r="AA2429" i="2"/>
  <c r="AA2413" i="2"/>
  <c r="AA2397" i="2"/>
  <c r="AA2381" i="2"/>
  <c r="AA2365" i="2"/>
  <c r="AA2349" i="2"/>
  <c r="AA2333" i="2"/>
  <c r="AA2840" i="2"/>
  <c r="AA2669" i="2"/>
  <c r="AA2540" i="2"/>
  <c r="AA2438" i="2"/>
  <c r="AA2366" i="2"/>
  <c r="AA2278" i="2"/>
  <c r="AA2193" i="2"/>
  <c r="AA2136" i="2"/>
  <c r="AA2087" i="2"/>
  <c r="AA2037" i="2"/>
  <c r="AA1984" i="2"/>
  <c r="AA1937" i="2"/>
  <c r="AA1884" i="2"/>
  <c r="AA1838" i="2"/>
  <c r="AA1800" i="2"/>
  <c r="AA1766" i="2"/>
  <c r="AA1735" i="2"/>
  <c r="AA1700" i="2"/>
  <c r="AA1651" i="2"/>
  <c r="AA1623" i="2"/>
  <c r="AA1596" i="2"/>
  <c r="AA1572" i="2"/>
  <c r="AA1550" i="2"/>
  <c r="AA1524" i="2"/>
  <c r="AA3026" i="2"/>
  <c r="AA3000" i="2"/>
  <c r="AA2977" i="2"/>
  <c r="AA2949" i="2"/>
  <c r="AA2926" i="2"/>
  <c r="AA2914" i="2"/>
  <c r="AA2900" i="2"/>
  <c r="AA2876" i="2"/>
  <c r="AA2848" i="2"/>
  <c r="AA2823" i="2"/>
  <c r="AA2798" i="2"/>
  <c r="AA2773" i="2"/>
  <c r="AA2749" i="2"/>
  <c r="AA2721" i="2"/>
  <c r="AA2695" i="2"/>
  <c r="AA2672" i="2"/>
  <c r="AA2646" i="2"/>
  <c r="AA2623" i="2"/>
  <c r="AA2594" i="2"/>
  <c r="AA2568" i="2"/>
  <c r="AA2538" i="2"/>
  <c r="AA2512" i="2"/>
  <c r="AA2487" i="2"/>
  <c r="AA2463" i="2"/>
  <c r="AA2441" i="2"/>
  <c r="AA2421" i="2"/>
  <c r="AA2399" i="2"/>
  <c r="AA2377" i="2"/>
  <c r="AA2357" i="2"/>
  <c r="AA2335" i="2"/>
  <c r="AA2317" i="2"/>
  <c r="AA2301" i="2"/>
  <c r="AA2285" i="2"/>
  <c r="AA2269" i="2"/>
  <c r="AA2253" i="2"/>
  <c r="AA2237" i="2"/>
  <c r="AA2223" i="2"/>
  <c r="AA2215" i="2"/>
  <c r="AA2202" i="2"/>
  <c r="AA2186" i="2"/>
  <c r="AA2170" i="2"/>
  <c r="AA2155" i="2"/>
  <c r="AA2139" i="2"/>
  <c r="AA2123" i="2"/>
  <c r="AA2107" i="2"/>
  <c r="AA2090" i="2"/>
  <c r="AA2075" i="2"/>
  <c r="AA2059" i="2"/>
  <c r="AA2042" i="2"/>
  <c r="AA2026" i="2"/>
  <c r="AA2010" i="2"/>
  <c r="AA1995" i="2"/>
  <c r="AA1978" i="2"/>
  <c r="AA1962" i="2"/>
  <c r="AA2808" i="2"/>
  <c r="AA2636" i="2"/>
  <c r="AA2533" i="2"/>
  <c r="AA2422" i="2"/>
  <c r="AA2350" i="2"/>
  <c r="AA2270" i="2"/>
  <c r="AA2183" i="2"/>
  <c r="AA2134" i="2"/>
  <c r="AA2080" i="2"/>
  <c r="AA2033" i="2"/>
  <c r="AA1973" i="2"/>
  <c r="AA1921" i="2"/>
  <c r="AA1883" i="2"/>
  <c r="AA1836" i="2"/>
  <c r="AA1798" i="2"/>
  <c r="AA1762" i="2"/>
  <c r="AA1727" i="2"/>
  <c r="AA1683" i="2"/>
  <c r="AA1649" i="2"/>
  <c r="AA1621" i="2"/>
  <c r="AA1592" i="2"/>
  <c r="AA1566" i="2"/>
  <c r="AA1548" i="2"/>
  <c r="AA1522" i="2"/>
  <c r="AA3024" i="2"/>
  <c r="AA2996" i="2"/>
  <c r="AA2970" i="2"/>
  <c r="AA2947" i="2"/>
  <c r="AA2925" i="2"/>
  <c r="AA2913" i="2"/>
  <c r="AA2896" i="2"/>
  <c r="AA2870" i="2"/>
  <c r="AA2846" i="2"/>
  <c r="AA2821" i="2"/>
  <c r="AA2796" i="2"/>
  <c r="AA2768" i="2"/>
  <c r="AA2743" i="2"/>
  <c r="AA2719" i="2"/>
  <c r="AA2693" i="2"/>
  <c r="AA2670" i="2"/>
  <c r="AA2642" i="2"/>
  <c r="AA2617" i="2"/>
  <c r="AA2592" i="2"/>
  <c r="AA2566" i="2"/>
  <c r="AA2536" i="2"/>
  <c r="AA2508" i="2"/>
  <c r="AA2481" i="2"/>
  <c r="AA2459" i="2"/>
  <c r="AA2439" i="2"/>
  <c r="AA2417" i="2"/>
  <c r="AA2395" i="2"/>
  <c r="AA2375" i="2"/>
  <c r="AA2353" i="2"/>
  <c r="AA2331" i="2"/>
  <c r="AA2315" i="2"/>
  <c r="AA2299" i="2"/>
  <c r="AA2283" i="2"/>
  <c r="AA2267" i="2"/>
  <c r="AA2251" i="2"/>
  <c r="AA2235" i="2"/>
  <c r="AA2222" i="2"/>
  <c r="AA2214" i="2"/>
  <c r="AA2200" i="2"/>
  <c r="AA2184" i="2"/>
  <c r="AA2167" i="2"/>
  <c r="AA2153" i="2"/>
  <c r="AA2137" i="2"/>
  <c r="AA2121" i="2"/>
  <c r="AA2105" i="2"/>
  <c r="AA2088" i="2"/>
  <c r="AA2073" i="2"/>
  <c r="AA2057" i="2"/>
  <c r="AA2040" i="2"/>
  <c r="AA2024" i="2"/>
  <c r="AA2008" i="2"/>
  <c r="AA1993" i="2"/>
  <c r="AA1976" i="2"/>
  <c r="AA1960" i="2"/>
  <c r="AA1944" i="2"/>
  <c r="AA1928" i="2"/>
  <c r="AA1912" i="2"/>
  <c r="AA1896" i="2"/>
  <c r="AA1875" i="2"/>
  <c r="AA1866" i="2"/>
  <c r="AA1851" i="2"/>
  <c r="AA3003" i="2"/>
  <c r="AA2801" i="2"/>
  <c r="AA2620" i="2"/>
  <c r="AA2509" i="2"/>
  <c r="AA2414" i="2"/>
  <c r="AA2340" i="2"/>
  <c r="AA2262" i="2"/>
  <c r="AA2181" i="2"/>
  <c r="AA2132" i="2"/>
  <c r="AA2070" i="2"/>
  <c r="AA2017" i="2"/>
  <c r="AA1969" i="2"/>
  <c r="AA1919" i="2"/>
  <c r="AA1882" i="2"/>
  <c r="AA1830" i="2"/>
  <c r="AA1790" i="2"/>
  <c r="AA1758" i="2"/>
  <c r="AA1725" i="2"/>
  <c r="AA1681" i="2"/>
  <c r="AA1643" i="2"/>
  <c r="AA1614" i="2"/>
  <c r="AA1590" i="2"/>
  <c r="AA1564" i="2"/>
  <c r="AA1546" i="2"/>
  <c r="AA3044" i="2"/>
  <c r="AA3018" i="2"/>
  <c r="AA2994" i="2"/>
  <c r="AA2968" i="2"/>
  <c r="AA2945" i="2"/>
  <c r="AA2923" i="2"/>
  <c r="AA2910" i="2"/>
  <c r="AA2894" i="2"/>
  <c r="AA2868" i="2"/>
  <c r="AA2845" i="2"/>
  <c r="AA2817" i="2"/>
  <c r="AA2790" i="2"/>
  <c r="AA2766" i="2"/>
  <c r="AA2741" i="2"/>
  <c r="AA2717" i="2"/>
  <c r="AA2690" i="2"/>
  <c r="AA2664" i="2"/>
  <c r="AA2640" i="2"/>
  <c r="AA2615" i="2"/>
  <c r="AA2590" i="2"/>
  <c r="AA2557" i="2"/>
  <c r="AA2530" i="2"/>
  <c r="AA2505" i="2"/>
  <c r="AA2479" i="2"/>
  <c r="AA2457" i="2"/>
  <c r="AA2437" i="2"/>
  <c r="AA2415" i="2"/>
  <c r="AA2393" i="2"/>
  <c r="AA2373" i="2"/>
  <c r="AA2351" i="2"/>
  <c r="AA2329" i="2"/>
  <c r="AA2313" i="2"/>
  <c r="AA2297" i="2"/>
  <c r="AA2281" i="2"/>
  <c r="AA2265" i="2"/>
  <c r="AA2249" i="2"/>
  <c r="AA2233" i="2"/>
  <c r="AA2221" i="2"/>
  <c r="AA2213" i="2"/>
  <c r="AA2198" i="2"/>
  <c r="AA2182" i="2"/>
  <c r="AA2166" i="2"/>
  <c r="AA2151" i="2"/>
  <c r="AA2135" i="2"/>
  <c r="AA2119" i="2"/>
  <c r="AA2102" i="2"/>
  <c r="AA2086" i="2"/>
  <c r="AA2071" i="2"/>
  <c r="AA2055" i="2"/>
  <c r="AA2038" i="2"/>
  <c r="AA2022" i="2"/>
  <c r="AA2006" i="2"/>
  <c r="AA1991" i="2"/>
  <c r="AA1974" i="2"/>
  <c r="AA1958" i="2"/>
  <c r="AA1942" i="2"/>
  <c r="AA2964" i="2"/>
  <c r="AA2767" i="2"/>
  <c r="AA2599" i="2"/>
  <c r="AA2494" i="2"/>
  <c r="AA2412" i="2"/>
  <c r="AA2334" i="2"/>
  <c r="AA2260" i="2"/>
  <c r="AA2168" i="2"/>
  <c r="AA2116" i="2"/>
  <c r="AA2068" i="2"/>
  <c r="AA2015" i="2"/>
  <c r="AA1967" i="2"/>
  <c r="AA1911" i="2"/>
  <c r="AA1862" i="2"/>
  <c r="AA1828" i="2"/>
  <c r="AA1788" i="2"/>
  <c r="AA1757" i="2"/>
  <c r="AA1719" i="2"/>
  <c r="AA1673" i="2"/>
  <c r="AA1641" i="2"/>
  <c r="AA1613" i="2"/>
  <c r="AA1588" i="2"/>
  <c r="AA1560" i="2"/>
  <c r="AA1540" i="2"/>
  <c r="AA3042" i="2"/>
  <c r="AA3016" i="2"/>
  <c r="AA2992" i="2"/>
  <c r="AA2965" i="2"/>
  <c r="AA2939" i="2"/>
  <c r="AA2922" i="2"/>
  <c r="AA2909" i="2"/>
  <c r="AA2892" i="2"/>
  <c r="AA2864" i="2"/>
  <c r="AA2839" i="2"/>
  <c r="AA2815" i="2"/>
  <c r="AA2788" i="2"/>
  <c r="AA2765" i="2"/>
  <c r="AA2737" i="2"/>
  <c r="AA2711" i="2"/>
  <c r="AA2688" i="2"/>
  <c r="AA2662" i="2"/>
  <c r="AA2639" i="2"/>
  <c r="AA2611" i="2"/>
  <c r="AA2584" i="2"/>
  <c r="AA2555" i="2"/>
  <c r="AA2528" i="2"/>
  <c r="AA2503" i="2"/>
  <c r="AA2475" i="2"/>
  <c r="AA2455" i="2"/>
  <c r="AA2433" i="2"/>
  <c r="AA2411" i="2"/>
  <c r="AA2391" i="2"/>
  <c r="AA2369" i="2"/>
  <c r="AA2347" i="2"/>
  <c r="AA2327" i="2"/>
  <c r="AA2311" i="2"/>
  <c r="AA2295" i="2"/>
  <c r="AA2279" i="2"/>
  <c r="AA2263" i="2"/>
  <c r="AA2247" i="2"/>
  <c r="AA2231" i="2"/>
  <c r="AA2220" i="2"/>
  <c r="AA2212" i="2"/>
  <c r="AA2196" i="2"/>
  <c r="AA2180" i="2"/>
  <c r="AA2164" i="2"/>
  <c r="AA2149" i="2"/>
  <c r="AA2133" i="2"/>
  <c r="AA2117" i="2"/>
  <c r="AA2100" i="2"/>
  <c r="AA2085" i="2"/>
  <c r="AA2069" i="2"/>
  <c r="AA2052" i="2"/>
  <c r="AA2036" i="2"/>
  <c r="AA2020" i="2"/>
  <c r="AA2004" i="2"/>
  <c r="AA1989" i="2"/>
  <c r="AA2172" i="2"/>
  <c r="AA2204" i="2"/>
  <c r="AA2224" i="2"/>
  <c r="AA2255" i="2"/>
  <c r="AA2287" i="2"/>
  <c r="AA2319" i="2"/>
  <c r="AA2359" i="2"/>
  <c r="AA2401" i="2"/>
  <c r="AA2443" i="2"/>
  <c r="AA2489" i="2"/>
  <c r="AA2541" i="2"/>
  <c r="AA2598" i="2"/>
  <c r="AA2648" i="2"/>
  <c r="AA2701" i="2"/>
  <c r="AA2751" i="2"/>
  <c r="AA2800" i="2"/>
  <c r="AA2853" i="2"/>
  <c r="AA2902" i="2"/>
  <c r="AA2929" i="2"/>
  <c r="AA2978" i="2"/>
  <c r="AA3028" i="2"/>
  <c r="AA1554" i="2"/>
  <c r="AA1598" i="2"/>
  <c r="AA1659" i="2"/>
  <c r="AA1737" i="2"/>
  <c r="AA1806" i="2"/>
  <c r="AA1887" i="2"/>
  <c r="AA1988" i="2"/>
  <c r="AA2095" i="2"/>
  <c r="AA2207" i="2"/>
  <c r="AA2372" i="2"/>
  <c r="AA2548" i="2"/>
  <c r="AA2847" i="2"/>
  <c r="AA2361" i="2"/>
  <c r="AA2405" i="2"/>
  <c r="AA2447" i="2"/>
  <c r="AA2491" i="2"/>
  <c r="AA2545" i="2"/>
  <c r="AA2600" i="2"/>
  <c r="AA2654" i="2"/>
  <c r="AA2703" i="2"/>
  <c r="AA2753" i="2"/>
  <c r="AA2805" i="2"/>
  <c r="AA2855" i="2"/>
  <c r="AA2905" i="2"/>
  <c r="AA2931" i="2"/>
  <c r="AA2981" i="2"/>
  <c r="AA3032" i="2"/>
  <c r="AA1555" i="2"/>
  <c r="AA1604" i="2"/>
  <c r="AA1661" i="2"/>
  <c r="AA1741" i="2"/>
  <c r="AA1812" i="2"/>
  <c r="AA1889" i="2"/>
  <c r="AA1994" i="2"/>
  <c r="AA2103" i="2"/>
  <c r="AA2209" i="2"/>
  <c r="AA2380" i="2"/>
  <c r="AA2556" i="2"/>
  <c r="AA2895" i="2"/>
  <c r="AA1785" i="2"/>
  <c r="AA1801" i="2"/>
  <c r="AA1817" i="2"/>
  <c r="AA1833" i="2"/>
  <c r="AA1849" i="2"/>
  <c r="AA1868" i="2"/>
  <c r="AA1878" i="2"/>
  <c r="AA1902" i="2"/>
  <c r="AA1920" i="2"/>
  <c r="AA1938" i="2"/>
  <c r="AA1964" i="2"/>
  <c r="AA1987" i="2"/>
  <c r="AA2018" i="2"/>
  <c r="AA2051" i="2"/>
  <c r="AA2082" i="2"/>
  <c r="AA2115" i="2"/>
  <c r="AA2147" i="2"/>
  <c r="AA2178" i="2"/>
  <c r="AA2210" i="2"/>
  <c r="AA2229" i="2"/>
  <c r="AA2261" i="2"/>
  <c r="AA2293" i="2"/>
  <c r="AA2325" i="2"/>
  <c r="AA2367" i="2"/>
  <c r="AA2409" i="2"/>
  <c r="AA2453" i="2"/>
  <c r="AA2497" i="2"/>
  <c r="AA2553" i="2"/>
  <c r="AA2609" i="2"/>
  <c r="AA2658" i="2"/>
  <c r="AA2709" i="2"/>
  <c r="AA2759" i="2"/>
  <c r="AA2813" i="2"/>
  <c r="AA2862" i="2"/>
  <c r="AA2907" i="2"/>
  <c r="AA2937" i="2"/>
  <c r="AA2986" i="2"/>
  <c r="AA3040" i="2"/>
  <c r="AA1559" i="2"/>
  <c r="AA1609" i="2"/>
  <c r="AA1671" i="2"/>
  <c r="AA1749" i="2"/>
  <c r="AA1822" i="2"/>
  <c r="AA1909" i="2"/>
  <c r="AA2009" i="2"/>
  <c r="AA2112" i="2"/>
  <c r="AA2238" i="2"/>
  <c r="AA2406" i="2"/>
  <c r="AA2591" i="2"/>
  <c r="AA2954" i="2"/>
  <c r="AA1686" i="2"/>
  <c r="AA1694" i="2"/>
  <c r="AA1705" i="2"/>
  <c r="AA1722" i="2"/>
  <c r="AA1738" i="2"/>
  <c r="AA1754" i="2"/>
  <c r="AA1771" i="2"/>
  <c r="AA1787" i="2"/>
  <c r="AA1803" i="2"/>
  <c r="AA1819" i="2"/>
  <c r="AA1835" i="2"/>
  <c r="AA1853" i="2"/>
  <c r="AA1869" i="2"/>
  <c r="AA1880" i="2"/>
  <c r="AA1904" i="2"/>
  <c r="AA1922" i="2"/>
  <c r="AA1940" i="2"/>
  <c r="AA1966" i="2"/>
  <c r="AA1996" i="2"/>
  <c r="AA2028" i="2"/>
  <c r="AA2061" i="2"/>
  <c r="AA2092" i="2"/>
  <c r="AA2125" i="2"/>
  <c r="AA2157" i="2"/>
  <c r="AA2188" i="2"/>
  <c r="AA2216" i="2"/>
  <c r="AA2239" i="2"/>
  <c r="AA2271" i="2"/>
  <c r="AA2303" i="2"/>
  <c r="AA2337" i="2"/>
  <c r="AA2379" i="2"/>
  <c r="AA2423" i="2"/>
  <c r="AA2465" i="2"/>
  <c r="AA2514" i="2"/>
  <c r="AA2574" i="2"/>
  <c r="AA2625" i="2"/>
  <c r="AA2674" i="2"/>
  <c r="AA2725" i="2"/>
  <c r="AA2775" i="2"/>
  <c r="AA2829" i="2"/>
  <c r="AA2878" i="2"/>
  <c r="AA2915" i="2"/>
  <c r="AA2953" i="2"/>
  <c r="AA3002" i="2"/>
  <c r="AA1530" i="2"/>
  <c r="AA1574" i="2"/>
  <c r="AA1625" i="2"/>
  <c r="AA1704" i="2"/>
  <c r="AA1768" i="2"/>
  <c r="AA1848" i="2"/>
  <c r="AA1941" i="2"/>
  <c r="AA2039" i="2"/>
  <c r="AA2142" i="2"/>
  <c r="AA2292" i="2"/>
  <c r="AA2452" i="2"/>
  <c r="AA2671" i="2"/>
  <c r="AA1687" i="2"/>
  <c r="AA1695" i="2"/>
  <c r="AA1708" i="2"/>
  <c r="AA1724" i="2"/>
  <c r="AA1740" i="2"/>
  <c r="AA1756" i="2"/>
  <c r="AA1773" i="2"/>
  <c r="AA1789" i="2"/>
  <c r="AA1805" i="2"/>
  <c r="AA1821" i="2"/>
  <c r="AA1837" i="2"/>
  <c r="AA1855" i="2"/>
  <c r="AA1870" i="2"/>
  <c r="AA1888" i="2"/>
  <c r="AA1906" i="2"/>
  <c r="AA1924" i="2"/>
  <c r="AA1946" i="2"/>
  <c r="AA1968" i="2"/>
  <c r="AA1998" i="2"/>
  <c r="AA2030" i="2"/>
  <c r="AA2063" i="2"/>
  <c r="AA2094" i="2"/>
  <c r="AA2127" i="2"/>
  <c r="AA2159" i="2"/>
  <c r="AA2190" i="2"/>
  <c r="AA2217" i="2"/>
  <c r="AA2241" i="2"/>
  <c r="AA2273" i="2"/>
  <c r="AA2305" i="2"/>
  <c r="AA2341" i="2"/>
  <c r="AA2383" i="2"/>
  <c r="AA2425" i="2"/>
  <c r="AA2469" i="2"/>
  <c r="AA2520" i="2"/>
  <c r="AA2576" i="2"/>
  <c r="AA2627" i="2"/>
  <c r="AA2678" i="2"/>
  <c r="AA2727" i="2"/>
  <c r="AA2780" i="2"/>
  <c r="AA2831" i="2"/>
  <c r="AA2880" i="2"/>
  <c r="AA2917" i="2"/>
  <c r="AA2955" i="2"/>
  <c r="AA3008" i="2"/>
  <c r="AA1532" i="2"/>
  <c r="AA1576" i="2"/>
  <c r="AA1629" i="2"/>
  <c r="AA1706" i="2"/>
  <c r="AA1778" i="2"/>
  <c r="AA1852" i="2"/>
  <c r="AA1943" i="2"/>
  <c r="AA2046" i="2"/>
  <c r="AA2152" i="2"/>
  <c r="AA2308" i="2"/>
  <c r="AA2462" i="2"/>
  <c r="AA2679" i="2"/>
  <c r="AA1903" i="2"/>
  <c r="AA1927" i="2"/>
  <c r="AA1951" i="2"/>
  <c r="AA1975" i="2"/>
  <c r="AA2001" i="2"/>
  <c r="AA2025" i="2"/>
  <c r="AA2048" i="2"/>
  <c r="AA2072" i="2"/>
  <c r="AA2097" i="2"/>
  <c r="AA2120" i="2"/>
  <c r="AA2144" i="2"/>
  <c r="AA2171" i="2"/>
  <c r="AA2199" i="2"/>
  <c r="AA2246" i="2"/>
  <c r="AA2284" i="2"/>
  <c r="AA2318" i="2"/>
  <c r="AA2356" i="2"/>
  <c r="AA2390" i="2"/>
  <c r="AA2430" i="2"/>
  <c r="AA2470" i="2"/>
  <c r="AA2515" i="2"/>
  <c r="AA2573" i="2"/>
  <c r="AA2622" i="2"/>
  <c r="AA2704" i="2"/>
  <c r="AA2793" i="2"/>
  <c r="AA2879" i="2"/>
  <c r="AA2989" i="2"/>
  <c r="AA1905" i="2"/>
  <c r="AA1929" i="2"/>
  <c r="AA1953" i="2"/>
  <c r="AA1979" i="2"/>
  <c r="AA2005" i="2"/>
  <c r="AA2027" i="2"/>
  <c r="AA2053" i="2"/>
  <c r="AA2074" i="2"/>
  <c r="AA2101" i="2"/>
  <c r="AA2122" i="2"/>
  <c r="AA2150" i="2"/>
  <c r="AA2175" i="2"/>
  <c r="AA2201" i="2"/>
  <c r="AA2252" i="2"/>
  <c r="AA2286" i="2"/>
  <c r="AA2324" i="2"/>
  <c r="AA2358" i="2"/>
  <c r="AA2398" i="2"/>
  <c r="AA2436" i="2"/>
  <c r="AA2476" i="2"/>
  <c r="AA2517" i="2"/>
  <c r="AA2575" i="2"/>
  <c r="AA2630" i="2"/>
  <c r="AA2712" i="2"/>
  <c r="AA2799" i="2"/>
  <c r="AA2881" i="2"/>
  <c r="AA3035" i="2"/>
  <c r="AA3019" i="2"/>
  <c r="AA3033" i="2"/>
  <c r="AA3017" i="2"/>
  <c r="AA3001" i="2"/>
  <c r="AA2985" i="2"/>
  <c r="AA2969" i="2"/>
  <c r="AA2952" i="2"/>
  <c r="AA2936" i="2"/>
  <c r="AA2893" i="2"/>
  <c r="AA2877" i="2"/>
  <c r="AA2861" i="2"/>
  <c r="AA2844" i="2"/>
  <c r="AA2828" i="2"/>
  <c r="AA2812" i="2"/>
  <c r="AA2797" i="2"/>
  <c r="AA2781" i="2"/>
  <c r="AA2764" i="2"/>
  <c r="AA2748" i="2"/>
  <c r="AA2732" i="2"/>
  <c r="AA2716" i="2"/>
  <c r="AA2700" i="2"/>
  <c r="AA2683" i="2"/>
  <c r="AA2667" i="2"/>
  <c r="AA2651" i="2"/>
  <c r="AA2634" i="2"/>
  <c r="AA2618" i="2"/>
  <c r="AA2603" i="2"/>
  <c r="AA2587" i="2"/>
  <c r="AA2571" i="2"/>
  <c r="AA2559" i="2"/>
  <c r="AA2544" i="2"/>
  <c r="AA2529" i="2"/>
  <c r="AA2513" i="2"/>
  <c r="AA2498" i="2"/>
  <c r="AA2482" i="2"/>
  <c r="AA2466" i="2"/>
  <c r="AA2450" i="2"/>
  <c r="AA2434" i="2"/>
  <c r="AA2418" i="2"/>
  <c r="AA2402" i="2"/>
  <c r="AA2386" i="2"/>
  <c r="AA2370" i="2"/>
  <c r="AA2354" i="2"/>
  <c r="AA2338" i="2"/>
  <c r="AA2322" i="2"/>
  <c r="AA2306" i="2"/>
  <c r="AA2290" i="2"/>
  <c r="AA2274" i="2"/>
  <c r="AA2258" i="2"/>
  <c r="AA2242" i="2"/>
  <c r="AA2226" i="2"/>
  <c r="AA2197" i="2"/>
  <c r="AA3031" i="2"/>
  <c r="AA3015" i="2"/>
  <c r="AA2999" i="2"/>
  <c r="AA2982" i="2"/>
  <c r="AA2966" i="2"/>
  <c r="AA2950" i="2"/>
  <c r="AA2934" i="2"/>
  <c r="AA2891" i="2"/>
  <c r="AA2875" i="2"/>
  <c r="AA2858" i="2"/>
  <c r="AA2842" i="2"/>
  <c r="AA2826" i="2"/>
  <c r="AA2810" i="2"/>
  <c r="AA2795" i="2"/>
  <c r="AA2778" i="2"/>
  <c r="AA2762" i="2"/>
  <c r="AA2746" i="2"/>
  <c r="AA2730" i="2"/>
  <c r="AA2714" i="2"/>
  <c r="AA2698" i="2"/>
  <c r="AA2681" i="2"/>
  <c r="AA2665" i="2"/>
  <c r="AA2649" i="2"/>
  <c r="AA2632" i="2"/>
  <c r="AA2616" i="2"/>
  <c r="AA2601" i="2"/>
  <c r="AA2585" i="2"/>
  <c r="AA2569" i="2"/>
  <c r="AA2558" i="2"/>
  <c r="AA2542" i="2"/>
  <c r="AA2527" i="2"/>
  <c r="AA2511" i="2"/>
  <c r="AA2496" i="2"/>
  <c r="AA2480" i="2"/>
  <c r="AA2464" i="2"/>
  <c r="AA2448" i="2"/>
  <c r="AA2432" i="2"/>
  <c r="AA2416" i="2"/>
  <c r="AA2400" i="2"/>
  <c r="AA2384" i="2"/>
  <c r="AA2368" i="2"/>
  <c r="AA2352" i="2"/>
  <c r="AA2336" i="2"/>
  <c r="AA2320" i="2"/>
  <c r="AA2304" i="2"/>
  <c r="AA2288" i="2"/>
  <c r="AA2272" i="2"/>
  <c r="AA2256" i="2"/>
  <c r="AA2240" i="2"/>
  <c r="AA2211" i="2"/>
  <c r="AA2195" i="2"/>
  <c r="AA2179" i="2"/>
  <c r="AA2162" i="2"/>
  <c r="AA2146" i="2"/>
  <c r="AA2130" i="2"/>
  <c r="AA2114" i="2"/>
  <c r="AA2099" i="2"/>
  <c r="AA2083" i="2"/>
  <c r="AA2066" i="2"/>
  <c r="AA2050" i="2"/>
  <c r="AA2035" i="2"/>
  <c r="AA2019" i="2"/>
  <c r="AA2003" i="2"/>
  <c r="AA1986" i="2"/>
  <c r="AA1971" i="2"/>
  <c r="AA1955" i="2"/>
  <c r="AA1939" i="2"/>
  <c r="AA1923" i="2"/>
  <c r="AA1907" i="2"/>
  <c r="AA1891" i="2"/>
  <c r="AA1881" i="2"/>
  <c r="AA1856" i="2"/>
  <c r="AA1840" i="2"/>
  <c r="AA1824" i="2"/>
  <c r="AA1808" i="2"/>
  <c r="AA1792" i="2"/>
  <c r="AA1776" i="2"/>
  <c r="AA1760" i="2"/>
  <c r="AA1745" i="2"/>
  <c r="AA1729" i="2"/>
  <c r="AA1713" i="2"/>
  <c r="AA1685" i="2"/>
  <c r="AA1669" i="2"/>
  <c r="AA1653" i="2"/>
  <c r="AA1637" i="2"/>
  <c r="AA3045" i="2"/>
  <c r="AA3029" i="2"/>
  <c r="AA3043" i="2"/>
  <c r="AA3027" i="2"/>
  <c r="AA3011" i="2"/>
  <c r="AA2995" i="2"/>
  <c r="AA2979" i="2"/>
  <c r="AA2962" i="2"/>
  <c r="AA2946" i="2"/>
  <c r="AA2930" i="2"/>
  <c r="AA2887" i="2"/>
  <c r="AA2871" i="2"/>
  <c r="AA2854" i="2"/>
  <c r="AA2838" i="2"/>
  <c r="AA2822" i="2"/>
  <c r="AA2806" i="2"/>
  <c r="AA2791" i="2"/>
  <c r="AA2774" i="2"/>
  <c r="AA2758" i="2"/>
  <c r="AA2742" i="2"/>
  <c r="AA2726" i="2"/>
  <c r="AA2710" i="2"/>
  <c r="AA2694" i="2"/>
  <c r="AA2677" i="2"/>
  <c r="AA2661" i="2"/>
  <c r="AA2645" i="2"/>
  <c r="AA2628" i="2"/>
  <c r="AA2612" i="2"/>
  <c r="AA2597" i="2"/>
  <c r="AA2581" i="2"/>
  <c r="AA2565" i="2"/>
  <c r="AA2554" i="2"/>
  <c r="AA2539" i="2"/>
  <c r="AA2523" i="2"/>
  <c r="AA2507" i="2"/>
  <c r="AA3041" i="2"/>
  <c r="AA3025" i="2"/>
  <c r="AA3009" i="2"/>
  <c r="AA2993" i="2"/>
  <c r="AA2976" i="2"/>
  <c r="AA2960" i="2"/>
  <c r="AA2944" i="2"/>
  <c r="AA2901" i="2"/>
  <c r="AA2885" i="2"/>
  <c r="AA2869" i="2"/>
  <c r="AA2852" i="2"/>
  <c r="AA2836" i="2"/>
  <c r="AA2820" i="2"/>
  <c r="AA2804" i="2"/>
  <c r="AA2789" i="2"/>
  <c r="AA2772" i="2"/>
  <c r="AA2756" i="2"/>
  <c r="AA2740" i="2"/>
  <c r="AA2724" i="2"/>
  <c r="AA2708" i="2"/>
  <c r="AA2691" i="2"/>
  <c r="AA2675" i="2"/>
  <c r="AA2659" i="2"/>
  <c r="AA2643" i="2"/>
  <c r="AA2626" i="2"/>
  <c r="AA2610" i="2"/>
  <c r="AA2595" i="2"/>
  <c r="AA2579" i="2"/>
  <c r="AA2563" i="2"/>
  <c r="AA2552" i="2"/>
  <c r="AA2537" i="2"/>
  <c r="AA2521" i="2"/>
  <c r="AA2506" i="2"/>
  <c r="AA2490" i="2"/>
  <c r="AA2474" i="2"/>
  <c r="AA2458" i="2"/>
  <c r="AA2442" i="2"/>
  <c r="AA2426" i="2"/>
  <c r="AA2410" i="2"/>
  <c r="AA2394" i="2"/>
  <c r="AA2378" i="2"/>
  <c r="AA2362" i="2"/>
  <c r="AA2346" i="2"/>
  <c r="AA2330" i="2"/>
  <c r="AA2314" i="2"/>
  <c r="AA2298" i="2"/>
  <c r="AA2282" i="2"/>
  <c r="AA2266" i="2"/>
  <c r="AA2250" i="2"/>
  <c r="AA2234" i="2"/>
  <c r="AA2205" i="2"/>
  <c r="AA2189" i="2"/>
  <c r="AA2173" i="2"/>
  <c r="AA2156" i="2"/>
  <c r="AA2140" i="2"/>
  <c r="AA2124" i="2"/>
  <c r="AA2108" i="2"/>
  <c r="AA2093" i="2"/>
  <c r="AA2076" i="2"/>
  <c r="AA2060" i="2"/>
  <c r="AA2044" i="2"/>
  <c r="AA2029" i="2"/>
  <c r="AA2013" i="2"/>
  <c r="AA1997" i="2"/>
  <c r="AA1980" i="2"/>
  <c r="AA1965" i="2"/>
  <c r="AA1949" i="2"/>
  <c r="AA1933" i="2"/>
  <c r="AA1917" i="2"/>
  <c r="AA1901" i="2"/>
  <c r="AA1886" i="2"/>
  <c r="AA1867" i="2"/>
  <c r="AA1850" i="2"/>
  <c r="AA1834" i="2"/>
  <c r="AA1818" i="2"/>
  <c r="AA1802" i="2"/>
  <c r="AA1786" i="2"/>
  <c r="AA1770" i="2"/>
  <c r="AA1755" i="2"/>
  <c r="AA1739" i="2"/>
  <c r="AA1723" i="2"/>
  <c r="AA1707" i="2"/>
  <c r="AA1679" i="2"/>
  <c r="AA1663" i="2"/>
  <c r="AA1647" i="2"/>
  <c r="AA3039" i="2"/>
  <c r="AA3023" i="2"/>
  <c r="AA3007" i="2"/>
  <c r="AA2991" i="2"/>
  <c r="AA2974" i="2"/>
  <c r="AA2958" i="2"/>
  <c r="AA2942" i="2"/>
  <c r="AA2899" i="2"/>
  <c r="AA2883" i="2"/>
  <c r="AA2867" i="2"/>
  <c r="AA2851" i="2"/>
  <c r="AA2834" i="2"/>
  <c r="AA2818" i="2"/>
  <c r="AA2802" i="2"/>
  <c r="AA2787" i="2"/>
  <c r="AA2771" i="2"/>
  <c r="AA2754" i="2"/>
  <c r="AA2738" i="2"/>
  <c r="AA2722" i="2"/>
  <c r="AA2706" i="2"/>
  <c r="AA2689" i="2"/>
  <c r="AA2673" i="2"/>
  <c r="AA2657" i="2"/>
  <c r="AA2641" i="2"/>
  <c r="AA2624" i="2"/>
  <c r="AA2608" i="2"/>
  <c r="AA2593" i="2"/>
  <c r="AA2577" i="2"/>
  <c r="AA2562" i="2"/>
  <c r="AA2550" i="2"/>
  <c r="AA2535" i="2"/>
  <c r="AA2519" i="2"/>
  <c r="AA2504" i="2"/>
  <c r="AA2488" i="2"/>
  <c r="AA2472" i="2"/>
  <c r="AA2456" i="2"/>
  <c r="AA2440" i="2"/>
  <c r="AA2424" i="2"/>
  <c r="AA2408" i="2"/>
  <c r="AA2392" i="2"/>
  <c r="AA2376" i="2"/>
  <c r="AA2360" i="2"/>
  <c r="AA2344" i="2"/>
  <c r="AA2328" i="2"/>
  <c r="AA2312" i="2"/>
  <c r="AA2296" i="2"/>
  <c r="AA2280" i="2"/>
  <c r="AA2264" i="2"/>
  <c r="AA2248" i="2"/>
  <c r="AA2232" i="2"/>
  <c r="AA2203" i="2"/>
  <c r="AA2685" i="2"/>
  <c r="AA2728" i="2"/>
  <c r="AA2769" i="2"/>
  <c r="AA2814" i="2"/>
  <c r="AA2856" i="2"/>
  <c r="AA2897" i="2"/>
  <c r="AA2971" i="2"/>
  <c r="AA3013" i="2"/>
  <c r="AA2454" i="2"/>
  <c r="AA2486" i="2"/>
  <c r="AA2525" i="2"/>
  <c r="AA2561" i="2"/>
  <c r="AA2605" i="2"/>
  <c r="AA2647" i="2"/>
  <c r="AA2687" i="2"/>
  <c r="AA2734" i="2"/>
  <c r="AA2777" i="2"/>
  <c r="AA2816" i="2"/>
  <c r="AA2863" i="2"/>
  <c r="AA2932" i="2"/>
  <c r="AA2972" i="2"/>
  <c r="AA3021" i="2"/>
  <c r="AA1804" i="2"/>
  <c r="AA1826" i="2"/>
  <c r="AA1846" i="2"/>
  <c r="AA1877" i="2"/>
  <c r="AA1893" i="2"/>
  <c r="AA1913" i="2"/>
  <c r="AA1935" i="2"/>
  <c r="AA1957" i="2"/>
  <c r="AA1977" i="2"/>
  <c r="AA1999" i="2"/>
  <c r="AA2021" i="2"/>
  <c r="AA2041" i="2"/>
  <c r="AA2062" i="2"/>
  <c r="AA2084" i="2"/>
  <c r="AA2104" i="2"/>
  <c r="AA2126" i="2"/>
  <c r="AA2148" i="2"/>
  <c r="AA2169" i="2"/>
  <c r="AA2191" i="2"/>
  <c r="AA2236" i="2"/>
  <c r="AA2268" i="2"/>
  <c r="AA2300" i="2"/>
  <c r="AA2332" i="2"/>
  <c r="AA2364" i="2"/>
  <c r="AA2396" i="2"/>
  <c r="AA2428" i="2"/>
  <c r="AA2460" i="2"/>
  <c r="AA2492" i="2"/>
  <c r="AA2531" i="2"/>
  <c r="AA2567" i="2"/>
  <c r="AA2607" i="2"/>
  <c r="AA2653" i="2"/>
  <c r="AA2696" i="2"/>
  <c r="AA2736" i="2"/>
  <c r="AA2783" i="2"/>
  <c r="AA2824" i="2"/>
  <c r="AA2865" i="2"/>
  <c r="AA2938" i="2"/>
  <c r="AA2980" i="2"/>
  <c r="AA3037" i="2"/>
  <c r="AA2655" i="2"/>
  <c r="AA2702" i="2"/>
  <c r="AA2744" i="2"/>
  <c r="AA2785" i="2"/>
  <c r="AA2830" i="2"/>
  <c r="AA2873" i="2"/>
  <c r="AA2940" i="2"/>
  <c r="AA298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B6A446-D7FD-4139-8DD1-5EF3C01D25F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<sst xmlns="http://schemas.openxmlformats.org/spreadsheetml/2006/main" count="18291" uniqueCount="7436">
  <si>
    <t>Sr No</t>
  </si>
  <si>
    <t>Date dd/mm/yyyy</t>
  </si>
  <si>
    <t>Amount in USD</t>
  </si>
  <si>
    <t>Monthly Revenue</t>
  </si>
  <si>
    <t>Annual Burn Rate</t>
  </si>
  <si>
    <t>Customer Acquisition Cost (CAC)</t>
  </si>
  <si>
    <t>Customer Lifetime Value (CLV)</t>
  </si>
  <si>
    <t>Active Users</t>
  </si>
  <si>
    <t>Revenue Growth Rate (%)</t>
  </si>
  <si>
    <t>Funding Utilization (%)</t>
  </si>
  <si>
    <t>Profit Margin (%)</t>
  </si>
  <si>
    <t>Valuation at Funding</t>
  </si>
  <si>
    <t>Operating Expenses</t>
  </si>
  <si>
    <t>Year</t>
  </si>
  <si>
    <t>Month</t>
  </si>
  <si>
    <t>Bengaluru</t>
  </si>
  <si>
    <t>Tiger Global Management</t>
  </si>
  <si>
    <t>Private Equity Round</t>
  </si>
  <si>
    <t>Shuttl</t>
  </si>
  <si>
    <t>Gurgaon</t>
  </si>
  <si>
    <t>Susquehanna Growth Equity</t>
  </si>
  <si>
    <t>Series C</t>
  </si>
  <si>
    <t>Mamaearth</t>
  </si>
  <si>
    <t>Sequoia Capital India</t>
  </si>
  <si>
    <t>Series B</t>
  </si>
  <si>
    <t>Wealthbucket</t>
  </si>
  <si>
    <t>FinTech</t>
  </si>
  <si>
    <t>New Delhi</t>
  </si>
  <si>
    <t>Vinod Khatumal</t>
  </si>
  <si>
    <t>Pre-Series A</t>
  </si>
  <si>
    <t>Fashor</t>
  </si>
  <si>
    <t>Mumbai</t>
  </si>
  <si>
    <t>Sprout Venture Partners</t>
  </si>
  <si>
    <t>Seed Round</t>
  </si>
  <si>
    <t>Pando</t>
  </si>
  <si>
    <t>Chennai</t>
  </si>
  <si>
    <t>Chiratae Ventures</t>
  </si>
  <si>
    <t>Series A</t>
  </si>
  <si>
    <t>Zomato</t>
  </si>
  <si>
    <t>Ant Financial</t>
  </si>
  <si>
    <t>Ecozen</t>
  </si>
  <si>
    <t>Pune</t>
  </si>
  <si>
    <t>Sathguru Catalyzer Advisors</t>
  </si>
  <si>
    <t>Cardekho</t>
  </si>
  <si>
    <t>Ping An Global Voyager Fund</t>
  </si>
  <si>
    <t>Series D</t>
  </si>
  <si>
    <t>Dhruva Space</t>
  </si>
  <si>
    <t>Mumbai Angels, Ravikanth Reddy</t>
  </si>
  <si>
    <t>Seed</t>
  </si>
  <si>
    <t>Rivigo</t>
  </si>
  <si>
    <t>SAIF Partners, Spring Canter Investment Ltd.</t>
  </si>
  <si>
    <t>Series F</t>
  </si>
  <si>
    <t>Healthians</t>
  </si>
  <si>
    <t>Paytm, NPTK, Sabre Partners and Neoplux</t>
  </si>
  <si>
    <t>Licious</t>
  </si>
  <si>
    <t>Vertex Growth Fund</t>
  </si>
  <si>
    <t>Series E</t>
  </si>
  <si>
    <t>Incred</t>
  </si>
  <si>
    <t>Not Disclosed</t>
  </si>
  <si>
    <t>Debt-Funding</t>
  </si>
  <si>
    <t>Trell</t>
  </si>
  <si>
    <t>Ruizheng Investment</t>
  </si>
  <si>
    <t>Rein Games</t>
  </si>
  <si>
    <t>Noida</t>
  </si>
  <si>
    <t>Manipal Education and Medical Group (MEMG)</t>
  </si>
  <si>
    <t>Lenskart</t>
  </si>
  <si>
    <t>Faridabad</t>
  </si>
  <si>
    <t>Softbank Vision Fund</t>
  </si>
  <si>
    <t>Series G</t>
  </si>
  <si>
    <t>Freshworks</t>
  </si>
  <si>
    <t>San Francisco</t>
  </si>
  <si>
    <t>Sequoia, CapitalG, Accel</t>
  </si>
  <si>
    <t>Series H</t>
  </si>
  <si>
    <t>Misters</t>
  </si>
  <si>
    <t>Sauce.vc, Rainforest Ventures</t>
  </si>
  <si>
    <t>Sunstone Eduversity Pvt. Ltd</t>
  </si>
  <si>
    <t>Prime Venture Partners, LetsVenture, PS1 Venture and GlobalLogic co-founder Rajul Garg</t>
  </si>
  <si>
    <t>Burger Singh</t>
  </si>
  <si>
    <t>RB Investments</t>
  </si>
  <si>
    <t>Venture</t>
  </si>
  <si>
    <t>DG Daiwa Ventures, DG Incubation</t>
  </si>
  <si>
    <t>Ninjacart</t>
  </si>
  <si>
    <t>Trifecta Capital Advisors</t>
  </si>
  <si>
    <t>Aye Finance</t>
  </si>
  <si>
    <t>Supergaming</t>
  </si>
  <si>
    <t>Dream Incubator</t>
  </si>
  <si>
    <t>Seed Funding</t>
  </si>
  <si>
    <t>Clumio</t>
  </si>
  <si>
    <t>San Jose,</t>
  </si>
  <si>
    <t>Altimeter Capital, Sutter Hill Ventures</t>
  </si>
  <si>
    <t>Ebikego</t>
  </si>
  <si>
    <t>Amritsar</t>
  </si>
  <si>
    <t>Startup Buddy</t>
  </si>
  <si>
    <t>Digital Mall Asia</t>
  </si>
  <si>
    <t>Delhi</t>
  </si>
  <si>
    <t>Amour Infrastructure</t>
  </si>
  <si>
    <t>Medikabazaar</t>
  </si>
  <si>
    <t>Healthcare</t>
  </si>
  <si>
    <t>Ackermans &amp; van Haaren, HealthQuad, Rebright Partners, Toppan Printing</t>
  </si>
  <si>
    <t>Vogo Automotive</t>
  </si>
  <si>
    <t>Kormangala</t>
  </si>
  <si>
    <t>Matrix Partners, Stellaris Venture Partners Kalaari Capital</t>
  </si>
  <si>
    <t>Furtados School Of Music</t>
  </si>
  <si>
    <t>Tulangan</t>
  </si>
  <si>
    <t>IAN Fund and DSG Consumer Partners</t>
  </si>
  <si>
    <t>Private Equity</t>
  </si>
  <si>
    <t>Paytm</t>
  </si>
  <si>
    <t>Vijay Shekhar Sharma</t>
  </si>
  <si>
    <t>Funding Round</t>
  </si>
  <si>
    <t>Dunzo</t>
  </si>
  <si>
    <t>Lightbox</t>
  </si>
  <si>
    <t>Udaan</t>
  </si>
  <si>
    <t>Altimeter Capital, DST Global</t>
  </si>
  <si>
    <t>The Man Company</t>
  </si>
  <si>
    <t>Ayushmann Khurana</t>
  </si>
  <si>
    <t>Corporate Round</t>
  </si>
  <si>
    <t>Fpl Technologies</t>
  </si>
  <si>
    <t>Matrix Partners India, Sequoia India</t>
  </si>
  <si>
    <t>Maiden Round</t>
  </si>
  <si>
    <t>Cashflo</t>
  </si>
  <si>
    <t>SAIF Partners</t>
  </si>
  <si>
    <t>Digital F5</t>
  </si>
  <si>
    <t>TIW Private Equity</t>
  </si>
  <si>
    <t>3Rdflix</t>
  </si>
  <si>
    <t>Hyderabad</t>
  </si>
  <si>
    <t>Exfinity Venture Partners</t>
  </si>
  <si>
    <t>75F</t>
  </si>
  <si>
    <t>Burnsville</t>
  </si>
  <si>
    <t>Breakthrough Energy Ventures</t>
  </si>
  <si>
    <t>Myelin Foundry</t>
  </si>
  <si>
    <t>Endiya Partners</t>
  </si>
  <si>
    <t>Atomberg Technology</t>
  </si>
  <si>
    <t>A91 Partners</t>
  </si>
  <si>
    <t>Goqii</t>
  </si>
  <si>
    <t>Menlo Park</t>
  </si>
  <si>
    <t>Bennett Coleman and Company Ltd (BCCL)</t>
  </si>
  <si>
    <t>Vyapar App</t>
  </si>
  <si>
    <t>India Quotient, Axilor Ventures</t>
  </si>
  <si>
    <t>SC GG India Mobility Holdings LLC</t>
  </si>
  <si>
    <t>Progcap</t>
  </si>
  <si>
    <t>Sequoia India</t>
  </si>
  <si>
    <t>Mypetrolpump</t>
  </si>
  <si>
    <t>Seed Funding Round</t>
  </si>
  <si>
    <t>Alteria Capital</t>
  </si>
  <si>
    <t>Azim Premji, Binny Bansal</t>
  </si>
  <si>
    <t>Single Venture</t>
  </si>
  <si>
    <t>Pine Labs</t>
  </si>
  <si>
    <t>Pine Labs Pte Ltd</t>
  </si>
  <si>
    <t>Meesho</t>
  </si>
  <si>
    <t>Naspers</t>
  </si>
  <si>
    <t>Cars24</t>
  </si>
  <si>
    <t>Gurugram</t>
  </si>
  <si>
    <t>MS Dhoni</t>
  </si>
  <si>
    <t>Uniphore</t>
  </si>
  <si>
    <t>Palo Alto</t>
  </si>
  <si>
    <t>March Capital Partners</t>
  </si>
  <si>
    <t>Zendrive</t>
  </si>
  <si>
    <t>XL Innovate</t>
  </si>
  <si>
    <t>Lo! Foods</t>
  </si>
  <si>
    <t>Rashmi Daga (founder, FreshMenu), Raveen Sastry (co-founder, Myntra) and Mitesh Shah (finance chief, BookMyShow)</t>
  </si>
  <si>
    <t>Tala</t>
  </si>
  <si>
    <t>Santa Monica</t>
  </si>
  <si>
    <t>RPS Ventures</t>
  </si>
  <si>
    <t>Indwealth</t>
  </si>
  <si>
    <t>Venture Round</t>
  </si>
  <si>
    <t>Hungerbox</t>
  </si>
  <si>
    <t>One97 Communications Ltd</t>
  </si>
  <si>
    <t>Admitkard</t>
  </si>
  <si>
    <t>Growth DNA</t>
  </si>
  <si>
    <t>Mishry Reviews</t>
  </si>
  <si>
    <t>Vir Sanghvi</t>
  </si>
  <si>
    <t>Grofers</t>
  </si>
  <si>
    <t>Rapido Bike Taxi</t>
  </si>
  <si>
    <t>Westbridge Capital</t>
  </si>
  <si>
    <t>Renewbuy</t>
  </si>
  <si>
    <t>Lok Capital, IIFL Wealth</t>
  </si>
  <si>
    <t>Atlan</t>
  </si>
  <si>
    <t>Singapore</t>
  </si>
  <si>
    <t>WaterBridge Ventures</t>
  </si>
  <si>
    <t>Wizcounsel</t>
  </si>
  <si>
    <t>Kapil Dev</t>
  </si>
  <si>
    <t>Angel</t>
  </si>
  <si>
    <t>Ola Cabs</t>
  </si>
  <si>
    <t>DIG Investment Ab, Deshe Holdings, Samih Toukan and Hussam Khoury</t>
  </si>
  <si>
    <t>Series J</t>
  </si>
  <si>
    <t>Taramani</t>
  </si>
  <si>
    <t>Daalchini Technologies</t>
  </si>
  <si>
    <t>Artha Venture</t>
  </si>
  <si>
    <t>Byju'S</t>
  </si>
  <si>
    <t>Qatar Investment Authority</t>
  </si>
  <si>
    <t>Moglix</t>
  </si>
  <si>
    <t>Composite Capital Management, Sequoia Capital India, Tiger Global Management</t>
  </si>
  <si>
    <t>Ezyhaul</t>
  </si>
  <si>
    <t>Undisclosed</t>
  </si>
  <si>
    <t>Indus Os</t>
  </si>
  <si>
    <t>Andheri</t>
  </si>
  <si>
    <t>Ventureast</t>
  </si>
  <si>
    <t>Healthassure</t>
  </si>
  <si>
    <t>Blume Ventures</t>
  </si>
  <si>
    <t>House Of Msasaba</t>
  </si>
  <si>
    <t>Binny Bansal</t>
  </si>
  <si>
    <t>Board Infinity</t>
  </si>
  <si>
    <t>Chembur</t>
  </si>
  <si>
    <t>Multiple Angel Investors</t>
  </si>
  <si>
    <t>Angel Round</t>
  </si>
  <si>
    <t>Nobroker</t>
  </si>
  <si>
    <t>General Atlantic</t>
  </si>
  <si>
    <t>Bira91</t>
  </si>
  <si>
    <t>Anicut Capital</t>
  </si>
  <si>
    <t>Fab 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</si>
  <si>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</si>
  <si>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</si>
  <si>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</si>
  <si>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</si>
  <si>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</si>
  <si>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</si>
  <si>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Triton Investment Advisors, Pidilite Industries director Ajay Parekh</t>
  </si>
  <si>
    <t>Agara Labs</t>
  </si>
  <si>
    <t>Blume Ventures and RTP Global</t>
  </si>
  <si>
    <t>Sistema.Bio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</si>
  <si>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</si>
  <si>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</si>
  <si>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</si>
  <si>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IAN Fund</t>
  </si>
  <si>
    <t>Pratilipi</t>
  </si>
  <si>
    <t>Qiming Venture Partners</t>
  </si>
  <si>
    <t>Bolo App</t>
  </si>
  <si>
    <t>Nexus Venture Partners</t>
  </si>
  <si>
    <t>Okcredit</t>
  </si>
  <si>
    <t>Haryana</t>
  </si>
  <si>
    <t>Biz2Credit</t>
  </si>
  <si>
    <t>New York</t>
  </si>
  <si>
    <t>Vogo Automotive Pvt. Ltd.</t>
  </si>
  <si>
    <t>Karnataka</t>
  </si>
  <si>
    <t>Leegality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</si>
  <si>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</si>
  <si>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</si>
  <si>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</si>
  <si>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</si>
  <si>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</si>
  <si>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</si>
  <si>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</si>
  <si>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</si>
  <si>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</si>
  <si>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</si>
  <si>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</si>
  <si>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</si>
  <si>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</si>
  <si>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Ather Energy</t>
  </si>
  <si>
    <t>Sachin Bansal</t>
  </si>
  <si>
    <t>Freshvnf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</si>
  <si>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</si>
  <si>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</si>
  <si>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</si>
  <si>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</si>
  <si>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</si>
  <si>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</si>
  <si>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</si>
  <si>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Prasid Uno Family Trust</t>
  </si>
  <si>
    <t>Kabadiwala</t>
  </si>
  <si>
    <t>Bhopal</t>
  </si>
  <si>
    <t>Unilever, Beehive Capital Advisor, ABCOM Investments, Parekh Marine Transport,</t>
  </si>
  <si>
    <t>Tripoto</t>
  </si>
  <si>
    <t>Orchid India, Hornbill Orchid India Fund, Chiratae Ventures (formerly IDG Ventures), 3one4 Capital, Lasmer NV</t>
  </si>
  <si>
    <t>Azah</t>
  </si>
  <si>
    <t>Unnamed angel investors</t>
  </si>
  <si>
    <t>Setu</t>
  </si>
  <si>
    <t>Lightspeed India Partners</t>
  </si>
  <si>
    <t>Toppr</t>
  </si>
  <si>
    <t>Milestone</t>
  </si>
  <si>
    <t>Craftsvilla</t>
  </si>
  <si>
    <t>Supera Pte Ltd</t>
  </si>
  <si>
    <t>Inhouse Funding</t>
  </si>
  <si>
    <t>Unacademy</t>
  </si>
  <si>
    <t>Kalyan Krishnamurthy</t>
  </si>
  <si>
    <t>Seed/Angel Funding</t>
  </si>
  <si>
    <t>Clevertap</t>
  </si>
  <si>
    <t>Sequoia India, Tiger Global Management, Accel Partners</t>
  </si>
  <si>
    <t>My Healthcare</t>
  </si>
  <si>
    <t>Krazybee</t>
  </si>
  <si>
    <t>BAC Acquisitions, Unifi AIF, BRD Securities, Northern R Capital</t>
  </si>
  <si>
    <t>Debt</t>
  </si>
  <si>
    <t>New Atlantic Ventures</t>
  </si>
  <si>
    <t>Increff</t>
  </si>
  <si>
    <t>021 Capita, Binny Bansal</t>
  </si>
  <si>
    <t>Fleetx</t>
  </si>
  <si>
    <t>Zilingo</t>
  </si>
  <si>
    <t>India/Singapore</t>
  </si>
  <si>
    <t>Sequoia Capital and Temasek Holdings, EDBI, Burda Principal Investments, and Sofina</t>
  </si>
  <si>
    <t>Nanoclean Global</t>
  </si>
  <si>
    <t>LetsVenture, PitchRight Venture, 91SpringBoard, AL Nour International Holdings and Mark V Investments</t>
  </si>
  <si>
    <t>Oyo Rooms</t>
  </si>
  <si>
    <t>DiDi Chuxing</t>
  </si>
  <si>
    <t>Equity</t>
  </si>
  <si>
    <t>Jaipur</t>
  </si>
  <si>
    <t>Vyome Therapeutics Inc.</t>
  </si>
  <si>
    <t>Iron Pillar, Perceptive Advisors, Romulus Capital and Kalaari Capital</t>
  </si>
  <si>
    <t>Samunnati Financial Intermediation &amp; Services Pvt. Ltd</t>
  </si>
  <si>
    <t>MASSIF, a Dutch government fund</t>
  </si>
  <si>
    <t>Manch</t>
  </si>
  <si>
    <t>Stellaris Venture Partners</t>
  </si>
  <si>
    <t>Urbanclap Technologies Pvt. Ltd</t>
  </si>
  <si>
    <t>Steadview Capital and Vy Capital.</t>
  </si>
  <si>
    <t>Guiddoo</t>
  </si>
  <si>
    <t>Individual Investors</t>
  </si>
  <si>
    <t>Career Anna</t>
  </si>
  <si>
    <t>Nagpur Wholesale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</si>
  <si>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</si>
  <si>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</si>
  <si>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</si>
  <si>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</si>
  <si>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</si>
  <si>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</si>
  <si>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Venture Highway, GREE Ventures, Space Matrix, Individual Investors</t>
  </si>
  <si>
    <t>Godesi</t>
  </si>
  <si>
    <t>Lead Angels Network</t>
  </si>
  <si>
    <t>Veritas Finance Ltd</t>
  </si>
  <si>
    <t>Shunwei Capital, DST Partners and RPS Ventures</t>
  </si>
  <si>
    <t>Mobile Premier League</t>
  </si>
  <si>
    <t>A&amp;R Bon Vivants</t>
  </si>
  <si>
    <t>RB Investments, Singapore</t>
  </si>
  <si>
    <t>New York, Bengaluru</t>
  </si>
  <si>
    <t>Tiger Global</t>
  </si>
  <si>
    <t>Milk Basket</t>
  </si>
  <si>
    <t>Mayfield Fund</t>
  </si>
  <si>
    <t>Driveu</t>
  </si>
  <si>
    <t>Stevens Creek Ventures</t>
  </si>
  <si>
    <t>Mezzanine</t>
  </si>
  <si>
    <t>Cleansecar</t>
  </si>
  <si>
    <t>Venture Catalysts</t>
  </si>
  <si>
    <t>Automation Anywhere</t>
  </si>
  <si>
    <t>California</t>
  </si>
  <si>
    <t>Healthifyme</t>
  </si>
  <si>
    <t>Sistema Asia Fund, VC Samsung NEXT, Chiratae Ventures, Inventus Capital, Blume Ventures and Innoven Capital.</t>
  </si>
  <si>
    <t>Series B (Extension)</t>
  </si>
  <si>
    <t>Genius Corner</t>
  </si>
  <si>
    <t>Aavishkaar-Intellecap Group</t>
  </si>
  <si>
    <t>Teachers Insurance and Annuity Association (TIAA)</t>
  </si>
  <si>
    <t>Equity Based Funding</t>
  </si>
  <si>
    <t>Skillbox</t>
  </si>
  <si>
    <t>Signzy</t>
  </si>
  <si>
    <t>Stellaris Venture Partners and Kalaari Capital, Rajan Anandan from Google, Dilip Khandwelwal from SAP Labs India, and Amrish Rau from PayU India</t>
  </si>
  <si>
    <t>Engineer.Ai</t>
  </si>
  <si>
    <t>Incred Finance</t>
  </si>
  <si>
    <t>India</t>
  </si>
  <si>
    <t>Paragon Partners, Individual Investors</t>
  </si>
  <si>
    <t>Roposo</t>
  </si>
  <si>
    <t>Bertelsmann India Investments</t>
  </si>
  <si>
    <t>Northmist</t>
  </si>
  <si>
    <t>Prashant Jaiswal</t>
  </si>
  <si>
    <t>Origo Commodities India Pvt. Ltd</t>
  </si>
  <si>
    <t>Cooperative Oikocredit, Caspian and Hivos-Triodos Fund</t>
  </si>
  <si>
    <t>Grover Zampa</t>
  </si>
  <si>
    <t>Ravi Viswanathan</t>
  </si>
  <si>
    <t>Droom</t>
  </si>
  <si>
    <t>ZigExN</t>
  </si>
  <si>
    <t>Innov8</t>
  </si>
  <si>
    <t>Credence Family Office</t>
  </si>
  <si>
    <t>Private Funding</t>
  </si>
  <si>
    <t>Letstransport</t>
  </si>
  <si>
    <t>Fosun International</t>
  </si>
  <si>
    <t>Netmeds</t>
  </si>
  <si>
    <t>Sistema Asia Fund, Sistema JSFC and Tanncam Investment</t>
  </si>
  <si>
    <t>Daily Hunt</t>
  </si>
  <si>
    <t>Falcon Edge</t>
  </si>
  <si>
    <t>3Hcare</t>
  </si>
  <si>
    <t>Happygoeasy</t>
  </si>
  <si>
    <t>Korea Investment Partners (KIP), Samsung and China-based CITIC Capital and others</t>
  </si>
  <si>
    <t>Nykaa</t>
  </si>
  <si>
    <t>Lighthouse</t>
  </si>
  <si>
    <t>Mad Street Den</t>
  </si>
  <si>
    <t>Dream11</t>
  </si>
  <si>
    <t>Tencent, Kalaari Capital and Private equity firm Multiples Alternate Asset Management</t>
  </si>
  <si>
    <t>Stellaris Ventures &amp; Others</t>
  </si>
  <si>
    <t>Autogrid</t>
  </si>
  <si>
    <t>Pharmeasy</t>
  </si>
  <si>
    <t>Innoven Capital</t>
  </si>
  <si>
    <t>Upwards</t>
  </si>
  <si>
    <t>Shunwei Capital,Quotient, Mayfield &amp; Others</t>
  </si>
  <si>
    <t>Kissht</t>
  </si>
  <si>
    <t>Dishq</t>
  </si>
  <si>
    <t>Farm To Fork, Arts Alliance, The Syndicate Fund, Sven Hensen, Zeroth and Artesian Venture Partners</t>
  </si>
  <si>
    <t>Healthfin</t>
  </si>
  <si>
    <t>Axilor, Sprout Venture Partners and others</t>
  </si>
  <si>
    <t>Samosa Labs</t>
  </si>
  <si>
    <t>Xiaomi and Sequoia Capital India</t>
  </si>
  <si>
    <t>Ziffyhomes</t>
  </si>
  <si>
    <t>Y Combinator</t>
  </si>
  <si>
    <t>My Omnamo</t>
  </si>
  <si>
    <t>Shopx</t>
  </si>
  <si>
    <t>Fung Strategic Holdings</t>
  </si>
  <si>
    <t>Makemytrip</t>
  </si>
  <si>
    <t>MakeMyTrip Limited</t>
  </si>
  <si>
    <t>Hansel Io</t>
  </si>
  <si>
    <t>Vertex Ventures</t>
  </si>
  <si>
    <t>Metro Bikes</t>
  </si>
  <si>
    <t>Sequoia Capital India Advisors, Accel Partners and G Raghunandan</t>
  </si>
  <si>
    <t>Phone Pe</t>
  </si>
  <si>
    <t>Flipkart</t>
  </si>
  <si>
    <t>Quizizz</t>
  </si>
  <si>
    <t>Nexus Venture Partners, Prime Venture Partners and Others</t>
  </si>
  <si>
    <t>Happy Emi</t>
  </si>
  <si>
    <t>AJ Ventures and Jain International Trade Organisation (JITO)</t>
  </si>
  <si>
    <t>Inthree</t>
  </si>
  <si>
    <t>Ventureast, Orios Venture Partners and the IAN Fund</t>
  </si>
  <si>
    <t>Observe Ai</t>
  </si>
  <si>
    <t>Nexus Venture Partners, MGV, Liquid 2 Ventures, Hack VC, Emergent Ventures and Y Combinator</t>
  </si>
  <si>
    <t>Enakshi</t>
  </si>
  <si>
    <t>Ahmedabad</t>
  </si>
  <si>
    <t>Eazydiner</t>
  </si>
  <si>
    <t>Denlow Investment Trust and Beenext</t>
  </si>
  <si>
    <t>Finzy</t>
  </si>
  <si>
    <t>Rawpressery</t>
  </si>
  <si>
    <t>Pi Ventures</t>
  </si>
  <si>
    <t>CDC Group Plc</t>
  </si>
  <si>
    <t>Revv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</si>
  <si>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</si>
  <si>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</si>
  <si>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</si>
  <si>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</si>
  <si>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Saama Capital, SRI Capital, Beenext, and Pravega Ventures</t>
  </si>
  <si>
    <t>Myupchar</t>
  </si>
  <si>
    <t>Nexus Venture Partners, Omidyar Network and Shunwei Capital</t>
  </si>
  <si>
    <t>Narvar</t>
  </si>
  <si>
    <t>Accel (formerly known as Accel Partners)</t>
  </si>
  <si>
    <t>True North</t>
  </si>
  <si>
    <t>Leena Ai</t>
  </si>
  <si>
    <t>Biryani By Kilo</t>
  </si>
  <si>
    <t>Ajay Relan and Vinay Mittal</t>
  </si>
  <si>
    <t>Anchanto</t>
  </si>
  <si>
    <t>MDI Ventures &amp; Telkom Indonesia</t>
  </si>
  <si>
    <t>Loan Tap</t>
  </si>
  <si>
    <t>Shunwei Capital, Tuscan Ventures, Ashish Goenka, VC firms India Quotient and Kae Capital</t>
  </si>
  <si>
    <t>Policy Bazaar</t>
  </si>
  <si>
    <t>Info Edge (India) Ltd and Temasek</t>
  </si>
  <si>
    <t>Zippserv</t>
  </si>
  <si>
    <t>Info Edge (India) Ltd</t>
  </si>
  <si>
    <t>Groww</t>
  </si>
  <si>
    <t>Insignia Ventures Partners, Lightbridge Partners &amp; Kairos</t>
  </si>
  <si>
    <t>Avenue Growth</t>
  </si>
  <si>
    <t>Avtar Monga, chief operating office at IDFC Bank, Aditya Malik &amp; Others</t>
  </si>
  <si>
    <t>Inicu</t>
  </si>
  <si>
    <t>Kinara Capital</t>
  </si>
  <si>
    <t>ResponsAbility</t>
  </si>
  <si>
    <t>Shop 101</t>
  </si>
  <si>
    <t>Stellaris Venture Partners Vy Capital, Raghunandan G, and Ramakant Sharma</t>
  </si>
  <si>
    <t>Sambandh</t>
  </si>
  <si>
    <t>Rourkela</t>
  </si>
  <si>
    <t>Base of Pyramid Asia (BOPA) Pte Ltd</t>
  </si>
  <si>
    <t>19Th Mile</t>
  </si>
  <si>
    <t>Rishi Vasudev, Excelsior Investments, Ritesh Vohra, Praveer Kumar, Prashant Gupta and Others</t>
  </si>
  <si>
    <t>5Th Vital</t>
  </si>
  <si>
    <t>Brand Capital and Others</t>
  </si>
  <si>
    <t>Mengage</t>
  </si>
  <si>
    <t>Siddharth Agarwal, Mahavir Sharma, Amit Singal, 100 Co-founders Lab and others.</t>
  </si>
  <si>
    <t>Ofbusiness</t>
  </si>
  <si>
    <t>Creation Investments, Falcon Edge, Matrix Partners India and Zodius Capital</t>
  </si>
  <si>
    <t>Kingsway FCI Fund, KCK Global &amp; Others</t>
  </si>
  <si>
    <t>The Ken</t>
  </si>
  <si>
    <t>Omidyar Network &amp; Others</t>
  </si>
  <si>
    <t>Book My Show</t>
  </si>
  <si>
    <t>TPG Growth, The Rise Fund &amp; Others</t>
  </si>
  <si>
    <t>Housingman</t>
  </si>
  <si>
    <t>Paysense</t>
  </si>
  <si>
    <t>PayU &amp; Others</t>
  </si>
  <si>
    <t>Yulu Bikes</t>
  </si>
  <si>
    <t>Vtion</t>
  </si>
  <si>
    <t>AngelList, Rahul Khanna, Rajeev Arora and Ram Ramsundar.</t>
  </si>
  <si>
    <t>Log9 Materials</t>
  </si>
  <si>
    <t>Metaform Ventures, Hemant Luthra, Micro venture capital firm GEMS Partners and Others</t>
  </si>
  <si>
    <t>Kidovators</t>
  </si>
  <si>
    <t>Gray Matters</t>
  </si>
  <si>
    <t>Digit</t>
  </si>
  <si>
    <t>Fairfax</t>
  </si>
  <si>
    <t>Black Soil</t>
  </si>
  <si>
    <t>Allcargo Logistics, Navneet Education and Mahavir Agency</t>
  </si>
  <si>
    <t>BeeNext , WEH Ventures and Sprout Ventures</t>
  </si>
  <si>
    <t>Iqlect</t>
  </si>
  <si>
    <t>Ventureast and Exfinity</t>
  </si>
  <si>
    <t>Entropik</t>
  </si>
  <si>
    <t>Bharat Innovation, IDFC-Parampara Capital, Arthavida Ventures, Jitendra Gupta &amp; Others</t>
  </si>
  <si>
    <t>Bitla Software</t>
  </si>
  <si>
    <t>MakeMyTrip</t>
  </si>
  <si>
    <t>Thecapitalnet</t>
  </si>
  <si>
    <t>Lindwall Family Investments LLC (LFI)</t>
  </si>
  <si>
    <t>Amazon Alexa Fund &amp; Dentsu Ventures</t>
  </si>
  <si>
    <t>Cure Fit</t>
  </si>
  <si>
    <t>IDG Ventures, Accel Partners Kalaari Capital and Others</t>
  </si>
  <si>
    <t>Five Star Group</t>
  </si>
  <si>
    <t>TPG, Norwest Venture Partners, Sequoia Capital &amp; Matrix Partners</t>
  </si>
  <si>
    <t>Healthsignz</t>
  </si>
  <si>
    <t>Kantilal Patel</t>
  </si>
  <si>
    <t>Cointribe</t>
  </si>
  <si>
    <t>Sabre Partners, Puneet Dalmia &amp; Others</t>
  </si>
  <si>
    <t>Digiconectt</t>
  </si>
  <si>
    <t>Aspire Logistics LLC</t>
  </si>
  <si>
    <t>Kashmir Box</t>
  </si>
  <si>
    <t>Srinagar</t>
  </si>
  <si>
    <t>Bhairavi Jani, Alok Divatia, Namrata Kaul, Sohail Hashemi, Aijaz Saleem</t>
  </si>
  <si>
    <t>Crowdera</t>
  </si>
  <si>
    <t>Anil Advani, Pramod Jain, Amrendra Reddy and Manish Satnaliwala.</t>
  </si>
  <si>
    <t>Zoctr</t>
  </si>
  <si>
    <t>NB Ventures and Others</t>
  </si>
  <si>
    <t>Annapurna Finance</t>
  </si>
  <si>
    <t>Bhubaneswar</t>
  </si>
  <si>
    <t>Oman India Joint Investment Fund (OIJIF)</t>
  </si>
  <si>
    <t>Sequoia Capital India, SAIF Partners, Y Combinator and Venture Highway</t>
  </si>
  <si>
    <t>CapitalG, SAIF Partners and LGT Impact Ventures</t>
  </si>
  <si>
    <t>Theranosis</t>
  </si>
  <si>
    <t>Mumbai Angels Network</t>
  </si>
  <si>
    <t>Alpha Capital</t>
  </si>
  <si>
    <t>Eshakti</t>
  </si>
  <si>
    <t>Paragon Partners</t>
  </si>
  <si>
    <t>Daily Ninja</t>
  </si>
  <si>
    <t>Saama Capital and Sequoia Capital</t>
  </si>
  <si>
    <t>Nirogstreet</t>
  </si>
  <si>
    <t>Spiral Ventures, Subho Ray and Samir Kumar</t>
  </si>
  <si>
    <t>Nivesh</t>
  </si>
  <si>
    <t>LetsVenture, Rajan Anandan, Basab Pradhan, Vivek Khare and Bijoy George</t>
  </si>
  <si>
    <t>Whatup Life</t>
  </si>
  <si>
    <t>Rannvijay Singha</t>
  </si>
  <si>
    <t>Homelane</t>
  </si>
  <si>
    <t>Brand Capital</t>
  </si>
  <si>
    <t>Network Intelligence</t>
  </si>
  <si>
    <t>Helix Investments</t>
  </si>
  <si>
    <t>Tynor Othontics</t>
  </si>
  <si>
    <t>Chandigarh</t>
  </si>
  <si>
    <t>Lighthouse Funds &amp; Thuasne Participations</t>
  </si>
  <si>
    <t>Elucidata</t>
  </si>
  <si>
    <t>Delhi &amp; Cambridge</t>
  </si>
  <si>
    <t>Hyperplane Venture Capital and several angel investors</t>
  </si>
  <si>
    <t>Chrysalis</t>
  </si>
  <si>
    <t>Menterra Venture &amp; Artha Initiatives</t>
  </si>
  <si>
    <t>Rentsher</t>
  </si>
  <si>
    <t>Shorooq Investments, LetsVenture &amp; Others</t>
  </si>
  <si>
    <t>Drip Capital</t>
  </si>
  <si>
    <t>Accel Partners Sequoia India, Y Combinator and others.</t>
  </si>
  <si>
    <t>Wickedride</t>
  </si>
  <si>
    <t>Sequoia Capital, Accel Partners &amp; Raghunandan Gangappa</t>
  </si>
  <si>
    <t>Softbank Vision Fund &amp; Info Edge (India) Ltd</t>
  </si>
  <si>
    <t>Hipbar</t>
  </si>
  <si>
    <t>Diageo India</t>
  </si>
  <si>
    <t>Sqqrl</t>
  </si>
  <si>
    <t>Equanimity Venture Fund</t>
  </si>
  <si>
    <t>One 97 Communications</t>
  </si>
  <si>
    <t>Sigtuple</t>
  </si>
  <si>
    <t>Accel Partners IDG Venture, Endiya Partners, pi Ventures, VH Capital, Axilor Ventures and Binny Bansal</t>
  </si>
  <si>
    <t>Wow Express</t>
  </si>
  <si>
    <t>Undisclosed Existing Investors As Well As The Tamarind Family Trust</t>
  </si>
  <si>
    <t>Front Desk Ai</t>
  </si>
  <si>
    <t>Speciale Invest &amp; Others</t>
  </si>
  <si>
    <t>Edureka</t>
  </si>
  <si>
    <t>Leo Capital</t>
  </si>
  <si>
    <t>Numeroseven</t>
  </si>
  <si>
    <t>Kolkata</t>
  </si>
  <si>
    <t>Shiva Gunapu &amp; Others</t>
  </si>
  <si>
    <t>Opentap</t>
  </si>
  <si>
    <t>Unknown High Net-Worth Individuals</t>
  </si>
  <si>
    <t>Bizongo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</si>
  <si>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</si>
  <si>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</si>
  <si>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</si>
  <si>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</si>
  <si>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I3Sysytems</t>
  </si>
  <si>
    <t>Unitus Ventures, Behram Vakil and Jerxis Vandrevala</t>
  </si>
  <si>
    <t>Earth Food</t>
  </si>
  <si>
    <t>Rairah Corporation</t>
  </si>
  <si>
    <t>Sunil Munjal, Harsh Mariwala, Dalip Pathak and Others</t>
  </si>
  <si>
    <t>Mfine</t>
  </si>
  <si>
    <t>Prime Venture Partners, Stellaris Venture Partners and Mayur Abhaya Srisrimal</t>
  </si>
  <si>
    <t>Rocketium</t>
  </si>
  <si>
    <t>Kalaari Capital, Unilever Ventures and Blume Ventures</t>
  </si>
  <si>
    <t>Vola</t>
  </si>
  <si>
    <t>Credika and unnamed angel investors</t>
  </si>
  <si>
    <t>Cashkumar</t>
  </si>
  <si>
    <t>LetsVenture</t>
  </si>
  <si>
    <t>Edyoo</t>
  </si>
  <si>
    <t>RS Shanbag</t>
  </si>
  <si>
    <t>Aashiyaan</t>
  </si>
  <si>
    <t>Insistor, Oikocredit</t>
  </si>
  <si>
    <t>Smartivity</t>
  </si>
  <si>
    <t>Ashish Kacholi, S Chand Group</t>
  </si>
  <si>
    <t>Bonphulapl</t>
  </si>
  <si>
    <t>Atul Gupta and Saurabh Rastogi</t>
  </si>
  <si>
    <t>Acko</t>
  </si>
  <si>
    <t>Amazon, Ashish Dhawan, Catamaran Ventures, NR Narayana Murthy.</t>
  </si>
  <si>
    <t>Hwell24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</si>
  <si>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</si>
  <si>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</si>
  <si>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</si>
  <si>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</si>
  <si>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Amazon Inc. and Mastercard</t>
  </si>
  <si>
    <t>Events High</t>
  </si>
  <si>
    <t>Treebo</t>
  </si>
  <si>
    <t>Stellaps</t>
  </si>
  <si>
    <t>IndusAge Partners, Bill &amp; Melinda Gates Foundation, Qualcomm Venture, ABB Technology Ventures, Omnivore, Blume Ventures, Venture Highway and BEENEXT</t>
  </si>
  <si>
    <t>Credright</t>
  </si>
  <si>
    <t>Accion Venture Lab, YourNest Venture Capital And Other Angel Investors</t>
  </si>
  <si>
    <t>Fitternity</t>
  </si>
  <si>
    <t>Exfinity Venture, Saha fund Partners, Arihant Patni of Patni Family Office, Anjali Bansal, Shardul Amarchand Mangaldas, Satish Khanna and Taparia family office.</t>
  </si>
  <si>
    <t>Synctag</t>
  </si>
  <si>
    <t>Coimbatore</t>
  </si>
  <si>
    <t>Subhkam Ventures and Mohit Khadaria</t>
  </si>
  <si>
    <t>Benepik</t>
  </si>
  <si>
    <t>Vishal Bali, Yogesh Misra, Thomas Assessments and others</t>
  </si>
  <si>
    <t>Varthana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</si>
  <si>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</si>
  <si>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</si>
  <si>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</si>
  <si>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</si>
  <si>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Accel Partners Tiger Global And Others</t>
  </si>
  <si>
    <t>Kaleidofin</t>
  </si>
  <si>
    <t>Omidyar Network. Blume Ventures and Professor Shlomo Ben-Haim</t>
  </si>
  <si>
    <t>Pipabella</t>
  </si>
  <si>
    <t>Fireside Ventures</t>
  </si>
  <si>
    <t>Elemential</t>
  </si>
  <si>
    <t>Matrix Partner, Amrish Rau, Investopad, Digital Currency Group, Hinduja Group, Lightspeed India, Eight Innovate, Amit Ranjan, Prashant Malik and others</t>
  </si>
  <si>
    <t>Kriger Campus</t>
  </si>
  <si>
    <t>Loanzen</t>
  </si>
  <si>
    <t>Kae Capital Management</t>
  </si>
  <si>
    <t>Traveltriangle</t>
  </si>
  <si>
    <t>Fundamentum, SAIF Partners, Bessemer Venture Partners, RB investments &amp; Others</t>
  </si>
  <si>
    <t>Letsmd</t>
  </si>
  <si>
    <t>SRI Capital, Waterbridge Ventures and ThinKuvate</t>
  </si>
  <si>
    <t>BlueOrchard Finance Ltd, Hinduja Leyland Finance and IntelleGrow</t>
  </si>
  <si>
    <t>Mintifi</t>
  </si>
  <si>
    <t>Lok Capital</t>
  </si>
  <si>
    <t>Icanstay</t>
  </si>
  <si>
    <t>Mr. Manoj Prasad</t>
  </si>
  <si>
    <t>Pregbuddy</t>
  </si>
  <si>
    <t>Rajan Anandan, Madhusudhan Kannan, Jayant Kadambi, Puneet Gupta and Pradeep K Jaisingh</t>
  </si>
  <si>
    <t>Coverfox</t>
  </si>
  <si>
    <t>International Finance Corporation, Transamerica and others.</t>
  </si>
  <si>
    <t>TR Capital</t>
  </si>
  <si>
    <t>Shilpa Shetty Kundra</t>
  </si>
  <si>
    <t>Fyle Technologies</t>
  </si>
  <si>
    <t>Pravega Ventures and Beenext</t>
  </si>
  <si>
    <t>True Balance</t>
  </si>
  <si>
    <t>Line Ventures Corporation, Line Corp, Naver, Shinhan Bank and TS Investment</t>
  </si>
  <si>
    <t>Visit</t>
  </si>
  <si>
    <t>Biz Stone, Kunal Bahl, Rohit Bansal, Alagu Periyannan and Karthee Madasamy</t>
  </si>
  <si>
    <t>Doxper</t>
  </si>
  <si>
    <t>Vidal Healthcare</t>
  </si>
  <si>
    <t>Mihuru</t>
  </si>
  <si>
    <t>Capital Float</t>
  </si>
  <si>
    <t>Amazon</t>
  </si>
  <si>
    <t>Trip Shelf</t>
  </si>
  <si>
    <t>GEMS Advisory, Alok Mittal and Sachin Bhatia</t>
  </si>
  <si>
    <t>Popxo</t>
  </si>
  <si>
    <t>Neoplux, OPPO, IDG Ventures India, Kalaari Capital, GREE Ventures and Summit Media</t>
  </si>
  <si>
    <t>Railyatri</t>
  </si>
  <si>
    <t>Omidyar Network, Nandan Nilekani, Blume Ventures, Helion Venture Partners</t>
  </si>
  <si>
    <t>1Mg</t>
  </si>
  <si>
    <t>Sequoia Capital, Maverick Capital Ltd and HBM Healthcare Investments Ltd</t>
  </si>
  <si>
    <t>Rubique</t>
  </si>
  <si>
    <t>Emery Capital, Blacksoil and Kalaari Capital</t>
  </si>
  <si>
    <t>Samco</t>
  </si>
  <si>
    <t>Bay Capital Investments and Others</t>
  </si>
  <si>
    <t>Myloancare</t>
  </si>
  <si>
    <t>SAR Group</t>
  </si>
  <si>
    <t>Bessemer Venture Partners and Orios Venture Partners, JM Financials and MEMG</t>
  </si>
  <si>
    <t>Buddy4Studdy</t>
  </si>
  <si>
    <t>CBA Capital and others</t>
  </si>
  <si>
    <t>Urban Ladder</t>
  </si>
  <si>
    <t>Sequoia Capital, SAIF Partners and Kalaari capital</t>
  </si>
  <si>
    <t>Baskar Subramanian, Saket Kumar, Gaurav Suri and Ankit Kesarwani</t>
  </si>
  <si>
    <t>Gramophone</t>
  </si>
  <si>
    <t>InfoEdge</t>
  </si>
  <si>
    <t>Wellthy</t>
  </si>
  <si>
    <t>Ranjan Pai, Apoorva Patni, Beenext Ventures,GrowX Ventures</t>
  </si>
  <si>
    <t>Medgenome</t>
  </si>
  <si>
    <t>HDFC Life, HDFC Asset Management</t>
  </si>
  <si>
    <t>Finova Capital</t>
  </si>
  <si>
    <t>Sequoia Capital</t>
  </si>
  <si>
    <t>Hotelogix</t>
  </si>
  <si>
    <t>Vertex Ventures, Accel Partners and Saama Capital</t>
  </si>
  <si>
    <t>Livehealth</t>
  </si>
  <si>
    <t>Ad2Pro</t>
  </si>
  <si>
    <t>Avendus Finance Pvt. Ltd</t>
  </si>
  <si>
    <t>Aegon NV</t>
  </si>
  <si>
    <t>Pepperfry</t>
  </si>
  <si>
    <t>State Street Global Advisors</t>
  </si>
  <si>
    <t>Magicpin</t>
  </si>
  <si>
    <t>Trifecta Capital</t>
  </si>
  <si>
    <t>HR Fund</t>
  </si>
  <si>
    <t>Actis, Altimeter Capital</t>
  </si>
  <si>
    <t>Stumagz</t>
  </si>
  <si>
    <t>Venkat Subramanian, Sudhakar Pennam, and other tech investors from Silicon Valley</t>
  </si>
  <si>
    <t>Matrix Partners, Bhavish Aggarwal, Ankit Bhati, Binny Bansal, Kunal Shah and Manish Patel.</t>
  </si>
  <si>
    <t>SoftBank, Tiger Global and Apoletto Managers.</t>
  </si>
  <si>
    <t>Fingerlix</t>
  </si>
  <si>
    <t>Karma Healthcare</t>
  </si>
  <si>
    <t>Udaipur</t>
  </si>
  <si>
    <t>1Crowd, Ankur Capital</t>
  </si>
  <si>
    <t>Zappfresh</t>
  </si>
  <si>
    <t>Amit Burman, SIDBI Venture Capital</t>
  </si>
  <si>
    <t>Customersucessbox</t>
  </si>
  <si>
    <t>Pi Ventures, Axilor Ventures</t>
  </si>
  <si>
    <t>One Labs</t>
  </si>
  <si>
    <t>Micromax Informatics Ltd</t>
  </si>
  <si>
    <t>Gigindia</t>
  </si>
  <si>
    <t>Jessica Wong, Hiro Mashita, Xue Manzi and Yiyun Zhang.</t>
  </si>
  <si>
    <t>Chargebee</t>
  </si>
  <si>
    <t>Insight Venture Partners, Accel Partners and Tiger Global Management.</t>
  </si>
  <si>
    <t>I2I Funding</t>
  </si>
  <si>
    <t>SucSEED Venture Partners</t>
  </si>
  <si>
    <t>Slang Labs</t>
  </si>
  <si>
    <t>Urbanpiper</t>
  </si>
  <si>
    <t>Kumar Vembu, Axilor Ventures</t>
  </si>
  <si>
    <t>Cash Suvidha</t>
  </si>
  <si>
    <t>Initia Holdings,Vipin Agarwal and others.</t>
  </si>
  <si>
    <t>Roadcast</t>
  </si>
  <si>
    <t>Smartcoin</t>
  </si>
  <si>
    <t>Accion Venture Lab, Unicorn India Ventures and ISME ACE.</t>
  </si>
  <si>
    <t>The Print</t>
  </si>
  <si>
    <t>Ratan Tata</t>
  </si>
  <si>
    <t>Amit Singhal and Unitus Seed Fund</t>
  </si>
  <si>
    <t>Fynd</t>
  </si>
  <si>
    <t>Google, Kae Capital, IIFL, Singularity Ventures, GrowX, Tracxn Labs, Venture Catalyst, Patni family office and Axis Capital.</t>
  </si>
  <si>
    <t>Big Basket</t>
  </si>
  <si>
    <t>Alibaba, Helion Venture Partners, Bessemer Venture Partners, Ascent Capital</t>
  </si>
  <si>
    <t>Omidyar Network</t>
  </si>
  <si>
    <t>Asia Institute Of Medical Science</t>
  </si>
  <si>
    <t>Collegedekho</t>
  </si>
  <si>
    <t>Man Capital LLP, Girnar Software, Others</t>
  </si>
  <si>
    <t>Foodmemories</t>
  </si>
  <si>
    <t>Bhavesh Manglani, Suraj Saharan, Darshan Upadhyay, Sanjay Notani &amp; Others</t>
  </si>
  <si>
    <t>Healthi</t>
  </si>
  <si>
    <t>Montane Ventures</t>
  </si>
  <si>
    <t>Swiggy</t>
  </si>
  <si>
    <t>Shape</t>
  </si>
  <si>
    <t>Sandeep Mathur</t>
  </si>
  <si>
    <t>Icertis</t>
  </si>
  <si>
    <t>Meritech Capital Partners</t>
  </si>
  <si>
    <t>Sistema Asia Fund</t>
  </si>
  <si>
    <t>Medtel</t>
  </si>
  <si>
    <t>British and Indian Governments</t>
  </si>
  <si>
    <t>Rupeek</t>
  </si>
  <si>
    <t>Accel Partners Sequoia Capital</t>
  </si>
  <si>
    <t>Webengage</t>
  </si>
  <si>
    <t>Social Capital</t>
  </si>
  <si>
    <t>Lendingkart</t>
  </si>
  <si>
    <t>Fullerton Financial Holdings Pte Ltd &amp; Others</t>
  </si>
  <si>
    <t>Wydr</t>
  </si>
  <si>
    <t>Bessemer Venture Partners, Stellaris Venture Partners Axis Capital, Singapore, Jungle Venture Partners</t>
  </si>
  <si>
    <t>Cashify</t>
  </si>
  <si>
    <t>Holachef</t>
  </si>
  <si>
    <t>Ashok Kumar Gajera</t>
  </si>
  <si>
    <t>Awaaz De</t>
  </si>
  <si>
    <t>Tribe Impact Capital LLP</t>
  </si>
  <si>
    <t>Imax Program</t>
  </si>
  <si>
    <t>Michael &amp; Susan Dell Foundation, LGT Impact Ventures</t>
  </si>
  <si>
    <t>Littlemore</t>
  </si>
  <si>
    <t>Kalpavriksh</t>
  </si>
  <si>
    <t>Axis Capital Partners</t>
  </si>
  <si>
    <t>Shirsa Labs</t>
  </si>
  <si>
    <t>Dewang Neralla, Mahesh Kothurkar,Atul Agarwal</t>
  </si>
  <si>
    <t>Moneyonmobile</t>
  </si>
  <si>
    <t>mobile payment platform</t>
  </si>
  <si>
    <t>S7 Group</t>
  </si>
  <si>
    <t>Petsutra</t>
  </si>
  <si>
    <t>Michael Patrick Hickey</t>
  </si>
  <si>
    <t>Infibeam</t>
  </si>
  <si>
    <t>Network 18</t>
  </si>
  <si>
    <t>Happay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</si>
  <si>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</si>
  <si>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</si>
  <si>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</si>
  <si>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</si>
  <si>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</si>
  <si>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</si>
  <si>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</si>
  <si>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</si>
  <si>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</si>
  <si>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</si>
  <si>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Blume Ventures, HealthQuad and Fireside Ventures</t>
  </si>
  <si>
    <t>Highradius</t>
  </si>
  <si>
    <t>PNC, Citi Ventures</t>
  </si>
  <si>
    <t>Avishkaar Box</t>
  </si>
  <si>
    <t>Auxano Deals</t>
  </si>
  <si>
    <t>Planys Technologies</t>
  </si>
  <si>
    <t>Kris Gopalakrishnan, Pratithi Investment Trust, MEMG Family Office, S Gopal</t>
  </si>
  <si>
    <t>Lollypop</t>
  </si>
  <si>
    <t>Dr Devi Shetty</t>
  </si>
  <si>
    <t>Trilyo</t>
  </si>
  <si>
    <t>Startup Buddy,Amit Manocha and others</t>
  </si>
  <si>
    <t>Gaana</t>
  </si>
  <si>
    <t>Tencent Holdings Ltd, Times Internet</t>
  </si>
  <si>
    <t>Credy</t>
  </si>
  <si>
    <t>Y Combinator, Khosla Ventures, Vy Capital and others</t>
  </si>
  <si>
    <t>Predible Health</t>
  </si>
  <si>
    <t>Unitus Seed Fund</t>
  </si>
  <si>
    <t>Recruit Holdings, Sequoia Capital India, Accel Partners</t>
  </si>
  <si>
    <t>Angel / Seed Funding</t>
  </si>
  <si>
    <t>Early Salary</t>
  </si>
  <si>
    <t>Eight Roads Ventures India</t>
  </si>
  <si>
    <t>Private</t>
  </si>
  <si>
    <t>Wotu</t>
  </si>
  <si>
    <t>Claris Capital, Mumbai Angels Network</t>
  </si>
  <si>
    <t>Daaki</t>
  </si>
  <si>
    <t>Rohan Agila</t>
  </si>
  <si>
    <t>Nederlandse Financierings-Maatschappij voor Ontwikkelingslanden N.V.</t>
  </si>
  <si>
    <t>Kinsane Entertainment Inc</t>
  </si>
  <si>
    <t>Tapzo</t>
  </si>
  <si>
    <t>RuNet &amp; Other</t>
  </si>
  <si>
    <t>Appario Retail Pvt Ltd.</t>
  </si>
  <si>
    <t>Amazon-Patni JV</t>
  </si>
  <si>
    <t>Samunnati</t>
  </si>
  <si>
    <t>responsAbility, Elevar Equity and Accel Partners</t>
  </si>
  <si>
    <t>Sahajanand Medical Technologies</t>
  </si>
  <si>
    <t>Surat</t>
  </si>
  <si>
    <t>Morgan Stanley Private Equity Asia</t>
  </si>
  <si>
    <t>Kuants</t>
  </si>
  <si>
    <t>Pankaj Chopra, Ankush Gupta</t>
  </si>
  <si>
    <t>Razorpay</t>
  </si>
  <si>
    <t>Tiger Global, Y Combinator</t>
  </si>
  <si>
    <t>Streak</t>
  </si>
  <si>
    <t>Indian FinTech fund, Rainmatter</t>
  </si>
  <si>
    <t>Newgen Software</t>
  </si>
  <si>
    <t>Goldman Sachs, hedge fund &amp; Others</t>
  </si>
  <si>
    <t>Rubix</t>
  </si>
  <si>
    <t>Polaris Fund</t>
  </si>
  <si>
    <t>Sharechat</t>
  </si>
  <si>
    <t>Xiaomi Singapore, Shunwei Capital</t>
  </si>
  <si>
    <t>Paperflite</t>
  </si>
  <si>
    <t>The Chennai Angels</t>
  </si>
  <si>
    <t>Lionrock Capital</t>
  </si>
  <si>
    <t>Skillate</t>
  </si>
  <si>
    <t>Incubate Fund India, Anuj Agrawal</t>
  </si>
  <si>
    <t>Optacredit</t>
  </si>
  <si>
    <t>DMI Finance</t>
  </si>
  <si>
    <t>Aeon Learning</t>
  </si>
  <si>
    <t>Dr. Ranjan Pai</t>
  </si>
  <si>
    <t>Unilever Ventures</t>
  </si>
  <si>
    <t>Neogrowth Credit</t>
  </si>
  <si>
    <t>LeapFrog Investments, Aspada Investment, Quona Capital</t>
  </si>
  <si>
    <t>Rao Iit Academy</t>
  </si>
  <si>
    <t>Avendus Finance</t>
  </si>
  <si>
    <t>Structured Debt</t>
  </si>
  <si>
    <t>IFMR Capital</t>
  </si>
  <si>
    <t>Term Loan</t>
  </si>
  <si>
    <t>Glassic</t>
  </si>
  <si>
    <t>Chennai Angels, Lead Angels, LetsVenture</t>
  </si>
  <si>
    <t>Greyatom</t>
  </si>
  <si>
    <t>Pravega Ventures</t>
  </si>
  <si>
    <t>Axio</t>
  </si>
  <si>
    <t>RNT Capital</t>
  </si>
  <si>
    <t>Ekincare</t>
  </si>
  <si>
    <t>Ventureast, Endiya Partners, Eight Roads Ventures, Touchstone Equities, BVR Mohan Reddy</t>
  </si>
  <si>
    <t>The Wedding Brigade</t>
  </si>
  <si>
    <t>Peesafe</t>
  </si>
  <si>
    <t>Shivani Singh, Rahul Maroli, Mitesh Shah, Venture Catalysts, Alfa Capital, Green Shots Capital, Real Time Ventures.</t>
  </si>
  <si>
    <t>Browserstack</t>
  </si>
  <si>
    <t>Accel Partners</t>
  </si>
  <si>
    <t>Scapic</t>
  </si>
  <si>
    <t>Axilor Ventures, Newfort Capital</t>
  </si>
  <si>
    <t>Undisclosed Investors</t>
  </si>
  <si>
    <t>Curefit</t>
  </si>
  <si>
    <t>HDFC Bank, Axis Bank</t>
  </si>
  <si>
    <t>Inurture</t>
  </si>
  <si>
    <t>Strata Enviro</t>
  </si>
  <si>
    <t>Scale Minds</t>
  </si>
  <si>
    <t>Google</t>
  </si>
  <si>
    <t>Tata Housing</t>
  </si>
  <si>
    <t>Hines</t>
  </si>
  <si>
    <t>Handytrain</t>
  </si>
  <si>
    <t>Goa</t>
  </si>
  <si>
    <t>NB Ventures</t>
  </si>
  <si>
    <t>Mobycy</t>
  </si>
  <si>
    <t>Greenlight Planet</t>
  </si>
  <si>
    <t>Apis Partner, Eight Roads Ventures, Bamboo Capital Partners</t>
  </si>
  <si>
    <t>Fintobox</t>
  </si>
  <si>
    <t>Mswipe</t>
  </si>
  <si>
    <t>Eduardo Saverin</t>
  </si>
  <si>
    <t>The Label Life</t>
  </si>
  <si>
    <t>Cygnus Hospitals</t>
  </si>
  <si>
    <t>Somerset Indus Capital Ventures</t>
  </si>
  <si>
    <t>IDG Ventures</t>
  </si>
  <si>
    <t>Inshorts</t>
  </si>
  <si>
    <t>Vahdam Tea</t>
  </si>
  <si>
    <t>Singapore Angel Network, Mumbai Angel</t>
  </si>
  <si>
    <t>Logic Roots</t>
  </si>
  <si>
    <t>Village Capital</t>
  </si>
  <si>
    <t>Project Mudra</t>
  </si>
  <si>
    <t>Furlenco</t>
  </si>
  <si>
    <t>Aamir Khan</t>
  </si>
  <si>
    <t>I Can Stay</t>
  </si>
  <si>
    <t>HT Media</t>
  </si>
  <si>
    <t>Fracktal Works</t>
  </si>
  <si>
    <t>Hyderabad Angels</t>
  </si>
  <si>
    <t>Simility</t>
  </si>
  <si>
    <t>Shopholix</t>
  </si>
  <si>
    <t>Munesh Khanna</t>
  </si>
  <si>
    <t>Mindtickle</t>
  </si>
  <si>
    <t>Canaan Partners</t>
  </si>
  <si>
    <t>Nazara Technologies</t>
  </si>
  <si>
    <t>Rakesh Jhunjhunwala</t>
  </si>
  <si>
    <t>Docsapp</t>
  </si>
  <si>
    <t>Bessemer Venture Partners</t>
  </si>
  <si>
    <t>Capita World</t>
  </si>
  <si>
    <t>Mohan Tanksale, Kiran Shetty, Darshak Shah, Mandar Mhatre</t>
  </si>
  <si>
    <t>Tea Box</t>
  </si>
  <si>
    <t>Transversal Technologies</t>
  </si>
  <si>
    <t>Curofy</t>
  </si>
  <si>
    <t>RoundGlass Partners LLC</t>
  </si>
  <si>
    <t>Accel Partners Sequoia Capital, RB Investments</t>
  </si>
  <si>
    <t>Wedosky</t>
  </si>
  <si>
    <t>Purplle</t>
  </si>
  <si>
    <t>Mountain Pain Capital, Suncoast Investments</t>
  </si>
  <si>
    <t>Sky Met Weather</t>
  </si>
  <si>
    <t>InsuResillience Investment Fund</t>
  </si>
  <si>
    <t>Springboard</t>
  </si>
  <si>
    <t>Costanoa, Learn Capital, Jyoti Bansal</t>
  </si>
  <si>
    <t>Peel Works</t>
  </si>
  <si>
    <t>9Stacks</t>
  </si>
  <si>
    <t>Swati Gupta, Purnima Khandelwal, Maheshwar Peri, Sanjay Singh</t>
  </si>
  <si>
    <t>Your Quote</t>
  </si>
  <si>
    <t>Axilor Ventures, E-City VEntures Atul Goel</t>
  </si>
  <si>
    <t>Spandana Sphoorty</t>
  </si>
  <si>
    <t>Easyecom</t>
  </si>
  <si>
    <t>Ambarish Gupta, Aneesh Reddy, Bold Ventures, Vona Investments</t>
  </si>
  <si>
    <t>Igp</t>
  </si>
  <si>
    <t>Uttar Pradesh</t>
  </si>
  <si>
    <t>Specsmakers</t>
  </si>
  <si>
    <t>Garage On Road</t>
  </si>
  <si>
    <t>Gaurav Gupta</t>
  </si>
  <si>
    <t>Foyr</t>
  </si>
  <si>
    <t>Jones Lang LaSalle</t>
  </si>
  <si>
    <t>Prest Loans</t>
  </si>
  <si>
    <t>Manish Poddar, Arun Garg, Parmeshwar Sharma</t>
  </si>
  <si>
    <t>Aadharapi</t>
  </si>
  <si>
    <t>CIO Angel Network</t>
  </si>
  <si>
    <t>Freshboxx</t>
  </si>
  <si>
    <t>Jayant Humbarwadi</t>
  </si>
  <si>
    <t>Vagupu</t>
  </si>
  <si>
    <t>Halaplay</t>
  </si>
  <si>
    <t>Kae Capital Management, Nazara Technologies</t>
  </si>
  <si>
    <t>Kalpnik Technologies</t>
  </si>
  <si>
    <t>Hevo Data</t>
  </si>
  <si>
    <t>IDG Ventures India</t>
  </si>
  <si>
    <t>Smart Karma</t>
  </si>
  <si>
    <t>Leverage Edu</t>
  </si>
  <si>
    <t>Alok Mittal, Deepak Jain, Ritesh Malik, Jim Schimdktke</t>
  </si>
  <si>
    <t>Crayon Data</t>
  </si>
  <si>
    <t>Infosys co-founder Kris Gopalakrishnan</t>
  </si>
  <si>
    <t>Doctalk</t>
  </si>
  <si>
    <t>Matrix Partners India, Khosla Ventures</t>
  </si>
  <si>
    <t>Coveiot</t>
  </si>
  <si>
    <t>Talentedge</t>
  </si>
  <si>
    <t>Lumis Partners</t>
  </si>
  <si>
    <t>Fisdom</t>
  </si>
  <si>
    <t>Quona Capital Management</t>
  </si>
  <si>
    <t>Farmlink</t>
  </si>
  <si>
    <t>Pioneering Ventures, Syngenta AG</t>
  </si>
  <si>
    <t>Openapp</t>
  </si>
  <si>
    <t>Axilor Ventures, Kumar Vembu</t>
  </si>
  <si>
    <t>Nopaperforms</t>
  </si>
  <si>
    <t>Info Edge</t>
  </si>
  <si>
    <t>Tilite Technologies Pvt. Ltd</t>
  </si>
  <si>
    <t>Mobiliz Ar</t>
  </si>
  <si>
    <t>IDG Ventures, IDFC-Parampara Fund</t>
  </si>
  <si>
    <t>Qubole</t>
  </si>
  <si>
    <t>Singtel, Innov8, Harmony Partners</t>
  </si>
  <si>
    <t>Happily Unmarried</t>
  </si>
  <si>
    <t>Nw Delhi</t>
  </si>
  <si>
    <t>Wipro Consumer Care</t>
  </si>
  <si>
    <t>Universal Sportsbiz Pvt. Ltd</t>
  </si>
  <si>
    <t>Hungry Foal</t>
  </si>
  <si>
    <t>GAIL India Ltd</t>
  </si>
  <si>
    <t>Active Ai</t>
  </si>
  <si>
    <t>Sumeru</t>
  </si>
  <si>
    <t>Elderaid Wellness</t>
  </si>
  <si>
    <t>Rugmini Menon</t>
  </si>
  <si>
    <t>Angel Funding</t>
  </si>
  <si>
    <t>Omnia Information</t>
  </si>
  <si>
    <t>Josh Talks</t>
  </si>
  <si>
    <t>Girish Mathrubootham, Apurva Chamaria, Rohit Chanana</t>
  </si>
  <si>
    <t>Reniso</t>
  </si>
  <si>
    <t>Nishit Sharma, Alok Srivastava</t>
  </si>
  <si>
    <t>Kanhaiya</t>
  </si>
  <si>
    <t>Perspectico</t>
  </si>
  <si>
    <t>SSCBS Innovation, Incubation Foundation (SIIF)</t>
  </si>
  <si>
    <t>Onn Bikes</t>
  </si>
  <si>
    <t>Z Nation Lab</t>
  </si>
  <si>
    <t>Rapido</t>
  </si>
  <si>
    <t>Skycatcher Fund, Aravind Sanka</t>
  </si>
  <si>
    <t>Heckyl</t>
  </si>
  <si>
    <t>Notion Capital, IDG Ventures</t>
  </si>
  <si>
    <t>Nuvepro</t>
  </si>
  <si>
    <t>1Crowd</t>
  </si>
  <si>
    <t>Redbook</t>
  </si>
  <si>
    <t>Vida Ventures, Dr. Aniruddha Malpani</t>
  </si>
  <si>
    <t>Portea</t>
  </si>
  <si>
    <t>Sabre Partners, MEMG CDC</t>
  </si>
  <si>
    <t>Credit Mate</t>
  </si>
  <si>
    <t>Epiq Capital</t>
  </si>
  <si>
    <t>Global Institutional Investors</t>
  </si>
  <si>
    <t>Mistay</t>
  </si>
  <si>
    <t>Axilor Ventures</t>
  </si>
  <si>
    <t>Wittyfeed</t>
  </si>
  <si>
    <t>Sandeep Aggarwal</t>
  </si>
  <si>
    <t>Idg Ventures</t>
  </si>
  <si>
    <t>Uniliver Ventures</t>
  </si>
  <si>
    <t>Tempgo</t>
  </si>
  <si>
    <t>Javelin StartupO Victory Fund</t>
  </si>
  <si>
    <t>Edelweiss</t>
  </si>
  <si>
    <t>Era</t>
  </si>
  <si>
    <t>Amit Patni</t>
  </si>
  <si>
    <t>Smaaash</t>
  </si>
  <si>
    <t>Chumbak</t>
  </si>
  <si>
    <t>Gaja Capital</t>
  </si>
  <si>
    <t>Fr8</t>
  </si>
  <si>
    <t>Mobiefit</t>
  </si>
  <si>
    <t>NB Ventures, MediAssist</t>
  </si>
  <si>
    <t>Stanza Living</t>
  </si>
  <si>
    <t>Matrix PArtners, Accel</t>
  </si>
  <si>
    <t>Chqbook</t>
  </si>
  <si>
    <t>Startup Buddy, Apurva Chamaria,Sachin Arora, Bharat Gupta, Amit Manocha</t>
  </si>
  <si>
    <t>Homecapital</t>
  </si>
  <si>
    <t>Tencent, Softbank Group</t>
  </si>
  <si>
    <t>Elanic</t>
  </si>
  <si>
    <t>Digital Garage</t>
  </si>
  <si>
    <t>Collpoll</t>
  </si>
  <si>
    <t>Sprout Angels</t>
  </si>
  <si>
    <t>Little Black Book</t>
  </si>
  <si>
    <t>Blume Ventures, IDG Ventures &amp; Indian Angel Network</t>
  </si>
  <si>
    <t>Oorjan</t>
  </si>
  <si>
    <t>rooftop solar platform</t>
  </si>
  <si>
    <t>Globevestor</t>
  </si>
  <si>
    <t>Zefo</t>
  </si>
  <si>
    <t>Sequoia India, Helion Venture Partners, Beenext</t>
  </si>
  <si>
    <t>Yaantra</t>
  </si>
  <si>
    <t>Carpediem Capital</t>
  </si>
  <si>
    <t>Farm Taaza</t>
  </si>
  <si>
    <t>Epsilon Venture Partners, Tara India Fund IV and others</t>
  </si>
  <si>
    <t>Drivezy</t>
  </si>
  <si>
    <t>Das Capital, Axan Partners, Das Capital and IT Farm</t>
  </si>
  <si>
    <t>Slice Pay</t>
  </si>
  <si>
    <t>Das Capital, Simile Ventures</t>
  </si>
  <si>
    <t>Agrowave</t>
  </si>
  <si>
    <t>Daffodil Software</t>
  </si>
  <si>
    <t>Mygubbi</t>
  </si>
  <si>
    <t>Firoze Irani, Vipul Parekh, Ananda Kallugadde, Rajesh K Murthy</t>
  </si>
  <si>
    <t>Ibsfintech</t>
  </si>
  <si>
    <t>Shailesh Haribhakti</t>
  </si>
  <si>
    <t>Letsservice</t>
  </si>
  <si>
    <t>Aequs Group</t>
  </si>
  <si>
    <t>Onestepup</t>
  </si>
  <si>
    <t>Orient BlackSwan</t>
  </si>
  <si>
    <t>Thirdwatch</t>
  </si>
  <si>
    <t>Rahul Agarwalla, Keshav Sanghi, Batlivala &amp; Karani Securities</t>
  </si>
  <si>
    <t>Parallel Dots</t>
  </si>
  <si>
    <t>Multipoint Capital,</t>
  </si>
  <si>
    <t>Easy Diner</t>
  </si>
  <si>
    <t>online restaurant reservation platform</t>
  </si>
  <si>
    <t>Saama Capital and DSG Consumer Partners</t>
  </si>
  <si>
    <t>SAIF Partners, YCombinator, Venture Highway</t>
  </si>
  <si>
    <t>Stanplus</t>
  </si>
  <si>
    <t>Kstart Capital</t>
  </si>
  <si>
    <t>Uclid</t>
  </si>
  <si>
    <t>Wellington Management, DG Ventures India, True North</t>
  </si>
  <si>
    <t>Gapoon</t>
  </si>
  <si>
    <t>home maintenance services platform</t>
  </si>
  <si>
    <t>Vida Ventures, Snehal Mantri, Anshu Bahadur</t>
  </si>
  <si>
    <t>Chaayos</t>
  </si>
  <si>
    <t>Xiaomi Technologies, Shunwei Capital</t>
  </si>
  <si>
    <t>Renew Buy</t>
  </si>
  <si>
    <t>Amicus Capital</t>
  </si>
  <si>
    <t>Accel Partners Zephyr Peacock</t>
  </si>
  <si>
    <t>Bank Bazaar</t>
  </si>
  <si>
    <t>Experian</t>
  </si>
  <si>
    <t>Hasura</t>
  </si>
  <si>
    <t>Nexus, GREE Ventures</t>
  </si>
  <si>
    <t>Lenden Club</t>
  </si>
  <si>
    <t>SAIF Partners, Helion Ventures, FIL Capital Management</t>
  </si>
  <si>
    <t>Raw Pressery</t>
  </si>
  <si>
    <t>DSG Consumer Partners, Sequoia Capital, Saama Capital</t>
  </si>
  <si>
    <t>Cashe</t>
  </si>
  <si>
    <t>app-only lending platform</t>
  </si>
  <si>
    <t>Park Easy</t>
  </si>
  <si>
    <t>Rockstart Accelerator</t>
  </si>
  <si>
    <t>Tagbox</t>
  </si>
  <si>
    <t>Indian Angel network, IAN Fund</t>
  </si>
  <si>
    <t>Fyre</t>
  </si>
  <si>
    <t>Ziploan</t>
  </si>
  <si>
    <t>Matrix Partners India, WaterBridge Ventures, Whiteboard Capital, Sarbvir Singh</t>
  </si>
  <si>
    <t>Skillenza</t>
  </si>
  <si>
    <t>Blume Ventures, Indian Angel Network</t>
  </si>
  <si>
    <t>Chevon</t>
  </si>
  <si>
    <t>Greenfield Advisory</t>
  </si>
  <si>
    <t>Propstory</t>
  </si>
  <si>
    <t>Abhishek Bhatewara, Vivek Shah, Haitong Securities, Suraj Saharan, Paras Arora</t>
  </si>
  <si>
    <t>Spotdraft</t>
  </si>
  <si>
    <t>Hunch Ventures, Spiral Ventures, 500 Startups, Singapore Angel Network, Citrus Payments</t>
  </si>
  <si>
    <t>Helion Ventures Partners</t>
  </si>
  <si>
    <t>Kotak Mahindra Bank</t>
  </si>
  <si>
    <t>Olly Credit</t>
  </si>
  <si>
    <t>Incubate Fund, Sandesh Kirkire, Anand Kumar, Yogesh Chaudhary</t>
  </si>
  <si>
    <t>Cashfree</t>
  </si>
  <si>
    <t>ANI Technologies Pvt. Ltd</t>
  </si>
  <si>
    <t>Goldfarm</t>
  </si>
  <si>
    <t>Mahindra &amp; Mahindra and Infuse Ventures</t>
  </si>
  <si>
    <t>TannCam Investment &amp; Sistema Asia Fund</t>
  </si>
  <si>
    <t>Mse</t>
  </si>
  <si>
    <t>IL&amp;FS, Trust Capital, Rosy Blue Securities, Radhakrishan Damani and Rakesh Jhunjhunwala</t>
  </si>
  <si>
    <t>Aahaa Stores</t>
  </si>
  <si>
    <t>YourNest Angel Fund</t>
  </si>
  <si>
    <t>Stellaris Venture Partners Mayur Abhaya, Rohit MA</t>
  </si>
  <si>
    <t>Canvera</t>
  </si>
  <si>
    <t>Primaryio</t>
  </si>
  <si>
    <t>Accel Partners Exfinity Ventures, Partech Ventures</t>
  </si>
  <si>
    <t>online lending platform</t>
  </si>
  <si>
    <t>SRI Capital, BeeNext, Pravega Ventures</t>
  </si>
  <si>
    <t>Nest Education</t>
  </si>
  <si>
    <t>Michael and Susan Dell Foundation, Anand Mahindra</t>
  </si>
  <si>
    <t>Lending Kart</t>
  </si>
  <si>
    <t>Bertelsmann India, Mayfield Capital, Saama Capital, Darrin Capital</t>
  </si>
  <si>
    <t>Gofro</t>
  </si>
  <si>
    <t>HIS Co. Ltd, MakeMyTrip</t>
  </si>
  <si>
    <t>Oncostem</t>
  </si>
  <si>
    <t>Sequoia Capital India, Artiman Ventures</t>
  </si>
  <si>
    <t>Power2Sme</t>
  </si>
  <si>
    <t>International Finance Corporation (IFC), Inventus Capital Partners, Accel Partners Kalaari Capital, and Nandan Nilekani,</t>
  </si>
  <si>
    <t>Credit Vidya</t>
  </si>
  <si>
    <t>Tails Life</t>
  </si>
  <si>
    <t>V Balakrishnan.</t>
  </si>
  <si>
    <t>SoftBank Group, Sequoia Capital India, Lightspeed Venture Partners, Greenoaks Capital, Hero Enterprise</t>
  </si>
  <si>
    <t>online babycare products marketplace</t>
  </si>
  <si>
    <t>Seniority</t>
  </si>
  <si>
    <t>RPG Enterprises</t>
  </si>
  <si>
    <t>Triodos Investment Management,</t>
  </si>
  <si>
    <t>Farmizen</t>
  </si>
  <si>
    <t>Venture Highway, Alok Mittal, Mohit Agarwal, Anuj Gupta,</t>
  </si>
  <si>
    <t>Ecom Express</t>
  </si>
  <si>
    <t>Warburg Pincus</t>
  </si>
  <si>
    <t>Call Health</t>
  </si>
  <si>
    <t>Sachin Tendulkar, P.V SIndhu, Pullela Gopichand</t>
  </si>
  <si>
    <t>Sattviko</t>
  </si>
  <si>
    <t>Raman Roy, Arvind Uppal, Sonu Bhasin, G Ravishankar</t>
  </si>
  <si>
    <t>Tonbo Imaging</t>
  </si>
  <si>
    <t>WRV Capital, Qualcomm Ventures, Edelweiss Private Equity, Artiman Ventures</t>
  </si>
  <si>
    <t>Get My Parking</t>
  </si>
  <si>
    <t>IAN Fund, Beenext, Indian Angel Network</t>
  </si>
  <si>
    <t>Anand Chandrasekaran, Apurva Chamaria, Ritesh Malik, Ashish Toshniwal, Ajeet Khurana</t>
  </si>
  <si>
    <t>women focussed customer-to-customer reseller network</t>
  </si>
  <si>
    <t>udget hotel marketplace</t>
  </si>
  <si>
    <t>China Lodging Group</t>
  </si>
  <si>
    <t>Sequoia Capital India, SAIF Partners, Nexus Venture Partners and Blume Ventures,</t>
  </si>
  <si>
    <t>Heterogenous</t>
  </si>
  <si>
    <t>Chennai Angels, Keiretsu Forum &amp; Others</t>
  </si>
  <si>
    <t>Gurukul</t>
  </si>
  <si>
    <t>co-working space provider</t>
  </si>
  <si>
    <t>Rohit Nanda, Rajit Nanda, Smarak Bhuyan, Sashwat Brahma,</t>
  </si>
  <si>
    <t>ECL Finance</t>
  </si>
  <si>
    <t>Wheelstreet</t>
  </si>
  <si>
    <t>Xprep</t>
  </si>
  <si>
    <t>Rising Stars, Manish Amin, Pallav Pandey, Chavi Jafa</t>
  </si>
  <si>
    <t>The Moms Co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</si>
  <si>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</si>
  <si>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</si>
  <si>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</si>
  <si>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</si>
  <si>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</si>
  <si>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Susquehanna Growth Equity LLC</t>
  </si>
  <si>
    <t>Hwell24 Plus</t>
  </si>
  <si>
    <t>Savebc</t>
  </si>
  <si>
    <t>financial services firm</t>
  </si>
  <si>
    <t>Gaya</t>
  </si>
  <si>
    <t>Incofin Investment Management.</t>
  </si>
  <si>
    <t>Gaming Monk</t>
  </si>
  <si>
    <t>AdvantEdge</t>
  </si>
  <si>
    <t>91Springboard</t>
  </si>
  <si>
    <t>Sandway Investment Ltd, Pearl Brook Holdings, Silo Holdings and Al Nour</t>
  </si>
  <si>
    <t>Homergize</t>
  </si>
  <si>
    <t>LG Chandrasekhar</t>
  </si>
  <si>
    <t>Yatra</t>
  </si>
  <si>
    <t>Innoven Capital India</t>
  </si>
  <si>
    <t>Ace Turtle</t>
  </si>
  <si>
    <t>Vogo</t>
  </si>
  <si>
    <t>AV Thomas Group</t>
  </si>
  <si>
    <t>Synup</t>
  </si>
  <si>
    <t>Vertex Ventures, Prime Venture Partners.</t>
  </si>
  <si>
    <t>Tinmen</t>
  </si>
  <si>
    <t>Zomato Media Pvt. Ltd</t>
  </si>
  <si>
    <t>Cropin</t>
  </si>
  <si>
    <t>Beenext</t>
  </si>
  <si>
    <t>Battery Road Digital Holdings LLC</t>
  </si>
  <si>
    <t>Sportobuddy</t>
  </si>
  <si>
    <t>Mehul Shah</t>
  </si>
  <si>
    <t>Credifiable</t>
  </si>
  <si>
    <t>Kae Capital</t>
  </si>
  <si>
    <t>Inclov</t>
  </si>
  <si>
    <t>Rajan Anandan, Jamil Khatri, Ravi Iyer, Raghav Bahl</t>
  </si>
  <si>
    <t>Multibhashi</t>
  </si>
  <si>
    <t>Aniruddha Malpani, Startup Oasis</t>
  </si>
  <si>
    <t>Transerve</t>
  </si>
  <si>
    <t>IL&amp;FS Investment Managers, Omidyar Network.</t>
  </si>
  <si>
    <t>Fashalot</t>
  </si>
  <si>
    <t>Capillary Technologies, Whiteboard Capital, YourNest Angel Fund, Rajul Garg</t>
  </si>
  <si>
    <t>Pitstop</t>
  </si>
  <si>
    <t>Blume Ventures, Goldbell Group, Anurag Srivastava, Shailesh Rao, Amiya Pathak, Rajesh Yohanan and Rahul Garg</t>
  </si>
  <si>
    <t>Gochoppers</t>
  </si>
  <si>
    <t>Rivergate Capital,</t>
  </si>
  <si>
    <t>Aadyah</t>
  </si>
  <si>
    <t>Keiretsu Forum</t>
  </si>
  <si>
    <t>Touchkin</t>
  </si>
  <si>
    <t>Ethinos</t>
  </si>
  <si>
    <t>Triton Investment Advisors</t>
  </si>
  <si>
    <t>Kashyap Deorah, Anand Sankeshwar, Deepak Jain, Sadashiva NT, Arjun Mehta, Satish Kaul, Anindya Ghose</t>
  </si>
  <si>
    <t>Zepo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</si>
  <si>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</si>
  <si>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</si>
  <si>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</si>
  <si>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</si>
  <si>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</si>
  <si>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Cismat Cargo Services Pvt. Ltd.</t>
  </si>
  <si>
    <t>Skill Connect</t>
  </si>
  <si>
    <t>Rajasthan Angel Investor Network</t>
  </si>
  <si>
    <t>Chai Point</t>
  </si>
  <si>
    <t>DSG Consumer Partners, Eight Roads Ventures India</t>
  </si>
  <si>
    <t>SIDBI</t>
  </si>
  <si>
    <t>Lime Tray</t>
  </si>
  <si>
    <t>JSW Ventures</t>
  </si>
  <si>
    <t>Coutloot</t>
  </si>
  <si>
    <t>Anuj Puri, Redcliffe Capital, Artha India Ventures, Siddharth Kothari, Apoorv Ranjan Sharma,</t>
  </si>
  <si>
    <t>Box My Space</t>
  </si>
  <si>
    <t>R. Jayakumar, Vaibhav Vohra, Aditya Vazirani, Rhea Vazirani, AVN Business Solutions, Dreamweaver Investments</t>
  </si>
  <si>
    <t>Curatio</t>
  </si>
  <si>
    <t>New Castle Technologies</t>
  </si>
  <si>
    <t>My Forex Eye</t>
  </si>
  <si>
    <t>foreign exchange services</t>
  </si>
  <si>
    <t>Rahul Dev Kumar, Rajesh Mahajan, Ankit Sharma and others</t>
  </si>
  <si>
    <t>Truxapp</t>
  </si>
  <si>
    <t>Venugopal Dhoot, Ajay Bhatia, Tarun Khandelwal, Ganpat Singhvi, Mandhian family &amp; Others</t>
  </si>
  <si>
    <t>Crofarm</t>
  </si>
  <si>
    <t>Factor[e] Ventures</t>
  </si>
  <si>
    <t>Doodhwala</t>
  </si>
  <si>
    <t>Tom Varkey</t>
  </si>
  <si>
    <t>Stayabode</t>
  </si>
  <si>
    <t>Incubate Fund, Sanjay Shenoy, Mridul Upreti,</t>
  </si>
  <si>
    <t>Softbank</t>
  </si>
  <si>
    <t>Moong Labs</t>
  </si>
  <si>
    <t>Nazara Games</t>
  </si>
  <si>
    <t>Tekne Capital Management</t>
  </si>
  <si>
    <t>Sports Flashes</t>
  </si>
  <si>
    <t>Digilend</t>
  </si>
  <si>
    <t>InCred Finance, Fullerton India Credit Company Ltd</t>
  </si>
  <si>
    <t>Knab Finance</t>
  </si>
  <si>
    <t>InCred, Krishnakumar Natarajan, Ravi Bhardwaj</t>
  </si>
  <si>
    <t>Get Simpl</t>
  </si>
  <si>
    <t>Green Visor Capital LP II, IA Venture Strategies Fund II LP, Boillot Family Trust, Russell M Byrne, The Oliver R. Grace, Jr. Millennium Trust, SF Capital Investments LP</t>
  </si>
  <si>
    <t>Rootefy</t>
  </si>
  <si>
    <t>Abhinav Gupta,</t>
  </si>
  <si>
    <t>speech recognition startup</t>
  </si>
  <si>
    <t>Cerebroz</t>
  </si>
  <si>
    <t>Vadodara</t>
  </si>
  <si>
    <t>Flochat</t>
  </si>
  <si>
    <t>instant messaging platform</t>
  </si>
  <si>
    <t>iSquare Global,</t>
  </si>
  <si>
    <t>Easygov</t>
  </si>
  <si>
    <t>Social Alpha, Rajan Anandan, Rajeev Ahuja, Kshitij Arora</t>
  </si>
  <si>
    <t>Blume Ventures. Lenovo Capital and Incubator Group (LCIG)</t>
  </si>
  <si>
    <t>Dhruva</t>
  </si>
  <si>
    <t>Riverwood Capital, Sequoia Capital India, Nexus Venture Partners, Tenaya Capital</t>
  </si>
  <si>
    <t>Bombay Shaving Company</t>
  </si>
  <si>
    <t>Awign</t>
  </si>
  <si>
    <t>IIT Ropar, Imanpreet Singh Arora, Sidharth Rozario, Saurabh Abichandani, Shikhar Gupta,</t>
  </si>
  <si>
    <t>Indiez</t>
  </si>
  <si>
    <t>Haresh Chawla</t>
  </si>
  <si>
    <t>Ezetap</t>
  </si>
  <si>
    <t>JS Capital Management, Social Capital, Horizons Ventures,</t>
  </si>
  <si>
    <t>Ink Monk</t>
  </si>
  <si>
    <t>VAMM Ventures, Raksul, Dena</t>
  </si>
  <si>
    <t>Medinfi</t>
  </si>
  <si>
    <t>PBS Srinivas, Vinod Martin,</t>
  </si>
  <si>
    <t>Mobikon</t>
  </si>
  <si>
    <t>Sistema Asia Fund, C31 Ventures, Qualgro.</t>
  </si>
  <si>
    <t>idal Health, growx ventures, Capier Investments, Globevestor &amp; others</t>
  </si>
  <si>
    <t>Fieldassist</t>
  </si>
  <si>
    <t>Small Industries Development Bank of India (SIDBI)</t>
  </si>
  <si>
    <t>Ward Ferry Management and Karst Peak Capital,</t>
  </si>
  <si>
    <t>Sequoia India, Sofina s.a., Zodius Capital, Kris Gopalakrishnan, Lakshmi Narayanan,</t>
  </si>
  <si>
    <t>Billion Loans</t>
  </si>
  <si>
    <t>Reliance Corporate Advisory Services Ltd</t>
  </si>
  <si>
    <t>Ecolibriumenergy</t>
  </si>
  <si>
    <t>Infuse Ventures, JLL</t>
  </si>
  <si>
    <t>Asset Management (Asia) Ltd, Digital Garage Inc</t>
  </si>
  <si>
    <t>Jumbotail</t>
  </si>
  <si>
    <t>online marketplace for food and grocery</t>
  </si>
  <si>
    <t>Kalaari Capital, Nexus India Capital Advisors</t>
  </si>
  <si>
    <t>International Finance Corporation, Rocketship, Accel Partners Jungle Ventures, Shailesh Rao, Venture Highway</t>
  </si>
  <si>
    <t>Timesaverz</t>
  </si>
  <si>
    <t>BCCL</t>
  </si>
  <si>
    <t>Minjar</t>
  </si>
  <si>
    <t>Blume Ventures, Contrarian Capital India Partners, Emergent Ventures India, Pallav Nadhani, Ashish Gupta, Sharad Sharma, Sirion Labs</t>
  </si>
  <si>
    <t>Mycity4Kids</t>
  </si>
  <si>
    <t>Clip App</t>
  </si>
  <si>
    <t>India Quotient, Shunwei Capital</t>
  </si>
  <si>
    <t>Upwardly</t>
  </si>
  <si>
    <t>Sreeram Iyer, Suvo Sarkar, Anita Gupta, Likemind Ventures</t>
  </si>
  <si>
    <t>Autorox</t>
  </si>
  <si>
    <t>Mitsui &amp; Co.</t>
  </si>
  <si>
    <t>Fabogo</t>
  </si>
  <si>
    <t>Dunamis Ventures Pte Ltd</t>
  </si>
  <si>
    <t>Flickstree</t>
  </si>
  <si>
    <t>Venture Catalysts, Sourav Ganguly, Ankit Aditya, Moksh Sports Ventures</t>
  </si>
  <si>
    <t>Design Cafe</t>
  </si>
  <si>
    <t>Fireside Ventures, Apurva Salarpuria, Sidharth Pansari, Sprout Capital</t>
  </si>
  <si>
    <t>Innoviti</t>
  </si>
  <si>
    <t>SBI-FMO Fund, Bessemer Venture Partners, Catamaran Ventures</t>
  </si>
  <si>
    <t>Vdeliver</t>
  </si>
  <si>
    <t>Corvus Ventures, MAPE Advisory Group</t>
  </si>
  <si>
    <t>Bottr.Me</t>
  </si>
  <si>
    <t>500 Startups, Purvi Capital, Rajan Anandan, Abhishek Gupta</t>
  </si>
  <si>
    <t>Arcatron</t>
  </si>
  <si>
    <t>Indian Angel Network</t>
  </si>
  <si>
    <t>Qwikspec</t>
  </si>
  <si>
    <t>Brigade Innovations LLP, TV Mohandas Pai, Suhail Rahman, Bobby Reddy, M George Oommen</t>
  </si>
  <si>
    <t>Blacksoil Capital Pvt. Ltd</t>
  </si>
  <si>
    <t>Sequoia Capital, Grey Orange, Rajesh Ramaiah, Anshuman Das, Rishi Das</t>
  </si>
  <si>
    <t>Vayana</t>
  </si>
  <si>
    <t>IDG Ventures India Advisors, Jungle Ventures</t>
  </si>
  <si>
    <t>Mobiquest</t>
  </si>
  <si>
    <t>Ambee</t>
  </si>
  <si>
    <t>Uber Technologies Inc, Amaya Capital LLP</t>
  </si>
  <si>
    <t>Ideal Insurance</t>
  </si>
  <si>
    <t>Xelpmoc</t>
  </si>
  <si>
    <t>Hypernova Interactive</t>
  </si>
  <si>
    <t>Rentomojo</t>
  </si>
  <si>
    <t>ain Capital Ventures, Renaud Laplanche</t>
  </si>
  <si>
    <t>Aircto</t>
  </si>
  <si>
    <t>Francesco Cara</t>
  </si>
  <si>
    <t>Playablo</t>
  </si>
  <si>
    <t>ABI-Showatech (India) Ltd</t>
  </si>
  <si>
    <t>Trupay</t>
  </si>
  <si>
    <t>Kae Capital, M&amp;S Partners,</t>
  </si>
  <si>
    <t>Brick2Wall</t>
  </si>
  <si>
    <t>Subramani Somasundaram, Sundeep Sahni, Mayank Mittal &amp; Others</t>
  </si>
  <si>
    <t>Fablestreet</t>
  </si>
  <si>
    <t>Harmeet Bajaj, Pameela P, Fusiontech Ventures &amp; Others</t>
  </si>
  <si>
    <t>Monsoon Fintech</t>
  </si>
  <si>
    <t>Sunil Kalra, Aditya Singh, Rishi Srivastava, Rajan Anandan</t>
  </si>
  <si>
    <t>Monkeybox</t>
  </si>
  <si>
    <t>Blume Ventures, NB Ventures, Nspira</t>
  </si>
  <si>
    <t>Byju</t>
  </si>
  <si>
    <t>Tencent Holdings</t>
  </si>
  <si>
    <t>Creator Gurukul</t>
  </si>
  <si>
    <t>Yuvraj Singh</t>
  </si>
  <si>
    <t>Goldman Sachs</t>
  </si>
  <si>
    <t>Thinkerbell</t>
  </si>
  <si>
    <t>Indian Angel Network, Anand Mahindra</t>
  </si>
  <si>
    <t>HBM Healthcare Investments, Maverick Capital Ventures, Sequoia India, Omidyar Network and Kae Capital</t>
  </si>
  <si>
    <t>Jhakaas</t>
  </si>
  <si>
    <t>Amen Dhyllon</t>
  </si>
  <si>
    <t>Bigstylist</t>
  </si>
  <si>
    <t>Gympik</t>
  </si>
  <si>
    <t>online marketplace for discovering fitness centres</t>
  </si>
  <si>
    <t>RoundGlass Partners</t>
  </si>
  <si>
    <t>Tripeur</t>
  </si>
  <si>
    <t>Grace Grace Techno Ventures LLP, Rajul Garg &amp; Other Undisclosed Investors</t>
  </si>
  <si>
    <t>Rentongo</t>
  </si>
  <si>
    <t>TVS Motor Company</t>
  </si>
  <si>
    <t>Goomo</t>
  </si>
  <si>
    <t>Emerging India</t>
  </si>
  <si>
    <t>Maxmywealth</t>
  </si>
  <si>
    <t>lockchain ecosystem Global Advisors, Horseferry</t>
  </si>
  <si>
    <t>Spinny</t>
  </si>
  <si>
    <t>Blume Ventures, Indian Angel Network, Kunal Shah, Sandeep Tandon</t>
  </si>
  <si>
    <t>Healthbuds</t>
  </si>
  <si>
    <t>Arun Patodia, Bharat Kedia</t>
  </si>
  <si>
    <t>Ftcash</t>
  </si>
  <si>
    <t>500 Startups, IvyCap Ventures</t>
  </si>
  <si>
    <t>Bhive Workspace</t>
  </si>
  <si>
    <t>co-working spaces</t>
  </si>
  <si>
    <t>Wayforward</t>
  </si>
  <si>
    <t>Harsh Mahajan, Farhan Naqvi, Sreepathy Viswanathan</t>
  </si>
  <si>
    <t>Gyandhan</t>
  </si>
  <si>
    <t>Sundaram Finance Holdings</t>
  </si>
  <si>
    <t>SBI (Stand Up India Scheme)</t>
  </si>
  <si>
    <t>Growfitter</t>
  </si>
  <si>
    <t>health and fitness discovery platform</t>
  </si>
  <si>
    <t>SQue Capital</t>
  </si>
  <si>
    <t>Stratfit</t>
  </si>
  <si>
    <t>Bodhtree Consulting Limited</t>
  </si>
  <si>
    <t>Multiplier Solutions</t>
  </si>
  <si>
    <t>Norwest Venture Partners</t>
  </si>
  <si>
    <t>Abi Health</t>
  </si>
  <si>
    <t>Stockal</t>
  </si>
  <si>
    <t>Mohan Alexander, R. Natarajan, Vikrant Varshney, Amit Sinha</t>
  </si>
  <si>
    <t>Pawan Borle, Nirmal Singh, Manish Prasad, Vineet Varma, Nick Haulkoury, Abhai S. Rao</t>
  </si>
  <si>
    <t>Esahai</t>
  </si>
  <si>
    <t>ambulance aggregator and medical taxi provider</t>
  </si>
  <si>
    <t>Dr Ramesh Ayyala, Satya Muthyala</t>
  </si>
  <si>
    <t>Loanmeet</t>
  </si>
  <si>
    <t>Cao Yibin, Huang Wei, Madhusudan E,</t>
  </si>
  <si>
    <t>Yes Bank</t>
  </si>
  <si>
    <t>Boxx.Ai</t>
  </si>
  <si>
    <t>Unicorn India Ventures, Venky Krishnakumar, Suresh Shankar, Vivek Bhargava</t>
  </si>
  <si>
    <t>Venture Catalysts, Alfa Capital, Green Shots Capital, Real Time Ventures</t>
  </si>
  <si>
    <t>Vista Rooms</t>
  </si>
  <si>
    <t>Artha India Ventures, Singularity Holdings, Rajan Anandan, Girish Mathrubootham</t>
  </si>
  <si>
    <t>Transamerica</t>
  </si>
  <si>
    <t>Hypertrack</t>
  </si>
  <si>
    <t>Nexus Venture Partners, Founders Fund</t>
  </si>
  <si>
    <t>Goodera</t>
  </si>
  <si>
    <t>Nexus Venture Partners, Omidyar Network</t>
  </si>
  <si>
    <t>Fairfax Holdings</t>
  </si>
  <si>
    <t>Ola</t>
  </si>
  <si>
    <t>Tekne Capital Management LLC</t>
  </si>
  <si>
    <t>Vanitycask</t>
  </si>
  <si>
    <t>Mrneeds</t>
  </si>
  <si>
    <t>Moneytap</t>
  </si>
  <si>
    <t>Sequoia India, NEA, Prime Venture Partners</t>
  </si>
  <si>
    <t>Goodbox</t>
  </si>
  <si>
    <t>Nexus Venture Partners, Mekin Maheshwari</t>
  </si>
  <si>
    <t>Portdesk</t>
  </si>
  <si>
    <t>Alphard Maritime Group</t>
  </si>
  <si>
    <t>Edgefx</t>
  </si>
  <si>
    <t>Cross Border Angels &amp; Experts, Rajasthan Angel Innovators Network, The Chennai Angels</t>
  </si>
  <si>
    <t>YouWeCan Ventures</t>
  </si>
  <si>
    <t>Healthintel</t>
  </si>
  <si>
    <t>BLIP Initiatives</t>
  </si>
  <si>
    <t>Unbxd</t>
  </si>
  <si>
    <t>Eight Roads Ventures</t>
  </si>
  <si>
    <t>Darwinbox</t>
  </si>
  <si>
    <t>Lightspeed India Partners, Endiya Partners, 3one4 Capital Advisors LLP, Startupxseed Ventures LLP</t>
  </si>
  <si>
    <t>Forevershop</t>
  </si>
  <si>
    <t>91maker</t>
  </si>
  <si>
    <t>Insider</t>
  </si>
  <si>
    <t>IIFL Seed Ventures, Kae Capital, FJ Labs, Singularity Ventures, GrowX, Tracxn Labs, Axis Capital</t>
  </si>
  <si>
    <t>Grow Fit</t>
  </si>
  <si>
    <t>Manipal Education and Medical Group (MEMG), SAR Group, The Grover Trust</t>
  </si>
  <si>
    <t>Fabulyst</t>
  </si>
  <si>
    <t>iBhubs</t>
  </si>
  <si>
    <t>UC-RNT Fund, Matrix Partners, alcon Edge Capital, DSG Consumer Partners</t>
  </si>
  <si>
    <t>Oneassist</t>
  </si>
  <si>
    <t>Julia Computing</t>
  </si>
  <si>
    <t>General Catalyst, Founder Collective</t>
  </si>
  <si>
    <t>Endiya Partners, Ventureast</t>
  </si>
  <si>
    <t>Explore Life Traveling</t>
  </si>
  <si>
    <t>Mekin Maheshwari, Bharat Vijay, Krish Seshadri, Amar Arsikere</t>
  </si>
  <si>
    <t>Loantap</t>
  </si>
  <si>
    <t>Kae Capital, India Quotient, IFMR, and MAS Financial Services Ltd</t>
  </si>
  <si>
    <t>Voxweb</t>
  </si>
  <si>
    <t>Hug Innovations</t>
  </si>
  <si>
    <t>Mohit Srivastav, Kishore Ganji, Venkat Vallabhaneni, Rajeev Menon</t>
  </si>
  <si>
    <t>V Resorts</t>
  </si>
  <si>
    <t>Seedfund, RB International</t>
  </si>
  <si>
    <t>Stashfin</t>
  </si>
  <si>
    <t>Snow Leopard Ventures, Alto Partners</t>
  </si>
  <si>
    <t>Formcept</t>
  </si>
  <si>
    <t>Gujarat Venture Finance Ltd</t>
  </si>
  <si>
    <t>Spares Hub</t>
  </si>
  <si>
    <t>The Chennai Angels, Anthill Scale Ventures, Esvee Technologies Inc, Inc95 Consulting</t>
  </si>
  <si>
    <t>Fitraq</t>
  </si>
  <si>
    <t>Aparup Sengupta, Devendra Reddy,</t>
  </si>
  <si>
    <t>Kalaari Capital, Udayan Goyal</t>
  </si>
  <si>
    <t>Niki.Ai</t>
  </si>
  <si>
    <t>SAP.iO, Unilazer Ventures</t>
  </si>
  <si>
    <t>Fitpass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</si>
  <si>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</si>
  <si>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</si>
  <si>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</si>
  <si>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</si>
  <si>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</si>
  <si>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</si>
  <si>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</si>
  <si>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Vy Capital, SAIF Partners, Accel Partner, Bessemer Venture Partners</t>
  </si>
  <si>
    <t>Ace2Three</t>
  </si>
  <si>
    <t>Clairvest Group</t>
  </si>
  <si>
    <t>International Finance Corporation</t>
  </si>
  <si>
    <t>Innovapptive</t>
  </si>
  <si>
    <t>4Tigo</t>
  </si>
  <si>
    <t>Accel Partners Nandan Nilekani,</t>
  </si>
  <si>
    <t>Smecorner</t>
  </si>
  <si>
    <t>Dutch government fund</t>
  </si>
  <si>
    <t>Zippserve</t>
  </si>
  <si>
    <t>Asuka Holdings, YouWeCan Ventures, Beenext, Beenos, M&amp;S Partners</t>
  </si>
  <si>
    <t>Healthmir</t>
  </si>
  <si>
    <t>Nimit Panigrahi</t>
  </si>
  <si>
    <t>Uactive</t>
  </si>
  <si>
    <t>Hinduja family</t>
  </si>
  <si>
    <t>I-Lend</t>
  </si>
  <si>
    <t>50K Ventures</t>
  </si>
  <si>
    <t>Good Methods Global</t>
  </si>
  <si>
    <t>Trivandrum</t>
  </si>
  <si>
    <t>Balance App</t>
  </si>
  <si>
    <t>Rainmatter</t>
  </si>
  <si>
    <t>Yepme</t>
  </si>
  <si>
    <t>Rainbow Digital Services Pvt. Ltd, ILearnFinance Academy Pvt. Ltd.</t>
  </si>
  <si>
    <t>Nightstay</t>
  </si>
  <si>
    <t>Indian Angels Network, LetsVenture</t>
  </si>
  <si>
    <t>Devourin</t>
  </si>
  <si>
    <t>Deepak Nathani</t>
  </si>
  <si>
    <t>Mygreens</t>
  </si>
  <si>
    <t>Ajay Relan, LetsVenture</t>
  </si>
  <si>
    <t>Vertex Ventures, C31 Ventures</t>
  </si>
  <si>
    <t>Trifecta Capital Advisors LLP, Prathithi Investment Trust, RNT Capital, Gokul Rajaram, Aditya Agarwal, Ruchi Sanghvi &amp; others</t>
  </si>
  <si>
    <t>Curie Labs</t>
  </si>
  <si>
    <t>Satoshi Studios</t>
  </si>
  <si>
    <t>Uncanny Vision</t>
  </si>
  <si>
    <t>Anand Chandrasekaran</t>
  </si>
  <si>
    <t>Luxasia Group</t>
  </si>
  <si>
    <t>Sequretek</t>
  </si>
  <si>
    <t>GVFL, Unicorn India Ventures</t>
  </si>
  <si>
    <t>Lucideus</t>
  </si>
  <si>
    <t>Vidooly</t>
  </si>
  <si>
    <t>Times Internet, GVFL</t>
  </si>
  <si>
    <t>Shopclues</t>
  </si>
  <si>
    <t>Fourth Ambit</t>
  </si>
  <si>
    <t>Chymera Vr</t>
  </si>
  <si>
    <t>Varsha Rao, Surojit Chatterjee, Nirav Choksi &amp; Others</t>
  </si>
  <si>
    <t>DG Ventures India, Dewan Housing Finance Corp</t>
  </si>
  <si>
    <t>Book My Diamond</t>
  </si>
  <si>
    <t>Chirag Nikunj Sheth &amp; Others</t>
  </si>
  <si>
    <t>Ion Energy</t>
  </si>
  <si>
    <t>Aakrit Vaish, Swapan Rajdev, Sushill Jiwarajka</t>
  </si>
  <si>
    <t>Legal Raasta</t>
  </si>
  <si>
    <t>Impanix Capital</t>
  </si>
  <si>
    <t>Log 9 Materials</t>
  </si>
  <si>
    <t>GEMs</t>
  </si>
  <si>
    <t>Remit Guru</t>
  </si>
  <si>
    <t>Infibeam, CCavenue</t>
  </si>
  <si>
    <t>Aequm</t>
  </si>
  <si>
    <t>Zapty</t>
  </si>
  <si>
    <t>Ideaspring Capital</t>
  </si>
  <si>
    <t>Vernacular.Ai</t>
  </si>
  <si>
    <t>SAP</t>
  </si>
  <si>
    <t>Telr</t>
  </si>
  <si>
    <t>Innovations East</t>
  </si>
  <si>
    <t>Rocketship</t>
  </si>
  <si>
    <t>Genie</t>
  </si>
  <si>
    <t>hyperlocal delivery and logistics mobile app</t>
  </si>
  <si>
    <t>Jungle Ventures</t>
  </si>
  <si>
    <t>The Good Life</t>
  </si>
  <si>
    <t>Ayesha Takia Azmi, Abu Farhan Azmi</t>
  </si>
  <si>
    <t>Pumpkart</t>
  </si>
  <si>
    <t>Dr. Ritesh Malik</t>
  </si>
  <si>
    <t>SoftBank Group</t>
  </si>
  <si>
    <t>Ezcred</t>
  </si>
  <si>
    <t>Dheeraj Pandey, Rajesh Yohannan, Akash Garg</t>
  </si>
  <si>
    <t>Healthsutra</t>
  </si>
  <si>
    <t>Ankur Capital, Hyderabad Angels</t>
  </si>
  <si>
    <t>Gokaldas Exports Ltd</t>
  </si>
  <si>
    <t>Delhivery</t>
  </si>
  <si>
    <t>Zipgrid</t>
  </si>
  <si>
    <t>JLL, 1Crowd</t>
  </si>
  <si>
    <t>Travelspice</t>
  </si>
  <si>
    <t>Eagle10 Ventures</t>
  </si>
  <si>
    <t>Lightspeed Venture Partners, Vy Capital,</t>
  </si>
  <si>
    <t>Ratan Tata, Nandan Nilekani, Uday Kotak, Vijay Shekhar Sharma, Kiran Mazumdar-Shaw, Rajiv C Mody</t>
  </si>
  <si>
    <t>Box8</t>
  </si>
  <si>
    <t>Gennext Students</t>
  </si>
  <si>
    <t>Blue Orchard</t>
  </si>
  <si>
    <t>Whatsloan</t>
  </si>
  <si>
    <t>Cube Consumer Services</t>
  </si>
  <si>
    <t>PV Sahad, Sandeep Shroff, Rahul Gupta</t>
  </si>
  <si>
    <t>Wowflux</t>
  </si>
  <si>
    <t>Collateral Medical</t>
  </si>
  <si>
    <t>Loadshare</t>
  </si>
  <si>
    <t>Simplilend</t>
  </si>
  <si>
    <t>Supr Daily</t>
  </si>
  <si>
    <t>Soma Capital, Great Oaks Ventures, 122 West Ventures</t>
  </si>
  <si>
    <t>Nasper, Accel India, SAIF Partners, Bessemer Venture Partners, Harmony Partners, Norwest Venture Partners</t>
  </si>
  <si>
    <t>Sastasundar</t>
  </si>
  <si>
    <t>Rohto Pharmaceutical</t>
  </si>
  <si>
    <t>Lightspeed India Partners, Waterbridge Ventures</t>
  </si>
  <si>
    <t>Mathew Cyriac, Florintree Advisors,</t>
  </si>
  <si>
    <t>Eruditus</t>
  </si>
  <si>
    <t>Bertelsmann India</t>
  </si>
  <si>
    <t>Testbook</t>
  </si>
  <si>
    <t>Matrix Partners India</t>
  </si>
  <si>
    <t>Healthcare At Home</t>
  </si>
  <si>
    <t>Quadria Capital Advisors</t>
  </si>
  <si>
    <t>Tyre Express</t>
  </si>
  <si>
    <t>Rohitash Gupta</t>
  </si>
  <si>
    <t>Unicorn India Ventures &amp; Others</t>
  </si>
  <si>
    <t>Waycool</t>
  </si>
  <si>
    <t>Aspada Investments</t>
  </si>
  <si>
    <t>Perfios</t>
  </si>
  <si>
    <t>Whatfix</t>
  </si>
  <si>
    <t>Stellaris Venture Partners Helion Venture Partners, Powerhouse Ventures, Gokul Rajaram, Girish Mathrubootham, Aneesh Reddy, Vispi Daver</t>
  </si>
  <si>
    <t>Elastirun</t>
  </si>
  <si>
    <t>Kalaari Capital, Norwest Venture Partners</t>
  </si>
  <si>
    <t>Trukky</t>
  </si>
  <si>
    <t>Keyur Joshi, Pavan Bakeri</t>
  </si>
  <si>
    <t>Konsult App</t>
  </si>
  <si>
    <t>Koen Bouwers, Lomesh Agarwal, Jeroen Mensen, Pablo van den Bosch &amp; Others</t>
  </si>
  <si>
    <t>Credit Sudhaar</t>
  </si>
  <si>
    <t>Deepak Kulkarni, Sandeep Pangal</t>
  </si>
  <si>
    <t>Zephyr Peacock India</t>
  </si>
  <si>
    <t>Dataweave</t>
  </si>
  <si>
    <t>FreakOut Group, Blume Ventures, Herb Madan, WaterBridge Ventures</t>
  </si>
  <si>
    <t>Medwell Ventures</t>
  </si>
  <si>
    <t>Mahindra Partners, Eight Roads Ventures, F-Prime Capital Partners</t>
  </si>
  <si>
    <t>Mech Mocha</t>
  </si>
  <si>
    <t>Accel Partners Shunwei Capital</t>
  </si>
  <si>
    <t>YouWeCan Ventures,</t>
  </si>
  <si>
    <t>Qorqi</t>
  </si>
  <si>
    <t>Twenty Two Motors</t>
  </si>
  <si>
    <t>Ishwar Singh,Farhaan Shabbir</t>
  </si>
  <si>
    <t>Bessemer Venture Partners, Orios Venture Partners, Trifecta Capital,</t>
  </si>
  <si>
    <t>Wonderchef</t>
  </si>
  <si>
    <t>Fastfox</t>
  </si>
  <si>
    <t>Lightspeed India Partners, Blume Ventures, CyberAgent Ventures, GrowX Ventures, IMJ Investment Partners</t>
  </si>
  <si>
    <t>Omnify</t>
  </si>
  <si>
    <t>Rajan Anandan, L.D Sharma, Saurabh Arora</t>
  </si>
  <si>
    <t>Mahindra and Mahindra Financial Services</t>
  </si>
  <si>
    <t>Mergerware</t>
  </si>
  <si>
    <t>Philippe Bouchet</t>
  </si>
  <si>
    <t>Sushil Kumar, Sandeep Singh</t>
  </si>
  <si>
    <t>Clovia</t>
  </si>
  <si>
    <t>Ivycap Ventures Advisors, Singularity Ventures and Ravi Dhariwal</t>
  </si>
  <si>
    <t>Emiza</t>
  </si>
  <si>
    <t>Mayfield, Nishant Rao, Dileep Nath</t>
  </si>
  <si>
    <t>Hackerearth</t>
  </si>
  <si>
    <t>DHI Group Inc, Prime Venture Partners, Beenext, Beenos, Digital Garage, BizReach</t>
  </si>
  <si>
    <t>Squadrun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</si>
  <si>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</si>
  <si>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</si>
  <si>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</si>
  <si>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Safetykart</t>
  </si>
  <si>
    <t>Redcliffe Capital</t>
  </si>
  <si>
    <t>Weareholidays</t>
  </si>
  <si>
    <t>Urrshila Kerkar,</t>
  </si>
  <si>
    <t>SIMI Pacific Pte</t>
  </si>
  <si>
    <t>Myly</t>
  </si>
  <si>
    <t>mall Industries Development Bank of India (SIDBI)</t>
  </si>
  <si>
    <t>Credihealth</t>
  </si>
  <si>
    <t>Tolaram Inc, Mountain Pine Capital</t>
  </si>
  <si>
    <t>Navia Life Care</t>
  </si>
  <si>
    <t>Benori Ventures LLP</t>
  </si>
  <si>
    <t>Jacqueline Fernandez</t>
  </si>
  <si>
    <t>Snackible</t>
  </si>
  <si>
    <t>Nibhrant Shah, Anandbir Singh, Anirudh Sheth, Pratik Singhi, Vikram Mehta, Murali Nair</t>
  </si>
  <si>
    <t>Be U Salons</t>
  </si>
  <si>
    <t>Gaurav Kachru, Sundeep Singh Sahni, Jatin Aneja, Arun Malhotra</t>
  </si>
  <si>
    <t>Simulanis</t>
  </si>
  <si>
    <t>Innefu Security Consulting</t>
  </si>
  <si>
    <t>IndiaNivesh Venture Capital Fund</t>
  </si>
  <si>
    <t>Whodat</t>
  </si>
  <si>
    <t>Absentia Vr</t>
  </si>
  <si>
    <t>Iotrek</t>
  </si>
  <si>
    <t>SIDBI Venture Capital Ltd, Kalaari Capital</t>
  </si>
  <si>
    <t>Wooplr</t>
  </si>
  <si>
    <t>Ankit Nagori</t>
  </si>
  <si>
    <t>Video Ken</t>
  </si>
  <si>
    <t>Ravi Garikipati, Surot Chatterjee, Ashish Agrawal, LG Chandrasekhar, Sashi Reddi</t>
  </si>
  <si>
    <t>Faasos</t>
  </si>
  <si>
    <t>Ligthbox Ventures II, Lightbox Expansion Fund, Sequoia Capital India, RuNet South Asia, RB Investments</t>
  </si>
  <si>
    <t>Softbank Vision Fund, Lightspeed Venture Partners, Sequoia Capital India Advisors, Greenoaks Capital Partners</t>
  </si>
  <si>
    <t>WGG International</t>
  </si>
  <si>
    <t>Niramai</t>
  </si>
  <si>
    <t>pi Ventures, Axilor Ventures, 500 Startups, Binny Bansal</t>
  </si>
  <si>
    <t>The Office Pass</t>
  </si>
  <si>
    <t>Arun Tadanki, Aditya Verma</t>
  </si>
  <si>
    <t>Awfis</t>
  </si>
  <si>
    <t>Myra</t>
  </si>
  <si>
    <t>Times Internet,Matrix Partners</t>
  </si>
  <si>
    <t>Flytxt</t>
  </si>
  <si>
    <t>DAH Beteiligungs GmbH</t>
  </si>
  <si>
    <t>Howdy Ventures</t>
  </si>
  <si>
    <t>S. Xavier Britto</t>
  </si>
  <si>
    <t>Stalkbuylove</t>
  </si>
  <si>
    <t>Zipgo</t>
  </si>
  <si>
    <t>Orios Ventures Partners, Team Builder Ventures, Omidyar Networks</t>
  </si>
  <si>
    <t>Scootsy</t>
  </si>
  <si>
    <t>Agnus Capital, Khattar Holdings</t>
  </si>
  <si>
    <t>Autobix</t>
  </si>
  <si>
    <t>GardX International</t>
  </si>
  <si>
    <t>Eshiksha</t>
  </si>
  <si>
    <t>Cross Border Angels &amp; Experts</t>
  </si>
  <si>
    <t>Sepalika</t>
  </si>
  <si>
    <t>Mintwalk</t>
  </si>
  <si>
    <t>Poshika Financial Ecosystem</t>
  </si>
  <si>
    <t>Qriyo</t>
  </si>
  <si>
    <t>SoftBank Group Corp</t>
  </si>
  <si>
    <t>Belong</t>
  </si>
  <si>
    <t>Seenit</t>
  </si>
  <si>
    <t>Calcutta Angels Network (CAN), Augment Ventures</t>
  </si>
  <si>
    <t>Paalak</t>
  </si>
  <si>
    <t>Vishwadeep Bajaj, Harsh Kundra, Nandkumar Rane, LN Buddharaju, Anupam Tyagi</t>
  </si>
  <si>
    <t>Celes Care</t>
  </si>
  <si>
    <t>Ventureast, Endiya Partners, Eight Roads Ventures, F-Prime Capital Partners</t>
  </si>
  <si>
    <t>Karomi</t>
  </si>
  <si>
    <t>Red Carpet</t>
  </si>
  <si>
    <t>Lightspeed Venture Partners</t>
  </si>
  <si>
    <t>Kreate Konnect</t>
  </si>
  <si>
    <t>Langoor</t>
  </si>
  <si>
    <t>Creditmantri</t>
  </si>
  <si>
    <t>Quona Capital</t>
  </si>
  <si>
    <t>Lets Endorse</t>
  </si>
  <si>
    <t>Chandigarh Angels Network, Social Alpha and other unnamed angel investors</t>
  </si>
  <si>
    <t>Tydy</t>
  </si>
  <si>
    <t>Bhupen Shah, Jayesh Parekh, Sanjay Sathe</t>
  </si>
  <si>
    <t>Nactus</t>
  </si>
  <si>
    <t>Sandeep Aggarwal, Gautam Chhaochharia, R Balachandar</t>
  </si>
  <si>
    <t>Oho Shop</t>
  </si>
  <si>
    <t>Bennett, Coleman and Company Ltd</t>
  </si>
  <si>
    <t>Emojifi</t>
  </si>
  <si>
    <t>Undisclosed angel investors</t>
  </si>
  <si>
    <t>Paytm Marketplace</t>
  </si>
  <si>
    <t>Alibaba</t>
  </si>
  <si>
    <t>Igenetics</t>
  </si>
  <si>
    <t>Juno Clinic</t>
  </si>
  <si>
    <t>Atul Nishar</t>
  </si>
  <si>
    <t>Summerlabel</t>
  </si>
  <si>
    <t>Aneesh Seth, Tushar Mittal</t>
  </si>
  <si>
    <t>Pickme</t>
  </si>
  <si>
    <t>SIDBI Venture Capital Fund</t>
  </si>
  <si>
    <t>Agrostar</t>
  </si>
  <si>
    <t>Zapr</t>
  </si>
  <si>
    <t>Star India Pvt Ltd</t>
  </si>
  <si>
    <t>Data Resolve</t>
  </si>
  <si>
    <t>IDFC Parampara Early Stage Opportunities Fund</t>
  </si>
  <si>
    <t>Book Servicing</t>
  </si>
  <si>
    <t>National Science and Technology Entrepreneurship Development Board</t>
  </si>
  <si>
    <t>Blowhorn</t>
  </si>
  <si>
    <t>IDG Ventures India, Michael &amp; Susan Dell Foundation, Draper Associates, Unitus Seed Fund</t>
  </si>
  <si>
    <t>Private Sector Banks (Debt Funding)</t>
  </si>
  <si>
    <t>Pipecandy</t>
  </si>
  <si>
    <t>IDG ventures, Axilor Ventures, Emergent Ventures, Indian Angel Network</t>
  </si>
  <si>
    <t>Parentune</t>
  </si>
  <si>
    <t>Kae Capital, SEGNEL Ventures</t>
  </si>
  <si>
    <t>Appbrowzer</t>
  </si>
  <si>
    <t>Deepak Gurnani</t>
  </si>
  <si>
    <t>Magicbricks</t>
  </si>
  <si>
    <t>Times Internet Ltd</t>
  </si>
  <si>
    <t>Peebuddy</t>
  </si>
  <si>
    <t>Iorderfresh</t>
  </si>
  <si>
    <t>Singapore Angel Network</t>
  </si>
  <si>
    <t>Lavelle Networks</t>
  </si>
  <si>
    <t>Propertyshare</t>
  </si>
  <si>
    <t>Asuka, Pravega Ventures, BEENEXT</t>
  </si>
  <si>
    <t>Mydermacy</t>
  </si>
  <si>
    <t>Cyber Carrier</t>
  </si>
  <si>
    <t>Latestone</t>
  </si>
  <si>
    <t>Florintree, Mathew Cyriac, Chidambaram Palaniappan, Bharat Sheth</t>
  </si>
  <si>
    <t>Frapperz</t>
  </si>
  <si>
    <t>Mpaani</t>
  </si>
  <si>
    <t>IDG Ventures, Blume Ventures, Saha Fund,</t>
  </si>
  <si>
    <t>Shilpmis</t>
  </si>
  <si>
    <t>Puneet Gupta, Nimitt Desai &amp; Others</t>
  </si>
  <si>
    <t>GREE Ventures, Kalaari Capital and IDG Ventures India, Summit Media, Atul Goel, and Gurpreet Singh</t>
  </si>
  <si>
    <t>Fitso</t>
  </si>
  <si>
    <t>Sujeet Kumar, Bhupender Singh, Yashish Dhaiya</t>
  </si>
  <si>
    <t>Farmart</t>
  </si>
  <si>
    <t>Microsoft, eBay, Tencent Holdings</t>
  </si>
  <si>
    <t>Airpay</t>
  </si>
  <si>
    <t>Kalaari Capital, Rakesh and Rajesh Jhunjhunwala</t>
  </si>
  <si>
    <t>Myglamm</t>
  </si>
  <si>
    <t>The Mons Co.</t>
  </si>
  <si>
    <t>Shripad Nadkarni, Nandu Nandkishore</t>
  </si>
  <si>
    <t>Haqdarshak</t>
  </si>
  <si>
    <t>Ravi Saxena, Sandeep Raju,</t>
  </si>
  <si>
    <t>Ixigo</t>
  </si>
  <si>
    <t>Sequoia Capital, Kinzon Capital</t>
  </si>
  <si>
    <t>Markets And Markets</t>
  </si>
  <si>
    <t>FTV Capital, Zodius Capital</t>
  </si>
  <si>
    <t>Bizom</t>
  </si>
  <si>
    <t>supply chain automation platform</t>
  </si>
  <si>
    <t>Ojas Ventures</t>
  </si>
  <si>
    <t>Babyonboard</t>
  </si>
  <si>
    <t>Mahavir Sharma, Vishal Jain, Rohit Sethi, Gaurav Luniya</t>
  </si>
  <si>
    <t>Carlyle Group, Tiger Global</t>
  </si>
  <si>
    <t>Sport Flashes</t>
  </si>
  <si>
    <t>Vikas Bajaj, Amit Kharbanda,</t>
  </si>
  <si>
    <t>Wigzo</t>
  </si>
  <si>
    <t>3one4 capital</t>
  </si>
  <si>
    <t>Donething</t>
  </si>
  <si>
    <t>Zapyle</t>
  </si>
  <si>
    <t>Ithaka</t>
  </si>
  <si>
    <t>Ankit Gupta, Puneet Motihar</t>
  </si>
  <si>
    <t>Perpule</t>
  </si>
  <si>
    <t>Verlinvest</t>
  </si>
  <si>
    <t>Mayfield India, 3one4 Capital, Sistema Asia Fund, Neoplux Technology Fund</t>
  </si>
  <si>
    <t>Vinod Martin, Hemant Kaul, Prof. Ram Kumar Kakani &amp; Others</t>
  </si>
  <si>
    <t>JSW Ventures, VenturEast</t>
  </si>
  <si>
    <t>Emflux Motors</t>
  </si>
  <si>
    <t>Meher Roy, Nikhil Arora, Meet Kanodia, Krit Sankalp, Nitish Singh, Risabh Gupta</t>
  </si>
  <si>
    <t>Klinic App</t>
  </si>
  <si>
    <t>Om Chaudhry</t>
  </si>
  <si>
    <t>Malini Patel, Stelcore Management Services, Anjani Prasad</t>
  </si>
  <si>
    <t>Oriano Solar</t>
  </si>
  <si>
    <t>Samridhi Fund</t>
  </si>
  <si>
    <t>Rooter</t>
  </si>
  <si>
    <t>Intex Technologies</t>
  </si>
  <si>
    <t>Falconbrick</t>
  </si>
  <si>
    <t>Satveer Thakral, LetsVenture, Mumbai Angels</t>
  </si>
  <si>
    <t>Clodura</t>
  </si>
  <si>
    <t>Stockroom.Io</t>
  </si>
  <si>
    <t>Satya D Sinha, Gyanendra Singh</t>
  </si>
  <si>
    <t>IFMR Capital Finance</t>
  </si>
  <si>
    <t>Imanagemyhotel</t>
  </si>
  <si>
    <t>Jaarvis Accelerator</t>
  </si>
  <si>
    <t>Inner Hour</t>
  </si>
  <si>
    <t>Batlivala &amp; Karani Securities, Venture Works</t>
  </si>
  <si>
    <t>Travel Triangle</t>
  </si>
  <si>
    <t>RB Investments, SAIF Partners, Bessemer Venture Partners</t>
  </si>
  <si>
    <t>Wandertrails</t>
  </si>
  <si>
    <t>Earlsfield Capital</t>
  </si>
  <si>
    <t>Zenatix</t>
  </si>
  <si>
    <t>pi Ventures, Blume Ventures</t>
  </si>
  <si>
    <t>Cartrade</t>
  </si>
  <si>
    <t>Temasek Holdings</t>
  </si>
  <si>
    <t>Mindyourfleet</t>
  </si>
  <si>
    <t>Japan Vyas, Tarun Adlakha</t>
  </si>
  <si>
    <t>Edurev</t>
  </si>
  <si>
    <t>Facebook FB Start programme</t>
  </si>
  <si>
    <t>Voonik</t>
  </si>
  <si>
    <t>RB Investments, Sequoia Capital</t>
  </si>
  <si>
    <t>Ganesh Natarajan</t>
  </si>
  <si>
    <t>Sistema Asia Fund, Amereus Group, Helion Ventures</t>
  </si>
  <si>
    <t>48East</t>
  </si>
  <si>
    <t>Al Dhaheri family</t>
  </si>
  <si>
    <t>Redesyn</t>
  </si>
  <si>
    <t>ThinQbate</t>
  </si>
  <si>
    <t>Accel Partners IDG Ventures, Endiya Partners, pi Ventures, VH Capital, Axilor Partners</t>
  </si>
  <si>
    <t>Flutura</t>
  </si>
  <si>
    <t>Vertex Ventures, Lumis Partners</t>
  </si>
  <si>
    <t>Wassup</t>
  </si>
  <si>
    <t>Anil Jain &amp; other HNIs</t>
  </si>
  <si>
    <t>Better Mortgage</t>
  </si>
  <si>
    <t>Kleiner Perkins, Goldman Sachs, Pine Brook</t>
  </si>
  <si>
    <t>Nurturey</t>
  </si>
  <si>
    <t>Mohit Joshi &amp; Others</t>
  </si>
  <si>
    <t>Fyle</t>
  </si>
  <si>
    <t>Gobumpr</t>
  </si>
  <si>
    <t>Mahalingam K, Girish Mathrubootham</t>
  </si>
  <si>
    <t>Ccavenue</t>
  </si>
  <si>
    <t>Connaizen</t>
  </si>
  <si>
    <t>Vikram Sud</t>
  </si>
  <si>
    <t>Vijay Shekhar Sharma, Rajan Anandan, Kunal Shah, Girish Mathrubootham, Punit Soni, Anand Chandrasekaran, Sunil Kalra, Utsav Somani, Vishal Gondal, Vikram Limaye</t>
  </si>
  <si>
    <t>PayU, Ribbit Capital, Omidyar Network</t>
  </si>
  <si>
    <t>Airzaar</t>
  </si>
  <si>
    <t>Missourie</t>
  </si>
  <si>
    <t>Quake Capital</t>
  </si>
  <si>
    <t>Truebil</t>
  </si>
  <si>
    <t>Shunwei Capital</t>
  </si>
  <si>
    <t>Yourstory</t>
  </si>
  <si>
    <t>Kalaari Capital Partners, Qualcomm, 3ONE4 Capital Advisors, UC-RNT</t>
  </si>
  <si>
    <t>Imaginate</t>
  </si>
  <si>
    <t>SRI Capital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</si>
  <si>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</si>
  <si>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</si>
  <si>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</si>
  <si>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Konglo Ventures, White Unicorn Ventures, LetsVenture</t>
  </si>
  <si>
    <t>Townscript</t>
  </si>
  <si>
    <t>BookMyShow</t>
  </si>
  <si>
    <t>Leopetra</t>
  </si>
  <si>
    <t>Facebook FBStart</t>
  </si>
  <si>
    <t>Blood N Care</t>
  </si>
  <si>
    <t>Bennett, Coleman and Co. Ltd (BCCL)</t>
  </si>
  <si>
    <t>Softbank Ventures Korea, IMM Investment</t>
  </si>
  <si>
    <t>Vebbler</t>
  </si>
  <si>
    <t>Indian Angel Network (IAN), BEENEXT, The Chennai Angels, Sunil Munjal</t>
  </si>
  <si>
    <t>Lets Reap</t>
  </si>
  <si>
    <t>Kunal Shah, Sandeep Tandon, Nitin Saluja, Gagan Goyal</t>
  </si>
  <si>
    <t>Oglas</t>
  </si>
  <si>
    <t>Pankaj Rungta, Yogesh Agarwal</t>
  </si>
  <si>
    <t>Staydobe</t>
  </si>
  <si>
    <t>Ishan Manaktala</t>
  </si>
  <si>
    <t>Chandigarh Angels, Ashish Gupta, Rohit, Ashish Chand, Sunil Singh &amp; Others</t>
  </si>
  <si>
    <t>Johari Shop</t>
  </si>
  <si>
    <t>Neostencil</t>
  </si>
  <si>
    <t>Brand Capital, Paragon Trust</t>
  </si>
  <si>
    <t>Sands Capital, IFC, Accel Partners Flipkart, Sanjiv Rangrass</t>
  </si>
  <si>
    <t>Taxsutra</t>
  </si>
  <si>
    <t>TV Mohandas Pai, V Balakrishnan, PV Srinivasan</t>
  </si>
  <si>
    <t>Tempogo</t>
  </si>
  <si>
    <t>Panaji</t>
  </si>
  <si>
    <t>K2 Capital</t>
  </si>
  <si>
    <t>Gofynd</t>
  </si>
  <si>
    <t>ecommerce</t>
  </si>
  <si>
    <t>Anand Chandrasekaran, Rajiv Mehta, Ramakant Sharma</t>
  </si>
  <si>
    <t>Vow Car Clinic</t>
  </si>
  <si>
    <t>Vishal Malik</t>
  </si>
  <si>
    <t>Learntron</t>
  </si>
  <si>
    <t>Mobident</t>
  </si>
  <si>
    <t>DanGold Investment Corp</t>
  </si>
  <si>
    <t>Yostra</t>
  </si>
  <si>
    <t>Marico Innovation Foundation (MIF), Villgro</t>
  </si>
  <si>
    <t>Leap India</t>
  </si>
  <si>
    <t>India Nivesh Growth Fund, Sixth Sense, TCI Ventures</t>
  </si>
  <si>
    <t>Freecharge</t>
  </si>
  <si>
    <t>Jasper Infotech Pvt Ltd</t>
  </si>
  <si>
    <t>Ticketnew</t>
  </si>
  <si>
    <t>Alibaba Pictures</t>
  </si>
  <si>
    <t>Intelligence Node</t>
  </si>
  <si>
    <t>BlackSoil Capital Pvt Ltd</t>
  </si>
  <si>
    <t>Securens</t>
  </si>
  <si>
    <t>e-surveillance services provider</t>
  </si>
  <si>
    <t>Mayfield India, Trifecta Capital</t>
  </si>
  <si>
    <t>Loan Frame</t>
  </si>
  <si>
    <t>Vedanta Capital, William Campbell, Toos N Daruvala</t>
  </si>
  <si>
    <t>Driveskool</t>
  </si>
  <si>
    <t>online marketplace for driving schools</t>
  </si>
  <si>
    <t>Aavya Ventures</t>
  </si>
  <si>
    <t>Vinod Martin, Evan Lim, Kanchan Ghoshal, Ram Kumar Kakani</t>
  </si>
  <si>
    <t>Ronnie Screwvala</t>
  </si>
  <si>
    <t>Instaoffice</t>
  </si>
  <si>
    <t>Zishaan Hayath, Karan Chellani, Mohit Satyan</t>
  </si>
  <si>
    <t>Hansel.Io</t>
  </si>
  <si>
    <t>IDG Ventures, Endiya Partners</t>
  </si>
  <si>
    <t>Square Yards</t>
  </si>
  <si>
    <t>Lohia Group, Andre Hoffman</t>
  </si>
  <si>
    <t>Roambee</t>
  </si>
  <si>
    <t>Deutsche Telekom Strategic Investments &amp; Others</t>
  </si>
  <si>
    <t>Paisawapas</t>
  </si>
  <si>
    <t>Vividhity Ventures</t>
  </si>
  <si>
    <t>Iservice</t>
  </si>
  <si>
    <t>Blume Ventures, Girish Mathrubootham, Aprameya Radhakrishna</t>
  </si>
  <si>
    <t>Nexus Venture Partners, Blume Ventures</t>
  </si>
  <si>
    <t>Secururax</t>
  </si>
  <si>
    <t>Axilor Ventures, Parampara Early Stage Opportunities Fund &amp; Others</t>
  </si>
  <si>
    <t>Leadburg</t>
  </si>
  <si>
    <t>Harsh V. Pant, Ratheesh Raveendran</t>
  </si>
  <si>
    <t>Zolostays</t>
  </si>
  <si>
    <t>Nexus Venture Partners, Innoven Capital</t>
  </si>
  <si>
    <t>Oi Media</t>
  </si>
  <si>
    <t>Quarizon</t>
  </si>
  <si>
    <t>Hipcouch</t>
  </si>
  <si>
    <t>Curiositi</t>
  </si>
  <si>
    <t>Menterra Social Impact Fund, Unitus Seed Fund</t>
  </si>
  <si>
    <t>Tinystep</t>
  </si>
  <si>
    <t>Practo</t>
  </si>
  <si>
    <t>Ketchupp</t>
  </si>
  <si>
    <t>India Quotient and others</t>
  </si>
  <si>
    <t>Hoopy</t>
  </si>
  <si>
    <t>Gwalior</t>
  </si>
  <si>
    <t>Ezytruk</t>
  </si>
  <si>
    <t>Ajith Nair, Anish K</t>
  </si>
  <si>
    <t>Kratikal</t>
  </si>
  <si>
    <t>Amajit Gupta, Praveen Dubey, J.P. Bhatt</t>
  </si>
  <si>
    <t>Direct Create</t>
  </si>
  <si>
    <t>Rajasthan Venture Capital Fund</t>
  </si>
  <si>
    <t>Vahdam Teas</t>
  </si>
  <si>
    <t>Mumbai Angels Network, Fireside Ventures, Singapore Angel Network</t>
  </si>
  <si>
    <t>Pparke</t>
  </si>
  <si>
    <t>SB Ventures</t>
  </si>
  <si>
    <t>Weddingz</t>
  </si>
  <si>
    <t>Singularity Ventures</t>
  </si>
  <si>
    <t>Native Special</t>
  </si>
  <si>
    <t>Karur</t>
  </si>
  <si>
    <t>Indian Angel Network, Native Angels Network</t>
  </si>
  <si>
    <t>Fitnapp</t>
  </si>
  <si>
    <t>SD Group</t>
  </si>
  <si>
    <t>Ethosh</t>
  </si>
  <si>
    <t>Bessemer Venture Partners, Stellaris Venture Partners Jungle Venture Partners, Axis Capital</t>
  </si>
  <si>
    <t>IvyCamp Ventures</t>
  </si>
  <si>
    <t>Umang Moondra</t>
  </si>
  <si>
    <t>Messagif</t>
  </si>
  <si>
    <t>social messaging platform</t>
  </si>
  <si>
    <t>Undisclosed investor</t>
  </si>
  <si>
    <t>Smarthi</t>
  </si>
  <si>
    <t>Singapore based investor</t>
  </si>
  <si>
    <t>Cron Systems</t>
  </si>
  <si>
    <t>YourNest Fund II</t>
  </si>
  <si>
    <t>Cuemath</t>
  </si>
  <si>
    <t>CapitalG, Sequoia India</t>
  </si>
  <si>
    <t>Chippersage</t>
  </si>
  <si>
    <t>India Educational Investment Fund</t>
  </si>
  <si>
    <t>Selectjobs</t>
  </si>
  <si>
    <t>Khel Now</t>
  </si>
  <si>
    <t>Indochine International</t>
  </si>
  <si>
    <t>Nowfloats</t>
  </si>
  <si>
    <t>Iron Pillar and IIFL, Blume Ventures, Omidyar Network</t>
  </si>
  <si>
    <t>Lets Transport</t>
  </si>
  <si>
    <t>GMO Japan, Neelesh Bhatnagar</t>
  </si>
  <si>
    <t>Betaout</t>
  </si>
  <si>
    <t>East Ventures &amp; Others</t>
  </si>
  <si>
    <t>Wishberry</t>
  </si>
  <si>
    <t>Rml Agtech</t>
  </si>
  <si>
    <t>IvyCap Ventures</t>
  </si>
  <si>
    <t>Loyaltyprime</t>
  </si>
  <si>
    <t>Senovo, Unternehmertum Venture Capital, Alexander Bruehl</t>
  </si>
  <si>
    <t>Instasafe</t>
  </si>
  <si>
    <t>ABM Knowledgeware</t>
  </si>
  <si>
    <t>99Games</t>
  </si>
  <si>
    <t>Udupi</t>
  </si>
  <si>
    <t>Airmed Labs</t>
  </si>
  <si>
    <t>99Perhour</t>
  </si>
  <si>
    <t>V Aanand R</t>
  </si>
  <si>
    <t>Kochi Post</t>
  </si>
  <si>
    <t>Kochi</t>
  </si>
  <si>
    <t>Rajesh Yohannan, Puthen &amp; Cole</t>
  </si>
  <si>
    <t>Intuit Things</t>
  </si>
  <si>
    <t>Sanjay Mehta &amp; Others ( The Ten Minute Million)</t>
  </si>
  <si>
    <t>Cloudrino</t>
  </si>
  <si>
    <t>The Ten Minute Million</t>
  </si>
  <si>
    <t>Fabx</t>
  </si>
  <si>
    <t>Maptags</t>
  </si>
  <si>
    <t>Yolo Health</t>
  </si>
  <si>
    <t>Chandigarh Angels Network (CAN)</t>
  </si>
  <si>
    <t>Heads Up For Tails</t>
  </si>
  <si>
    <t>Register My Marriage</t>
  </si>
  <si>
    <t>Sidqam</t>
  </si>
  <si>
    <t>SQue Capital, Grace Capital Ventures, Soham Vencaps</t>
  </si>
  <si>
    <t>India Lends</t>
  </si>
  <si>
    <t>DSG Consumer Partners, American Express Ventures, Cyber Carrier VC, AdvantEdge Partners</t>
  </si>
  <si>
    <t>Slide App</t>
  </si>
  <si>
    <t>Songhyun Investment</t>
  </si>
  <si>
    <t>Badiyajobs</t>
  </si>
  <si>
    <t>Streo</t>
  </si>
  <si>
    <t>GEMs Advisory, Quarizon</t>
  </si>
  <si>
    <t>Tygr</t>
  </si>
  <si>
    <t>Franchise India</t>
  </si>
  <si>
    <t>Mr Hot Foods</t>
  </si>
  <si>
    <t>Urdoorstep</t>
  </si>
  <si>
    <t>Lakshmi Vilas Bank &amp; undisclosed HNIs</t>
  </si>
  <si>
    <t>Grace Capital Ventures</t>
  </si>
  <si>
    <t>Diro Labs</t>
  </si>
  <si>
    <t>Info Edge (India)</t>
  </si>
  <si>
    <t>Thb</t>
  </si>
  <si>
    <t>Ajith Sukumaran, Currae Healthtech Fund</t>
  </si>
  <si>
    <t>Lookatme</t>
  </si>
  <si>
    <t>Eros Labs</t>
  </si>
  <si>
    <t>Netree</t>
  </si>
  <si>
    <t>The Chennai Angels, LetsVenture</t>
  </si>
  <si>
    <t>Bookeventz</t>
  </si>
  <si>
    <t>Investors from Mumbai Angels &amp; LetsVenture</t>
  </si>
  <si>
    <t>Tailslife</t>
  </si>
  <si>
    <t>Mohan Kumar, V. Balakrishnan</t>
  </si>
  <si>
    <t>Edelweiss Private Equity</t>
  </si>
  <si>
    <t>Wealthapp</t>
  </si>
  <si>
    <t>Vehico</t>
  </si>
  <si>
    <t>Calcutta Angel Network, Appliyifi</t>
  </si>
  <si>
    <t>Zest Money</t>
  </si>
  <si>
    <t>PayU</t>
  </si>
  <si>
    <t>Gomechanic</t>
  </si>
  <si>
    <t>Stalk Buy Love</t>
  </si>
  <si>
    <t>Kalaari Capital</t>
  </si>
  <si>
    <t>Max Ventures and Industries</t>
  </si>
  <si>
    <t>Wittyparot</t>
  </si>
  <si>
    <t>Neuroequilibrium</t>
  </si>
  <si>
    <t>Unicorn India Ventures</t>
  </si>
  <si>
    <t>Xseed Education</t>
  </si>
  <si>
    <t>Verlinvest SA</t>
  </si>
  <si>
    <t>Rupaiya Exchange</t>
  </si>
  <si>
    <t>Doctor Insta</t>
  </si>
  <si>
    <t>Axilor, Undisclosed Investors</t>
  </si>
  <si>
    <t>Fresh Food Concepts</t>
  </si>
  <si>
    <t>Siddhartha Gupta, Ashvin Chadha</t>
  </si>
  <si>
    <t>Indifi</t>
  </si>
  <si>
    <t>Gocomet</t>
  </si>
  <si>
    <t>India Quotient, Rajul Garg, Rajesh Yabaji, Chanakya Hridaya, Ramasubramaniam B, Vishwanathan, Nobel House, Sunstone Capital</t>
  </si>
  <si>
    <t>Zodius Technology Opportunities Fund, Matrix Partners</t>
  </si>
  <si>
    <t>Fitmein</t>
  </si>
  <si>
    <t>FiNC, GHV</t>
  </si>
  <si>
    <t>Qacco</t>
  </si>
  <si>
    <t>Lead Angels Network, Anbu Pandian, Prabhakar MR &amp; Others</t>
  </si>
  <si>
    <t>Moengage</t>
  </si>
  <si>
    <t>Ten3T Health</t>
  </si>
  <si>
    <t>medical grade wearable patch maker</t>
  </si>
  <si>
    <t>V. Krishna Prasad, Bhupen Shah &amp; Others</t>
  </si>
  <si>
    <t>Trading Bells</t>
  </si>
  <si>
    <t>Swastika Investmart Ltd</t>
  </si>
  <si>
    <t>Servd</t>
  </si>
  <si>
    <t>Digital Financial Service Lab</t>
  </si>
  <si>
    <t>Ideaforge</t>
  </si>
  <si>
    <t>WRV Capital and IndusAge Partners, Infosys Innovation Fund</t>
  </si>
  <si>
    <t>Amagi Media Labs</t>
  </si>
  <si>
    <t>Emerald Media, Premji Invest</t>
  </si>
  <si>
    <t>Pocket Aces</t>
  </si>
  <si>
    <t>Sequoia Capital India, North Base Media, Aarin Capital, 3one4 Capital, Axilor Ventures, Kunal Shah, Sandeep Tandon</t>
  </si>
  <si>
    <t>Pi Data Centers</t>
  </si>
  <si>
    <t>Epsilon Venture Partners</t>
  </si>
  <si>
    <t>Tripshelf</t>
  </si>
  <si>
    <t>GEMS Advisory, Quarizon</t>
  </si>
  <si>
    <t>KTB Network, SAIF Partners, BEENEXT, Digital Garage</t>
  </si>
  <si>
    <t>Vivocarat</t>
  </si>
  <si>
    <t>Tiyo</t>
  </si>
  <si>
    <t>Ajith Nair</t>
  </si>
  <si>
    <t>Zoomcar</t>
  </si>
  <si>
    <t>Cyber Carrier CL</t>
  </si>
  <si>
    <t>International Financial Corporation</t>
  </si>
  <si>
    <t>Dr. Apoorv Ranjan Sharma, Anil Jain, Anuj Golecha, Krishna Jhunjhunwala, Anirudh Damani</t>
  </si>
  <si>
    <t>The Bluebook</t>
  </si>
  <si>
    <t>online to offline marketing platform</t>
  </si>
  <si>
    <t>Fireside Ventures &amp; Others</t>
  </si>
  <si>
    <t>Vegetall</t>
  </si>
  <si>
    <t>Innoplexus</t>
  </si>
  <si>
    <t>HCS Venture capital fund</t>
  </si>
  <si>
    <t>Mindler</t>
  </si>
  <si>
    <t>Taxmann</t>
  </si>
  <si>
    <t>Mcaffeine</t>
  </si>
  <si>
    <t>Kaushal Agarwal, Harminder Sahani, KK Mehra, Pranay Jivrajka, Navjot Saini</t>
  </si>
  <si>
    <t>Enkast</t>
  </si>
  <si>
    <t>Ivy League Alumni Angel Network</t>
  </si>
  <si>
    <t>Incubate Fund, Lead Angels Group &amp; Others</t>
  </si>
  <si>
    <t>Myadvo</t>
  </si>
  <si>
    <t>Pradyumna Dalmia, S. Somasegar &amp; Others</t>
  </si>
  <si>
    <t>Asocon</t>
  </si>
  <si>
    <t>Lexcomply</t>
  </si>
  <si>
    <t>Ajay Relan</t>
  </si>
  <si>
    <t>The Postbox</t>
  </si>
  <si>
    <t>The Chennai Angels, Ritesh Mehta, Aruna Ganesh Ram</t>
  </si>
  <si>
    <t>Pandorum Technologies</t>
  </si>
  <si>
    <t>Sachin Bansal, Binny Bansal</t>
  </si>
  <si>
    <t>Dekkho</t>
  </si>
  <si>
    <t>Shadowfox</t>
  </si>
  <si>
    <t>Nandan Nilekani</t>
  </si>
  <si>
    <t>Lead Angels, Mumbai Angels, LetsVenture, Girish Mathrubootham, Anbu Pandian</t>
  </si>
  <si>
    <t>WaterBridge Ventures,</t>
  </si>
  <si>
    <t>Justbooks</t>
  </si>
  <si>
    <t>CoCreate Ventures</t>
  </si>
  <si>
    <t>Instantpay</t>
  </si>
  <si>
    <t>Pickmylaundry</t>
  </si>
  <si>
    <t>Kedar Lele, GHV Accelerator</t>
  </si>
  <si>
    <t>Freshdesk</t>
  </si>
  <si>
    <t>Sequoia Capital India, Accel Partners</t>
  </si>
  <si>
    <t>Laundryanna</t>
  </si>
  <si>
    <t>Calcutta Angels Network, LetsVenture, Anupam Mittal, Currae Healthtech Fund</t>
  </si>
  <si>
    <t>Raman Roy, Ashish Gupta, Yogesh Andlay, Vaibhav Jain</t>
  </si>
  <si>
    <t>Zarget</t>
  </si>
  <si>
    <t>Doselect</t>
  </si>
  <si>
    <t>3one4 Capital, Mumbai Angels, Aarin Capital</t>
  </si>
  <si>
    <t>Easypolicy</t>
  </si>
  <si>
    <t>Unilazer Ventures,</t>
  </si>
  <si>
    <t>Browntape</t>
  </si>
  <si>
    <t>cloud-based software solutions company</t>
  </si>
  <si>
    <t>Gati Ltd</t>
  </si>
  <si>
    <t>Connect India</t>
  </si>
  <si>
    <t>Aavishkaar Venture Management</t>
  </si>
  <si>
    <t>Corseco</t>
  </si>
  <si>
    <t>Ameera Shah, Vivek Bhargava</t>
  </si>
  <si>
    <t>Vimmune</t>
  </si>
  <si>
    <t>The Gourmet Jar</t>
  </si>
  <si>
    <t>Chandigarh Angels Network</t>
  </si>
  <si>
    <t>Medzin</t>
  </si>
  <si>
    <t>A M Sikander</t>
  </si>
  <si>
    <t>IDG Ventures, Accel Partners</t>
  </si>
  <si>
    <t>Justride</t>
  </si>
  <si>
    <t>Justin Kan, Qasar Younis, Paul Bucche, Susa Ventures, Kima Ventures, Axan Venture, SCM Holdings</t>
  </si>
  <si>
    <t>Iim Jobs</t>
  </si>
  <si>
    <t>India Quotient</t>
  </si>
  <si>
    <t>ADAG Reliance Private Equity</t>
  </si>
  <si>
    <t>Golflan</t>
  </si>
  <si>
    <t>YourNest Angel Fund, iSON</t>
  </si>
  <si>
    <t>Yottaasys</t>
  </si>
  <si>
    <t>Gleevoaz Ventures</t>
  </si>
  <si>
    <t>Tone Tag</t>
  </si>
  <si>
    <t>Arun Seth, T.V. Mohandas Pai, Anand Chandrasekaran, Deepak Ghaisas</t>
  </si>
  <si>
    <t>Life In Control</t>
  </si>
  <si>
    <t>Active.Ai</t>
  </si>
  <si>
    <t>Kalaari Capital, IDG Ventures India</t>
  </si>
  <si>
    <t>Elasticrun</t>
  </si>
  <si>
    <t>Sequoia India, BEENEXT, Helion Ventures</t>
  </si>
  <si>
    <t>Playsimple</t>
  </si>
  <si>
    <t>SAIF Partners, IDG Ventures India</t>
  </si>
  <si>
    <t>Stasis Labs</t>
  </si>
  <si>
    <t>RTP-HC, Wonder Ventures, Techstars Ventures &amp; Others</t>
  </si>
  <si>
    <t>Scienaptic</t>
  </si>
  <si>
    <t>Pramod Bhasin</t>
  </si>
  <si>
    <t>Koovs</t>
  </si>
  <si>
    <t>Times of India Group &amp; Existing investors</t>
  </si>
  <si>
    <t>Lawrato</t>
  </si>
  <si>
    <t>Trip Tap Toe</t>
  </si>
  <si>
    <t>R.S Sharma</t>
  </si>
  <si>
    <t>Pictor Imaging</t>
  </si>
  <si>
    <t>Gramcover</t>
  </si>
  <si>
    <t>Omnivore Capital</t>
  </si>
  <si>
    <t>Aermed</t>
  </si>
  <si>
    <t>Hitesh Windlass</t>
  </si>
  <si>
    <t>Workindia</t>
  </si>
  <si>
    <t>Asuka Holdings</t>
  </si>
  <si>
    <t>Bats On Delivery</t>
  </si>
  <si>
    <t>Devdeep Singh</t>
  </si>
  <si>
    <t>Numberz</t>
  </si>
  <si>
    <t>Kae Capital, Khosla Impact</t>
  </si>
  <si>
    <t>Housing</t>
  </si>
  <si>
    <t>Softbank Group</t>
  </si>
  <si>
    <t>Awesummly</t>
  </si>
  <si>
    <t>Vivek Bhargava, Ameera Shah</t>
  </si>
  <si>
    <t>Volt</t>
  </si>
  <si>
    <t>YMS Mobitech</t>
  </si>
  <si>
    <t>Vymo</t>
  </si>
  <si>
    <t>Shubhloans</t>
  </si>
  <si>
    <t>Sanjai Vohra, V. Bunty Bohra</t>
  </si>
  <si>
    <t>Noddapp</t>
  </si>
  <si>
    <t>Undisclosed multiple investors</t>
  </si>
  <si>
    <t>Knowlarity</t>
  </si>
  <si>
    <t>Infisecure</t>
  </si>
  <si>
    <t>IDG Ventures, Axilor Ventures</t>
  </si>
  <si>
    <t>Lightspeed Venture Partners India, Lightspeed US</t>
  </si>
  <si>
    <t>Froyofit</t>
  </si>
  <si>
    <t>Dr. Pooja Gandhi</t>
  </si>
  <si>
    <t>Betterplace</t>
  </si>
  <si>
    <t>Venture Highway</t>
  </si>
  <si>
    <t>Lightspeed India Partners, SAIF Partners, India Quotient, Venture Highway</t>
  </si>
  <si>
    <t>Uclean</t>
  </si>
  <si>
    <t>Servify</t>
  </si>
  <si>
    <t>Blume Ventures, BEENEXT, Barkawi Holdings GmbH, TM Service Technology Holdings Gmbh, Sreevathsa Prabhakar</t>
  </si>
  <si>
    <t>Hubilo</t>
  </si>
  <si>
    <t>Girish Mathrubootham, VC Karthic, Miten Mehta, Umasankar Nistala, Rakesh Patel, Akash Bhavsar, Jeevanandhan Rajagopal, Vikas Chadha &amp; Others</t>
  </si>
  <si>
    <t>Funongo</t>
  </si>
  <si>
    <t>Reliance Entertainment</t>
  </si>
  <si>
    <t>121Policy</t>
  </si>
  <si>
    <t>Tapchief</t>
  </si>
  <si>
    <t>Paytm, Aprameya Radhakrishna, Subramanya Venkat, Venk Krishnan</t>
  </si>
  <si>
    <t>Kloseby</t>
  </si>
  <si>
    <t>Wholesalebox</t>
  </si>
  <si>
    <t>Manish Maheshwari, Contrarian Vriddhi Fund</t>
  </si>
  <si>
    <t>Crossahead</t>
  </si>
  <si>
    <t>Mohit Sharma</t>
  </si>
  <si>
    <t>Affordplan</t>
  </si>
  <si>
    <t>Prime Venture Partners, Kalaari Capital</t>
  </si>
  <si>
    <t>Silver Range Investments, Lumina Datamatics, Shun Yoshida &amp; Others</t>
  </si>
  <si>
    <t>Shopsup</t>
  </si>
  <si>
    <t>Anand Sankeshwar, Yang Shu</t>
  </si>
  <si>
    <t>Indofash</t>
  </si>
  <si>
    <t>Shekhar Sahu, Nitesh Pant</t>
  </si>
  <si>
    <t>Entropika</t>
  </si>
  <si>
    <t>Dileep Bhatt, Milind Chaudhary</t>
  </si>
  <si>
    <t>Marianaiq</t>
  </si>
  <si>
    <t>Chai Thela</t>
  </si>
  <si>
    <t>Interviewpad</t>
  </si>
  <si>
    <t>Krishna Rokhale</t>
  </si>
  <si>
    <t>Math Buddy</t>
  </si>
  <si>
    <t>Menterra Social Impact Fund</t>
  </si>
  <si>
    <t>Pulse</t>
  </si>
  <si>
    <t>Blume Ventures &amp; Others</t>
  </si>
  <si>
    <t>Carcrew</t>
  </si>
  <si>
    <t>TVS Group</t>
  </si>
  <si>
    <t>Merakisan</t>
  </si>
  <si>
    <t>Mahindra Univeg</t>
  </si>
  <si>
    <t>Mystifly</t>
  </si>
  <si>
    <t>Recruit Holdings</t>
  </si>
  <si>
    <t>Helpchat</t>
  </si>
  <si>
    <t>American Express Ventures, Sequoia Capital</t>
  </si>
  <si>
    <t>IDG Ventures, Indian Angel Network (IAN), YourNest Angel Fund</t>
  </si>
  <si>
    <t>World Art Community</t>
  </si>
  <si>
    <t>Viraj Tyagi &amp; Others</t>
  </si>
  <si>
    <t>Giftxoxo</t>
  </si>
  <si>
    <t>Mahindra Holidays &amp; Resorts India Ltd</t>
  </si>
  <si>
    <t>Bharat Bazaar</t>
  </si>
  <si>
    <t>BeeNext, TV Mohandas Pai, Kunal Shah, Sandeep Tandon</t>
  </si>
  <si>
    <t>India Gifts Portal</t>
  </si>
  <si>
    <t>Naveen Arya, Tarun Joshi</t>
  </si>
  <si>
    <t>Accel Partners Jungle Ventures, SeedPlus</t>
  </si>
  <si>
    <t>Netlinx</t>
  </si>
  <si>
    <t>Xchange Investors NV, TransGlobal FZC</t>
  </si>
  <si>
    <t>Scandid</t>
  </si>
  <si>
    <t>3One4 Capital</t>
  </si>
  <si>
    <t>Remitr</t>
  </si>
  <si>
    <t>Innerchef</t>
  </si>
  <si>
    <t>Mistletoe, M&amp;S Partners</t>
  </si>
  <si>
    <t>Appsdaily</t>
  </si>
  <si>
    <t>Zodius Capital, Kalaari Capital, Qualcomm Ventures, Russian venture capital fund Ru-Net, Mumbai Angels</t>
  </si>
  <si>
    <t>Muhurtmaza</t>
  </si>
  <si>
    <t>Azuro</t>
  </si>
  <si>
    <t>White Unicorn Ventures, Kae Capital, Mumbai Angels</t>
  </si>
  <si>
    <t>Neurosynaptic</t>
  </si>
  <si>
    <t>Indian Angel Network, Healthsquad, Axilor Ventures</t>
  </si>
  <si>
    <t>Ue Lifesciences</t>
  </si>
  <si>
    <t>Kiran Mazumdar-Shaw, Unitus Seed Fund</t>
  </si>
  <si>
    <t>Findmeashoe</t>
  </si>
  <si>
    <t>Ventureast Fund Advisors</t>
  </si>
  <si>
    <t>Realbox</t>
  </si>
  <si>
    <t>Sportido</t>
  </si>
  <si>
    <t>Sumpoorna Group</t>
  </si>
  <si>
    <t>Gozefo</t>
  </si>
  <si>
    <t>Helion Venture Partners, BeeNext</t>
  </si>
  <si>
    <t>Rayiot</t>
  </si>
  <si>
    <t>HAX Accelerator</t>
  </si>
  <si>
    <t>Kooh Sports</t>
  </si>
  <si>
    <t>HDFC, Faering Capital, Elevate Sports</t>
  </si>
  <si>
    <t>Flexiloans</t>
  </si>
  <si>
    <t>Sanjay Nayar, Vikram Sud, Anil Jaggia, Narayan Seshadri</t>
  </si>
  <si>
    <t>Sibia Analytics</t>
  </si>
  <si>
    <t>Radhakrishnan Natarajan &amp; Others</t>
  </si>
  <si>
    <t>Vithi</t>
  </si>
  <si>
    <t>undisclosed investor</t>
  </si>
  <si>
    <t>Yupp Tv</t>
  </si>
  <si>
    <t>Emerald Media</t>
  </si>
  <si>
    <t>Deyor Camps</t>
  </si>
  <si>
    <t>Nitin Passi, Manickam Mahalingam, Udaan Angels, Rajesh Arora, Arkas Industries</t>
  </si>
  <si>
    <t>Faballey</t>
  </si>
  <si>
    <t>online fashion brand store</t>
  </si>
  <si>
    <t>India Quotient, FAO Ventures, Indian Angel Network, Tushar Singh, Ranjan Sharma</t>
  </si>
  <si>
    <t>Shoekonnect</t>
  </si>
  <si>
    <t>Agra</t>
  </si>
  <si>
    <t>Maya</t>
  </si>
  <si>
    <t>Rajan Anandan</t>
  </si>
  <si>
    <t>Robovac</t>
  </si>
  <si>
    <t>waterless car washing solution</t>
  </si>
  <si>
    <t>Virendra Patel</t>
  </si>
  <si>
    <t>Newspatrolling</t>
  </si>
  <si>
    <t>Postman</t>
  </si>
  <si>
    <t>Isfc</t>
  </si>
  <si>
    <t>Gray Matters Capital</t>
  </si>
  <si>
    <t>Beatroute</t>
  </si>
  <si>
    <t>Quarizon Consultancy Services LLP</t>
  </si>
  <si>
    <t>Kidsstoppress</t>
  </si>
  <si>
    <t>Karan Bhagat</t>
  </si>
  <si>
    <t>Punit Soni</t>
  </si>
  <si>
    <t>Dailyhunt</t>
  </si>
  <si>
    <t>Tazzo Bikes</t>
  </si>
  <si>
    <t>DSG Consumer Partners</t>
  </si>
  <si>
    <t>Mykindofjob</t>
  </si>
  <si>
    <t>Mayank Shah, Shreyans Shah</t>
  </si>
  <si>
    <t>Vishnu Bhat, Rajiv Lunkad, Naresh Ravindranath</t>
  </si>
  <si>
    <t>Boman Irani, Dhruv Chitgopekar, Prantik Dasgupta</t>
  </si>
  <si>
    <t>Yumigo</t>
  </si>
  <si>
    <t>Hemant Sahni</t>
  </si>
  <si>
    <t>Rentalpha</t>
  </si>
  <si>
    <t>equipment rental and leasing company</t>
  </si>
  <si>
    <t>Bravia Capital</t>
  </si>
  <si>
    <t>3Dexter</t>
  </si>
  <si>
    <t>Newbie Promoters</t>
  </si>
  <si>
    <t>Babychakra</t>
  </si>
  <si>
    <t>Coppre</t>
  </si>
  <si>
    <t>Mysun</t>
  </si>
  <si>
    <t>General Catalyst Partners</t>
  </si>
  <si>
    <t>Epathsala</t>
  </si>
  <si>
    <t>Hyderabad Angels, TLabs</t>
  </si>
  <si>
    <t>Lightbox Ventures, Axis Capital &amp; Others</t>
  </si>
  <si>
    <t>Saama Capital, Raghunandan G, Aprameya Radhakrishna</t>
  </si>
  <si>
    <t>Actofit</t>
  </si>
  <si>
    <t>Next Orbit Ventures Fund</t>
  </si>
  <si>
    <t>Stayology</t>
  </si>
  <si>
    <t>Ranjan Pai</t>
  </si>
  <si>
    <t>Hipcask</t>
  </si>
  <si>
    <t>Helion Ventures, Blume Ventures</t>
  </si>
  <si>
    <t>Chatongo</t>
  </si>
  <si>
    <t>Janak Jain</t>
  </si>
  <si>
    <t>KAE capital</t>
  </si>
  <si>
    <t>BEENEXT</t>
  </si>
  <si>
    <t>IIFL Seed Ventures Fund, Mayfield Ventures</t>
  </si>
  <si>
    <t>Kredx</t>
  </si>
  <si>
    <t>Creditmate</t>
  </si>
  <si>
    <t>Pickrr</t>
  </si>
  <si>
    <t>Swastika Company Ltd</t>
  </si>
  <si>
    <t>Satvakart</t>
  </si>
  <si>
    <t>Soopermo</t>
  </si>
  <si>
    <t>Lalit Vase</t>
  </si>
  <si>
    <t>Orangetwig</t>
  </si>
  <si>
    <t>Astarc Ventures, Anand Chandrasekaran</t>
  </si>
  <si>
    <t>The Kettlery</t>
  </si>
  <si>
    <t>hooting Starts Sports LLP, Franchise India Brands</t>
  </si>
  <si>
    <t>Idea Bubbles</t>
  </si>
  <si>
    <t>1Crowd, Eureka Forbes Ltd, Shapoorji Pallonji &amp; Co. Ltd.</t>
  </si>
  <si>
    <t>Omnivore Partners</t>
  </si>
  <si>
    <t>Hero MotoCorp</t>
  </si>
  <si>
    <t>Pikkol</t>
  </si>
  <si>
    <t>Ajay Nanavati, Afsal Salu</t>
  </si>
  <si>
    <t>Velmenni</t>
  </si>
  <si>
    <t>Volta Motors</t>
  </si>
  <si>
    <t>Cyclops</t>
  </si>
  <si>
    <t>Impact Analytics</t>
  </si>
  <si>
    <t>Aarin Capital, Michael Herzig, Ashish Lakhanpal</t>
  </si>
  <si>
    <t>Talent Next</t>
  </si>
  <si>
    <t>Karanpal Singh &amp; Others</t>
  </si>
  <si>
    <t>Sequoia India, Exfinity Ventures, growX ventures,</t>
  </si>
  <si>
    <t>Mihup</t>
  </si>
  <si>
    <t>Renowala</t>
  </si>
  <si>
    <t>Pradeep Dhobale</t>
  </si>
  <si>
    <t>Amit Choudhary</t>
  </si>
  <si>
    <t>Trackbizz</t>
  </si>
  <si>
    <t>Grasshoppers</t>
  </si>
  <si>
    <t>Social Quotient</t>
  </si>
  <si>
    <t>Anita Dongre, Yash Dongre, Milind Sarwate</t>
  </si>
  <si>
    <t>William Bissel</t>
  </si>
  <si>
    <t>Infina Finance Pvt. Ltd, Uday Kotak</t>
  </si>
  <si>
    <t>Cheersoye!</t>
  </si>
  <si>
    <t>PremjiInvest</t>
  </si>
  <si>
    <t>Bengaluru/ Bangkok</t>
  </si>
  <si>
    <t>Alternacare</t>
  </si>
  <si>
    <t>Simplilearn</t>
  </si>
  <si>
    <t>Prozo</t>
  </si>
  <si>
    <t>Earlsfield Capital, Sailender Solanki, Rajiv Solanki</t>
  </si>
  <si>
    <t>Toprankers</t>
  </si>
  <si>
    <t>CareerNet Consulting Pvt. Ltd, Ideation Initiative Pvt. Ltd,</t>
  </si>
  <si>
    <t>Buildtraders</t>
  </si>
  <si>
    <t>Idein Ventures</t>
  </si>
  <si>
    <t>Chan Zuckerberg Initiative, Times Internet Ltd, Sequoia Capital, Sofina, Lightspeed Ventures</t>
  </si>
  <si>
    <t>Hubli</t>
  </si>
  <si>
    <t>Ravi Linganuri</t>
  </si>
  <si>
    <t>Cureinstant</t>
  </si>
  <si>
    <t>Dr. Rameshwar Kumar</t>
  </si>
  <si>
    <t>Poshtic</t>
  </si>
  <si>
    <t>havya Sharma, Amit Nagar</t>
  </si>
  <si>
    <t>Karmacircles</t>
  </si>
  <si>
    <t>Harinder Takhar, Zain Raj, Dr. Prasad Kaipa, Abaran Deep, Aseem Sood, Mustafa Patni</t>
  </si>
  <si>
    <t>Purple Style Labs</t>
  </si>
  <si>
    <t>Augment Ventures, Rahul Kayan, Nikhil Golcha, Shubham Gupta, Roy Kwan</t>
  </si>
  <si>
    <t>Inuxu</t>
  </si>
  <si>
    <t>Fork Media</t>
  </si>
  <si>
    <t>Sunil Munjal, Mariwala family</t>
  </si>
  <si>
    <t>Glam Studios</t>
  </si>
  <si>
    <t>Pradeep Mirani, Aqeel Ahmed, Anand Ladsariya, Nitin Agarwal</t>
  </si>
  <si>
    <t>Findow</t>
  </si>
  <si>
    <t>Raj Singh Bhandal</t>
  </si>
  <si>
    <t>Ideachakki</t>
  </si>
  <si>
    <t>Indian Angels Network</t>
  </si>
  <si>
    <t>Nearbuy</t>
  </si>
  <si>
    <t>Blacksoil Capital Pvt. Ltd.</t>
  </si>
  <si>
    <t>Zeroinfy</t>
  </si>
  <si>
    <t>Calcutta Angels Network</t>
  </si>
  <si>
    <t>Flocareer</t>
  </si>
  <si>
    <t>Balasubramanian Krishnamurthy, Sidhartha Hazarika &amp; Others</t>
  </si>
  <si>
    <t>Lenspick</t>
  </si>
  <si>
    <t>Scadea Solutions Inc</t>
  </si>
  <si>
    <t>Infeedo</t>
  </si>
  <si>
    <t>Lightbox Ventures and others</t>
  </si>
  <si>
    <t>Gopigeon</t>
  </si>
  <si>
    <t>on-demand logistics service provider</t>
  </si>
  <si>
    <t>Newsdistill</t>
  </si>
  <si>
    <t>Ganesh Narasimhan, Ramana Thumu, Sudhir Mallem</t>
  </si>
  <si>
    <t>Doctorinsta</t>
  </si>
  <si>
    <t>Milofy</t>
  </si>
  <si>
    <t>Liqvid</t>
  </si>
  <si>
    <t>Codemojo</t>
  </si>
  <si>
    <t>Justlikenew</t>
  </si>
  <si>
    <t>Joehukum</t>
  </si>
  <si>
    <t>Sumit Jain</t>
  </si>
  <si>
    <t>Co Life</t>
  </si>
  <si>
    <t>shared living and working spaces platform</t>
  </si>
  <si>
    <t>Purpledocs</t>
  </si>
  <si>
    <t>KellyGamma, Lead Angels &amp; Others</t>
  </si>
  <si>
    <t>Goldman Sachs Group, Zodius Technology Fund, Norwest Venture Partners, Bertelsmann India</t>
  </si>
  <si>
    <t>Equickies</t>
  </si>
  <si>
    <t>Lothal Angel Ventures</t>
  </si>
  <si>
    <t>Anglian Omega Network</t>
  </si>
  <si>
    <t>Gadgetwood</t>
  </si>
  <si>
    <t>Dailyrounds</t>
  </si>
  <si>
    <t>Accel Partners Beenext, Powerhouse Ventures, Akusa Holdings</t>
  </si>
  <si>
    <t>Flixy Games</t>
  </si>
  <si>
    <t>Rebright Partners</t>
  </si>
  <si>
    <t>Hashtaag</t>
  </si>
  <si>
    <t>Pharmarack</t>
  </si>
  <si>
    <t>Currae Healthtech Fund, Unicorn India Ventures</t>
  </si>
  <si>
    <t>Cloudcherry</t>
  </si>
  <si>
    <t>Vertex Ventures, Cisco Ventures, IDG Ventures</t>
  </si>
  <si>
    <t>Parentlane</t>
  </si>
  <si>
    <t>Rohit MA</t>
  </si>
  <si>
    <t>First Moms Club</t>
  </si>
  <si>
    <t>Idea Wave Labs</t>
  </si>
  <si>
    <t>Inmotion</t>
  </si>
  <si>
    <t>Prashant Tandon, Gaurav Agarwal, Gaurav Bhogle, Shrishti Sahu, Shantanu Mathur, Prabhat Aggarwal</t>
  </si>
  <si>
    <t>Lets Barter</t>
  </si>
  <si>
    <t>Scale Ventures Funds</t>
  </si>
  <si>
    <t>Evengini</t>
  </si>
  <si>
    <t>Procam International Pvt. Ltd</t>
  </si>
  <si>
    <t>Flipkart Logistics Pvt. Ltd</t>
  </si>
  <si>
    <t>Canvs</t>
  </si>
  <si>
    <t>Pratik Seal</t>
  </si>
  <si>
    <t>Beardo</t>
  </si>
  <si>
    <t>Instacar</t>
  </si>
  <si>
    <t>Swastika Co Ltd.</t>
  </si>
  <si>
    <t>Druva</t>
  </si>
  <si>
    <t>Sequoia India, EDBI, Blue Cloud Ventures, Hercules Capital</t>
  </si>
  <si>
    <t>Promon</t>
  </si>
  <si>
    <t>Now Capital</t>
  </si>
  <si>
    <t>Fastudent</t>
  </si>
  <si>
    <t>Kanwaljit Singh, Ajay Lakhotia, Pavan Ongole, Ashish Gupta</t>
  </si>
  <si>
    <t>Unocoin</t>
  </si>
  <si>
    <t>Blume Ventures, Mumbai Angels, ah! Ventures, Digital Currency Group, Boost VC, Bank to the Future and Funders Club</t>
  </si>
  <si>
    <t>Demyto</t>
  </si>
  <si>
    <t>Bhavin Turakhia</t>
  </si>
  <si>
    <t>Kalaage</t>
  </si>
  <si>
    <t>Rajasthan Angel Innovators Network</t>
  </si>
  <si>
    <t>Healthkart</t>
  </si>
  <si>
    <t>Sequoia Capital India, Omidyar Network, Kae Capital</t>
  </si>
  <si>
    <t>Mudit Saxena, Evan Lim</t>
  </si>
  <si>
    <t>Repaireasy</t>
  </si>
  <si>
    <t>Undisclosed HNIs</t>
  </si>
  <si>
    <t>Tokri</t>
  </si>
  <si>
    <t>Syska LED group</t>
  </si>
  <si>
    <t>Sheroes</t>
  </si>
  <si>
    <t>Lumis Partners, The HR Fund, Rajul Garg, Quintillion Media</t>
  </si>
  <si>
    <t>Venk Krishnan, Aprameya Radhakrishna, Anupam Mittal, Kunal Shah, Tracxn Labs, Subramanya SV, Ravi Garkipati</t>
  </si>
  <si>
    <t>Yumlane</t>
  </si>
  <si>
    <t>Binny Bansal, Anupam Mittal, Sachin Bhatia, Darius Pandole, Kunal Khattar, Dheerag Jain</t>
  </si>
  <si>
    <t>Xcode</t>
  </si>
  <si>
    <t>Extracarbon</t>
  </si>
  <si>
    <t>Flickbay</t>
  </si>
  <si>
    <t>Paul Roy</t>
  </si>
  <si>
    <t>Petoo</t>
  </si>
  <si>
    <t>Existing Investors</t>
  </si>
  <si>
    <t>Lehlehsports</t>
  </si>
  <si>
    <t>Tricog</t>
  </si>
  <si>
    <t>Inventus Capital Partners, Blume Ventures &amp; Others</t>
  </si>
  <si>
    <t>Vst Travels</t>
  </si>
  <si>
    <t>Kerala</t>
  </si>
  <si>
    <t>Promatus Group</t>
  </si>
  <si>
    <t>Adpushup</t>
  </si>
  <si>
    <t>Geniee, Inc, Purvi Capital</t>
  </si>
  <si>
    <t>Wefly Indoor Skydiving</t>
  </si>
  <si>
    <t>Swastika Company Ltd.</t>
  </si>
  <si>
    <t>Mojarto</t>
  </si>
  <si>
    <t>1Crowd (through crowd funding)</t>
  </si>
  <si>
    <t>Centre for Innovation Incubation and Entrepreneurship (CIIE)</t>
  </si>
  <si>
    <t>Zeolr/Respiron</t>
  </si>
  <si>
    <t>Anupam Mittal, Sharad Sharma &amp; 14 others</t>
  </si>
  <si>
    <t>Noshir Kaka, Subramanian Ramadorai, Kiran Deshpande, Pankaj Gupta, Ravi Nigam &amp; Others</t>
  </si>
  <si>
    <t>Travelyaari</t>
  </si>
  <si>
    <t>Gujarat Venture Finance Limited (GVFL), Bennett Coleman &amp; Co. Ltd</t>
  </si>
  <si>
    <t>Khattar Holdings, ThirtyThree Investments, Soumitra Sharma, Deepak Sharma, Sumit Dayal and others</t>
  </si>
  <si>
    <t>Genextstudents</t>
  </si>
  <si>
    <t>1Crowd (through crowdfunding)</t>
  </si>
  <si>
    <t>Norwest Venture Partners, Accel India</t>
  </si>
  <si>
    <t>Mukul Singhal, Rohit Jain, Himanshu Aggrawal, Sunil Goyal Ashish Gupta,</t>
  </si>
  <si>
    <t>Faircent</t>
  </si>
  <si>
    <t>peer-to-peer lending platform</t>
  </si>
  <si>
    <t>Innovaccer</t>
  </si>
  <si>
    <t>Westbridge Capital Partners</t>
  </si>
  <si>
    <t>Cuberoot</t>
  </si>
  <si>
    <t>Funcastic</t>
  </si>
  <si>
    <t>HT Media Ltd, North Base Media</t>
  </si>
  <si>
    <t>Buttercups</t>
  </si>
  <si>
    <t>Anand Chandrasekaran, Kanwaljit Singh, Manoj Varghese</t>
  </si>
  <si>
    <t>Ashvin Chadha</t>
  </si>
  <si>
    <t>Hike</t>
  </si>
  <si>
    <t>Tencent Holdings, Foxconn Technology Group, Tiger Global, SoftBank Group, Bharti Enterprises</t>
  </si>
  <si>
    <t>Joolz</t>
  </si>
  <si>
    <t>Powerhouse Ventures, M&amp;S Partners</t>
  </si>
  <si>
    <t>Salebhai</t>
  </si>
  <si>
    <t>Makkajai</t>
  </si>
  <si>
    <t>Anand Chandrasekaran, Ananth Narayanan, Mekin Maheshwari, Ravi Garikipati, Divyesh Shah, Swastika Company Ltd</t>
  </si>
  <si>
    <t>Gradopedia</t>
  </si>
  <si>
    <t>Undisclosed Dubai based HNIs</t>
  </si>
  <si>
    <t>Maalgaadi</t>
  </si>
  <si>
    <t>Swan Angel Network,Sachin Khandelwal and others</t>
  </si>
  <si>
    <t>Zipi</t>
  </si>
  <si>
    <t>Swan Angel Network</t>
  </si>
  <si>
    <t>Appknox</t>
  </si>
  <si>
    <t>SeedPlus, Infocomm Investments, Accel Partners RNT Associates</t>
  </si>
  <si>
    <t>Kashyap Deorah, Rajul Garg, Maninder Gulati</t>
  </si>
  <si>
    <t>Sesame Software</t>
  </si>
  <si>
    <t>Kozhikode</t>
  </si>
  <si>
    <t>Speridian Technologies</t>
  </si>
  <si>
    <t>Quikr</t>
  </si>
  <si>
    <t>Digio</t>
  </si>
  <si>
    <t>Ziffity</t>
  </si>
  <si>
    <t>Aspire Systems</t>
  </si>
  <si>
    <t>Zzungry</t>
  </si>
  <si>
    <t>Satish Vasudeva, Madhusudhan Jujare &amp; Others</t>
  </si>
  <si>
    <t>Puro Wellness</t>
  </si>
  <si>
    <t>healthcare</t>
  </si>
  <si>
    <t>Torrent Group</t>
  </si>
  <si>
    <t>Saha Fund, Exfinity Venture Partners &amp; Others</t>
  </si>
  <si>
    <t>Tac Security</t>
  </si>
  <si>
    <t>Vijay Kedia</t>
  </si>
  <si>
    <t>Notesgen</t>
  </si>
  <si>
    <t>Riju Gupta, Kamal Chabra</t>
  </si>
  <si>
    <t>Nearu</t>
  </si>
  <si>
    <t>Dr. Goutam Challagalla</t>
  </si>
  <si>
    <t>Octo.Ai</t>
  </si>
  <si>
    <t>Outbox Ventures, Jaspreet Bindra, Arjun Malhotra, Rohan Malhotra, Sidharth Rao, Rakesh Agrawal</t>
  </si>
  <si>
    <t>Shaadisaga</t>
  </si>
  <si>
    <t>ah! Ventures, Anupam Mittal, Kunal Shah, Sandeep Tandon, Dheeraj Jain, Rohit Chokhani</t>
  </si>
  <si>
    <t>Unaacademy</t>
  </si>
  <si>
    <t>Advenio</t>
  </si>
  <si>
    <t>Guarented</t>
  </si>
  <si>
    <t>Beyond Evolution</t>
  </si>
  <si>
    <t>Vineet Taneja, Kamal Puri</t>
  </si>
  <si>
    <t>Uber Dreams</t>
  </si>
  <si>
    <t>Mohit Lalvani</t>
  </si>
  <si>
    <t>Convegenius</t>
  </si>
  <si>
    <t>Michael and Susan Dell Foundation</t>
  </si>
  <si>
    <t>Urbanladder</t>
  </si>
  <si>
    <t>Encashea</t>
  </si>
  <si>
    <t>Kunal Shah, Sandeep Tandon, Tracxn Labs</t>
  </si>
  <si>
    <t>Engineerbabu</t>
  </si>
  <si>
    <t>Scale Ventures</t>
  </si>
  <si>
    <t>Cult</t>
  </si>
  <si>
    <t>CureFit</t>
  </si>
  <si>
    <t>Witworks</t>
  </si>
  <si>
    <t>Fireside Ventures, Investopad, P39 Capital, Anupam Mittal, Pranay Jivrajka, Maninder Gulati, Abhinav Sinha</t>
  </si>
  <si>
    <t>Nearfox</t>
  </si>
  <si>
    <t>Ford Smart Mobility Llc</t>
  </si>
  <si>
    <t>Plix</t>
  </si>
  <si>
    <t>Instalabs</t>
  </si>
  <si>
    <t>Mobikwik</t>
  </si>
  <si>
    <t>Net1 UEPS Technologies Inc</t>
  </si>
  <si>
    <t>Mydidi</t>
  </si>
  <si>
    <t>Undisclosed Ex Mckinsey Directors and Partners</t>
  </si>
  <si>
    <t>Crownit</t>
  </si>
  <si>
    <t>Kunal Shah &amp; Sandeep Tandon, Girish Mathrubootham, Anand Chandrasekaran</t>
  </si>
  <si>
    <t>Dr. Abhishek Pandey, Jaysukh Sapra</t>
  </si>
  <si>
    <t>Runnr</t>
  </si>
  <si>
    <t>Zolo</t>
  </si>
  <si>
    <t>on-demand online talent marketplace</t>
  </si>
  <si>
    <t>Hitouch AG</t>
  </si>
  <si>
    <t>Notion Press</t>
  </si>
  <si>
    <t>Undisclosed HNI investors</t>
  </si>
  <si>
    <t>Livspace</t>
  </si>
  <si>
    <t>Bessemer Venture Partners, Jungle Ventures, Helion Ventures</t>
  </si>
  <si>
    <t>Iaugmentor Labs</t>
  </si>
  <si>
    <t>Rajasthan Angel Investor Network &amp; Others</t>
  </si>
  <si>
    <t>Daybox</t>
  </si>
  <si>
    <t>Ashutosh Lawania, Rajul Jain, Badal Malick, Rishi Gupta &amp; Others</t>
  </si>
  <si>
    <t>MediaTek Inc.</t>
  </si>
  <si>
    <t>Sophia Investment ApS</t>
  </si>
  <si>
    <t>Prime Focus Technologies</t>
  </si>
  <si>
    <t>Ambit Pragma</t>
  </si>
  <si>
    <t>Flyrobe</t>
  </si>
  <si>
    <t>IDG Ventures, Sequoia Capital, GREE Ventures</t>
  </si>
  <si>
    <t>Sarbvir Singh, Raghav Bahl</t>
  </si>
  <si>
    <t>MasterCard</t>
  </si>
  <si>
    <t>3one4 Capital, Tracxn Labs, Aaruha Technology Fund, Endiya Partners</t>
  </si>
  <si>
    <t>Zaffiro Ventures</t>
  </si>
  <si>
    <t>Pressplay Tv</t>
  </si>
  <si>
    <t>Sequoia Capital, SD Ventures, Vistaar Investment Advisors Pvt. Ltd.</t>
  </si>
  <si>
    <t>Playment</t>
  </si>
  <si>
    <t>Wealthtrust</t>
  </si>
  <si>
    <t>Accel Partners IDG Ventures, Kalaari Capital</t>
  </si>
  <si>
    <t>Stitchwood</t>
  </si>
  <si>
    <t>Deepak Gupta</t>
  </si>
  <si>
    <t>Grab</t>
  </si>
  <si>
    <t>hyperlocal logistics service</t>
  </si>
  <si>
    <t>Aramex Ventures Llc</t>
  </si>
  <si>
    <t>Fulfil.Io</t>
  </si>
  <si>
    <t>Neogrowth</t>
  </si>
  <si>
    <t>IIFL Wealth Management Seed Venture Fund, Omidyar Network, Khosla Impact, Aspada</t>
  </si>
  <si>
    <t>Seedoc</t>
  </si>
  <si>
    <t>Bookmyshow</t>
  </si>
  <si>
    <t>Stripes Group, Network 18, Accel Partners SAIF Partners</t>
  </si>
  <si>
    <t>Happilyunmarried</t>
  </si>
  <si>
    <t>Dont Scratch Your Head</t>
  </si>
  <si>
    <t>Gaurav Singhvi, Zaffiro Ventures</t>
  </si>
  <si>
    <t>Wedding Wishlist</t>
  </si>
  <si>
    <t>Kirthiga Reddy, Renuka Ramanath,Cherry Tin</t>
  </si>
  <si>
    <t>Appdaily</t>
  </si>
  <si>
    <t>Kalaari Capital, Qualcomm Ventures, ru-Net, Zodius Technology Opportunities Fund,</t>
  </si>
  <si>
    <t>Adytude</t>
  </si>
  <si>
    <t>Quickli</t>
  </si>
  <si>
    <t>AVG Group, 500 Startups</t>
  </si>
  <si>
    <t>Spectravr</t>
  </si>
  <si>
    <t>Rothenberg Ventures</t>
  </si>
  <si>
    <t>Alex Chua, Rahul Garg</t>
  </si>
  <si>
    <t>Kalaari Capital, India Quotient</t>
  </si>
  <si>
    <t>JSW Ventures, Blume Ventures &amp; IvyCap Ventures</t>
  </si>
  <si>
    <t>Trak N Tell</t>
  </si>
  <si>
    <t>Brian Acton</t>
  </si>
  <si>
    <t>Overcart</t>
  </si>
  <si>
    <t>JSW Ventures, Omidyar Network, Sattva Capital, Venture Works</t>
  </si>
  <si>
    <t>Sirionlabs</t>
  </si>
  <si>
    <t>Stanford Angels &amp; Entrepreneurs, Harvard Angels</t>
  </si>
  <si>
    <t>Mintm</t>
  </si>
  <si>
    <t>Hitgrit</t>
  </si>
  <si>
    <t>Ashish Mahajan, Sarvesh Sharma</t>
  </si>
  <si>
    <t>Find My Stay</t>
  </si>
  <si>
    <t>Rishi Parti, Yogesh Bansal</t>
  </si>
  <si>
    <t>Yaap</t>
  </si>
  <si>
    <t>Rainmaker Ventures</t>
  </si>
  <si>
    <t>Utoo Cabs</t>
  </si>
  <si>
    <t>Ajay Piramal</t>
  </si>
  <si>
    <t>Twigly</t>
  </si>
  <si>
    <t>Tracxn Labs, Hyderabad Angels, Kunal Shah, Gaurav Bhalotia</t>
  </si>
  <si>
    <t>SAIF Partners, India Quotient</t>
  </si>
  <si>
    <t>Urban Tailor</t>
  </si>
  <si>
    <t>Rentmojo</t>
  </si>
  <si>
    <t>Accel Partners IDG Ventures India</t>
  </si>
  <si>
    <t>Cityfurnish</t>
  </si>
  <si>
    <t>Heal Institute</t>
  </si>
  <si>
    <t>Jaspal Bindra, Parth Jindal</t>
  </si>
  <si>
    <t>Augrav</t>
  </si>
  <si>
    <t>Shoppinpal</t>
  </si>
  <si>
    <t>Plug and Play Tech Center, Steelhead Ventures &amp; Others</t>
  </si>
  <si>
    <t>Transtutors / Askiitians</t>
  </si>
  <si>
    <t>500 Startups</t>
  </si>
  <si>
    <t>Workapps</t>
  </si>
  <si>
    <t>Bankerbay</t>
  </si>
  <si>
    <t>Baggout</t>
  </si>
  <si>
    <t>Sumit Jain, Sumit Jain, Anurag Gupta, Varun Khanna, Faraz Khan</t>
  </si>
  <si>
    <t>GEMS group</t>
  </si>
  <si>
    <t>Satvacart</t>
  </si>
  <si>
    <t>Abhijit Avasthi, Karan Chellani, SP Vijay</t>
  </si>
  <si>
    <t>Ridlr</t>
  </si>
  <si>
    <t>Times Internet, Innoven Capital, Matrix Partners India, Qualcomm Ventures</t>
  </si>
  <si>
    <t>Yellowdig</t>
  </si>
  <si>
    <t>Zuppler</t>
  </si>
  <si>
    <t>Bluestone</t>
  </si>
  <si>
    <t>IIFL and Accel Partners Kalaari Capital, IvyCap Ventures, RB Investments</t>
  </si>
  <si>
    <t>Underdogs</t>
  </si>
  <si>
    <t>Intelli Reboot Digital Pvt. Ltd</t>
  </si>
  <si>
    <t>Imageprovision</t>
  </si>
  <si>
    <t>Satish Jamdar</t>
  </si>
  <si>
    <t>Sagacito</t>
  </si>
  <si>
    <t>Star India Pvt. Ltd</t>
  </si>
  <si>
    <t>Deal4Loans / Wishfin</t>
  </si>
  <si>
    <t>Franklin Templeton International Services Pvt. Ltd</t>
  </si>
  <si>
    <t>Niyo Solutions</t>
  </si>
  <si>
    <t>Prime Venture Partners</t>
  </si>
  <si>
    <t>Applop</t>
  </si>
  <si>
    <t>Green House Ventures Accelerator</t>
  </si>
  <si>
    <t>Tax2Win</t>
  </si>
  <si>
    <t>Truckola</t>
  </si>
  <si>
    <t>Abhishek Agarwal, Krishnakumar Nataraj, Sarath Sura, Shanti Mohan, Sarthak and Nihit Agarwal, Suramya Gupta</t>
  </si>
  <si>
    <t>Iserve Financial</t>
  </si>
  <si>
    <t>Nilesh Shah</t>
  </si>
  <si>
    <t>Mytaxiindia</t>
  </si>
  <si>
    <t>Nihon Kotsu Co</t>
  </si>
  <si>
    <t>Aberuk</t>
  </si>
  <si>
    <t>Swastika Company Pvt Ltd</t>
  </si>
  <si>
    <t>Wiwigo</t>
  </si>
  <si>
    <t>Drums Food</t>
  </si>
  <si>
    <t>Verlinvest, DSG Consumer Partners</t>
  </si>
  <si>
    <t>Chikoop</t>
  </si>
  <si>
    <t>Bridgei2I</t>
  </si>
  <si>
    <t>Beenext, Digital Garage, Lightbox, Beenos</t>
  </si>
  <si>
    <t>MapmyIndia</t>
  </si>
  <si>
    <t>Atomberg</t>
  </si>
  <si>
    <t>smart, energy efficient home appliance manufacturer</t>
  </si>
  <si>
    <t>Parampara Capital</t>
  </si>
  <si>
    <t>Limo</t>
  </si>
  <si>
    <t>Icliniq</t>
  </si>
  <si>
    <t>MadhanKumar Madathupalayam</t>
  </si>
  <si>
    <t>Gogo Truck</t>
  </si>
  <si>
    <t>Vyome Biosciences</t>
  </si>
  <si>
    <t>Romulus Capital</t>
  </si>
  <si>
    <t>Sillymonks</t>
  </si>
  <si>
    <t>Sreenivasa Reddy Musani</t>
  </si>
  <si>
    <t>Sequoia Capital, Unitus Seed Fund</t>
  </si>
  <si>
    <t>Yeahmobi, Fenqile</t>
  </si>
  <si>
    <t>Intgrea</t>
  </si>
  <si>
    <t>Helpshift</t>
  </si>
  <si>
    <t>Microsoft Ventures, Salesforce Ventures</t>
  </si>
  <si>
    <t>Creditvidya</t>
  </si>
  <si>
    <t>Grey Campus</t>
  </si>
  <si>
    <t>Sarath Sura</t>
  </si>
  <si>
    <t>Listup</t>
  </si>
  <si>
    <t>Kae Capital, Kunal Shah, Sandeep Tandon</t>
  </si>
  <si>
    <t>6Degree</t>
  </si>
  <si>
    <t>Shopwati</t>
  </si>
  <si>
    <t>Sanjiv Rai</t>
  </si>
  <si>
    <t>Cookifi</t>
  </si>
  <si>
    <t>Kunal Shah, Aneesh Reddy, Tracxn Labs, Venkat Tadanki, Krishna Mehra, Amit Rathore</t>
  </si>
  <si>
    <t>Storeking</t>
  </si>
  <si>
    <t>Axiata Digital</t>
  </si>
  <si>
    <t>Wired Hub</t>
  </si>
  <si>
    <t>Ankit Maheshwari, Anand Singh</t>
  </si>
  <si>
    <t>Myseniordoctor</t>
  </si>
  <si>
    <t>BlackJag Partners</t>
  </si>
  <si>
    <t>Teabox</t>
  </si>
  <si>
    <t>Siliguri</t>
  </si>
  <si>
    <t>Cameron Jones</t>
  </si>
  <si>
    <t>Extraaedge</t>
  </si>
  <si>
    <t>Ritesh Dwivedy, Priti Padhy</t>
  </si>
  <si>
    <t>Epaylater</t>
  </si>
  <si>
    <t>3 undisclosed HNIs</t>
  </si>
  <si>
    <t>Kyazoonga</t>
  </si>
  <si>
    <t>Paytunes</t>
  </si>
  <si>
    <t>CIO Angel Network, Indian Angel Network</t>
  </si>
  <si>
    <t>Kickstart Jobs</t>
  </si>
  <si>
    <t>Vivek Joshi, Mohit Satyanand, Amit Banati, Arun Khanna</t>
  </si>
  <si>
    <t>Freshee</t>
  </si>
  <si>
    <t>Madrat Games</t>
  </si>
  <si>
    <t>Ratan Tata, Bhavish Aggarwal, Ankit Bhati, Binny Bansal, Girish Mathrubootham</t>
  </si>
  <si>
    <t>Jazzmyride</t>
  </si>
  <si>
    <t>TVS Automobile Solutions Ltd</t>
  </si>
  <si>
    <t>Autosense</t>
  </si>
  <si>
    <t>Redsun Telematics</t>
  </si>
  <si>
    <t>Khanagadi</t>
  </si>
  <si>
    <t>Bombay Shirt Company</t>
  </si>
  <si>
    <t>Matrubharti</t>
  </si>
  <si>
    <t>Viridian Capital</t>
  </si>
  <si>
    <t>Edtechreview</t>
  </si>
  <si>
    <t>EVC Ventures</t>
  </si>
  <si>
    <t>Bonhomia</t>
  </si>
  <si>
    <t>Valpro Capital and existing investors</t>
  </si>
  <si>
    <t>Gobolt</t>
  </si>
  <si>
    <t>MCube8</t>
  </si>
  <si>
    <t>Jivox</t>
  </si>
  <si>
    <t>You &amp; Mr Jones, Fortisure Ventures, Diaz Nesamoney</t>
  </si>
  <si>
    <t>Sminq</t>
  </si>
  <si>
    <t>Saama Capital, Blume Ventures &amp; Vaibhav Domkundwar</t>
  </si>
  <si>
    <t>Curejoy</t>
  </si>
  <si>
    <t>Accel Partners India</t>
  </si>
  <si>
    <t>Oneway.Cab</t>
  </si>
  <si>
    <t>Grabonrent</t>
  </si>
  <si>
    <t>IvyCap Ventures and Unicorn India Ventures</t>
  </si>
  <si>
    <t>Unnati Helpers</t>
  </si>
  <si>
    <t>Athletto</t>
  </si>
  <si>
    <t>Atul Ingle</t>
  </si>
  <si>
    <t>Saavn</t>
  </si>
  <si>
    <t>Guy Oseary</t>
  </si>
  <si>
    <t>Thinkphi</t>
  </si>
  <si>
    <t>Nimmagadda Prasad</t>
  </si>
  <si>
    <t>Cleartax</t>
  </si>
  <si>
    <t>Ravi Adusumalli, SAIF Partners</t>
  </si>
  <si>
    <t>Silvan Innovation Labs</t>
  </si>
  <si>
    <t>Infuse Ventures</t>
  </si>
  <si>
    <t>Greythr</t>
  </si>
  <si>
    <t>New Enterprise Associates (NEA), Blume Ventures</t>
  </si>
  <si>
    <t>Duffl</t>
  </si>
  <si>
    <t>BetOnIndia Technology Pvt Ltd</t>
  </si>
  <si>
    <t>Byg</t>
  </si>
  <si>
    <t>Sanjay Verma, Amit Khanna (LetsVenture)</t>
  </si>
  <si>
    <t>Dipper</t>
  </si>
  <si>
    <t>Qonfuse</t>
  </si>
  <si>
    <t>Hamraj Kumar</t>
  </si>
  <si>
    <t>The Indian Iris</t>
  </si>
  <si>
    <t>Timbru Ventures</t>
  </si>
  <si>
    <t>Onspoon</t>
  </si>
  <si>
    <t>Restate</t>
  </si>
  <si>
    <t>Cleartrip</t>
  </si>
  <si>
    <t>Concur Technologies, Gund Investment</t>
  </si>
  <si>
    <t>Procmart</t>
  </si>
  <si>
    <t>IndiaMart</t>
  </si>
  <si>
    <t>Celerix</t>
  </si>
  <si>
    <t>Bitkemy Ventures</t>
  </si>
  <si>
    <t>Naturenama</t>
  </si>
  <si>
    <t>Unicorn Venture</t>
  </si>
  <si>
    <t>Cyclopsmedtech</t>
  </si>
  <si>
    <t>CP Bothra</t>
  </si>
  <si>
    <t>Syona Cosmetics</t>
  </si>
  <si>
    <t>Prettysecrets</t>
  </si>
  <si>
    <t>RB Investments PTE Ltd, Orios Venture Partners</t>
  </si>
  <si>
    <t>Spiderg</t>
  </si>
  <si>
    <t>Rahul Kirloskar, Fusion Tech Ventures, Adi Saravanan, Pravin Dongre, Mahendra Doshi</t>
  </si>
  <si>
    <t>Fareye</t>
  </si>
  <si>
    <t>Saif Partners</t>
  </si>
  <si>
    <t>The Uolo</t>
  </si>
  <si>
    <t>Purvi Ventures, Rajul Garg, Vipin Arora</t>
  </si>
  <si>
    <t>Staqu</t>
  </si>
  <si>
    <t>Padhopadhao</t>
  </si>
  <si>
    <t>Rise India</t>
  </si>
  <si>
    <t>Drivify</t>
  </si>
  <si>
    <t>Jitendra Gupta, Pankaj Tripathi</t>
  </si>
  <si>
    <t>Parablu</t>
  </si>
  <si>
    <t>Schedulers Logistics</t>
  </si>
  <si>
    <t>GVFL</t>
  </si>
  <si>
    <t>Mayfield Ventures</t>
  </si>
  <si>
    <t>Kabadiexpress</t>
  </si>
  <si>
    <t>Yourdost</t>
  </si>
  <si>
    <t>SAIF Partners, Aprameya Radhakrishnan, Phanindra Sama, Subba Rao Telidevara, Vibhu Garg, Paula Ravindra Mariwala, Gaurav Bhalotia</t>
  </si>
  <si>
    <t>Gomalon</t>
  </si>
  <si>
    <t>Voler Cars</t>
  </si>
  <si>
    <t>Kanodia family, Amit Banka</t>
  </si>
  <si>
    <t>GVFL Ltd</t>
  </si>
  <si>
    <t>Accel Partners RB Investments</t>
  </si>
  <si>
    <t>Locanix</t>
  </si>
  <si>
    <t>Bertelsmann India Investments, Mayfield India, Saama Capital, India Quotient</t>
  </si>
  <si>
    <t>Hello Tax</t>
  </si>
  <si>
    <t>Sanjeev Sinha</t>
  </si>
  <si>
    <t>Mysuperbrain</t>
  </si>
  <si>
    <t>Soniks Consulting</t>
  </si>
  <si>
    <t>Blogbeats</t>
  </si>
  <si>
    <t>Letreach</t>
  </si>
  <si>
    <t>vCommission</t>
  </si>
  <si>
    <t>Trendieapp</t>
  </si>
  <si>
    <t>Harsh Vardhan Hada</t>
  </si>
  <si>
    <t>Impactguru</t>
  </si>
  <si>
    <t>Piyush Jain</t>
  </si>
  <si>
    <t>Velvetcase</t>
  </si>
  <si>
    <t>Uniqorn Ventures Fund, TV Mohandas Pai, S Somasegar</t>
  </si>
  <si>
    <t>Meru Cabs</t>
  </si>
  <si>
    <t>Campus Diaries</t>
  </si>
  <si>
    <t>Aarin Capital</t>
  </si>
  <si>
    <t>Scripbox</t>
  </si>
  <si>
    <t>Omidyar Network, Accel Partners &amp; existing investors</t>
  </si>
  <si>
    <t>Biryani Blues</t>
  </si>
  <si>
    <t>Carpediem Capital &amp; Others</t>
  </si>
  <si>
    <t>Motomojo</t>
  </si>
  <si>
    <t>Niloufer Dundh, Fauzan Rahim, Balamurugan Mani,</t>
  </si>
  <si>
    <t>Prescribez</t>
  </si>
  <si>
    <t>Ankush Mehta</t>
  </si>
  <si>
    <t>Airwood</t>
  </si>
  <si>
    <t>StartupXseed Ventures</t>
  </si>
  <si>
    <t>GMO Payment Gateway, MediaTek</t>
  </si>
  <si>
    <t>Idreamcareer</t>
  </si>
  <si>
    <t>Zwayam</t>
  </si>
  <si>
    <t>Boibanit</t>
  </si>
  <si>
    <t>Zuver</t>
  </si>
  <si>
    <t>Shruth &amp; Smith Group, Hermes Group</t>
  </si>
  <si>
    <t>Prepathon</t>
  </si>
  <si>
    <t>Easyroads</t>
  </si>
  <si>
    <t>Rohan Angrish, Hrishi Oberoi, Rahul Mehta, Kapil Hetamsaria, Pranav Dedhia</t>
  </si>
  <si>
    <t>International Finance Corp, TPG Growth, Adveq Management, IDG Ventures, Ratan Tata, Kris Gopalakrishnan</t>
  </si>
  <si>
    <t>Seclore</t>
  </si>
  <si>
    <t>Sistema Asia Fund, Helion Venture, VentureEast, India Alternatives</t>
  </si>
  <si>
    <t>Solartown</t>
  </si>
  <si>
    <t>Grex</t>
  </si>
  <si>
    <t>Comarete</t>
  </si>
  <si>
    <t>Mydentistchoice</t>
  </si>
  <si>
    <t>Kalaari Capital Accelerator Program</t>
  </si>
  <si>
    <t>Indee</t>
  </si>
  <si>
    <t>IDG Ventures, Inventus Capital, Indian Angel Network</t>
  </si>
  <si>
    <t>Weballigator</t>
  </si>
  <si>
    <t>Group of undisclosed Angel Investors &amp; HNIs</t>
  </si>
  <si>
    <t>Eduace Services</t>
  </si>
  <si>
    <t>Lucknow</t>
  </si>
  <si>
    <t>MoMagic Technologies</t>
  </si>
  <si>
    <t>Rajul Garg &amp; Others</t>
  </si>
  <si>
    <t>Zebroads</t>
  </si>
  <si>
    <t>Locus</t>
  </si>
  <si>
    <t>Exfinity Venture Partners, Blume Ventures, BeeNext, Rajesh Ranavat</t>
  </si>
  <si>
    <t>Toko Innovations</t>
  </si>
  <si>
    <t>Roopak Saluja, Vishal Khare</t>
  </si>
  <si>
    <t>Rentickle</t>
  </si>
  <si>
    <t>Manish Kheterpal, Vinay Mittal, Dinesh Mittal, Sandeep Gupta</t>
  </si>
  <si>
    <t>IDG Ventures India, Inventus Capital, Blume Ventures</t>
  </si>
  <si>
    <t>Accel Partners Matrix Partners, Girish Mathrubootham</t>
  </si>
  <si>
    <t>Innonano Research</t>
  </si>
  <si>
    <t>NanoHoldings</t>
  </si>
  <si>
    <t>Schoolwear</t>
  </si>
  <si>
    <t>Norwest Venture Partners, DST Global, Accel Partners</t>
  </si>
  <si>
    <t>Zenify</t>
  </si>
  <si>
    <t>JM Financial Products Ltd, Arun Tadanki, Doreswamy Nandkishore, Kshitij Jain</t>
  </si>
  <si>
    <t>Fractal Analytics</t>
  </si>
  <si>
    <t>Khazanah Nasional Berhad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</si>
  <si>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</si>
  <si>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</si>
  <si>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</si>
  <si>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GROUPE SOS</t>
  </si>
  <si>
    <t>Dream Wallets</t>
  </si>
  <si>
    <t>Rakesh Gupta, Aditya Aggarwal, Siddharth Banerjee, Vikas Ranjan, Anshul Jindal, Sunil Koul, and Sanjeev Agrawal</t>
  </si>
  <si>
    <t>Shabdnagari</t>
  </si>
  <si>
    <t>Kanpur</t>
  </si>
  <si>
    <t>ah! Ventures</t>
  </si>
  <si>
    <t>Galleri5</t>
  </si>
  <si>
    <t>Phanindra Sama, Raghunandan G,</t>
  </si>
  <si>
    <t>Derbii</t>
  </si>
  <si>
    <t>Anurag Chauhan</t>
  </si>
  <si>
    <t>Stayzilla</t>
  </si>
  <si>
    <t>Matrix Partners, Nexus Ventures</t>
  </si>
  <si>
    <t>Undisclosed Investors &amp; Tamarind Family Private Trust</t>
  </si>
  <si>
    <t>S Chand, AdvantEdge Partners</t>
  </si>
  <si>
    <t>Bedbathmore</t>
  </si>
  <si>
    <t>Kinnevik Group, Rocket Internet</t>
  </si>
  <si>
    <t>Murgency</t>
  </si>
  <si>
    <t>Rata Tata</t>
  </si>
  <si>
    <t>Undisclosed Investors, Accel Partners Helion Venture Partners</t>
  </si>
  <si>
    <t>Blinge</t>
  </si>
  <si>
    <t>Anupam Mittal, Anuj Srivastava, Ankit Nagori</t>
  </si>
  <si>
    <t>Thesmartq</t>
  </si>
  <si>
    <t>Purplehealth</t>
  </si>
  <si>
    <t>Katabole Technology Venture</t>
  </si>
  <si>
    <t>Fundamentor</t>
  </si>
  <si>
    <t>Subramanya SV</t>
  </si>
  <si>
    <t>Edupristine</t>
  </si>
  <si>
    <t>Kaizen Management Advisors, DeVry Inc</t>
  </si>
  <si>
    <t>Bhiveworkspace</t>
  </si>
  <si>
    <t>Sujeet Kumar, Aprameya, Sumit Jain, Subramanya Venkat, Venk, Ravi Machani, Hitesh Gupta, Rohit Choudhary</t>
  </si>
  <si>
    <t>Appie</t>
  </si>
  <si>
    <t>Taxivaxi</t>
  </si>
  <si>
    <t>Veqta</t>
  </si>
  <si>
    <t>Chatsworth Management, ITW Digital</t>
  </si>
  <si>
    <t>I2Ifunding</t>
  </si>
  <si>
    <t>Pradeep Reddy Kamasan</t>
  </si>
  <si>
    <t>Hoppingo</t>
  </si>
  <si>
    <t>Eatonomist</t>
  </si>
  <si>
    <t>MCube Capital Advisors Pvt Ltd</t>
  </si>
  <si>
    <t>Goalwise</t>
  </si>
  <si>
    <t>Roast</t>
  </si>
  <si>
    <t>Address Health</t>
  </si>
  <si>
    <t>Arcatron Mobility</t>
  </si>
  <si>
    <t>Sudhir Mehta</t>
  </si>
  <si>
    <t>Shethepeople</t>
  </si>
  <si>
    <t>Anand Mahindra</t>
  </si>
  <si>
    <t>FF Angel, Sequoia Capital</t>
  </si>
  <si>
    <t>Consure Medical</t>
  </si>
  <si>
    <t>Accel Partners Indian Angel Network, India Innovation Fund India Venture Partners</t>
  </si>
  <si>
    <t>Mchamp</t>
  </si>
  <si>
    <t>Pianta</t>
  </si>
  <si>
    <t>Kunal Shah, Sandeep Tandon</t>
  </si>
  <si>
    <t>Vahanalytics</t>
  </si>
  <si>
    <t>Anirudh Damani, Vikram Lakhotia</t>
  </si>
  <si>
    <t>Play Your Sport</t>
  </si>
  <si>
    <t>Ashish Gupta and other Undisclosed Investors</t>
  </si>
  <si>
    <t>HT Media Ltd</t>
  </si>
  <si>
    <t>NSI Infinium Global Pvt. Ltd</t>
  </si>
  <si>
    <t>HBM Healthcare Investments</t>
  </si>
  <si>
    <t>Tpot</t>
  </si>
  <si>
    <t>Ashish Gupta</t>
  </si>
  <si>
    <t>Machadalo</t>
  </si>
  <si>
    <t>Dil Mil</t>
  </si>
  <si>
    <t>Nelstone Ventures, Transmedia Capital, Maiden Lane Ventures, CSC Upshot &amp; Angel investors</t>
  </si>
  <si>
    <t>Picsdream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</si>
  <si>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</si>
  <si>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</si>
  <si>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</si>
  <si>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</si>
  <si>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Vineet Singh</t>
  </si>
  <si>
    <t>Roll Mafia</t>
  </si>
  <si>
    <t>Equentia Natural Resource &amp; Other Undisclosed Investors</t>
  </si>
  <si>
    <t>Hungama</t>
  </si>
  <si>
    <t>Xiaomi Inc</t>
  </si>
  <si>
    <t>Highway Delite</t>
  </si>
  <si>
    <t>N.S. Raghavan Centre for Entrepreneurial Learning</t>
  </si>
  <si>
    <t>Cult Fitness</t>
  </si>
  <si>
    <t>Mukesh Bansal</t>
  </si>
  <si>
    <t>Haptik</t>
  </si>
  <si>
    <t>Blume Ventures, Barkawi Holdings GmbH, TM Service Technology Holdings GmbH</t>
  </si>
  <si>
    <t>Shipsy</t>
  </si>
  <si>
    <t>DTDC Express Ltd</t>
  </si>
  <si>
    <t>Gear6</t>
  </si>
  <si>
    <t>Ninestarter</t>
  </si>
  <si>
    <t>Truly Social</t>
  </si>
  <si>
    <t>London</t>
  </si>
  <si>
    <t>Nazara Technologies Pvt Ltd</t>
  </si>
  <si>
    <t>IDG, Indian Angel Network</t>
  </si>
  <si>
    <t>Vahan</t>
  </si>
  <si>
    <t>Villgro</t>
  </si>
  <si>
    <t>Imedilane</t>
  </si>
  <si>
    <t>Mahendra Patel, Nilender Chauhan</t>
  </si>
  <si>
    <t>Living Local</t>
  </si>
  <si>
    <t>Rattan Chadha</t>
  </si>
  <si>
    <t>Vegfru</t>
  </si>
  <si>
    <t>Wingify</t>
  </si>
  <si>
    <t>Oyo</t>
  </si>
  <si>
    <t>Softbank, Sequoia Capital, Lightspeed Venture Partners, Greenoaks Capital, DSG Consumer Partners and Venture Nursery</t>
  </si>
  <si>
    <t>Priceraja</t>
  </si>
  <si>
    <t>Prashant Puri</t>
  </si>
  <si>
    <t>Magicx</t>
  </si>
  <si>
    <t>Kris Gopalakrishnan, Dr. Ranjan Pai</t>
  </si>
  <si>
    <t>Happydemic</t>
  </si>
  <si>
    <t>Shaan</t>
  </si>
  <si>
    <t>Lendenclub</t>
  </si>
  <si>
    <t>Anirudh Damani, Daud Ali, Narendra Karnavat, Vikas Kapoor, Vikram Lakhotia, Krishna Jhunjhunwaala, Jayesh Shah</t>
  </si>
  <si>
    <t>Indi</t>
  </si>
  <si>
    <t>Anil Kapoor</t>
  </si>
  <si>
    <t>Legalraasta</t>
  </si>
  <si>
    <t>Pravin Khandelwal, Yatin Kumar Jain</t>
  </si>
  <si>
    <t>Raincan</t>
  </si>
  <si>
    <t>Dr. Aniruddha Malpani</t>
  </si>
  <si>
    <t>Hippily</t>
  </si>
  <si>
    <t>Dr. Sridhar Ramaswamy, Rakesh Mathur</t>
  </si>
  <si>
    <t>Prime Venture Partners,</t>
  </si>
  <si>
    <t>Wedwise</t>
  </si>
  <si>
    <t>StartUp Equity Partners</t>
  </si>
  <si>
    <t>Beaconstalk</t>
  </si>
  <si>
    <t>contextual mobile advertising</t>
  </si>
  <si>
    <t>Rajeev Agrawal, Prashant Gooty</t>
  </si>
  <si>
    <t>Deal 4Loans</t>
  </si>
  <si>
    <t>Ram Shriram, Neeraj Arora, Puru Vashishtha</t>
  </si>
  <si>
    <t>Mount Nathan Advisors</t>
  </si>
  <si>
    <t>Blue Box Media</t>
  </si>
  <si>
    <t>Mahavir Pratap Sharma, Ajay Data, Yogesh Chaudhary, Sanjay Phophaliya, Siddharth Agarwal, Kamal Kothari</t>
  </si>
  <si>
    <t>Vyomo</t>
  </si>
  <si>
    <t>Naturals Salon Chain</t>
  </si>
  <si>
    <t>Organicshop</t>
  </si>
  <si>
    <t>Vivek Nathani, Yogesh Chaudhary, Mahavir Pratap Sharma, Kamal Kothari, H C Jain</t>
  </si>
  <si>
    <t>Mind Your Fleet</t>
  </si>
  <si>
    <t>Nestaway</t>
  </si>
  <si>
    <t>Pawan Munjal, AdvantEdge Partners, Astarc Ventures</t>
  </si>
  <si>
    <t>Yufta</t>
  </si>
  <si>
    <t>Ajay Data &amp; other HNIs</t>
  </si>
  <si>
    <t>Smytten</t>
  </si>
  <si>
    <t>Houssup</t>
  </si>
  <si>
    <t>interior design and home furnishing portal</t>
  </si>
  <si>
    <t>Mitin Patel, Gaurav Agarwal</t>
  </si>
  <si>
    <t>Jugnoo</t>
  </si>
  <si>
    <t>Paytm &amp; existing investors</t>
  </si>
  <si>
    <t>Tork Motocycles</t>
  </si>
  <si>
    <t>Bhavish Aggarwal, Ankit Bhati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</si>
  <si>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</si>
  <si>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</si>
  <si>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</si>
  <si>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</si>
  <si>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Man Capital</t>
  </si>
  <si>
    <t>Oyofit</t>
  </si>
  <si>
    <t>RN Agarwal</t>
  </si>
  <si>
    <t>Oliveboard</t>
  </si>
  <si>
    <t>Maverick Capital Ventures, Sequoia Capital, Omidyar Network</t>
  </si>
  <si>
    <t>YourNest Angel Fund, Rajul Garg</t>
  </si>
  <si>
    <t>Broomberg</t>
  </si>
  <si>
    <t>Undisclosed Angel investors &amp; HNIs</t>
  </si>
  <si>
    <t>M.Paani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</si>
  <si>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</si>
  <si>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</si>
  <si>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</si>
  <si>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</si>
  <si>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M&amp;Y Partners, SVG Media, Anthil Ventures &amp; others</t>
  </si>
  <si>
    <t>Advanced Structures India</t>
  </si>
  <si>
    <t>GirnarSoft</t>
  </si>
  <si>
    <t>Mayfield India II Management Ltd</t>
  </si>
  <si>
    <t>Knolskae</t>
  </si>
  <si>
    <t>Inventus Capital Partners, HR Fund</t>
  </si>
  <si>
    <t>NTT Finance, Telephone Corporation</t>
  </si>
  <si>
    <t>Toko Innovation Studios</t>
  </si>
  <si>
    <t>Indian Angel network</t>
  </si>
  <si>
    <t>Commut</t>
  </si>
  <si>
    <t>Intouchapp</t>
  </si>
  <si>
    <t>Dropkaffe</t>
  </si>
  <si>
    <t>GrowthStory, Apurva Salapuria, Hitesh Oberoi, Sidharth Pansari, Nirupa Shankar</t>
  </si>
  <si>
    <t>Transerv</t>
  </si>
  <si>
    <t>IDFC SPICE Fund, Micromax Informatics</t>
  </si>
  <si>
    <t>Max Levchin, Scott Banister</t>
  </si>
  <si>
    <t>Careongo</t>
  </si>
  <si>
    <t>Farooq Oomerbhoy, Anupam Mittal, Anand Mittal, Ravi Garikipati, Vibhu Garg, Singapore Angel Network, Konglo Ventures</t>
  </si>
  <si>
    <t>Nandan Nilekani, Helion Ventures, Omidyar Networks, Blume Ventures</t>
  </si>
  <si>
    <t>Ichr</t>
  </si>
  <si>
    <t>Blume Ventures &amp; Other unnamed Investors</t>
  </si>
  <si>
    <t>Rebright Partners, Anand Rajaraman, Venky Harinarayan</t>
  </si>
  <si>
    <t>Impact Guru</t>
  </si>
  <si>
    <t>RB Investments, Fundnel</t>
  </si>
  <si>
    <t>S Chand &amp; Co</t>
  </si>
  <si>
    <t>Lip-Bu Tan, Michael Marks, Nicolas Braithwaite</t>
  </si>
  <si>
    <t>Momark</t>
  </si>
  <si>
    <t>Skedool</t>
  </si>
  <si>
    <t>Seattle / Bengaluru</t>
  </si>
  <si>
    <t>Systemantics</t>
  </si>
  <si>
    <t>Nandan Nilekani, Accel Partners</t>
  </si>
  <si>
    <t>Vertuals</t>
  </si>
  <si>
    <t>Dino Morea</t>
  </si>
  <si>
    <t>Imarticus Learning</t>
  </si>
  <si>
    <t>Blinc Advisors, Amit Nanavati, Tashwinder Singh, Taranjit Jaswal, Amit Khanna</t>
  </si>
  <si>
    <t>Shouut</t>
  </si>
  <si>
    <t>Matt Glickman</t>
  </si>
  <si>
    <t>Aahaa</t>
  </si>
  <si>
    <t>YourNest Angel Fund,</t>
  </si>
  <si>
    <t>Sudhir Mehta, Anoop Hingorani</t>
  </si>
  <si>
    <t>Civilsdaily</t>
  </si>
  <si>
    <t>Manoj Kumar &amp; Other Undisclosed Investors</t>
  </si>
  <si>
    <t>Zappka</t>
  </si>
  <si>
    <t>Daman Soni, Rajat Gupta &amp; Others</t>
  </si>
  <si>
    <t>Tarusa World</t>
  </si>
  <si>
    <t>Mohit Gulati</t>
  </si>
  <si>
    <t>Medecube</t>
  </si>
  <si>
    <t>Artiman Ventures</t>
  </si>
  <si>
    <t>N.O.W</t>
  </si>
  <si>
    <t>Ruchirans Jaipuria, Anuj Sanghi</t>
  </si>
  <si>
    <t>Accel Partners Qualcomm Ventures, M&amp;S Partners, Zop Smart</t>
  </si>
  <si>
    <t>Reach</t>
  </si>
  <si>
    <t>Rebright Partners, Sol Primero, Sudhir Anandarao, Ankur Warikoo, Ankur Singla</t>
  </si>
  <si>
    <t>Vanity Cube</t>
  </si>
  <si>
    <t>Unicorn Ventures</t>
  </si>
  <si>
    <t>Naveen Tewari, Abhay Singhal, Amit Gupta, Piyush Shah, Raghunandan G, Rajiv Mehta</t>
  </si>
  <si>
    <t>Medidaili</t>
  </si>
  <si>
    <t>Undisclosed private investors</t>
  </si>
  <si>
    <t>Finomena</t>
  </si>
  <si>
    <t>Cookaroo</t>
  </si>
  <si>
    <t>Vijay Krishna Yadav</t>
  </si>
  <si>
    <t>Vphrase Analytics</t>
  </si>
  <si>
    <t>Apoorv Ranjan Sharma, Daud Ali and others</t>
  </si>
  <si>
    <t>Lovecycles</t>
  </si>
  <si>
    <t>Kartrocket</t>
  </si>
  <si>
    <t>Undisclosed Japanese investor, Bertelsmann India Investments, Nirvana Digital India Fund, Nirvana Digital Investment Holding Co Ltd, 500 Start-Ups</t>
  </si>
  <si>
    <t>Aspada Investment Advisors, Blume Ventures.</t>
  </si>
  <si>
    <t>Indiamart</t>
  </si>
  <si>
    <t>Amadeus Capital</t>
  </si>
  <si>
    <t>Smartvizx</t>
  </si>
  <si>
    <t>Indian Angel Network, Stanford Angels, Entrepreneurs India</t>
  </si>
  <si>
    <t>Vipul Parekh, ajesh K Murthy,</t>
  </si>
  <si>
    <t>Nukkad Shops</t>
  </si>
  <si>
    <t>PurpleTalk Inc</t>
  </si>
  <si>
    <t>Cloudacar</t>
  </si>
  <si>
    <t>Amit Choudhary, Anuj Puri</t>
  </si>
  <si>
    <t>Dheeraj Jain &amp; Other angel investors</t>
  </si>
  <si>
    <t>Yana</t>
  </si>
  <si>
    <t>Puneet Gupta,</t>
  </si>
  <si>
    <t>Big Fish Ventures</t>
  </si>
  <si>
    <t>Stylflip</t>
  </si>
  <si>
    <t>Raj Gala Shah, Zaheer Memon</t>
  </si>
  <si>
    <t>Pune/Seattle</t>
  </si>
  <si>
    <t>Ignition Partners, Greycroft Partners, Fidelity Growth Partners India</t>
  </si>
  <si>
    <t>Supplified</t>
  </si>
  <si>
    <t>Mohit Goel</t>
  </si>
  <si>
    <t>Jollyfoodfellow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</si>
  <si>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</si>
  <si>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</si>
  <si>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</si>
  <si>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</si>
  <si>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Agarwal Movers Group</t>
  </si>
  <si>
    <t>Eswasthya</t>
  </si>
  <si>
    <t>Hemang Sahani</t>
  </si>
  <si>
    <t>Flipclass</t>
  </si>
  <si>
    <t>S Chand and Co Pvt Ltd, Blume Ventures</t>
  </si>
  <si>
    <t>Proximit</t>
  </si>
  <si>
    <t>Funding through 1Crowd platform</t>
  </si>
  <si>
    <t>Withme</t>
  </si>
  <si>
    <t>Alex Kuruvilla, Pradeep Guha, Saket Dhankar, Rajan Pandhare</t>
  </si>
  <si>
    <t>Chandrashekar Tallapragada, Pankaj Kapoor</t>
  </si>
  <si>
    <t>Avagmah</t>
  </si>
  <si>
    <t>Kris Gopalakrishnan, Atul Nishar</t>
  </si>
  <si>
    <t>Wealthy</t>
  </si>
  <si>
    <t>Zishaan Hayath, Abhishek Goyal, Arjun and Rohan Malhotra, Harpreet Singh Grover, Gagan Dugal</t>
  </si>
  <si>
    <t>Pramati</t>
  </si>
  <si>
    <t>Qlivery</t>
  </si>
  <si>
    <t>Healthenablr</t>
  </si>
  <si>
    <t>Liftiee</t>
  </si>
  <si>
    <t>Rannvijay Singh, Anita Hassanandani</t>
  </si>
  <si>
    <t>Hello Curry</t>
  </si>
  <si>
    <t>Sashi Reddi &amp; Other unnamed investors</t>
  </si>
  <si>
    <t>Gosporto</t>
  </si>
  <si>
    <t>Naveen Gupta</t>
  </si>
  <si>
    <t>Oneclickwash</t>
  </si>
  <si>
    <t>Girnar Software</t>
  </si>
  <si>
    <t>Google Capital</t>
  </si>
  <si>
    <t>Room On Call</t>
  </si>
  <si>
    <t>CASHurDRIVE Marketing Pvt Ltd</t>
  </si>
  <si>
    <t>Sequoia India, Sofina</t>
  </si>
  <si>
    <t>Abraaj Group</t>
  </si>
  <si>
    <t>Drivojoy</t>
  </si>
  <si>
    <t>Indian Angel Network, Tracxn Labs &amp; Others</t>
  </si>
  <si>
    <t>Smartron</t>
  </si>
  <si>
    <t>Sachin Tendulkar</t>
  </si>
  <si>
    <t>Lifcare</t>
  </si>
  <si>
    <t>Rajul Garg, Alok Mittal, Kunal Shah, Rishi Mandawat, Dheeraj Jain, Sandeep Tandon, Dexter Angel Circle</t>
  </si>
  <si>
    <t>Creditseva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</si>
  <si>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</si>
  <si>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</si>
  <si>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</si>
  <si>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</si>
  <si>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</si>
  <si>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Devidas Desai, Vipul Gautam, Singapore Angel Network</t>
  </si>
  <si>
    <t>Sp Robotics</t>
  </si>
  <si>
    <t>Indian Angel Network,</t>
  </si>
  <si>
    <t>500 Startups, Littlerock, Singularity Ventures</t>
  </si>
  <si>
    <t>BitChemy Ventures, Maheshwari Investments Pvt Ltd, Anshoo Gaur, Rama Krishna Reddy, Sandeep Seerapu</t>
  </si>
  <si>
    <t>Hashlearn</t>
  </si>
  <si>
    <t>Broadbean Capital services</t>
  </si>
  <si>
    <t>Horntell</t>
  </si>
  <si>
    <t>Bharanidharan Viswanathan, Sanjiv Mittal, Shobhit Shukla, Rahul Agarwal</t>
  </si>
  <si>
    <t>Schoolkart</t>
  </si>
  <si>
    <t>Healtheminds</t>
  </si>
  <si>
    <t>Robin Utthappa</t>
  </si>
  <si>
    <t>Babygogo</t>
  </si>
  <si>
    <t>Rajul Garg, Daljit Singh, Aditya Vij, Kishore Kumar, Shuchin Bajaj</t>
  </si>
  <si>
    <t>Veritas Finance</t>
  </si>
  <si>
    <t>Sarva Capital</t>
  </si>
  <si>
    <t>Qikship</t>
  </si>
  <si>
    <t>Fixnix</t>
  </si>
  <si>
    <t>Jay Vijayan</t>
  </si>
  <si>
    <t>SoftBank Ventures Korea</t>
  </si>
  <si>
    <t>Alok Mittal, Amit Gupta, Anuj Srivastava, Himanshu Aggarwal, Raghunandan G, Puneet Agarwal</t>
  </si>
  <si>
    <t>Switchme</t>
  </si>
  <si>
    <t>Mohandas Pai, Hiro Mashita, Singapore Angel Network, 500 Startups, Rajan Anandan, Ajay Sarupria</t>
  </si>
  <si>
    <t>Transcell</t>
  </si>
  <si>
    <t>Blue Tokai Coffee</t>
  </si>
  <si>
    <t>Snow Leopard Technology Ventures</t>
  </si>
  <si>
    <t>Altizone</t>
  </si>
  <si>
    <t>Oust App</t>
  </si>
  <si>
    <t>Strike</t>
  </si>
  <si>
    <t>Multiple investors through Ten Minute Million competition</t>
  </si>
  <si>
    <t>Maaxmarket</t>
  </si>
  <si>
    <t>Gamooz</t>
  </si>
  <si>
    <t>Soundsurround</t>
  </si>
  <si>
    <t>Mazkara</t>
  </si>
  <si>
    <t>Pune / Dubai</t>
  </si>
  <si>
    <t>Dunamis Ventures Pte Ltd.</t>
  </si>
  <si>
    <t>Roadgods</t>
  </si>
  <si>
    <t>Green House Ventures (GHV)</t>
  </si>
  <si>
    <t>Pindropmusic</t>
  </si>
  <si>
    <t>Woodpie</t>
  </si>
  <si>
    <t>Ingram Content Group</t>
  </si>
  <si>
    <t>Perfumery</t>
  </si>
  <si>
    <t>Oranda Global &amp; Others</t>
  </si>
  <si>
    <t>Magic Crate</t>
  </si>
  <si>
    <t>TV Mohandas Pai, Aarin Capital</t>
  </si>
  <si>
    <t>Sherpa Capital, Nyca Partners and Thomvest Ventures</t>
  </si>
  <si>
    <t>Smartcooky</t>
  </si>
  <si>
    <t>Vandana Luthra,</t>
  </si>
  <si>
    <t>Turtlemint</t>
  </si>
  <si>
    <t>online personalized insurance platform</t>
  </si>
  <si>
    <t>Bhive</t>
  </si>
  <si>
    <t>Raghunandan G, Venturesity, Arihant Patni</t>
  </si>
  <si>
    <t>Gingercrush</t>
  </si>
  <si>
    <t>Saha Fund, TV Mohandas Pai, Zia Mody, Mumbai Angels, Ananda Kallugadde, Rakesh Desai, Rakesh Malhotra</t>
  </si>
  <si>
    <t>American Vision</t>
  </si>
  <si>
    <t>Dawailelo</t>
  </si>
  <si>
    <t>Varanasi</t>
  </si>
  <si>
    <t>Livenutrifit</t>
  </si>
  <si>
    <t>Mohit Goel, Vinod Jain &amp; Others</t>
  </si>
  <si>
    <t>Istyleyou</t>
  </si>
  <si>
    <t>Adurcup</t>
  </si>
  <si>
    <t>online marketplace for wedding venues and vendors</t>
  </si>
  <si>
    <t>Urban Dhobi</t>
  </si>
  <si>
    <t>Vinod Bansal, Sanjeev Singhal</t>
  </si>
  <si>
    <t>Gray Routes</t>
  </si>
  <si>
    <t>Mahesh Parasuraman, Rahul Gautam &amp; Others</t>
  </si>
  <si>
    <t>Xpressbees</t>
  </si>
  <si>
    <t>SAIF Partners, IDG Ventures India, Vertex Ventures, Valiant Capital</t>
  </si>
  <si>
    <t>Invictus Oncology</t>
  </si>
  <si>
    <t>Endiya Partners, Mekin Maheshwari, Rajesh Sawhney</t>
  </si>
  <si>
    <t>Inc42</t>
  </si>
  <si>
    <t>India Ventures, Aarin Capital &amp; Others</t>
  </si>
  <si>
    <t>Edelweiss Financial Services</t>
  </si>
  <si>
    <t>Capzest</t>
  </si>
  <si>
    <t>Lion Ventures</t>
  </si>
  <si>
    <t>Glamstudios</t>
  </si>
  <si>
    <t>Aqeel Ahmed</t>
  </si>
  <si>
    <t>Affimity</t>
  </si>
  <si>
    <t>Anandakanda</t>
  </si>
  <si>
    <t>Joulestowatts</t>
  </si>
  <si>
    <t>Manipal Global Education Services</t>
  </si>
  <si>
    <t>Atul Jain, Anil Gelra, Jaikumar Nair</t>
  </si>
  <si>
    <t>Stylofie</t>
  </si>
  <si>
    <t>Jaideep Mehta</t>
  </si>
  <si>
    <t>Oybob</t>
  </si>
  <si>
    <t>Sachin Dalal</t>
  </si>
  <si>
    <t>Actonmagic</t>
  </si>
  <si>
    <t>Jayabalan Subramanian</t>
  </si>
  <si>
    <t>Alok Rawat, Grey Orange Robotics</t>
  </si>
  <si>
    <t>Igrenenergi</t>
  </si>
  <si>
    <t>Sunil Mehta</t>
  </si>
  <si>
    <t>Rksv</t>
  </si>
  <si>
    <t>Aasaanjobs</t>
  </si>
  <si>
    <t>Snapdeal</t>
  </si>
  <si>
    <t>Saumya Tandon</t>
  </si>
  <si>
    <t>Snapbizz</t>
  </si>
  <si>
    <t>Goyano</t>
  </si>
  <si>
    <t>Mukesh Kumar Gupta</t>
  </si>
  <si>
    <t>Vaibhav Doshi, Abhay Singhal, Vibhu Garg, Joby Babu, Abhishek Acharya, Manish Shah</t>
  </si>
  <si>
    <t>Buddy</t>
  </si>
  <si>
    <t>Legistify</t>
  </si>
  <si>
    <t>Ranjit Singh</t>
  </si>
  <si>
    <t>Tablehero</t>
  </si>
  <si>
    <t>GrowX Ventures, Kunal Shah, Sandeep Tandon, Haresh Chawla, Powai Lake Ventures, Globevestor</t>
  </si>
  <si>
    <t>Virendra Shekhawat, Deepak Chokhani, Yogesh Patel &amp; Others</t>
  </si>
  <si>
    <t>Icustommadeit</t>
  </si>
  <si>
    <t>Brand Capital, Siddhivinayak Skyscrapers, Dinesh R. Challa</t>
  </si>
  <si>
    <t>Tring</t>
  </si>
  <si>
    <t>Vishwadeep Bajaj &amp; Others</t>
  </si>
  <si>
    <t>Rajnish Sinha, Prijit Debnath, Kanchan Ghoshal</t>
  </si>
  <si>
    <t>Timemytask</t>
  </si>
  <si>
    <t>Lead Angels</t>
  </si>
  <si>
    <t>Gamezop</t>
  </si>
  <si>
    <t>KWAN Entertainment &amp; Marketing Solutions, Powerhouse Ventures &amp; Others</t>
  </si>
  <si>
    <t>Notary Mama</t>
  </si>
  <si>
    <t>Dr Nandish Domlur, Amit Sandill</t>
  </si>
  <si>
    <t>The Viral Fever</t>
  </si>
  <si>
    <t>Avanti Learning</t>
  </si>
  <si>
    <t>Michael &amp; Susan Dell Foundation</t>
  </si>
  <si>
    <t>Bollant Industries</t>
  </si>
  <si>
    <t>Getvee</t>
  </si>
  <si>
    <t>Lightspeed Venture Partners, K Ganesh</t>
  </si>
  <si>
    <t>Healthkumbh</t>
  </si>
  <si>
    <t>Unlaze</t>
  </si>
  <si>
    <t>Sujal Shah, Dino Morea</t>
  </si>
  <si>
    <t>Tracxn</t>
  </si>
  <si>
    <t>Nandan Nilekani, Mohandas Pai, Neeraj Arora, Anand Rajaraman, Girish Mathrubootham, Aneesh Reddy &amp; Teruhide Sato</t>
  </si>
  <si>
    <t>Farooq Oomerbhoy &amp; Other angel investors</t>
  </si>
  <si>
    <t>Ark Robot</t>
  </si>
  <si>
    <t>Qualcomm (Through QPrize Contest)</t>
  </si>
  <si>
    <t>Jaypore</t>
  </si>
  <si>
    <t>Aavishkaar</t>
  </si>
  <si>
    <t>Finance Buddha</t>
  </si>
  <si>
    <t>Chennai Angels</t>
  </si>
  <si>
    <t>Almaconnect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</si>
  <si>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</si>
  <si>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</si>
  <si>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</si>
  <si>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</si>
  <si>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</si>
  <si>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</si>
  <si>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</si>
  <si>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</si>
  <si>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Nitin Bagmane &amp; Other Undisclosed Investors</t>
  </si>
  <si>
    <t>Lightspeed India</t>
  </si>
  <si>
    <t>First Eat</t>
  </si>
  <si>
    <t>Sachin Bansal, Binny Bansal, Accel Partners &amp; Others</t>
  </si>
  <si>
    <t>Taskbob</t>
  </si>
  <si>
    <t>IvyCap Ventures, Orios Venture Partners, Mayfield India</t>
  </si>
  <si>
    <t>Newslaundry</t>
  </si>
  <si>
    <t>Cuponation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</si>
  <si>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</si>
  <si>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</si>
  <si>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</si>
  <si>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</si>
  <si>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</si>
  <si>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Yajnanarayana Kammaje</t>
  </si>
  <si>
    <t>Tracxn Syndicate</t>
  </si>
  <si>
    <t>Beenext, Digital Garage, Beenos, Qualgro, Mamoru Taniya, SAIF Partners</t>
  </si>
  <si>
    <t>Appilyever</t>
  </si>
  <si>
    <t>Varun Aggarwal, Suresh Venkat, Raj Y</t>
  </si>
  <si>
    <t>Pocketin</t>
  </si>
  <si>
    <t>Feetapart</t>
  </si>
  <si>
    <t>Vishal Bali &amp; Others</t>
  </si>
  <si>
    <t>Carveniche</t>
  </si>
  <si>
    <t>Calcutta Angels, Lead Angels &amp; Others</t>
  </si>
  <si>
    <t>Juspay</t>
  </si>
  <si>
    <t>Accel Partners Ashish Hemrajani, Parikshit Dar, Rajesh Balpande</t>
  </si>
  <si>
    <t>Funcart</t>
  </si>
  <si>
    <t>Freedom Smart Labs</t>
  </si>
  <si>
    <t>Kapil Goel</t>
  </si>
  <si>
    <t>Edubridge</t>
  </si>
  <si>
    <t>Insitor Impact Asia Fund, Acumen Fund</t>
  </si>
  <si>
    <t>Hopscotch</t>
  </si>
  <si>
    <t>Pinclick</t>
  </si>
  <si>
    <t>Rajan Anandan, Pramod Bhasin, Siddharth Pai, TV Mohandas Pai, Manvinder Singh Banga</t>
  </si>
  <si>
    <t>Helpi</t>
  </si>
  <si>
    <t>Dogspot</t>
  </si>
  <si>
    <t>Career360</t>
  </si>
  <si>
    <t>MeritTrac</t>
  </si>
  <si>
    <t>B9 Beverages</t>
  </si>
  <si>
    <t>Sequoia Capital, Kunal Bahl, Rohit Bansal, Deepinder Goyal, Ashish Dhawan, Mayank Singhal</t>
  </si>
  <si>
    <t>Wimwi Foods</t>
  </si>
  <si>
    <t>Mychild App</t>
  </si>
  <si>
    <t>Samir Bangara, Anisha Mittal, Amit Gupta, Pallav Nadhani, Lalit Mangal, Arihant Patni, Dr. Ritesh Malik, Deobrat Singh, Saurab Paruthi, Singapore Angel Network.</t>
  </si>
  <si>
    <t>Instaproc</t>
  </si>
  <si>
    <t>Dinesh Agarwal</t>
  </si>
  <si>
    <t>360Ride</t>
  </si>
  <si>
    <t>Alef Mobitech</t>
  </si>
  <si>
    <t>Tata Capital Innovation Fund</t>
  </si>
  <si>
    <t>Qdesq</t>
  </si>
  <si>
    <t>Dheeraj Jain, Jagdish Kumar, Bharat Gupta, Ankush Saigal, Praveen Saini</t>
  </si>
  <si>
    <t>Sensara</t>
  </si>
  <si>
    <t>Zebpay</t>
  </si>
  <si>
    <t>Arjun Handa, Amit Jindal, Nagendra Chaudhary</t>
  </si>
  <si>
    <t>Planmy Medicaltrip</t>
  </si>
  <si>
    <t>Bhanu Vikram Parsotam, Rohan Desai and Paras Patel</t>
  </si>
  <si>
    <t>SIDBI Venture Capital Limited, YourNest Angel Fund</t>
  </si>
  <si>
    <t>Justdakhila</t>
  </si>
  <si>
    <t>Ankur Gupta</t>
  </si>
  <si>
    <t>Myntra/LivSpace Founders</t>
  </si>
  <si>
    <t>Bikxie</t>
  </si>
  <si>
    <t>Infurnia</t>
  </si>
  <si>
    <t>Newbie Promoter Pvt Ltd</t>
  </si>
  <si>
    <t>Ctripcom International Ltd</t>
  </si>
  <si>
    <t>Melorra</t>
  </si>
  <si>
    <t>Lightbox Ventures</t>
  </si>
  <si>
    <t>Confirmtkt</t>
  </si>
  <si>
    <t>Krishna Jhujhunwala, Dr. Apoorv Ranjan Sharma, Anirudh Damani, Anand Ladsariya, Sanjay Mehta &amp; Others</t>
  </si>
  <si>
    <t>Gyaanzone</t>
  </si>
  <si>
    <t>GBIM Technologies Pvt Ltd</t>
  </si>
  <si>
    <t>Flatfurnish</t>
  </si>
  <si>
    <t>Arun Chandra Mohan</t>
  </si>
  <si>
    <t>Lumiere</t>
  </si>
  <si>
    <t>Nahata Family, Waheed Alli</t>
  </si>
  <si>
    <t>Wishup</t>
  </si>
  <si>
    <t>500 Startups, Mato Peric, TracxnLabs</t>
  </si>
  <si>
    <t>Freshmenu</t>
  </si>
  <si>
    <t>Zodius Capital, Lightspeed Venture Partners</t>
  </si>
  <si>
    <t>Savvymob</t>
  </si>
  <si>
    <t>TV Mohandas Pai, LetsVenture</t>
  </si>
  <si>
    <t>Fashionablyin</t>
  </si>
  <si>
    <t>Ranjan Mahtani</t>
  </si>
  <si>
    <t>GIC, Tiger Global Management, Nexus Venture Partners</t>
  </si>
  <si>
    <t>Hike Messenger</t>
  </si>
  <si>
    <t>Ibus Networks</t>
  </si>
  <si>
    <t>Vallabh Bhanshali, N Squared Management LLC, Jagdish &amp; Sandeep Mehta Family Office</t>
  </si>
  <si>
    <t>Happy2Refer</t>
  </si>
  <si>
    <t>Equity Crest, Vinners, Sparknext</t>
  </si>
  <si>
    <t>Temasek Holdings, March Capital, Warburg Pincus</t>
  </si>
  <si>
    <t>Rentomo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</si>
  <si>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</si>
  <si>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</si>
  <si>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</si>
  <si>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</si>
  <si>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</si>
  <si>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</si>
  <si>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Obino</t>
  </si>
  <si>
    <t>Snapshopr</t>
  </si>
  <si>
    <t>Amod Malviya</t>
  </si>
  <si>
    <t>Buildkar</t>
  </si>
  <si>
    <t>Mustafa Wajid, Umang Kumar &amp; Others</t>
  </si>
  <si>
    <t>Orahi</t>
  </si>
  <si>
    <t>Flipkart, Saavn, Micromax, Dhiraj Rajaram, Ambiga Dhiraj, Dinesh Agarwal, Samir Bangara, Sanjay Nath, Arihant Patni</t>
  </si>
  <si>
    <t>Remidio</t>
  </si>
  <si>
    <t>Cipher-Plexus Capital Advisors &amp; Indian HNIs</t>
  </si>
  <si>
    <t>Varun Khurana, Samar Singla, Vinay Bansal,</t>
  </si>
  <si>
    <t>Evibe</t>
  </si>
  <si>
    <t>healthcare aggregator platform</t>
  </si>
  <si>
    <t>Times Group</t>
  </si>
  <si>
    <t>Jobick</t>
  </si>
  <si>
    <t>Abhinav Mathur</t>
  </si>
  <si>
    <t>Plick</t>
  </si>
  <si>
    <t>Sanjay Mehta</t>
  </si>
  <si>
    <t>Voice Friends</t>
  </si>
  <si>
    <t>Huzaifa Khorakiwala</t>
  </si>
  <si>
    <t>Bertelsmann India Investments, Nirvana Digital India Fund, Nirvana Digital Investment Holding, 500 Startups</t>
  </si>
  <si>
    <t>Harmony Partners, RB Investments &amp; existing investors</t>
  </si>
  <si>
    <t>Cashkaro</t>
  </si>
  <si>
    <t>Gameezop</t>
  </si>
  <si>
    <t>Anand Chandrasekaran &amp; Others</t>
  </si>
  <si>
    <t>Dailyobjects</t>
  </si>
  <si>
    <t>Omidyar Network,</t>
  </si>
  <si>
    <t>Collegedunia</t>
  </si>
  <si>
    <t>Umang Kumar</t>
  </si>
  <si>
    <t>Lemelson Foundation, Michael and Susan Dell Foundation</t>
  </si>
  <si>
    <t>Reddoorz</t>
  </si>
  <si>
    <t>Industrybuying</t>
  </si>
  <si>
    <t>Just Buy Live</t>
  </si>
  <si>
    <t>Imbesharam</t>
  </si>
  <si>
    <t>Undisclosed US Based Investors</t>
  </si>
  <si>
    <t>Moodoo</t>
  </si>
  <si>
    <t>Saral Designs</t>
  </si>
  <si>
    <t>Farooq Adam, Ambi Parameswaran,</t>
  </si>
  <si>
    <t>Firstcry</t>
  </si>
  <si>
    <t>Rob Chandra</t>
  </si>
  <si>
    <t>Unilazer Ventures</t>
  </si>
  <si>
    <t>SoftBank Corp</t>
  </si>
  <si>
    <t>Creo</t>
  </si>
  <si>
    <t>Sequoia Capital, Beenext Ventures, India Quotient, Anand Chandrasekaran</t>
  </si>
  <si>
    <t>Shabdanagari</t>
  </si>
  <si>
    <t>Kanpur Angels &amp; Others</t>
  </si>
  <si>
    <t>Little</t>
  </si>
  <si>
    <t>GIC</t>
  </si>
  <si>
    <t>Jungle Ventures, Taurus Value Creation, Konly Venture, Blume Ventures</t>
  </si>
  <si>
    <t>on-demand concierge services</t>
  </si>
  <si>
    <t>Chandigarh Angels Funding</t>
  </si>
  <si>
    <t>Plexusmd</t>
  </si>
  <si>
    <t>Arihant Patni, Avnish Mehra, Pranay Adhvaryu, Ravi Sampat</t>
  </si>
  <si>
    <t>Silvan</t>
  </si>
  <si>
    <t>Eps</t>
  </si>
  <si>
    <t>APIS Partners</t>
  </si>
  <si>
    <t>Institutional Venture Partners, Norwest Venture Partners, Lightspeed Venture Partners, CRV</t>
  </si>
  <si>
    <t>Gajty</t>
  </si>
  <si>
    <t>Purvi Ventures</t>
  </si>
  <si>
    <t>Siftr Labs</t>
  </si>
  <si>
    <t>Nandan Nilekani, Accel Partners Kalaari Capital and Inventus Capital</t>
  </si>
  <si>
    <t>Skycandle</t>
  </si>
  <si>
    <t>GPA group</t>
  </si>
  <si>
    <t>Buildzar</t>
  </si>
  <si>
    <t>Puneet Dalmia</t>
  </si>
  <si>
    <t>Applicate</t>
  </si>
  <si>
    <t>Whatsonrent</t>
  </si>
  <si>
    <t>Lalit Mangal &amp; Others</t>
  </si>
  <si>
    <t>Zebi (Yet To Launch)</t>
  </si>
  <si>
    <t>Un disclosed investors</t>
  </si>
  <si>
    <t>Truce</t>
  </si>
  <si>
    <t>Anupam Mittal, Amit Gupta, Utsav Somani, Neeraj Goenka, Farooq Adam Mukadam</t>
  </si>
  <si>
    <t>Justdoc</t>
  </si>
  <si>
    <t>TV Mohandas Pai, Mohit Saxena, Raghunandan G, Singapore Angel Network, TracxnLabs</t>
  </si>
  <si>
    <t>Myeglu</t>
  </si>
  <si>
    <t>Foxconn Technology Group &amp; Others</t>
  </si>
  <si>
    <t>Bitgiving</t>
  </si>
  <si>
    <t>Harminder Sahni, Krishna Mehra, Sanjay Bakshi</t>
  </si>
  <si>
    <t>Jodhpur</t>
  </si>
  <si>
    <t>Maple Capital Advisors</t>
  </si>
  <si>
    <t>TermSheet, ah! Ventures</t>
  </si>
  <si>
    <t>Zodius Technology Fund, Lightspeed Venture Partners</t>
  </si>
  <si>
    <t>Kalaari Capital, Inventus Capital, Tekton Ventures, Kae Capital</t>
  </si>
  <si>
    <t>Rare Media</t>
  </si>
  <si>
    <t>Lead Angel Network</t>
  </si>
  <si>
    <t>Codinglabs</t>
  </si>
  <si>
    <t>Vineet Nalla</t>
  </si>
  <si>
    <t>Findurclass</t>
  </si>
  <si>
    <t>Amit Patni, Anirudh Damani, Samir Shah</t>
  </si>
  <si>
    <t>Designbids</t>
  </si>
  <si>
    <t>Black White Orange Brands</t>
  </si>
  <si>
    <t>Biteclub</t>
  </si>
  <si>
    <t>growX ventures</t>
  </si>
  <si>
    <t>Patel Logistics</t>
  </si>
  <si>
    <t>Frontline Strategy</t>
  </si>
  <si>
    <t>Aarin Capital Partners, TV Mohandas Pai</t>
  </si>
  <si>
    <t>Zapluk</t>
  </si>
  <si>
    <t>Godof Hospitals</t>
  </si>
  <si>
    <t>Pankaj Gupta</t>
  </si>
  <si>
    <t>Roomstonite</t>
  </si>
  <si>
    <t>Kaaryah</t>
  </si>
  <si>
    <t>The Saha Fund, TV Mohandas Pai</t>
  </si>
  <si>
    <t>Anakage</t>
  </si>
  <si>
    <t>CIO Angel Network (CAN)</t>
  </si>
  <si>
    <t>Easykhaana</t>
  </si>
  <si>
    <t>Sequoia Capital, Times Internet Ltd &amp; One more Fund</t>
  </si>
  <si>
    <t>Eckovation</t>
  </si>
  <si>
    <t>Chandigarh Angel Network (CAN)</t>
  </si>
  <si>
    <t>Fitcircle</t>
  </si>
  <si>
    <t>Beerud Sheth and Ravi Mantha</t>
  </si>
  <si>
    <t>GHV Accelerator</t>
  </si>
  <si>
    <t>Carpm</t>
  </si>
  <si>
    <t>Ndtv Wedding Portal</t>
  </si>
  <si>
    <t>CerraCap</t>
  </si>
  <si>
    <t>Splitkart</t>
  </si>
  <si>
    <t>Rajesh Sawhney, Anupam Mittal, Dinesh Agarwal, Gaurav Gupta,</t>
  </si>
  <si>
    <t>Customfurnish</t>
  </si>
  <si>
    <t>Agnus Capital</t>
  </si>
  <si>
    <t>Vlurn</t>
  </si>
  <si>
    <t>Vidyadhar Sarfare</t>
  </si>
  <si>
    <t>Leaf Wearables</t>
  </si>
  <si>
    <t>Ajeet Khurana Jinesh Shah, Vikram Chachra, Dr. Aniruddha Malpani</t>
  </si>
  <si>
    <t>Coolshare</t>
  </si>
  <si>
    <t>Gopal Aggarwal</t>
  </si>
  <si>
    <t>Mficient</t>
  </si>
  <si>
    <t>Heybiz</t>
  </si>
  <si>
    <t>Yumist</t>
  </si>
  <si>
    <t>Unilazer Ventures, Orios Venture Partners, Steven Lurie</t>
  </si>
  <si>
    <t>Jigsaw Academy</t>
  </si>
  <si>
    <t>TracxnLabs, Jitendra Gupta, Prashant Tandon</t>
  </si>
  <si>
    <t>SAIF Partners, Accion</t>
  </si>
  <si>
    <t>Jumbobasket</t>
  </si>
  <si>
    <t>Tiger Global Management, Yuri Milner, Apoletto, Accel Partners Flipkart</t>
  </si>
  <si>
    <t>Homestudio</t>
  </si>
  <si>
    <t>Bren Corporation</t>
  </si>
  <si>
    <t>Prophesee</t>
  </si>
  <si>
    <t>I2E1</t>
  </si>
  <si>
    <t>GrowX Ventures</t>
  </si>
  <si>
    <t>Holisol Logistics</t>
  </si>
  <si>
    <t>CLSA Capital Partners ARIA IV Funds</t>
  </si>
  <si>
    <t>Stay Simple Resorts</t>
  </si>
  <si>
    <t>Mr. Sudhir &amp; Ms. Shalini Sethi, Mr. Praveen Someshwar</t>
  </si>
  <si>
    <t>Paynear</t>
  </si>
  <si>
    <t>Mitesh Majithia</t>
  </si>
  <si>
    <t>Chillr</t>
  </si>
  <si>
    <t>Sequoia Capital, Blume Ventures, Uniqorn Ventures and other</t>
  </si>
  <si>
    <t>Eureqa</t>
  </si>
  <si>
    <t>Sashi Reddi, Gabriel Investments</t>
  </si>
  <si>
    <t>Localcircles</t>
  </si>
  <si>
    <t>Getfocus</t>
  </si>
  <si>
    <t>Onlinerti</t>
  </si>
  <si>
    <t>LetsVenture, Mohandas Pai</t>
  </si>
  <si>
    <t>Powerstores</t>
  </si>
  <si>
    <t>Rajan Anandan, Zoya Akhtar, Reema Kagati, Ruchi Narain, Amrish Kumar, Hrishikesh Parandekar</t>
  </si>
  <si>
    <t>Intelligent Interfaces</t>
  </si>
  <si>
    <t>Capricoast</t>
  </si>
  <si>
    <t>Accel Partners India, RB Investments</t>
  </si>
  <si>
    <t>Jetsetgo</t>
  </si>
  <si>
    <t>Cabsguru</t>
  </si>
  <si>
    <t>Prashanth Ranganathan</t>
  </si>
  <si>
    <t>Whoop</t>
  </si>
  <si>
    <t>Boston</t>
  </si>
  <si>
    <t>Infosys</t>
  </si>
  <si>
    <t>Mumbai Angels, Singapore Angel Network, Zishaan Hayath</t>
  </si>
  <si>
    <t>Deal Street Asia</t>
  </si>
  <si>
    <t>Vijay Shekhar Sharma, Singapore Angels Network</t>
  </si>
  <si>
    <t>Streamoid</t>
  </si>
  <si>
    <t>visual search and discovery platform</t>
  </si>
  <si>
    <t>Bengaluru / Palo Alto</t>
  </si>
  <si>
    <t>Housejoy</t>
  </si>
  <si>
    <t>Amazon, Vertex Ventures, Qualcomm, Ru-Net Technology Partners, Matrix Partners</t>
  </si>
  <si>
    <t>Bluebirch</t>
  </si>
  <si>
    <t>Chicago Capital Ventures, Sanjay Mehta, Others</t>
  </si>
  <si>
    <t>Meradoctor</t>
  </si>
  <si>
    <t>Unilazer</t>
  </si>
  <si>
    <t>Stage 3</t>
  </si>
  <si>
    <t>Nisha Sharma, Puneet Dalmia, Balaji Prabhakar</t>
  </si>
  <si>
    <t>SAIF Partners and others</t>
  </si>
  <si>
    <t>Allen Blue, John Katzman, Naveen Tewari, Kartik Hosanagar, Kashyap Deorah, 500 Startups, Blue Fog Capital</t>
  </si>
  <si>
    <t>Eatfresh</t>
  </si>
  <si>
    <t>Ampere Vehicles</t>
  </si>
  <si>
    <t>Kris Gopalakrishnan &amp; Others</t>
  </si>
  <si>
    <t>Focus Digit</t>
  </si>
  <si>
    <t>Turning Ideas</t>
  </si>
  <si>
    <t>The News Minute</t>
  </si>
  <si>
    <t>Quintillion Media</t>
  </si>
  <si>
    <t>Cbrex</t>
  </si>
  <si>
    <t>Prahlad Rao, Sundara Rajan, Vikram Chachra</t>
  </si>
  <si>
    <t>Truckmandi</t>
  </si>
  <si>
    <t>Ritesh Dwivedy, Ramakant Sharma, Mount Nathan Advisors</t>
  </si>
  <si>
    <t>Peppertap</t>
  </si>
  <si>
    <t>TCS, HDFC, Faering Capital, Elevate Sports</t>
  </si>
  <si>
    <t>Anand Chandrasekaran, Rajesh Sawhney, Kalpana Tatavarti, Shivanandan Pare</t>
  </si>
  <si>
    <t>Murugappa Group, TVS Group, Vellayan Subbiah, Arathi Krishna, Arun Venkatachalam</t>
  </si>
  <si>
    <t>Palred Technologies Ltd</t>
  </si>
  <si>
    <t>Planetgogo</t>
  </si>
  <si>
    <t>HT Digital Media Holdings Ltd</t>
  </si>
  <si>
    <t>Arya.Ai</t>
  </si>
  <si>
    <t>YourNest Angel Fund, Venture Nursery</t>
  </si>
  <si>
    <t>Rishi Parti, BrahmaX Ventures</t>
  </si>
  <si>
    <t>Medi Assist</t>
  </si>
  <si>
    <t>Lafalafa</t>
  </si>
  <si>
    <t>Vectr Ventures</t>
  </si>
  <si>
    <t>Blume Ventures, Flipkart</t>
  </si>
  <si>
    <t>Shotang</t>
  </si>
  <si>
    <t>Exfinity Venture Partners, Unitus Impact Livelihoods Fund</t>
  </si>
  <si>
    <t>Jitendra Gupta</t>
  </si>
  <si>
    <t>Black White Orange</t>
  </si>
  <si>
    <t>Collaborative Licensing Ventures LLP</t>
  </si>
  <si>
    <t>Kolabro</t>
  </si>
  <si>
    <t>Umang Kumar, Ruchir Arora &amp; others</t>
  </si>
  <si>
    <t>Town Essentials</t>
  </si>
  <si>
    <t>Sharad Hegde, Girish Reddy, Siddharth Patil, Shrikant Patil</t>
  </si>
  <si>
    <t>Bumper</t>
  </si>
  <si>
    <t>Hotify</t>
  </si>
  <si>
    <t>Mahavir Pratap Sharma</t>
  </si>
  <si>
    <t>Sequoia Capital, Tree Line Asia, Innoven Capital</t>
  </si>
  <si>
    <t>Amit Gupta, Sahil Barua, Mukul Singhal, Tracxn Labs</t>
  </si>
  <si>
    <t>Cityflo</t>
  </si>
  <si>
    <t>Findyahan</t>
  </si>
  <si>
    <t>Times Group Brand Capital</t>
  </si>
  <si>
    <t>Sabse</t>
  </si>
  <si>
    <t>Pokkt</t>
  </si>
  <si>
    <t>Oibanit</t>
  </si>
  <si>
    <t>Varun Ahuja, Anubhav Verma</t>
  </si>
  <si>
    <t>Stuffed</t>
  </si>
  <si>
    <t>Riqueza Capital</t>
  </si>
  <si>
    <t>Loanbaba</t>
  </si>
  <si>
    <t>Deyor Rooms</t>
  </si>
  <si>
    <t>Dheeraj Jain &amp; Others</t>
  </si>
  <si>
    <t>Bidgely</t>
  </si>
  <si>
    <t>Constellation Technology Ventures (Exelon Corporation), E.ON, RWE, Khosla Ventures</t>
  </si>
  <si>
    <t>Phanindra Sama, Aprameya Radhakrishna, Aneesh Reddy, Neeraj Jawalkar, Sanjay Anandaram, Pavan Ongole, Venk Krishnan</t>
  </si>
  <si>
    <t>Bookmybai</t>
  </si>
  <si>
    <t>Vineel Nalla &amp; Others</t>
  </si>
  <si>
    <t>Myindianstay</t>
  </si>
  <si>
    <t>Bobble</t>
  </si>
  <si>
    <t>SAIF Partners &amp; others</t>
  </si>
  <si>
    <t>Repup</t>
  </si>
  <si>
    <t>IDG Ventures India, Kalaari Capital, 500 Startups</t>
  </si>
  <si>
    <t>Spareshub</t>
  </si>
  <si>
    <t>Hyderabad Angels, M&amp;S Partners</t>
  </si>
  <si>
    <t>Explara</t>
  </si>
  <si>
    <t>Hyderabad Angels, Singapore Angel Network, Ness Wadia</t>
  </si>
  <si>
    <t>Soothe Healthcare</t>
  </si>
  <si>
    <t>Saina Nehwal</t>
  </si>
  <si>
    <t>Yuvi Hospitality</t>
  </si>
  <si>
    <t>Chandralekha Construction Pvt. Ltd.</t>
  </si>
  <si>
    <t>Appvirality</t>
  </si>
  <si>
    <t>Istar Skill Development</t>
  </si>
  <si>
    <t>Michael &amp; Susan Dell Foundation, Unitus Seed Fund</t>
  </si>
  <si>
    <t>Sequoia India, BEENEXT Ventures, Kunal Shah &amp; Sandeep Tandon</t>
  </si>
  <si>
    <t>Didi</t>
  </si>
  <si>
    <t>Jozef Bardik, Leo Wang Sangeeth Ram</t>
  </si>
  <si>
    <t>Skoov</t>
  </si>
  <si>
    <t>Chefs Basket</t>
  </si>
  <si>
    <t>SAIF Partners, Haresh Chawla</t>
  </si>
  <si>
    <t>Delight Foods</t>
  </si>
  <si>
    <t>Lensbridge Capital, Mape Advisory Group, Fireside Ventures</t>
  </si>
  <si>
    <t>Goa/Hyderabad</t>
  </si>
  <si>
    <t>Centre For Incubation &amp; Business Acceleration (CIBA), Goa</t>
  </si>
  <si>
    <t>Mount Nathan Advisors Pte Ltd</t>
  </si>
  <si>
    <t>Hitwicket</t>
  </si>
  <si>
    <t>Flashdoor</t>
  </si>
  <si>
    <t>Sujeet Kumar, Ankit Nagori, Traxcn Labs</t>
  </si>
  <si>
    <t>Absentia</t>
  </si>
  <si>
    <t>Astarc Ventures, 50K Ventures &amp; others</t>
  </si>
  <si>
    <t>Logtally</t>
  </si>
  <si>
    <t>Taskbucks</t>
  </si>
  <si>
    <t>mobile-only tasks marketplace</t>
  </si>
  <si>
    <t>Times Internet</t>
  </si>
  <si>
    <t>Sequoia India, Lightspeed Venture Partners, Nexus Venture Partners, Global Founders Capital, Apoletto</t>
  </si>
  <si>
    <t>Gordon and Betty Moore Foundation</t>
  </si>
  <si>
    <t>Styletag</t>
  </si>
  <si>
    <t>Jitu Virwani</t>
  </si>
  <si>
    <t>Rimpal Chawla, Anuj Srivastava</t>
  </si>
  <si>
    <t>Bibox</t>
  </si>
  <si>
    <t>Ravi Krishnamurthy</t>
  </si>
  <si>
    <t>Noida / Singapore</t>
  </si>
  <si>
    <t>Enablers platform</t>
  </si>
  <si>
    <t>Baillie Gifford, Falcon Edge Capital, Tiger Global, SoftBank Group, DST Global, Didi Kuaidi</t>
  </si>
  <si>
    <t>conversational commerce mobile app</t>
  </si>
  <si>
    <t>Scoopwhoop</t>
  </si>
  <si>
    <t>Hipship</t>
  </si>
  <si>
    <t>Inara Capital , Rishi Khiani</t>
  </si>
  <si>
    <t>Palaash Ventures</t>
  </si>
  <si>
    <t>Truelancer</t>
  </si>
  <si>
    <t>Blackstone Valley Group, Raghu Vohra, Aditya Dev Sood, Kamal Bansal</t>
  </si>
  <si>
    <t>Aha Taxis</t>
  </si>
  <si>
    <t>Bessemer Venture Partner, Accel, SAIF Partners</t>
  </si>
  <si>
    <t>Sensegiz</t>
  </si>
  <si>
    <t>Belgaum</t>
  </si>
  <si>
    <t>Karnataka Semiconductor Venture Capital firm</t>
  </si>
  <si>
    <t>Placeoforigin</t>
  </si>
  <si>
    <t>Fourseven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</si>
  <si>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</si>
  <si>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</si>
  <si>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</si>
  <si>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</si>
  <si>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</si>
  <si>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</si>
  <si>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Heypillow</t>
  </si>
  <si>
    <t>Hampton Capital</t>
  </si>
  <si>
    <t>Healers At Home</t>
  </si>
  <si>
    <t>Daljit Singh, Dr. Pramath Raj Sinha, BVR Mohan Reddy</t>
  </si>
  <si>
    <t>Caravan Craft</t>
  </si>
  <si>
    <t>Unitus Seed Fund, Bijou Kurien, Narayan Ramachandran</t>
  </si>
  <si>
    <t>Talkoot</t>
  </si>
  <si>
    <t>Medikoe</t>
  </si>
  <si>
    <t>Anil Menon</t>
  </si>
  <si>
    <t>Swastika</t>
  </si>
  <si>
    <t>Servx</t>
  </si>
  <si>
    <t>Manish Gupta</t>
  </si>
  <si>
    <t>Naaptol</t>
  </si>
  <si>
    <t>Mitsui &amp; Co., New Enterprise Associates, Canaan Partners, Silicon Valley Bank</t>
  </si>
  <si>
    <t>Chennai/ Singapore</t>
  </si>
  <si>
    <t>Ashok Agarwal</t>
  </si>
  <si>
    <t>Tooler</t>
  </si>
  <si>
    <t>Raghu Khanna, Sameer Gupta</t>
  </si>
  <si>
    <t>S Chand</t>
  </si>
  <si>
    <t>IFC Everstone Group</t>
  </si>
  <si>
    <t>Stelae</t>
  </si>
  <si>
    <t>New Enterprise Associates, Cheetah Mobile</t>
  </si>
  <si>
    <t>Softbank, Tiger Global, Sequoia Capital, Apoletto Managers</t>
  </si>
  <si>
    <t>Pluss</t>
  </si>
  <si>
    <t>IDG Ventures, M &amp; S partners, Powerhouse Ventures (USA).</t>
  </si>
  <si>
    <t>Kountmoney</t>
  </si>
  <si>
    <t>Tracxn, Ashish Goenka &amp; Others</t>
  </si>
  <si>
    <t>Stayglad</t>
  </si>
  <si>
    <t>Bessemer Venture Partners, Anil Chopra</t>
  </si>
  <si>
    <t>Learnon</t>
  </si>
  <si>
    <t>JMR Infotech India Pvt Ltd</t>
  </si>
  <si>
    <t>Talentrack</t>
  </si>
  <si>
    <t>Unigrowth Inc</t>
  </si>
  <si>
    <t>M-Taxi</t>
  </si>
  <si>
    <t>Mandeep Singh, Jairaj Singh</t>
  </si>
  <si>
    <t>Baxi</t>
  </si>
  <si>
    <t>Superhero Brands</t>
  </si>
  <si>
    <t>character merchandize sales platform</t>
  </si>
  <si>
    <t>Momagic</t>
  </si>
  <si>
    <t>FIH Mobile Ltd</t>
  </si>
  <si>
    <t>Qikpod</t>
  </si>
  <si>
    <t>Flipkart, Accel Partners Delhivery, Foxconn</t>
  </si>
  <si>
    <t>Butterfly Interactive</t>
  </si>
  <si>
    <t>extra curricular activities marketplace app</t>
  </si>
  <si>
    <t>Bro4U</t>
  </si>
  <si>
    <t>Sargod Ventures</t>
  </si>
  <si>
    <t>Accel Partners Elevar Equity, Pramod Bhasin, Rajan Anandan, Gaurav Dalmia, Abhishek Goyal, Gagan Hasteer , Arun Tadanki</t>
  </si>
  <si>
    <t>Easyfix</t>
  </si>
  <si>
    <t>Muvizz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</si>
  <si>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</si>
  <si>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</si>
  <si>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</si>
  <si>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</si>
  <si>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</si>
  <si>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Harsh Mariwala, Atul Nishar, Dalip Pathak, Michael Carlos</t>
  </si>
  <si>
    <t>Voylla</t>
  </si>
  <si>
    <t>Peepul Capital</t>
  </si>
  <si>
    <t>Indialends</t>
  </si>
  <si>
    <t>DSG consumer Partners, Paragon Partners</t>
  </si>
  <si>
    <t>Rock N Shop</t>
  </si>
  <si>
    <t>High Networth Individuals (undisclosed)</t>
  </si>
  <si>
    <t>Docplexus</t>
  </si>
  <si>
    <t>Uniqorn ventures, ASP Consulting</t>
  </si>
  <si>
    <t>Satyen Kothari, Keshav Sanghi, Riddhesh Gandhi &amp; Others</t>
  </si>
  <si>
    <t>Sportzvillage</t>
  </si>
  <si>
    <t>Gaja Capital Private Equity Fund</t>
  </si>
  <si>
    <t>Sportybeans</t>
  </si>
  <si>
    <t>multi-sport program for preschoolers</t>
  </si>
  <si>
    <t>Ashvin Chadha, Avtar Monga, Udaan Angels, Dheeraj Jain</t>
  </si>
  <si>
    <t>Welcome Cure</t>
  </si>
  <si>
    <t>Unnamed Media house and HNIs</t>
  </si>
  <si>
    <t>Schoolguru</t>
  </si>
  <si>
    <t>High Networth Individuals from India &amp; USA</t>
  </si>
  <si>
    <t>Naturally Yours</t>
  </si>
  <si>
    <t>Gojavas</t>
  </si>
  <si>
    <t>Micromax Informatics</t>
  </si>
  <si>
    <t>Mato Peric, Peter Kabel &amp; others</t>
  </si>
  <si>
    <t>Zupermeal</t>
  </si>
  <si>
    <t>Cube26</t>
  </si>
  <si>
    <t>Tiger Global Management, Flipkart</t>
  </si>
  <si>
    <t>Pune / Singapore</t>
  </si>
  <si>
    <t>Life.SREDA, Qualgro</t>
  </si>
  <si>
    <t>Grabhouse</t>
  </si>
  <si>
    <t>Sequoia and Kalaari Capital.</t>
  </si>
  <si>
    <t>Quifers</t>
  </si>
  <si>
    <t>Vikas Agarwal, Vishal Khare, Sanjeev Kakkar, Smile Group</t>
  </si>
  <si>
    <t>Cloud Lending</t>
  </si>
  <si>
    <t>Bengaluru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</si>
  <si>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</si>
  <si>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</si>
  <si>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</si>
  <si>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</si>
  <si>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</si>
  <si>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</si>
  <si>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</si>
  <si>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Seedfund, Bedrock Ventures</t>
  </si>
  <si>
    <t>Zeppery</t>
  </si>
  <si>
    <t>Suyash Sharma</t>
  </si>
  <si>
    <t>Zify</t>
  </si>
  <si>
    <t>Aarin Capital Partners</t>
  </si>
  <si>
    <t>Gridle</t>
  </si>
  <si>
    <t>global community for travellers</t>
  </si>
  <si>
    <t>500 Startups, IDG Ventures &amp; Advantedge fund, Neeraj Arora, Leon Seynave</t>
  </si>
  <si>
    <t>Mubble</t>
  </si>
  <si>
    <t>Voodoo</t>
  </si>
  <si>
    <t>Lookup</t>
  </si>
  <si>
    <t>Khosla Impact, Biz Stone, Catamaran Ventures, Global Founders Capital, European investment fund</t>
  </si>
  <si>
    <t>Askmygift</t>
  </si>
  <si>
    <t>Gymtrekker</t>
  </si>
  <si>
    <t>Dewang Neralla,Roopak Taneja, Manisha Gupta</t>
  </si>
  <si>
    <t>Bounty App</t>
  </si>
  <si>
    <t>Fireside Ventures, Mumbai Angels MAPE Advisory Group.</t>
  </si>
  <si>
    <t>Homers</t>
  </si>
  <si>
    <t>Devesh Rai G, Rajesh Aggarwal, Amitpal Bhutani</t>
  </si>
  <si>
    <t>Mshipper</t>
  </si>
  <si>
    <t>Vijai Laxmi</t>
  </si>
  <si>
    <t>Bolrealty</t>
  </si>
  <si>
    <t>Manpreet Singh</t>
  </si>
  <si>
    <t>S-Cube Futuretech</t>
  </si>
  <si>
    <t>Letsventure</t>
  </si>
  <si>
    <t>Accel Partners Anupam Mittal &amp; other marquee investors</t>
  </si>
  <si>
    <t>Citrus Payment</t>
  </si>
  <si>
    <t>Sequoia Capital, Ascent Capital, eContext Asia, Beenos Asia</t>
  </si>
  <si>
    <t>Holidify</t>
  </si>
  <si>
    <t>Aarti Group</t>
  </si>
  <si>
    <t>Primaseller</t>
  </si>
  <si>
    <t>Dr. Aniruddha Malpani Manish Gupta, M&amp;S Partners &amp; others</t>
  </si>
  <si>
    <t>Opinio</t>
  </si>
  <si>
    <t>Delhivery, Sands Capital and Accel Partners</t>
  </si>
  <si>
    <t>Attune Technologies</t>
  </si>
  <si>
    <t>Qualcomm Venture, Norwest Venture Partners</t>
  </si>
  <si>
    <t>Ichef</t>
  </si>
  <si>
    <t>Springboard Ventures</t>
  </si>
  <si>
    <t>Jiyo Natural</t>
  </si>
  <si>
    <t>Agentdesks</t>
  </si>
  <si>
    <t>New York/ India</t>
  </si>
  <si>
    <t>Sierra Ventures, Cota Capital, Vegas Tech Fund</t>
  </si>
  <si>
    <t>White Owl Brewery</t>
  </si>
  <si>
    <t>Arihant Patni, RAAY Global Investments</t>
  </si>
  <si>
    <t>Mealhopper</t>
  </si>
  <si>
    <t>Alok Bajpai, Rajnish Kumar, Amit Dey</t>
  </si>
  <si>
    <t>residential rental management platform</t>
  </si>
  <si>
    <t>Atul Jalan, Shrikanth &amp; Bharath</t>
  </si>
  <si>
    <t>R Natarajan, Mohan Alexander</t>
  </si>
  <si>
    <t>Medd</t>
  </si>
  <si>
    <t>Group of Angel investors</t>
  </si>
  <si>
    <t>Leaping Caravan</t>
  </si>
  <si>
    <t>Frsh</t>
  </si>
  <si>
    <t>Mumbai Angels, Mayank Bhangdia, Kae Capital</t>
  </si>
  <si>
    <t>Qik Stay</t>
  </si>
  <si>
    <t>ID Enablers Pvt Ltd</t>
  </si>
  <si>
    <t>Parcelled</t>
  </si>
  <si>
    <t>Almamapper</t>
  </si>
  <si>
    <t>Oswal Techno Ventures LLP</t>
  </si>
  <si>
    <t>Flexing It</t>
  </si>
  <si>
    <t>undisclosed private investors</t>
  </si>
  <si>
    <t>OrbiMed, Pradip Dadha Group</t>
  </si>
  <si>
    <t>Tiger Global Management, Matrix Partners</t>
  </si>
  <si>
    <t>Jombay</t>
  </si>
  <si>
    <t>Ventureworks India</t>
  </si>
  <si>
    <t>Happitoo</t>
  </si>
  <si>
    <t>Unnamed investor</t>
  </si>
  <si>
    <t>Roadrunnr</t>
  </si>
  <si>
    <t>Sequoia Capital, Nexus Venture Partners</t>
  </si>
  <si>
    <t>Simpli5D</t>
  </si>
  <si>
    <t>Redcliffe Capital, YourNest Angel Fund</t>
  </si>
  <si>
    <t>Origa Leasing</t>
  </si>
  <si>
    <t>ah! Ventures, 500 Startups &amp; Other HNIs</t>
  </si>
  <si>
    <t>S Chand and Co Pvt Ltd</t>
  </si>
  <si>
    <t>Jupiter Capital</t>
  </si>
  <si>
    <t>Tavaga</t>
  </si>
  <si>
    <t>Accel Partner, Jungle Ventures</t>
  </si>
  <si>
    <t>Zophop</t>
  </si>
  <si>
    <t>Amit Singhal, PK Gulati &amp; others</t>
  </si>
  <si>
    <t>Instavans</t>
  </si>
  <si>
    <t>Suresh Vaswani</t>
  </si>
  <si>
    <t>Lifto</t>
  </si>
  <si>
    <t>Rajesh Bhatia, Dheeraj Mehta &amp; Others</t>
  </si>
  <si>
    <t>Tinyowl</t>
  </si>
  <si>
    <t>Sequoia Capital, Matrix Partners</t>
  </si>
  <si>
    <t>Kleeto</t>
  </si>
  <si>
    <t>GREX</t>
  </si>
  <si>
    <t>Puneet Bhatia &amp; others</t>
  </si>
  <si>
    <t>Toflo</t>
  </si>
  <si>
    <t>Tania Johny Palathinkal</t>
  </si>
  <si>
    <t>Fxmartindia</t>
  </si>
  <si>
    <t>Stylecracker</t>
  </si>
  <si>
    <t>Group of HNI investors</t>
  </si>
  <si>
    <t>Luxuryhues</t>
  </si>
  <si>
    <t>Reliance Capital</t>
  </si>
  <si>
    <t>Zivame</t>
  </si>
  <si>
    <t>Zodius Technology Fund, Khazanah Nasional Berhad</t>
  </si>
  <si>
    <t>Capillary Tech</t>
  </si>
  <si>
    <t>Warburg Pincus, Sequoia Capital, Norwest Venture Partners</t>
  </si>
  <si>
    <t>Jobspire</t>
  </si>
  <si>
    <t>Purvi Capital</t>
  </si>
  <si>
    <t>India Quotient &amp; other investors</t>
  </si>
  <si>
    <t>Vistaar Finance</t>
  </si>
  <si>
    <t>Hijinny</t>
  </si>
  <si>
    <t>CMYK Health Boutique Pvt Ltd &amp; Other individual investors</t>
  </si>
  <si>
    <t>Clapsnslaps</t>
  </si>
  <si>
    <t>R M Picture Company Pvt. Ltd.</t>
  </si>
  <si>
    <t>Blubox</t>
  </si>
  <si>
    <t>Ashish Jhalani</t>
  </si>
  <si>
    <t>Roomcentral</t>
  </si>
  <si>
    <t>Karanpal Singh</t>
  </si>
  <si>
    <t>Youthkiawaaz</t>
  </si>
  <si>
    <t>Raghav Bahl, Ritu Kapur</t>
  </si>
  <si>
    <t>Nalin Jain, Shomil Pant, Dinesh Kundu &amp; others</t>
  </si>
  <si>
    <t>Temasek, Vy Capital</t>
  </si>
  <si>
    <t>Sahayog Dairy</t>
  </si>
  <si>
    <t>Acumen Fund</t>
  </si>
  <si>
    <t>Mockbank</t>
  </si>
  <si>
    <t>Reportbee</t>
  </si>
  <si>
    <t>Gurug Learning</t>
  </si>
  <si>
    <t>Onlinetyari</t>
  </si>
  <si>
    <t>500 Startups, TV Mohandas Pai, Tandem Capital, Vikram Chachra, Aloke Bajpai</t>
  </si>
  <si>
    <t>Kalaari Capital, SAIF Partners, Beenextan investment fund</t>
  </si>
  <si>
    <t>The/Nudge Foundation</t>
  </si>
  <si>
    <t>Nanadan Nilekani, InMobi, Paytm</t>
  </si>
  <si>
    <t>Green House Ventures</t>
  </si>
  <si>
    <t>Envoged</t>
  </si>
  <si>
    <t>Ankush Nijhawan, Manish Dhingra, Gaurav Bhatnagar</t>
  </si>
  <si>
    <t>pre-used apparel shopping mobile app</t>
  </si>
  <si>
    <t>Renomania</t>
  </si>
  <si>
    <t>Subodh Gupta</t>
  </si>
  <si>
    <t>Credr</t>
  </si>
  <si>
    <t>Eight Road Ventures</t>
  </si>
  <si>
    <t>Yatragenie</t>
  </si>
  <si>
    <t>Ash Bhardwaj</t>
  </si>
  <si>
    <t>Canvasflip</t>
  </si>
  <si>
    <t>Shadowfax</t>
  </si>
  <si>
    <t>Ue Life Sciences</t>
  </si>
  <si>
    <t>Aarin Capital, Unitus Seed Fund</t>
  </si>
  <si>
    <t>Falcon Edge Capital, NY based Hedge Fund, Tiger Global, Softbank</t>
  </si>
  <si>
    <t>Cataraman Ventures</t>
  </si>
  <si>
    <t>Helion Venture Partners, Exfinity Ventures</t>
  </si>
  <si>
    <t>Tea Trails</t>
  </si>
  <si>
    <t>Anil Matai, Vikram Tandon, Shyam Sundar R &amp; others</t>
  </si>
  <si>
    <t>Payal Syal</t>
  </si>
  <si>
    <t>Fyne</t>
  </si>
  <si>
    <t>Sandeep Dama &amp; Others</t>
  </si>
  <si>
    <t>Chaipoint</t>
  </si>
  <si>
    <t>Wedmegood</t>
  </si>
  <si>
    <t>Xstok</t>
  </si>
  <si>
    <t>Oliphans Capital</t>
  </si>
  <si>
    <t>Unilog</t>
  </si>
  <si>
    <t>Paintcollar</t>
  </si>
  <si>
    <t>Applyifi</t>
  </si>
  <si>
    <t>Khazanah Nasional Berhad, Helion Venture Partners</t>
  </si>
  <si>
    <t>Bueno</t>
  </si>
  <si>
    <t>High Networth Individuals (No details)</t>
  </si>
  <si>
    <t>Plabro</t>
  </si>
  <si>
    <t>Sachin Bansal &amp; Binny Bansal, Sol Primero, Outbox Ventures, Sangram Singh</t>
  </si>
  <si>
    <t>Accel Partners Subrata Mitra, Larry Braitman, Venk Krishna</t>
  </si>
  <si>
    <t>Briston Technomach</t>
  </si>
  <si>
    <t>Labstreet</t>
  </si>
  <si>
    <t>Multiple investors</t>
  </si>
  <si>
    <t>Dailyninja</t>
  </si>
  <si>
    <t>Aprameya Radhakrishna, Naman Sarawagi, Afsal Salu,</t>
  </si>
  <si>
    <t>Portea Medical</t>
  </si>
  <si>
    <t>Accel Partners International Finance Corporation (IFC), Qualcomm Ventures, Ventureast</t>
  </si>
  <si>
    <t>Neotrade Analytics</t>
  </si>
  <si>
    <t>Dishco</t>
  </si>
  <si>
    <t>Anand Mahindra, Uday Punj, Ashish Hemrajani, Sanjeev Mehra</t>
  </si>
  <si>
    <t>coupons and cashback aggregator app</t>
  </si>
  <si>
    <t>Connectabank</t>
  </si>
  <si>
    <t>Prakhar Bumb</t>
  </si>
  <si>
    <t>Villfarm</t>
  </si>
  <si>
    <t>Unitus Seed Fund, Rianta Capital, R Ramaraj, Sunil Edwards</t>
  </si>
  <si>
    <t>Bestdealfinance</t>
  </si>
  <si>
    <t>Kalaari Capital, YourNest Angel Fund</t>
  </si>
  <si>
    <t>Gamexs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</si>
  <si>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</si>
  <si>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</si>
  <si>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</si>
  <si>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</si>
  <si>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</si>
  <si>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Bhavdeep Reddy</t>
  </si>
  <si>
    <t>Loginext</t>
  </si>
  <si>
    <t>Korra</t>
  </si>
  <si>
    <t>Asha Jadeja Motwani &amp; Others</t>
  </si>
  <si>
    <t>Rajat Malhotra</t>
  </si>
  <si>
    <t>Amigobulls</t>
  </si>
  <si>
    <t>Sharad Sharma, Vijay Anand, Mohandas Pai. Pallav Nadhani, Singapore Angels Network &amp; others</t>
  </si>
  <si>
    <t>Silverpush</t>
  </si>
  <si>
    <t>M&amp;S Partners</t>
  </si>
  <si>
    <t>Juggernaut</t>
  </si>
  <si>
    <t>William Bissell, Neeraj Aggarwal, Nandan Nilekani</t>
  </si>
  <si>
    <t>Phanindra Sama, Anupam Mittal, Vijay Shekhar Sharma, Vishal Gondal, Sateesh Andara &amp; others</t>
  </si>
  <si>
    <t>Quintype</t>
  </si>
  <si>
    <t>Raghav Bahl</t>
  </si>
  <si>
    <t>Capabiliti</t>
  </si>
  <si>
    <t>500 Startups, Smile Multimedia, Kunal Bahl, Rohit Bansal, Girish Matrubootham</t>
  </si>
  <si>
    <t>Fourth Partner Energy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</si>
  <si>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</si>
  <si>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</si>
  <si>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</si>
  <si>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</si>
  <si>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</si>
  <si>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</si>
  <si>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</si>
  <si>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Didi Kuaidi</t>
  </si>
  <si>
    <t>Alibaba Group, Ant Financial</t>
  </si>
  <si>
    <t>Inmobi</t>
  </si>
  <si>
    <t>Tennenbaum Capital Partners &amp; Others</t>
  </si>
  <si>
    <t>Sequoia India, SAIF Partners.</t>
  </si>
  <si>
    <t>Hugefly</t>
  </si>
  <si>
    <t>Mayank Singhal and others</t>
  </si>
  <si>
    <t>Brigge</t>
  </si>
  <si>
    <t>Zakoopi</t>
  </si>
  <si>
    <t>Uniqorn Ventures</t>
  </si>
  <si>
    <t>Loancircle</t>
  </si>
  <si>
    <t>Zishaan Hayath, Rahul Khanna &amp; Others</t>
  </si>
  <si>
    <t>Infoworks</t>
  </si>
  <si>
    <t>Nexus Venture Partners, Knoll Ventures and others</t>
  </si>
  <si>
    <t>Firsttouch</t>
  </si>
  <si>
    <t>Kunal Bahl, Rohit Bansal, Pranay Chulet, Naveen Tiwari, Amit Gupta, Mayank Singhal</t>
  </si>
  <si>
    <t>Eywa Media</t>
  </si>
  <si>
    <t>ah! Ventures, Viktor Koenig PE Fund, Mantra Ventures</t>
  </si>
  <si>
    <t>Alibaba, Foxconn, Softbank</t>
  </si>
  <si>
    <t>Ressy</t>
  </si>
  <si>
    <t>Mohandas Pai &amp; others</t>
  </si>
  <si>
    <t>Cuelearn</t>
  </si>
  <si>
    <t>Alok Mittal</t>
  </si>
  <si>
    <t>The Home Salon</t>
  </si>
  <si>
    <t>on-demand home beauty and wellness portal</t>
  </si>
  <si>
    <t>VentureNursery</t>
  </si>
  <si>
    <t>Jusride</t>
  </si>
  <si>
    <t>Alok Mittal, Zeeshan Hayat, Niraj Singh, Nikunj Jain, Anirudh Damani, Punit Goyal</t>
  </si>
  <si>
    <t>Glowship</t>
  </si>
  <si>
    <t>Wizrocket</t>
  </si>
  <si>
    <t>Sequoia Capital, Accel Partners</t>
  </si>
  <si>
    <t>Pickingo</t>
  </si>
  <si>
    <t>Orios Venture Partners, Zishaan Hayath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</si>
  <si>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</si>
  <si>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</si>
  <si>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</si>
  <si>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</si>
  <si>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Tiger Global Management, Orios Venture Partners</t>
  </si>
  <si>
    <t>Doormint</t>
  </si>
  <si>
    <t>Helion Venture Partners, Kalaari Capital</t>
  </si>
  <si>
    <t>hotel booking app</t>
  </si>
  <si>
    <t>BedRock Ventures, Rajesh Sawhney, Shailesh Singh</t>
  </si>
  <si>
    <t>Zocalo</t>
  </si>
  <si>
    <t>Sachin Bhatia, Rajesh Sawhney</t>
  </si>
  <si>
    <t>Sunday Realty Solutions</t>
  </si>
  <si>
    <t>Ramesh Jogani, Shailesh Viswanathan, Jay Srinivasan</t>
  </si>
  <si>
    <t>Klozee</t>
  </si>
  <si>
    <t>Tracxn Labs</t>
  </si>
  <si>
    <t>Appvigil</t>
  </si>
  <si>
    <t>Ravi Gururaj, Gaurav Sharma, Viswanath Ramachandran, RippleWave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</si>
  <si>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</si>
  <si>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</si>
  <si>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</si>
  <si>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</si>
  <si>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</si>
  <si>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CCube Angels, Frontline Strategy</t>
  </si>
  <si>
    <t>Ketto</t>
  </si>
  <si>
    <t>Chennai Angels, Calcutta Angels, ah! Ventures, Intellecap Impact Investment Network, Indus Age Partners, Singapore Angel Network, India Internet Fund, LetsVenture</t>
  </si>
  <si>
    <t>Horizons Ventures, Capricorn Investment Group, Social+Capital, Helion Advisors, Berggruen Holdings</t>
  </si>
  <si>
    <t>Ndtv Ecommerce Venture</t>
  </si>
  <si>
    <t>Inflexionpoint, Pramod Bhasin, Sixth Sense Ventures, Vindi Banga, Hiro Mashita</t>
  </si>
  <si>
    <t>Carls Jr</t>
  </si>
  <si>
    <t>Easyrewardz</t>
  </si>
  <si>
    <t>Wealth First, Ashneer Grover, Atul Phadnis</t>
  </si>
  <si>
    <t>Gibss</t>
  </si>
  <si>
    <t>responsAbility Investments, Infuse Ventures</t>
  </si>
  <si>
    <t>Storemore</t>
  </si>
  <si>
    <t>Bedrock Ventures</t>
  </si>
  <si>
    <t>Best Foodworks</t>
  </si>
  <si>
    <t>Nihon Kotsu,</t>
  </si>
  <si>
    <t>Esadar</t>
  </si>
  <si>
    <t>Neha Vats, Gaurav Vats</t>
  </si>
  <si>
    <t>Actionable Analytics</t>
  </si>
  <si>
    <t>New Delhi/ Houston</t>
  </si>
  <si>
    <t>B M Gupta, Vinod Singhal</t>
  </si>
  <si>
    <t>Mypoolin</t>
  </si>
  <si>
    <t>mobile social network</t>
  </si>
  <si>
    <t>QPrize from Qualcomm Ventures</t>
  </si>
  <si>
    <t>Nearbuy (Previously Groupon India)</t>
  </si>
  <si>
    <t>Inkmonk</t>
  </si>
  <si>
    <t>Girish Mathrubootham, Phanindra Sama, Vikram Chachra, Others from LetsVenture</t>
  </si>
  <si>
    <t>mobile payment software platform</t>
  </si>
  <si>
    <t>Reliance Capital Venture</t>
  </si>
  <si>
    <t>Grey Orange</t>
  </si>
  <si>
    <t>Helion Ventures, Jungle Ventures &amp; Bessemer Venture Partners</t>
  </si>
  <si>
    <t>Wow! Momo</t>
  </si>
  <si>
    <t>Ajeet Khurana &amp; Others</t>
  </si>
  <si>
    <t>Allygrow Technologies</t>
  </si>
  <si>
    <t>engineering services company</t>
  </si>
  <si>
    <t>Zodius Technology Fund</t>
  </si>
  <si>
    <t>Infogain</t>
  </si>
  <si>
    <t>ChrysCapital</t>
  </si>
  <si>
    <t>Sequoia Capital, Lightspeed Ventures</t>
  </si>
  <si>
    <t>Quintillion Media, 500 Startups</t>
  </si>
  <si>
    <t>Accel Partners Deep Kalra, Rajesh Magow, Mohit Gupta, Shamik Sharma</t>
  </si>
  <si>
    <t>Etaout</t>
  </si>
  <si>
    <t>Ifmr Holdings</t>
  </si>
  <si>
    <t>Accion, LeapFrog Investments, Lok Capital</t>
  </si>
  <si>
    <t>Massblurb</t>
  </si>
  <si>
    <t>LetsVenture, Mumbai Angels</t>
  </si>
  <si>
    <t>Jitendra Gupta &amp; others</t>
  </si>
  <si>
    <t>Gujarat based angel investors, MMY co-Founder</t>
  </si>
  <si>
    <t>Vanitycube</t>
  </si>
  <si>
    <t>Group of angel investors</t>
  </si>
  <si>
    <t>Edu4Share</t>
  </si>
  <si>
    <t>Nalin Jain &amp; other angel investors</t>
  </si>
  <si>
    <t>Ratan Tata, Vani Kola, T V Mohandas Pai, Karthee Madasamay</t>
  </si>
  <si>
    <t>Sampurnearth</t>
  </si>
  <si>
    <t>Intellecap Impact Investment Network, family office fund</t>
  </si>
  <si>
    <t>Orobind</t>
  </si>
  <si>
    <t>Existing &amp; New Investors</t>
  </si>
  <si>
    <t>Fixy</t>
  </si>
  <si>
    <t>Msm Box</t>
  </si>
  <si>
    <t>Rohit Goel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</si>
  <si>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</si>
  <si>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</si>
  <si>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</si>
  <si>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</si>
  <si>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</si>
  <si>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</si>
  <si>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</si>
  <si>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NEA, Milliways Ventures, Naya Ventures</t>
  </si>
  <si>
    <t>Twyst</t>
  </si>
  <si>
    <t>Rohit Bhatia, Sunil Nikhar, Vaibhav Domkundwar, Siddharth Nautiyal</t>
  </si>
  <si>
    <t>Idfy</t>
  </si>
  <si>
    <t>NEA, Blume Ventures &amp; others</t>
  </si>
  <si>
    <t>Zoojoo.Be</t>
  </si>
  <si>
    <t>Fashionove</t>
  </si>
  <si>
    <t>Umesh Yadav</t>
  </si>
  <si>
    <t>Manish Dhingra, Ankush Nijhawa, Gaurav Bhatnagar</t>
  </si>
  <si>
    <t>Mebelkart</t>
  </si>
  <si>
    <t>AskMe</t>
  </si>
  <si>
    <t>Labsadvisor</t>
  </si>
  <si>
    <t>Group of Angel Investors</t>
  </si>
  <si>
    <t>Flatpebble</t>
  </si>
  <si>
    <t>Bluegape</t>
  </si>
  <si>
    <t>ah! Ventures, Times Internet, Rudy Gopalakrishnan</t>
  </si>
  <si>
    <t>Epoise</t>
  </si>
  <si>
    <t>Orios Venture Partners, Amit Ranjan &amp; others</t>
  </si>
  <si>
    <t>Jolly Food Fellow</t>
  </si>
  <si>
    <t>The 1947</t>
  </si>
  <si>
    <t>Bookmein</t>
  </si>
  <si>
    <t>Ajmera Group of Companies</t>
  </si>
  <si>
    <t>Izofy</t>
  </si>
  <si>
    <t>Prime Capital Markets Ltd</t>
  </si>
  <si>
    <t>Rbus</t>
  </si>
  <si>
    <t>India Quotient, Anupam Mittal &amp; others</t>
  </si>
  <si>
    <t>Qyk App</t>
  </si>
  <si>
    <t>GrowX ventures, Tracxn Labs, Powai Lake Ventures, and Sahil Barua</t>
  </si>
  <si>
    <t>Revx</t>
  </si>
  <si>
    <t>Norwest Venture Partners, Nexus Venture Partners, Helion Venture Partners, Draper Fisher Jurvetson, Peepul Capital</t>
  </si>
  <si>
    <t>Belita</t>
  </si>
  <si>
    <t>India Quotient, LetsVenture investors, Lead Angels</t>
  </si>
  <si>
    <t>Ezysolare</t>
  </si>
  <si>
    <t>solar products and services marketplace</t>
  </si>
  <si>
    <t>Foodtalkindia</t>
  </si>
  <si>
    <t>Group of Investors</t>
  </si>
  <si>
    <t>Eazy Coach</t>
  </si>
  <si>
    <t>Ravi Agarwal</t>
  </si>
  <si>
    <t>Djubo</t>
  </si>
  <si>
    <t>Ibibo Group</t>
  </si>
  <si>
    <t>Betterbutter</t>
  </si>
  <si>
    <t>online recipe sharing platform</t>
  </si>
  <si>
    <t>Growx Ventures, Manish Singhal</t>
  </si>
  <si>
    <t>Rocket Internet</t>
  </si>
  <si>
    <t>Rollmafia</t>
  </si>
  <si>
    <t>Equentia Natural Resources</t>
  </si>
  <si>
    <t>Iamwire</t>
  </si>
  <si>
    <t>Li Tao, Li Jian, Draphant Consultants, Nitin Garg, Saurabh Jain, Mohit Agarwal</t>
  </si>
  <si>
    <t>Manish Singhal, P39 Capital &amp; Others</t>
  </si>
  <si>
    <t>Reverie</t>
  </si>
  <si>
    <t>Aspada Investment Advisors, Qualcomm Ventures</t>
  </si>
  <si>
    <t>Infinite Analytics</t>
  </si>
  <si>
    <t>Ratan Tata, Nikhil Vora &amp; others</t>
  </si>
  <si>
    <t>Delhivery, Tracxn Labs</t>
  </si>
  <si>
    <t>Retigence Technologies</t>
  </si>
  <si>
    <t>Cloudcherry Analytics</t>
  </si>
  <si>
    <t>The Chennai Angels, IDG Ventures India</t>
  </si>
  <si>
    <t>Handyhome</t>
  </si>
  <si>
    <t>Bessemer Ventures, Kae Capital</t>
  </si>
  <si>
    <t>ah! Ventures, Vivek Joshi, Mohit Satyanand &amp; others</t>
  </si>
  <si>
    <t>Nxtgen</t>
  </si>
  <si>
    <t>IFC, Axon Partners, Intel Capital</t>
  </si>
  <si>
    <t>Bankbazaar</t>
  </si>
  <si>
    <t>Amazon, Fidelity Growth Partners, Mousse Partners</t>
  </si>
  <si>
    <t>Gozoomo</t>
  </si>
  <si>
    <t>Rajan Anandan, Kunal Bahl, Rohit Bansal, Rahul Khanna</t>
  </si>
  <si>
    <t>Culturealley</t>
  </si>
  <si>
    <t>Gokul Jaykrishna, Brand Capital</t>
  </si>
  <si>
    <t>Rebright Partners, Tracxn Labs, Aneesh Reddy</t>
  </si>
  <si>
    <t>Powai Lake Ventures, Ajeet Khurana &amp; others</t>
  </si>
  <si>
    <t>Confirmttkt</t>
  </si>
  <si>
    <t>Pravin Agarwala &amp; others</t>
  </si>
  <si>
    <t>Paper Boat</t>
  </si>
  <si>
    <t>Sofina, Hillhouse Capital</t>
  </si>
  <si>
    <t>Getnow</t>
  </si>
  <si>
    <t>Atulya Mittal</t>
  </si>
  <si>
    <t>Wudstay</t>
  </si>
  <si>
    <t>Mangroves Capital Partners, Vikas Saxena</t>
  </si>
  <si>
    <t>Liases Foras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</si>
  <si>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</si>
  <si>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</si>
  <si>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</si>
  <si>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</si>
  <si>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</si>
  <si>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Jaydeep Barman</t>
  </si>
  <si>
    <t>Tiger Global Management, Bertelsmann India, Steadview Capital, Liberty Media, Mousse Partners, Quilvest</t>
  </si>
  <si>
    <t>Mumbai / Global</t>
  </si>
  <si>
    <t>Sunrise Capital GmBH, Big Data Investments B.V</t>
  </si>
  <si>
    <t>Axtria</t>
  </si>
  <si>
    <t>Helion Venture Partners,Amarpreet Sawhney, Deshpande Foundation, Fred Khosravi, Richard S. Braddock</t>
  </si>
  <si>
    <t>33Coupons</t>
  </si>
  <si>
    <t>Ampere</t>
  </si>
  <si>
    <t>Hopping Chef</t>
  </si>
  <si>
    <t>Mirah Hospitality</t>
  </si>
  <si>
    <t>Collectabillia</t>
  </si>
  <si>
    <t>Saama Capital, Mayfield, Ashvin Chadha, Shailesh Mehta</t>
  </si>
  <si>
    <t>Lybrate</t>
  </si>
  <si>
    <t>Tiger Global Management, Ratan Tata, Nexus Venture Partners</t>
  </si>
  <si>
    <t>Sequoia Capital, Empire Angels, NGP</t>
  </si>
  <si>
    <t>News In Shorts</t>
  </si>
  <si>
    <t>IvyCap Ventures, Accel Partners Dragoneer Investment Group</t>
  </si>
  <si>
    <t>Shopsity</t>
  </si>
  <si>
    <t>Sandeep Aggarwal, Teruhide Sato</t>
  </si>
  <si>
    <t>Rajeev Saraf, Arvind Jha, R. Satya Narayanan</t>
  </si>
  <si>
    <t>Infinity Assurance</t>
  </si>
  <si>
    <t>Footprints Education</t>
  </si>
  <si>
    <t>LetsVenture, Kumar Bansal, Kshitij Jain</t>
  </si>
  <si>
    <t>Loylty Rewards</t>
  </si>
  <si>
    <t>IndianIdeas</t>
  </si>
  <si>
    <t>Ameyo</t>
  </si>
  <si>
    <t>Forum Synergies PE Fund</t>
  </si>
  <si>
    <t>Mamagoto</t>
  </si>
  <si>
    <t>Mysmartprice</t>
  </si>
  <si>
    <t>Accel Partners Helion Venture Partners</t>
  </si>
  <si>
    <t>Atul Jalan</t>
  </si>
  <si>
    <t>Boxmyspace</t>
  </si>
  <si>
    <t>Ritesh Veera, Singapore Angel Network, Orios Venture Partners,</t>
  </si>
  <si>
    <t>Hackerrank</t>
  </si>
  <si>
    <t>HR Technology fund</t>
  </si>
  <si>
    <t>Wowexpress</t>
  </si>
  <si>
    <t>Tamarind Family Private Trust</t>
  </si>
  <si>
    <t>Softbank, Sequoia Capital</t>
  </si>
  <si>
    <t>Instalively</t>
  </si>
  <si>
    <t>Anupam Mittal, Anand Chandrasekaran, Uday Shankar, Chetan Bhagat</t>
  </si>
  <si>
    <t>Sequoia Capital, Nexus Venture Partners, Blume Ventures</t>
  </si>
  <si>
    <t>Pradyumna Dalmia, Sudhir Rao &amp; Others</t>
  </si>
  <si>
    <t>Quikwallet</t>
  </si>
  <si>
    <t>Omnikart</t>
  </si>
  <si>
    <t>Sumit Gandhi, Manish Gandhi</t>
  </si>
  <si>
    <t>Tiger Global, Orios Venture Partners.</t>
  </si>
  <si>
    <t>Catamaran Ventures, New India Investment Corporation</t>
  </si>
  <si>
    <t>Zenradius</t>
  </si>
  <si>
    <t>Tracxn Labs, Deepak Singh</t>
  </si>
  <si>
    <t>Joy By Nature</t>
  </si>
  <si>
    <t>Mumbai Angels, Vriddhi Fund, Others</t>
  </si>
  <si>
    <t>Degustibus</t>
  </si>
  <si>
    <t>India Value Fund Advisors</t>
  </si>
  <si>
    <t>Flipkart, Tiger Global</t>
  </si>
  <si>
    <t>Falcon Edge Capital, Meru Capital, Ola, Matrix Partners, DSG Consumer Partners, Axis Bank</t>
  </si>
  <si>
    <t>Myonsto</t>
  </si>
  <si>
    <t>Jayant Bokadia</t>
  </si>
  <si>
    <t>Icrushiflush</t>
  </si>
  <si>
    <t>Holidayiq</t>
  </si>
  <si>
    <t>AB Kinnevik, Falcon Edge Capital, Coatue Management</t>
  </si>
  <si>
    <t>YourWeCan Ventures</t>
  </si>
  <si>
    <t>Broex</t>
  </si>
  <si>
    <t>Shopatplaces</t>
  </si>
  <si>
    <t>Fidelity Growth Partners</t>
  </si>
  <si>
    <t>Managemyspa</t>
  </si>
  <si>
    <t>Townrush</t>
  </si>
  <si>
    <t>Bevy</t>
  </si>
  <si>
    <t>Varun Agarwal &amp; Others</t>
  </si>
  <si>
    <t>Goldman Sachs, Zodius Technology Fund, Bertelsmann India Investments Norwest Venture Partners.</t>
  </si>
  <si>
    <t>Steadview Capital and existing investors</t>
  </si>
  <si>
    <t>Accel Partners Traxcn Labs &amp; Others</t>
  </si>
  <si>
    <t>Sandeep Parwal, Krishan Gupta &amp; Others</t>
  </si>
  <si>
    <t>Zimmber</t>
  </si>
  <si>
    <t>Truehb</t>
  </si>
  <si>
    <t>Sachin and Binny Bansal, Malvinder and Shivinder Singh, Gurpreet Singh &amp; others</t>
  </si>
  <si>
    <t>Zovi</t>
  </si>
  <si>
    <t>Swajal</t>
  </si>
  <si>
    <t>Abhishek Gupta</t>
  </si>
  <si>
    <t>Pipa Bella</t>
  </si>
  <si>
    <t>LionRock Capital</t>
  </si>
  <si>
    <t>Pragmatix</t>
  </si>
  <si>
    <t>SIDBI Venture Capital Ltd</t>
  </si>
  <si>
    <t>Lightbox Ventures, Beenos</t>
  </si>
  <si>
    <t>Kunal Bahl, Rohit Bansal</t>
  </si>
  <si>
    <t>Noodle Play</t>
  </si>
  <si>
    <t>Elliot Stechman, Gautam Sinha, Ambarish Ray</t>
  </si>
  <si>
    <t>B S Nagesh</t>
  </si>
  <si>
    <t>Cartisan</t>
  </si>
  <si>
    <t>Lazylad</t>
  </si>
  <si>
    <t>Jai Choi, Kiyohiro Sugashita, Hirokazu</t>
  </si>
  <si>
    <t>Tripfactory</t>
  </si>
  <si>
    <t>Aarin Capital Partners,</t>
  </si>
  <si>
    <t>Prothom</t>
  </si>
  <si>
    <t>Oliphabs Capital</t>
  </si>
  <si>
    <t>Bona Vita</t>
  </si>
  <si>
    <t>Aprameya Radhakrishna</t>
  </si>
  <si>
    <t>Veeba Foods</t>
  </si>
  <si>
    <t>DSG Consumer Partners, Saama Capital.</t>
  </si>
  <si>
    <t>Kae Capital, Anupam Mittal</t>
  </si>
  <si>
    <t>Meritnation</t>
  </si>
  <si>
    <t>Eattreatonline</t>
  </si>
  <si>
    <t>Group of 15 Angel Investors</t>
  </si>
  <si>
    <t>GrowthStory</t>
  </si>
  <si>
    <t>Glamrs</t>
  </si>
  <si>
    <t>Ventureworks India, Blume Ventures, Batlivala &amp; Karani Securities, Nikunj Jhaveri</t>
  </si>
  <si>
    <t>Proviera</t>
  </si>
  <si>
    <t>Arth Designbuild</t>
  </si>
  <si>
    <t>Srinivas Tirupati</t>
  </si>
  <si>
    <t>Saama</t>
  </si>
  <si>
    <t>Carrick Capital Partners</t>
  </si>
  <si>
    <t>Allizhealth</t>
  </si>
  <si>
    <t>Mumbai Angels &amp; Other angel investors</t>
  </si>
  <si>
    <t>Ennovent Impact Investment Holding</t>
  </si>
  <si>
    <t>Entropy Innovations</t>
  </si>
  <si>
    <t>Mark Mobius &amp; 9 Other Angel investors</t>
  </si>
  <si>
    <t>Propstack</t>
  </si>
  <si>
    <t>DMG Information</t>
  </si>
  <si>
    <t>Arkin Net</t>
  </si>
  <si>
    <t>Little Black Book Delhi</t>
  </si>
  <si>
    <t>Rajan Anandan, Niraj Singh, Sachin Bhatia, Singapore Angel Network &amp; Aseem Vadehra</t>
  </si>
  <si>
    <t>Icustomadeit</t>
  </si>
  <si>
    <t>Virendra Shahney, Dr Paresh Doshi</t>
  </si>
  <si>
    <t>Zopper</t>
  </si>
  <si>
    <t>Morgan Stanley</t>
  </si>
  <si>
    <t>Kwatt Solutions</t>
  </si>
  <si>
    <t>Fidelity Growth Partners, Fidelity Biosciences</t>
  </si>
  <si>
    <t>Snow Leopard, Paytm</t>
  </si>
  <si>
    <t>Postergully</t>
  </si>
  <si>
    <t>Applied Solar Technologies</t>
  </si>
  <si>
    <t>Future Fund,Bessemer Venture, Capricorn Investment and IFC</t>
  </si>
  <si>
    <t>Norwest Venture Partners, SAIF Partners, Accel Partners</t>
  </si>
  <si>
    <t>Paymango</t>
  </si>
  <si>
    <t>Printland</t>
  </si>
  <si>
    <t>Teritree</t>
  </si>
  <si>
    <t>KCL</t>
  </si>
  <si>
    <t>Pawan Borle, SVP Fly Dubai &amp; Others</t>
  </si>
  <si>
    <t>Sequoia Capital, Seedfund</t>
  </si>
  <si>
    <t>Adstring</t>
  </si>
  <si>
    <t>M&amp;S Partners Pte. Ltd</t>
  </si>
  <si>
    <t>La Renon</t>
  </si>
  <si>
    <t>Istar</t>
  </si>
  <si>
    <t>Shippr</t>
  </si>
  <si>
    <t>i2india Pvt Ltd</t>
  </si>
  <si>
    <t>Foodabhi</t>
  </si>
  <si>
    <t>online tiffin service aggregator</t>
  </si>
  <si>
    <t>Karma Recycling</t>
  </si>
  <si>
    <t>Infuse Ventures, Low Carbon Enterprise Fund</t>
  </si>
  <si>
    <t>Couponraja</t>
  </si>
  <si>
    <t>Mahesh Pratapneni, Pallab Chatterjee &amp; others</t>
  </si>
  <si>
    <t>Mumbai Angels, Patni Family Office, Singapore Angel Network, Karan Maheshwari, Jatin Aneja, Kishor Ganji, Roopa Nath</t>
  </si>
  <si>
    <t>Jiffstore</t>
  </si>
  <si>
    <t>Unitus Seed Fund, Times Internet</t>
  </si>
  <si>
    <t>Mydentist</t>
  </si>
  <si>
    <t>LGT Group, Asian Healthcare fund, Seedfund</t>
  </si>
  <si>
    <t>Moovo</t>
  </si>
  <si>
    <t>Neoteric Infomatique Limited</t>
  </si>
  <si>
    <t>Hansa Customer Equity</t>
  </si>
  <si>
    <t>ASK Pravi</t>
  </si>
  <si>
    <t>Gopal Srinivasan, Sashi Reddy, Amit Gupta, Pallav Nadhani</t>
  </si>
  <si>
    <t>Cakart</t>
  </si>
  <si>
    <t>Sunil Maheshwari &amp; group of investors</t>
  </si>
  <si>
    <t>Fundsindia</t>
  </si>
  <si>
    <t>Faering Capital, Foundation Capital, Inventus Capital Partners</t>
  </si>
  <si>
    <t>Cupick</t>
  </si>
  <si>
    <t>Group of Angel Investors from US/India</t>
  </si>
  <si>
    <t>Sachin Bansal, Bunny Bansal &amp; other investors</t>
  </si>
  <si>
    <t>Elong</t>
  </si>
  <si>
    <t>Kunal Bahl, Rohit Bansal, Blume Ventures, Phanindra Sama, Raju Reddy</t>
  </si>
  <si>
    <t>Skillangels</t>
  </si>
  <si>
    <t>Sprout Angels LLP</t>
  </si>
  <si>
    <t>Vidgyor</t>
  </si>
  <si>
    <t>AngelPrime</t>
  </si>
  <si>
    <t>Banihal</t>
  </si>
  <si>
    <t>New Delhi / California</t>
  </si>
  <si>
    <t>Dr David Cheriton</t>
  </si>
  <si>
    <t>Goodservice</t>
  </si>
  <si>
    <t>Matrix Partners India, SAIF Partners</t>
  </si>
  <si>
    <t>Edukart</t>
  </si>
  <si>
    <t>Holostik Group, YouWeCan Ventures, 500 Startups, Vijay Shekhar Sharma, Manish Kheterpal, Amit Patni</t>
  </si>
  <si>
    <t>Labinapp</t>
  </si>
  <si>
    <t>Sigrid Education</t>
  </si>
  <si>
    <t>Indix</t>
  </si>
  <si>
    <t>Nokia Growth Partners, Nexus Venture Partners, Avalon Ventures</t>
  </si>
  <si>
    <t>The Porter</t>
  </si>
  <si>
    <t>Sequoia Capital, Kae Capital, Anupam Mittal, Sandeep Tandon</t>
  </si>
  <si>
    <t>Retention.Ai</t>
  </si>
  <si>
    <t>Mercury Fund, Anshu Sharma, Pratyush Prasanna, Robert Winters &amp; others</t>
  </si>
  <si>
    <t>Fusion Microfinance</t>
  </si>
  <si>
    <t>Development finance institution Belgian Investment Company, Oikocredit</t>
  </si>
  <si>
    <t>Zinka</t>
  </si>
  <si>
    <t>Accel Partners Flipkart</t>
  </si>
  <si>
    <t>IDG Ventures India, Elevar Equity, Accion Venture Lab</t>
  </si>
  <si>
    <t>Getmypeon</t>
  </si>
  <si>
    <t>Tracxn Labs, Sahil Barua</t>
  </si>
  <si>
    <t>Adwyze</t>
  </si>
  <si>
    <t>Mape Advisory</t>
  </si>
  <si>
    <t>Naveen Tiwari, Mohit Saxena, Amit Gupta, Piyush Shah, Manish Dugar</t>
  </si>
  <si>
    <t>Kanwaljit Singh, Angie Mahtaney, Manoj Varghese</t>
  </si>
  <si>
    <t>Helion Ventures, Omidiyar Network, Blume Ventures and Ujama</t>
  </si>
  <si>
    <t>Aagaar</t>
  </si>
  <si>
    <t>Flatchat</t>
  </si>
  <si>
    <t>Commonfloor</t>
  </si>
  <si>
    <t>Mycfo</t>
  </si>
  <si>
    <t>Sameer Koticha</t>
  </si>
  <si>
    <t>Foodpanda</t>
  </si>
  <si>
    <t>Goldman Sachs, Rocket Internet</t>
  </si>
  <si>
    <t>Termsheet</t>
  </si>
  <si>
    <t>Anand Vijay, Nipun Dureja, Satyajit Heeralal, Keith Rodricks, Gaurav Lochan, Azmul Haque, Nikhil Bagri</t>
  </si>
  <si>
    <t>Rishi Vasudev, Amit Gupta, Rajiv Nayan</t>
  </si>
  <si>
    <t>Viraj Tyagi &amp; others</t>
  </si>
  <si>
    <t>Spoonjoy</t>
  </si>
  <si>
    <t>Seed Schools</t>
  </si>
  <si>
    <t>Ignis Careers</t>
  </si>
  <si>
    <t>Fintellix</t>
  </si>
  <si>
    <t>IDG Ventures, Sequoia Capital</t>
  </si>
  <si>
    <t>Customer360</t>
  </si>
  <si>
    <t>Vishwas Patel</t>
  </si>
  <si>
    <t>Tiger Global Management, Multiples Alternate Asset Management, Nexus Venture Partners, Times Internet</t>
  </si>
  <si>
    <t>IDG Ventures, Kris Gopalakrishnan</t>
  </si>
  <si>
    <t>Accel Partners Tiger Global Management</t>
  </si>
  <si>
    <t>Buyhatke</t>
  </si>
  <si>
    <t>S.Gopalakrishnan, Beenos</t>
  </si>
  <si>
    <t>Kleverkid</t>
  </si>
  <si>
    <t>Uniken</t>
  </si>
  <si>
    <t>Exfinity Ventures</t>
  </si>
  <si>
    <t>Grandopinion</t>
  </si>
  <si>
    <t>Florida based Angel investor</t>
  </si>
  <si>
    <t>Zapstitch</t>
  </si>
  <si>
    <t>Helion Venture Partners, Orios Venture Partners</t>
  </si>
  <si>
    <t>Arun Chandra Mohan, Praveen Sinha</t>
  </si>
  <si>
    <t>Prototyze</t>
  </si>
  <si>
    <t>Plancess</t>
  </si>
  <si>
    <t>Workhorse</t>
  </si>
  <si>
    <t>Rajan Anandan, Teru Sato, Aneesh Reddy, Venkatesh Valluri</t>
  </si>
  <si>
    <t>Mycuteoffice</t>
  </si>
  <si>
    <t>Indianroots</t>
  </si>
  <si>
    <t>KJS Group</t>
  </si>
  <si>
    <t>Redpolka</t>
  </si>
  <si>
    <t>Venturesity</t>
  </si>
  <si>
    <t>Phanindra Sama, Jay Sethuram, Hemant Kanakia, Ravi Trivedi</t>
  </si>
  <si>
    <t>Thebetterindia</t>
  </si>
  <si>
    <t>Mohandas Pai</t>
  </si>
  <si>
    <t>Samir Shah</t>
  </si>
  <si>
    <t>Akosha</t>
  </si>
  <si>
    <t>Cooey</t>
  </si>
  <si>
    <t>Subhash Goyal</t>
  </si>
  <si>
    <t>Meetuniv</t>
  </si>
  <si>
    <t>Peesh Venture Capital</t>
  </si>
  <si>
    <t>Inspirock</t>
  </si>
  <si>
    <t>MakeMyTrip Innovation Fund</t>
  </si>
  <si>
    <t>Crown-It</t>
  </si>
  <si>
    <t>Trucksfirst</t>
  </si>
  <si>
    <t>SAIF partners</t>
  </si>
  <si>
    <t>Biz Stone</t>
  </si>
  <si>
    <t>Sunterrace</t>
  </si>
  <si>
    <t>Sunergy Investors</t>
  </si>
  <si>
    <t>Kae Capital, Anoop Goyal, Mike Shah, VA Sastry</t>
  </si>
  <si>
    <t>HDFC Bank</t>
  </si>
  <si>
    <t>Eveningflavors</t>
  </si>
  <si>
    <t>Sandiep Shrivatsava</t>
  </si>
  <si>
    <t>Zenparent</t>
  </si>
  <si>
    <t>i2india Ventures</t>
  </si>
  <si>
    <t>Newgen Payments</t>
  </si>
  <si>
    <t>Jan Manten</t>
  </si>
  <si>
    <t>Urbanpro</t>
  </si>
  <si>
    <t>Nirvana Venture Advisors</t>
  </si>
  <si>
    <t>Manipal Group</t>
  </si>
  <si>
    <t>Renderlogy</t>
  </si>
  <si>
    <t>Astarc Ventures</t>
  </si>
  <si>
    <t>Casa2Inns</t>
  </si>
  <si>
    <t>Accel Partners Kalaari Capital</t>
  </si>
  <si>
    <t>Fleetrover</t>
  </si>
  <si>
    <t>Tim Chen, Sanjay Venkat</t>
  </si>
  <si>
    <t>Thekarrier</t>
  </si>
  <si>
    <t>Sol Primero, Outbox Ventures, Nikunj Jain</t>
  </si>
  <si>
    <t>Truweight</t>
  </si>
  <si>
    <t>Accel Partners SAIF Partners</t>
  </si>
  <si>
    <t>Rudy Gopalakrishnan, ah! Ventures</t>
  </si>
  <si>
    <t>Keeptrax</t>
  </si>
  <si>
    <t>Dallas / Hyderabad</t>
  </si>
  <si>
    <t>Rajesh Sawheny , Rajan Anandan, Amit Ranjan, Niraj Singh, AECAL, MeraEvents.</t>
  </si>
  <si>
    <t>Pricejugaad</t>
  </si>
  <si>
    <t>Amit Tyagi, Sandeep Acharya &amp; others</t>
  </si>
  <si>
    <t>Tiger Global, Investment AB Kinnevik, Steadview Capital</t>
  </si>
  <si>
    <t>Pressplay</t>
  </si>
  <si>
    <t>Sequoia Capital, Jason Hirschhorn, Jarett Posner, and Amit Bhatiani</t>
  </si>
  <si>
    <t>Ajit Surana, Sanjay Mehta</t>
  </si>
  <si>
    <t>Tree Line Asia, Cisco Investments, American Express, Sequoia Capital</t>
  </si>
  <si>
    <t>Olacabs</t>
  </si>
  <si>
    <t>DST Global, Steadview Capital, Tiger Global, Accel Partners &amp; Others</t>
  </si>
  <si>
    <t>Kanwaljit Singh, Shripad Nadkarni, Sarvesh Shahra &amp; Others</t>
  </si>
  <si>
    <t>Changer Mints</t>
  </si>
  <si>
    <t>Hyderabad based investor</t>
  </si>
  <si>
    <t>Sequoia Capital, TR Capital, Steadview Capital, SAIF Partners, Kalaari Capital</t>
  </si>
  <si>
    <t>Purple Squirrel</t>
  </si>
  <si>
    <t>Matrix Partners India, India Quotient</t>
  </si>
  <si>
    <t>Helion Venture Partner, Powerhouse Ventures, GSF and Other angel investors</t>
  </si>
  <si>
    <t>Immi Life</t>
  </si>
  <si>
    <t>Zopnow</t>
  </si>
  <si>
    <t>Dragoneer Investment, Accel Partners Qualcomm Ventures, Times Internet</t>
  </si>
  <si>
    <t>Nayi Disha</t>
  </si>
  <si>
    <t>Ajay Relan,</t>
  </si>
  <si>
    <t>Commeasure</t>
  </si>
  <si>
    <t>Localoye</t>
  </si>
  <si>
    <t>Tiger Global Management, Lightspeed Venture Partners</t>
  </si>
  <si>
    <t>Tiger Global, Sequoia Capital</t>
  </si>
  <si>
    <t>SAIF Partners, Sequoia Capital</t>
  </si>
  <si>
    <t>PremjiInvest, Tiger Global, Ribbit Capital</t>
  </si>
  <si>
    <t>SAIF Partners, Accel Partners Kunal Bahl, Rohit Bansal</t>
  </si>
  <si>
    <t>Orios Venture Partners, Mayfield India</t>
  </si>
  <si>
    <t>Robosoft</t>
  </si>
  <si>
    <t>Ascent Capital, Kalaari Capital</t>
  </si>
  <si>
    <t>Powai Lake Ventures</t>
  </si>
  <si>
    <t>Pastiwala</t>
  </si>
  <si>
    <t>1Mg (Healthkartplus)</t>
  </si>
  <si>
    <t>Deep Kalra, Sequoia Capital, Omidyar Network, Intel Capital &amp; Kae Capital</t>
  </si>
  <si>
    <t>Tiger Global, Google Capital &amp; Accel Partners</t>
  </si>
  <si>
    <t>Sulekha</t>
  </si>
  <si>
    <t>GIC ventures</t>
  </si>
  <si>
    <t>The Phoenix Fund</t>
  </si>
  <si>
    <t>Eat.Shop.Love</t>
  </si>
  <si>
    <t>Michael &amp; Susan Dell Foundation, Pearson Learning Fund</t>
  </si>
  <si>
    <t>Mayfield Ventures, Kalaari Capital, Helion Ventures</t>
  </si>
  <si>
    <t>Craftstvilla</t>
  </si>
  <si>
    <t>Sequoia Capital, Nexus venture Partners, Lightspeed Ventures, GFC</t>
  </si>
  <si>
    <t>Headout</t>
  </si>
  <si>
    <t>Version One Ventures, 500 Startups, Nexus Venture Partners and Arena Ventures</t>
  </si>
  <si>
    <t>usiness expense management</t>
  </si>
  <si>
    <t>Rakesh Mathur, Vikas Taneja &amp; others</t>
  </si>
  <si>
    <t>Deepak Shahdadpuri, Gulpreet Kohli</t>
  </si>
  <si>
    <t>Phone Warrior</t>
  </si>
  <si>
    <t>Lightspeed Ventures</t>
  </si>
  <si>
    <t>Accel US, Accel India, SAIF Partners.</t>
  </si>
  <si>
    <t>Torqus</t>
  </si>
  <si>
    <t>S S Mukherji &amp; Others</t>
  </si>
  <si>
    <t>Oliphans Capital, Haresh Chawla</t>
  </si>
  <si>
    <t>Logicroots</t>
  </si>
  <si>
    <t>Gibbs</t>
  </si>
  <si>
    <t>Infuse Ventures fund</t>
  </si>
  <si>
    <t>Babajobs</t>
  </si>
  <si>
    <t>SEEK Ltd &amp; affiliates</t>
  </si>
  <si>
    <t>Anand Rajaraman, Venky Harinarayan</t>
  </si>
  <si>
    <t>Jay Robotix</t>
  </si>
  <si>
    <t>Cross Border Angels &amp; others</t>
  </si>
  <si>
    <t>Mitsui &amp; Co &amp; existing investors</t>
  </si>
  <si>
    <t>Reglobe</t>
  </si>
  <si>
    <t>Bessemer Ventures, Blume Ventures</t>
  </si>
  <si>
    <t>Greycroft Partners, Fidelity Growth Partners</t>
  </si>
  <si>
    <t>Dazo</t>
  </si>
  <si>
    <t>Sumit Jain, Aprameya Radhakrishna, Alok Goel, Rajan Anandan, Amit Agrawal, Vinay Goel, Gaurav Munjal, Ashish Dev Kapur</t>
  </si>
  <si>
    <t>Tradelab</t>
  </si>
  <si>
    <t>Piqube</t>
  </si>
  <si>
    <t>The HR Fund</t>
  </si>
  <si>
    <t>Bessemer Venture Partners, SAIF Partners</t>
  </si>
  <si>
    <t>Trulymadly</t>
  </si>
  <si>
    <t>Helion Venture Partners, Kae Capital</t>
  </si>
  <si>
    <t>Vserv</t>
  </si>
  <si>
    <t>Maverick Capital, IDG Ventures India</t>
  </si>
  <si>
    <t>Intruo</t>
  </si>
  <si>
    <t>Ashutosh Lawania, Alok Goel &amp; others</t>
  </si>
  <si>
    <t>Niffler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</si>
  <si>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</si>
  <si>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</si>
  <si>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</si>
  <si>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</si>
  <si>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</si>
  <si>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</si>
  <si>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</si>
  <si>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</si>
  <si>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</si>
  <si>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Tarun Arora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</si>
  <si>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</si>
  <si>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</si>
  <si>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</si>
  <si>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</si>
  <si>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</si>
  <si>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</si>
  <si>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Diabetomics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</si>
  <si>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</si>
  <si>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</si>
  <si>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</si>
  <si>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</si>
  <si>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</si>
  <si>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</si>
  <si>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</si>
  <si>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</si>
  <si>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</si>
  <si>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</si>
  <si>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</si>
  <si>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</si>
  <si>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</si>
  <si>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</si>
  <si>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</si>
  <si>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IDG Ventures, Outbox Ventures</t>
  </si>
  <si>
    <t>Graphic India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</si>
  <si>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</si>
  <si>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</si>
  <si>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</si>
  <si>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</si>
  <si>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</si>
  <si>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</si>
  <si>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</si>
  <si>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</si>
  <si>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</si>
  <si>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</si>
  <si>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</si>
  <si>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</si>
  <si>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</si>
  <si>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</si>
  <si>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</si>
  <si>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</si>
  <si>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</si>
  <si>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</si>
  <si>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</si>
  <si>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</si>
  <si>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</si>
  <si>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</si>
  <si>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</si>
  <si>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</si>
  <si>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</si>
  <si>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</si>
  <si>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</si>
  <si>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</si>
  <si>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</si>
  <si>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</si>
  <si>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</si>
  <si>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</si>
  <si>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</si>
  <si>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</si>
  <si>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</si>
  <si>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</si>
  <si>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</si>
  <si>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</si>
  <si>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</si>
  <si>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Triphobo</t>
  </si>
  <si>
    <t>Mayfield Ventures, Kalaari Capital</t>
  </si>
  <si>
    <t>Aryaka</t>
  </si>
  <si>
    <t>Trinity Ventures, InterWest Partners, Mohr Davidow Ventures, Presidio Ventures</t>
  </si>
  <si>
    <t>Faaya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</si>
  <si>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</si>
  <si>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</si>
  <si>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</si>
  <si>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</si>
  <si>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</si>
  <si>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</si>
  <si>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</si>
  <si>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Orios Venture Partner</t>
  </si>
  <si>
    <t>Valiant Capital Partners</t>
  </si>
  <si>
    <t>India Quotient, Kae Capital</t>
  </si>
  <si>
    <t>Manthan</t>
  </si>
  <si>
    <t>Temasek, Norwest Venture Partners</t>
  </si>
  <si>
    <t>Kobster</t>
  </si>
  <si>
    <t>Splice Advisors</t>
  </si>
  <si>
    <t>Culture Machine</t>
  </si>
  <si>
    <t>Tiger Global, Times Internet, Zodius Capital</t>
  </si>
  <si>
    <t>Ant Financial Services (Alipay)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</si>
  <si>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</si>
  <si>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</si>
  <si>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</si>
  <si>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</si>
  <si>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</si>
  <si>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Faaso</t>
  </si>
  <si>
    <t>Chip Perry</t>
  </si>
  <si>
    <t>Mangrove Capital Partners</t>
  </si>
  <si>
    <t>SAIF Partners, Sequoia Capital, Aspada</t>
  </si>
  <si>
    <t>Nimble Wireless</t>
  </si>
  <si>
    <t>Karan Bajwa, Parvesh Bareja , Sunjay Kapur, Amanpreet Bajaj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</si>
  <si>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</si>
  <si>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</si>
  <si>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</si>
  <si>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</si>
  <si>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</si>
  <si>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</si>
  <si>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</si>
  <si>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Newsinshorts</t>
  </si>
  <si>
    <t>Tiger Global, Rebright Partners, Sachin and Binny Bansal</t>
  </si>
  <si>
    <t>Itraveller</t>
  </si>
  <si>
    <t>Nextgen</t>
  </si>
  <si>
    <t>Mumbai Angels &amp; Group of other investors</t>
  </si>
  <si>
    <t>Helion Venture Partners</t>
  </si>
  <si>
    <t>Springleap</t>
  </si>
  <si>
    <t>Cross Border Angels</t>
  </si>
  <si>
    <t>Klip</t>
  </si>
  <si>
    <t>Calcutta Angels, Venture Nursery Angels Mumbai Angels</t>
  </si>
  <si>
    <t>Brick Eagle</t>
  </si>
  <si>
    <t>Appbase</t>
  </si>
  <si>
    <t>DA-IICT, Techstars, Carnegie Mellon University, Startup Brasil program</t>
  </si>
  <si>
    <t>Sequoia Capital, Ranjan Pai, Mohandas Pai &amp; others</t>
  </si>
  <si>
    <t>Trip38</t>
  </si>
  <si>
    <t>InterGlobe Technology Quotient, Lantern Capital</t>
  </si>
  <si>
    <t>Smartairtrip</t>
  </si>
  <si>
    <t>SAIF Partners, Fulcrum Ventures</t>
  </si>
  <si>
    <t>Caravan Craft Retail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</si>
  <si>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</si>
  <si>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</si>
  <si>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</si>
  <si>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</si>
  <si>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</si>
  <si>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</si>
  <si>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</si>
  <si>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</si>
  <si>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</si>
  <si>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</si>
  <si>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</si>
  <si>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</si>
  <si>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</si>
  <si>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</si>
  <si>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DeNA Co., Japan &amp; Teruhide Sato (in Addition to MKS Switzerland &amp; Kris GopalKrishnan)</t>
  </si>
  <si>
    <t>TO THE NEW Ventures</t>
  </si>
  <si>
    <t>Tom Clausen, Rohan Ajila, Haldyn Glass</t>
  </si>
  <si>
    <t>Near</t>
  </si>
  <si>
    <t>Anupam Mittal, Manish Vij, Prashant Tandon, Gaurav Agarwal, Akash Agarwal, Himanshu Aggarwal, Kevin Parikh</t>
  </si>
  <si>
    <t>Numbermall</t>
  </si>
  <si>
    <t>Tookitaki</t>
  </si>
  <si>
    <t>Jungle Ventures, Redbright Partners, Blume Ventures</t>
  </si>
  <si>
    <t>Frankly</t>
  </si>
  <si>
    <t>Devesh Sachdev, Ashish Tiwari</t>
  </si>
  <si>
    <t>Seedrs Crowd funding platform</t>
  </si>
  <si>
    <t>Bewakoof</t>
  </si>
  <si>
    <t>Rohit Bansal, Kunal Bahl, Nikhil Vora</t>
  </si>
  <si>
    <t>Stridalyzer</t>
  </si>
  <si>
    <t>Kickstarter</t>
  </si>
  <si>
    <t>Crowd Funding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</si>
  <si>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</si>
  <si>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</si>
  <si>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</si>
  <si>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</si>
  <si>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</si>
  <si>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</si>
  <si>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</si>
  <si>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</si>
  <si>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</si>
  <si>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</si>
  <si>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Rajan Anandan, Shankar Mahadevan, Deep Kalra &amp; Others</t>
  </si>
  <si>
    <t>Adroitent Pvt. Ltd.</t>
  </si>
  <si>
    <t>Tiger Global &amp; Other investors</t>
  </si>
  <si>
    <t>Refiral</t>
  </si>
  <si>
    <t>Cogent E Services</t>
  </si>
  <si>
    <t>Ping Digital</t>
  </si>
  <si>
    <t>Consortium of Angel Investors</t>
  </si>
  <si>
    <t>Healthyworld</t>
  </si>
  <si>
    <t>Hostel Dunia</t>
  </si>
  <si>
    <t>Hyderabad Angels (at Startup Heroes event)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</si>
  <si>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</si>
  <si>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</si>
  <si>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</si>
  <si>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</si>
  <si>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</si>
  <si>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</si>
  <si>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</si>
  <si>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</si>
  <si>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Corporate360</t>
  </si>
  <si>
    <t>Freshmonk</t>
  </si>
  <si>
    <t>August Capital Partners, Michael Blakey</t>
  </si>
  <si>
    <t>Englishleap</t>
  </si>
  <si>
    <t>ANALEC</t>
  </si>
  <si>
    <t>Antuit</t>
  </si>
  <si>
    <t>Goldman Sachs, Zodius Capital</t>
  </si>
  <si>
    <t>Caratlane</t>
  </si>
  <si>
    <t>Inventus Capital Partners, IDG Ventures</t>
  </si>
  <si>
    <t>Impartus</t>
  </si>
  <si>
    <t>Kaizen Private Equity</t>
  </si>
  <si>
    <t>Thrill App</t>
  </si>
  <si>
    <t>People Group</t>
  </si>
  <si>
    <t>Hillhouse Capital, Tybourne Capital</t>
  </si>
  <si>
    <t>Kalaari Capital, Sequoia Capital</t>
  </si>
  <si>
    <t>Printvenue</t>
  </si>
  <si>
    <t>Asia Pacific Internet Group</t>
  </si>
  <si>
    <t>Graphene</t>
  </si>
  <si>
    <t>KARSEMVEN Fund</t>
  </si>
  <si>
    <t>Exfinity Fund, GrowX Ventures.</t>
  </si>
  <si>
    <t>Simplotel</t>
  </si>
  <si>
    <t>Couponmachine</t>
  </si>
  <si>
    <t>UK based Group of Angel Investors</t>
  </si>
  <si>
    <t>Q1</t>
  </si>
  <si>
    <t>Q2</t>
  </si>
  <si>
    <t>IQR</t>
  </si>
  <si>
    <t>Lower bound</t>
  </si>
  <si>
    <t>Upper bound</t>
  </si>
  <si>
    <t>outlier check</t>
  </si>
  <si>
    <t>India Quotient and LetsVenture Angel Fund</t>
  </si>
  <si>
    <t>Sequoia India, Hillhouse Capital, Alphabet growth investment arm Capital G and Axis Bank</t>
  </si>
  <si>
    <t>Norwest Venture Partners, CDC Group, the UK Development Finance Institution and P Surendra Pai</t>
  </si>
  <si>
    <t>Lakestar and Jungle Ventures, Softbank DeepCore.</t>
  </si>
  <si>
    <t>DST Global and Lightspeed Venture Partners global fund.</t>
  </si>
  <si>
    <t>KDDI</t>
  </si>
  <si>
    <t>CLP Holdings Group, Innogy, stead, and Tenaska</t>
  </si>
  <si>
    <t>Vertex Ventures Southeast Asia (SEA) and India and Sistema Asia Fund, Fosun RZ Capital, Ventureast, and Endiya Partners.</t>
  </si>
  <si>
    <t>Sunil Kant Munjal, Hero Electronic corporate financing arm, Electronic Development Fund</t>
  </si>
  <si>
    <t>"Kedaraa Capital, Ontario Teachers'"</t>
  </si>
  <si>
    <t>Titan Co Ltd, Tata Group watch and jewellery retailing firm</t>
  </si>
  <si>
    <t>Undisclosed HNI</t>
  </si>
  <si>
    <t>Accel Partners IDG Ventures, Kalaari Capital, UC-RNT fund</t>
  </si>
  <si>
    <t>parenting blog and kids events discovery platform</t>
  </si>
  <si>
    <t>Falcon Edge Capital, Capital Advisers</t>
  </si>
  <si>
    <t>Vellayan Subbiah, Jonathan Boutelle, Rajan Anandan, Rahul Chawla, Salil Donde, Amit Ranjan, Govind Rajan &amp; Others</t>
  </si>
  <si>
    <t>Lahiri Music family office</t>
  </si>
  <si>
    <t>Labruyere Eberl</t>
  </si>
  <si>
    <t>Accel Partners Nandan Nilekani NRJN Trust, Mistletoe, Qualcomm Ventures, M&amp;S Partners</t>
  </si>
  <si>
    <t>Occitane</t>
  </si>
  <si>
    <t>B Capital Group, Ignition Partners, Greycroft, e.ventures, Eight Roads Ventures</t>
  </si>
  <si>
    <t>Tencent, ru-Net, RSI Fund, Thrive Capital</t>
  </si>
  <si>
    <t>Sharad Sharma, Rajan Anandan, Amit Ranjan, Alok Mittal &amp; others</t>
  </si>
  <si>
    <t>Venk Krishnan, MJ Aravind, Vikram Kotak, Jayant Davar, Ramkumar Nishtal, Arjun Sharmaa</t>
  </si>
  <si>
    <t>Indian Angel Network, Let Venture</t>
  </si>
  <si>
    <t>RB Investments, Kaleden Holdings</t>
  </si>
  <si>
    <t>Delta Partners, Sequoia India, Mayfield, Blacksoil, Trifecta Capital</t>
  </si>
  <si>
    <t>Vijay Shekhar Sharma, Pravin Gandhi, Smart Start Fund; Kunal Shah, Sandeep Tandon, Vishal Gondal, &amp; Others</t>
  </si>
  <si>
    <t>GrowX Ventures, Sunil Kalra, Arun Venkatachalam, Badal Malick</t>
  </si>
  <si>
    <t>ByteDance, Arun Sarin, Matrix Partners, Sequoia Capital India, Omidyar Network, Falcon Edge</t>
  </si>
  <si>
    <t>Venturra Capital, Sequoia India, Susquehanna International Group. Wavemaker Partners, Beenext, Beenos, Digital Garage</t>
  </si>
  <si>
    <t>Dheeraj Jain, Palash Jain, Anupam Mittal, Ameera Shah, Vivek Bhargava, Rahul Singh, Ambarish Gupta,</t>
  </si>
  <si>
    <t>Blume Ventures, Sachin Bansal, Vijay Shekhar Sharma, Binny Bansal, Kunal Shah, Sandeep Tandon, Ashish Tulsian</t>
  </si>
  <si>
    <t>Globevestor Angel Fund, Devendra Rane, Ravi Jain, Arpan Nagdeve</t>
  </si>
  <si>
    <t>Sequoia Capital, Rohit Bansal, Kunal Bahl, Sandeep Tandon, Kunal Shah, Zishaan Hayath, Abhishek Jain</t>
  </si>
  <si>
    <t>Mumbai Angels, Times Internet</t>
  </si>
  <si>
    <t>Kludein Phanindra Sama, Narayan Ramachandran, Pranav Pai</t>
  </si>
  <si>
    <t>Bhavish Aggarwal, Binny Bansal, Rajan Anandan, Mekin Maheshwar, Sunil Kalra, Anupam Mittal, Krishna Mehra, Singapore Angel Network</t>
  </si>
  <si>
    <t>Wipro Ventures, Lumis Partners</t>
  </si>
  <si>
    <t>T V Mohandas Pai, Aarin Capital</t>
  </si>
  <si>
    <t>Aspada Advisors, IDG Ventures, Inventus Capital</t>
  </si>
  <si>
    <t>Ontario Teachers Pension Plan &amp; Others</t>
  </si>
  <si>
    <t>Blume Ventures, Tracxn Labs</t>
  </si>
  <si>
    <t>Omidyar Network, Vikram Lal, Abhijit Bhandari, Mahesh Murthy, Shashank Bhagat</t>
  </si>
  <si>
    <t>Lalitesh Katragadda, Ganayantrika Systems</t>
  </si>
  <si>
    <t>Matt Mullenweg, Adam Angelo, Aditya Agarwal, Ruchi Sanghvi &amp; Others</t>
  </si>
  <si>
    <t>Hyderabad Angels, Lalit Mangal, Vikas Malpani, Gaurav Bhalotia, LV Prasad</t>
  </si>
  <si>
    <t>Unilazer Fund, Phanindra Sama, Peyush Bansal</t>
  </si>
  <si>
    <t>Lashit Sanghvi, Nikhil Vora, Venkat Vardhan,Mohammed Bin Abdul Rehman Al Khalifa, Ralph Berezan, Vissal Mathew, Balamurali Krishna</t>
  </si>
  <si>
    <t>ru-Net, Sequoia Capital, Lightbox Ventures</t>
  </si>
  <si>
    <t>Extreme Venture Partners William Bissell</t>
  </si>
  <si>
    <t>Segnel Venture, Shinji Kimura, Sundar Chanrai, JAFCO Asia, SingTel Innov8, Jungle Ventures, K Ganesh</t>
  </si>
  <si>
    <t>Rajan Anandan, Mike Galgon, Ravi Gururaj, Ashim Mehra, Mohit Saxena, Internet Group, TNN Capital and others</t>
  </si>
  <si>
    <t>TV Mohandas Pai family office</t>
  </si>
  <si>
    <t>S.D. Shibulal, Kris Gopalakrishnan, Srinath Batni, Professor Tarun Khanna, Ganapathy Venugopal.</t>
  </si>
  <si>
    <t>IDG Ventures India, Accel Partners India</t>
  </si>
  <si>
    <t>Manish Kheterpal, Alok Mittal, Puneet Dalmia,</t>
  </si>
  <si>
    <t>Sanjeev Kapoor, Ravi Saxena &amp; Others</t>
  </si>
  <si>
    <t>Sean Sullivan &amp; Others</t>
  </si>
  <si>
    <t>Westbridge Capital, Omidyar Network, Elevar Equity, Saama Capital, Lok Capital</t>
  </si>
  <si>
    <t>SoftBank Group, Greenoaks Capital, Sequoia Capital, Lightspeed India</t>
  </si>
  <si>
    <t>Amit Ranjan, Vijay Shekhar Sharma, Kunal Bahl, Girish Mathrubootham &amp; Group of other Angel investors</t>
  </si>
  <si>
    <t>growX ventures, Manish Singhal</t>
  </si>
  <si>
    <t>IDG Ventures India, Omidyar Network, Sherpalo Ventures, Mohandas Pai</t>
  </si>
  <si>
    <t>Paytm, SAIF Partners, Tiger Global Management &amp; others</t>
  </si>
  <si>
    <t>YouWeCan Ventures, Aprameya Radhakrishna</t>
  </si>
  <si>
    <t>Sharad Sharma, Rajan Anandan, Sunil Kalra, Amit Ranjan, Rohan Malhotra, Arjun Malhotra, Gautam Gandhi</t>
  </si>
  <si>
    <t>Tiger Global, Nirvana Ventures Advisors</t>
  </si>
  <si>
    <t>Natarajan Iyer,Rajesh Sawhney, &amp; other Angel investors.</t>
  </si>
  <si>
    <t>Arihant Patni, Vishal Khare, Viswanath Ramachandran</t>
  </si>
  <si>
    <t>SAIF Partners, Accel Partners</t>
  </si>
  <si>
    <t>Fidelity Growth Partners India, SAIF Partners, Helion Ventures</t>
  </si>
  <si>
    <t>Rajendra Gogri, Chandrakant Gogri</t>
  </si>
  <si>
    <t>Nudgespot</t>
  </si>
  <si>
    <t>Silicon Valley Ventures, NEA Ventures, Valiant Capital, IDG Ventures India, SAIF Partners, Vertex Ventures</t>
  </si>
  <si>
    <t>Ajai Chowdhry, Ashvin Chadha, Yogesh Bansal,Nitin Singhal &amp; Others</t>
  </si>
  <si>
    <t>Ah! Ventures, Calcutta Angels, SpringBoard</t>
  </si>
  <si>
    <t>VentureEast, Varaprasad Reddy</t>
  </si>
  <si>
    <t>CA Media LP, Start Media.</t>
  </si>
  <si>
    <t>Zodius Capital, Ru-Net, Kalaari Capital, Qualcomm Ventures</t>
  </si>
  <si>
    <t>Unitus Seed Fund Narayan Ramachandran, Bijou Kurien</t>
  </si>
  <si>
    <t>Fame</t>
  </si>
  <si>
    <t>City_Location_Std</t>
  </si>
  <si>
    <t>Bengaluru And Gurugram</t>
  </si>
  <si>
    <t>India/Us</t>
  </si>
  <si>
    <t>Us</t>
  </si>
  <si>
    <t>Usa</t>
  </si>
  <si>
    <t>Sfo / Bengaluru</t>
  </si>
  <si>
    <t>Bengaluru / Sfo</t>
  </si>
  <si>
    <t>New Delhi / Us</t>
  </si>
  <si>
    <t>Mumbai / Uk</t>
  </si>
  <si>
    <t>Hyderabad/Usa</t>
  </si>
  <si>
    <t>Mumbai / Ny</t>
  </si>
  <si>
    <t>Usa/India</t>
  </si>
  <si>
    <t>Pune / Us</t>
  </si>
  <si>
    <t>Us/India</t>
  </si>
  <si>
    <t>Gurgaon / Sfo</t>
  </si>
  <si>
    <t>Bengaluru / Usa</t>
  </si>
  <si>
    <t>India / Us</t>
  </si>
  <si>
    <t>Industry_Vertical_Std</t>
  </si>
  <si>
    <t>e-tech</t>
  </si>
  <si>
    <t>transportation</t>
  </si>
  <si>
    <t>e-commerce</t>
  </si>
  <si>
    <t>fintech</t>
  </si>
  <si>
    <t>fashion and apparel</t>
  </si>
  <si>
    <t>logistics</t>
  </si>
  <si>
    <t>hospitality</t>
  </si>
  <si>
    <t>technology</t>
  </si>
  <si>
    <t>aerospace</t>
  </si>
  <si>
    <t>b2b-focused foodtech startup</t>
  </si>
  <si>
    <t>finance</t>
  </si>
  <si>
    <t>video</t>
  </si>
  <si>
    <t>gaming</t>
  </si>
  <si>
    <t>software</t>
  </si>
  <si>
    <t>health and wellness</t>
  </si>
  <si>
    <t>education</t>
  </si>
  <si>
    <t>food &amp; beverages</t>
  </si>
  <si>
    <t>b2b marketing</t>
  </si>
  <si>
    <t>video games</t>
  </si>
  <si>
    <t>saas</t>
  </si>
  <si>
    <t>last mile transportation</t>
  </si>
  <si>
    <t>customer service</t>
  </si>
  <si>
    <t>b2b</t>
  </si>
  <si>
    <t>consumer goods</t>
  </si>
  <si>
    <t>advertising, marketing</t>
  </si>
  <si>
    <t>iot</t>
  </si>
  <si>
    <t>information technology</t>
  </si>
  <si>
    <t>consumer technology</t>
  </si>
  <si>
    <t>accounting</t>
  </si>
  <si>
    <t>retail</t>
  </si>
  <si>
    <t>customer service platform</t>
  </si>
  <si>
    <t>automotive</t>
  </si>
  <si>
    <t>ed-tech</t>
  </si>
  <si>
    <t>services</t>
  </si>
  <si>
    <t>compliance</t>
  </si>
  <si>
    <t>transport</t>
  </si>
  <si>
    <t>artificial intelligence</t>
  </si>
  <si>
    <t>tech</t>
  </si>
  <si>
    <t>health care</t>
  </si>
  <si>
    <t>luxury label</t>
  </si>
  <si>
    <t>waste management service</t>
  </si>
  <si>
    <t>deep-tech</t>
  </si>
  <si>
    <t>agriculture</t>
  </si>
  <si>
    <t>energy</t>
  </si>
  <si>
    <t>digital media</t>
  </si>
  <si>
    <t>automobile</t>
  </si>
  <si>
    <t>agtech</t>
  </si>
  <si>
    <t>social media</t>
  </si>
  <si>
    <t>ai</t>
  </si>
  <si>
    <t>nanotechnology</t>
  </si>
  <si>
    <t>services platform</t>
  </si>
  <si>
    <t>travel tech</t>
  </si>
  <si>
    <t>online education</t>
  </si>
  <si>
    <t>online marketplace</t>
  </si>
  <si>
    <t>saas, e-commerce</t>
  </si>
  <si>
    <t>nbfc</t>
  </si>
  <si>
    <t>food</t>
  </si>
  <si>
    <t>food-tech</t>
  </si>
  <si>
    <t>automation</t>
  </si>
  <si>
    <t>investment</t>
  </si>
  <si>
    <t>social network</t>
  </si>
  <si>
    <t>financial tech</t>
  </si>
  <si>
    <t>fashion</t>
  </si>
  <si>
    <t>real estate</t>
  </si>
  <si>
    <t>logistics tech</t>
  </si>
  <si>
    <t>consumer internet</t>
  </si>
  <si>
    <t>b2b platform</t>
  </si>
  <si>
    <t>it</t>
  </si>
  <si>
    <t>clean-tech</t>
  </si>
  <si>
    <t>media</t>
  </si>
  <si>
    <t>food &amp; beveragess</t>
  </si>
  <si>
    <t>publishing</t>
  </si>
  <si>
    <t>entertainment</t>
  </si>
  <si>
    <t>inspiration</t>
  </si>
  <si>
    <t>storytelling</t>
  </si>
  <si>
    <t>lifestyle</t>
  </si>
  <si>
    <t>consumer portal</t>
  </si>
  <si>
    <t>others</t>
  </si>
  <si>
    <t>fmcg</t>
  </si>
  <si>
    <t>reality</t>
  </si>
  <si>
    <t>auto</t>
  </si>
  <si>
    <t>bfsi</t>
  </si>
  <si>
    <t>consumer interne</t>
  </si>
  <si>
    <t>online education information platform</t>
  </si>
  <si>
    <t>brand licensing startup</t>
  </si>
  <si>
    <t>gourmet food discovery &amp; delivery platform</t>
  </si>
  <si>
    <t>transportation &amp; logistics platform</t>
  </si>
  <si>
    <t>enterprise marketing automation platform</t>
  </si>
  <si>
    <t>health, wellness &amp; beauty services app</t>
  </si>
  <si>
    <t>digital healthcare</t>
  </si>
  <si>
    <t>last minute hotel booking app</t>
  </si>
  <si>
    <t>womens fashion wear portal</t>
  </si>
  <si>
    <t>product learning platform</t>
  </si>
  <si>
    <t>online food ordering &amp; delivery platform</t>
  </si>
  <si>
    <t>app based bus pooling services</t>
  </si>
  <si>
    <t>social learning platform</t>
  </si>
  <si>
    <t>social fitness platform</t>
  </si>
  <si>
    <t>on demand mobile app developer</t>
  </si>
  <si>
    <t>car maintenance &amp; management mobile app</t>
  </si>
  <si>
    <t>online wedding marketplace</t>
  </si>
  <si>
    <t>splitting bills mobile app</t>
  </si>
  <si>
    <t>iot energy management analytics platform</t>
  </si>
  <si>
    <t>custom made furniture e-tailer</t>
  </si>
  <si>
    <t>qsr chain</t>
  </si>
  <si>
    <t>elearning platform</t>
  </si>
  <si>
    <t>smart safety wearable devices</t>
  </si>
  <si>
    <t>cab sharing service mobile app</t>
  </si>
  <si>
    <t>cloud enterprise mobility platform</t>
  </si>
  <si>
    <t>online shopping assistant mobile app</t>
  </si>
  <si>
    <t>home cooked food order &amp; delivery platform</t>
  </si>
  <si>
    <t>online school for analytics learning</t>
  </si>
  <si>
    <t>chat based personal assistant app</t>
  </si>
  <si>
    <t>picture creation &amp; social mobile app</t>
  </si>
  <si>
    <t>nonbanking finance company</t>
  </si>
  <si>
    <t>e-commerce returns etailer</t>
  </si>
  <si>
    <t>online freight services aggregator</t>
  </si>
  <si>
    <t>online branded furniture etailer</t>
  </si>
  <si>
    <t>digital analytics platform</t>
  </si>
  <si>
    <t>internet network infrastructure services</t>
  </si>
  <si>
    <t>supply chain &amp; logistics solutions</t>
  </si>
  <si>
    <t>holiday resort chain</t>
  </si>
  <si>
    <t>mobile point of sale solutions</t>
  </si>
  <si>
    <t>peer-to-peer money transfer &amp; recharge app</t>
  </si>
  <si>
    <t>test automation saas platform</t>
  </si>
  <si>
    <t>citizens engagement platform</t>
  </si>
  <si>
    <t>indoor navigation &amp; analytics solutions</t>
  </si>
  <si>
    <t>hyperlocal on-demand household services platform</t>
  </si>
  <si>
    <t>online rti application services</t>
  </si>
  <si>
    <t>e-commerce website creation saas platform</t>
  </si>
  <si>
    <t>wedding venues &amp; vendors marketplace</t>
  </si>
  <si>
    <t>interface development platform for government officials</t>
  </si>
  <si>
    <t>modular furnishings marketplace</t>
  </si>
  <si>
    <t>private jet bookings marketplace</t>
  </si>
  <si>
    <t>cab search comparison &amp; booking platform</t>
  </si>
  <si>
    <t>performance optimization platform for athletes</t>
  </si>
  <si>
    <t>event venue booking platform</t>
  </si>
  <si>
    <t>digital media platform</t>
  </si>
  <si>
    <t>home services marketplace</t>
  </si>
  <si>
    <t>end to end reverse logistics solution platform</t>
  </si>
  <si>
    <t>virtual health consultation app</t>
  </si>
  <si>
    <t>online renting platform</t>
  </si>
  <si>
    <t>logistics services provider</t>
  </si>
  <si>
    <t>data science &amp; ux design learning platform</t>
  </si>
  <si>
    <t>online marketplace for chef meals</t>
  </si>
  <si>
    <t>electric bike manufacturers</t>
  </si>
  <si>
    <t>e-commerce platform solutions</t>
  </si>
  <si>
    <t>online media publication</t>
  </si>
  <si>
    <t>international hiring platform</t>
  </si>
  <si>
    <t>logistics service provider marketplace</t>
  </si>
  <si>
    <t>hyperlocal grocery delivery service</t>
  </si>
  <si>
    <t>sports education platform</t>
  </si>
  <si>
    <t>bike, appliances renting marketplace</t>
  </si>
  <si>
    <t>online marketplace for industrial goods</t>
  </si>
  <si>
    <t>reward points mobile app</t>
  </si>
  <si>
    <t>mobile accessories online store</t>
  </si>
  <si>
    <t>content discovery &amp; reward points platform</t>
  </si>
  <si>
    <t>artificial intelligence platform</t>
  </si>
  <si>
    <t>medical consultation &amp; doctor appointment booking platform</t>
  </si>
  <si>
    <t>mobile fitness app</t>
  </si>
  <si>
    <t>digital coupons, deal &amp; cashback aggregator app</t>
  </si>
  <si>
    <t>mobile game development &amp; design platform</t>
  </si>
  <si>
    <t>b2b e-commerce marketplace</t>
  </si>
  <si>
    <t>furniture and appliances rental platform</t>
  </si>
  <si>
    <t>b2b merchandize platform</t>
  </si>
  <si>
    <t>real estate focused tech platform</t>
  </si>
  <si>
    <t>photographer online search &amp; booking platform</t>
  </si>
  <si>
    <t>grocery delivery platform</t>
  </si>
  <si>
    <t>mobile car servicing appointment app</t>
  </si>
  <si>
    <t>new curation mobile app</t>
  </si>
  <si>
    <t>mobile wallet</t>
  </si>
  <si>
    <t>bus aggregation and rental mobile app</t>
  </si>
  <si>
    <t>hyperlocal online services platform</t>
  </si>
  <si>
    <t>wifi \xe2\x80\x93 first cloud communication platform</t>
  </si>
  <si>
    <t>alternate mobile monetization platform</t>
  </si>
  <si>
    <t>online food ordering marketplace</t>
  </si>
  <si>
    <t>quick service restaurant &amp; online delivery</t>
  </si>
  <si>
    <t>online loans marketplace</t>
  </si>
  <si>
    <t>budget hotels aggregator</t>
  </si>
  <si>
    <t>efficient energy management platform</t>
  </si>
  <si>
    <t>digital intelligent learning platform</t>
  </si>
  <si>
    <t>voice call incentivization mobile app</t>
  </si>
  <si>
    <t>online counselling and psychological support platform</t>
  </si>
  <si>
    <t>domestic help aggregation platform</t>
  </si>
  <si>
    <t>home stay &amp; room rentals platform</t>
  </si>
  <si>
    <t>selfie mobile app</t>
  </si>
  <si>
    <t>online reputation management platform</t>
  </si>
  <si>
    <t>online grocery platform</t>
  </si>
  <si>
    <t>online content platform for women</t>
  </si>
  <si>
    <t>online vehicle spare parts etailer</t>
  </si>
  <si>
    <t>event ticketing platform</t>
  </si>
  <si>
    <t>affordable personal healthcare products</t>
  </si>
  <si>
    <t>premium dining lounges &amp; restaurants</t>
  </si>
  <si>
    <t>mobile growth hacking platform</t>
  </si>
  <si>
    <t>skill training startup</t>
  </si>
  <si>
    <t>beauty and wellness marketplace</t>
  </si>
  <si>
    <t>marketplace app for bangkok</t>
  </si>
  <si>
    <t>on-demand maids service provider</t>
  </si>
  <si>
    <t>e-commerce product search engine</t>
  </si>
  <si>
    <t>ready to cook packaged foods</t>
  </si>
  <si>
    <t>product customization platform</t>
  </si>
  <si>
    <t>branded food products online sales</t>
  </si>
  <si>
    <t>talent platform for fashion professionals</t>
  </si>
  <si>
    <t>auto insurance online platform</t>
  </si>
  <si>
    <t>hyperlocal logistics service provider</t>
  </si>
  <si>
    <t>cricket management mobile game</t>
  </si>
  <si>
    <t>on demand laundry service platform</t>
  </si>
  <si>
    <t>e-commerce discount &amp; cashback coupons platform</t>
  </si>
  <si>
    <t>virtual reality headset creator</t>
  </si>
  <si>
    <t>home improvement service platform</t>
  </si>
  <si>
    <t>women ethnic wear online marketplace</t>
  </si>
  <si>
    <t>numerical computing &amp; data science platform</t>
  </si>
  <si>
    <t>designer fashion jewellery marketplace</t>
  </si>
  <si>
    <t>online products discovery platform</t>
  </si>
  <si>
    <t>kids tool kit for innovation platform</t>
  </si>
  <si>
    <t>mobile learning solutions</t>
  </si>
  <si>
    <t>car aggregator &amp; retail mobile app</t>
  </si>
  <si>
    <t>viral content web platform</t>
  </si>
  <si>
    <t>express local delivery platform</t>
  </si>
  <si>
    <t>on-demand local logistics provider</t>
  </si>
  <si>
    <t>curated freelancer marketplace</t>
  </si>
  <si>
    <t>online taxi rental platform</t>
  </si>
  <si>
    <t>mobile services marketplace</t>
  </si>
  <si>
    <t>smartwatch maker</t>
  </si>
  <si>
    <t>online gourmet food marketplace</t>
  </si>
  <si>
    <t>online jewellery etailer</t>
  </si>
  <si>
    <t>sales &amp; productivity software</t>
  </si>
  <si>
    <t>health-tech platform</t>
  </si>
  <si>
    <t>nightlife discovery mobile app</t>
  </si>
  <si>
    <t>online real estate marketplace</t>
  </si>
  <si>
    <t>home healthcare services platform,</t>
  </si>
  <si>
    <t>indian ethnic crafts etailer</t>
  </si>
  <si>
    <t>social platform for traders and investors</t>
  </si>
  <si>
    <t>online furniture, home appliances rental platform</t>
  </si>
  <si>
    <t>healthcare services discovery platform</t>
  </si>
  <si>
    <t>health and beauty services marketplace</t>
  </si>
  <si>
    <t>automotive services platform</t>
  </si>
  <si>
    <t>online and tv shopping marketplace</t>
  </si>
  <si>
    <t>big data analytics platform</t>
  </si>
  <si>
    <t>mobile app based loan disbursement platform</t>
  </si>
  <si>
    <t>on demand laundry services app</t>
  </si>
  <si>
    <t>education content provider</t>
  </si>
  <si>
    <t>content management software solutions</t>
  </si>
  <si>
    <t>fitness tracking management solutions</t>
  </si>
  <si>
    <t>hyper-local grocery delivery platform</t>
  </si>
  <si>
    <t>hyperlocal healthcare product delivery service provider</t>
  </si>
  <si>
    <t>online lending marketplace</t>
  </si>
  <si>
    <t>on demand beauty services platform</t>
  </si>
  <si>
    <t>self driven rental car platform</t>
  </si>
  <si>
    <t>education content etailer</t>
  </si>
  <si>
    <t>clud based learning platform</t>
  </si>
  <si>
    <t>talent exchange &amp; talent services marketplace</t>
  </si>
  <si>
    <t>two-wheeler taxi service</t>
  </si>
  <si>
    <t>mobile application developer</t>
  </si>
  <si>
    <t>e-commerce delivery locker services</t>
  </si>
  <si>
    <t>hyperlocal online home services provider</t>
  </si>
  <si>
    <t>easy business loans platform</t>
  </si>
  <si>
    <t>performance based wholesale marketplace</t>
  </si>
  <si>
    <t>professional services marketplace</t>
  </si>
  <si>
    <t>movie-on-demand platform</t>
  </si>
  <si>
    <t>online income tax filing platform</t>
  </si>
  <si>
    <t>product discovery &amp; recommendation platform</t>
  </si>
  <si>
    <t>mobile payments app</t>
  </si>
  <si>
    <t>beauty &amp; wellness products e-tailer</t>
  </si>
  <si>
    <t>fashion jewelry and accessories e-tailer</t>
  </si>
  <si>
    <t>online consumer lending platform</t>
  </si>
  <si>
    <t>premium apparel shopping portal</t>
  </si>
  <si>
    <t>exclusive platform for doctors &amp; healthcare professionals</t>
  </si>
  <si>
    <t>job board</t>
  </si>
  <si>
    <t>sports management &amp; physical education business</t>
  </si>
  <si>
    <t>qsr &amp; online delivery portal</t>
  </si>
  <si>
    <t>online homeopathy clinic</t>
  </si>
  <si>
    <t>e-learning service provider</t>
  </si>
  <si>
    <t>organic food etailer</t>
  </si>
  <si>
    <t>delivery &amp; logistics service provider</t>
  </si>
  <si>
    <t>product discovery &amp; comparison app</t>
  </si>
  <si>
    <t>online apparels fashion brand</t>
  </si>
  <si>
    <t>home cooked food marketplace &amp; delivery</t>
  </si>
  <si>
    <t>gesture based mobile development</t>
  </si>
  <si>
    <t>hotel mobile crm software platform</t>
  </si>
  <si>
    <t>rental accommodation search platform</t>
  </si>
  <si>
    <t>logistics tech platform</t>
  </si>
  <si>
    <t>developer portfolio showcase platform</t>
  </si>
  <si>
    <t>doctors network mobile app</t>
  </si>
  <si>
    <t>end-to-end lending platform</t>
  </si>
  <si>
    <t>advertising &amp; marketing community networking platform</t>
  </si>
  <si>
    <t>food ordering &amp; delivery app</t>
  </si>
  <si>
    <t>ride sharing platform</t>
  </si>
  <si>
    <t>online p2p lending marketplace</t>
  </si>
  <si>
    <t>b2b marketplace for industrial goods</t>
  </si>
  <si>
    <t>cloud based collaboration platform</t>
  </si>
  <si>
    <t>prepaid bill manager app</t>
  </si>
  <si>
    <t>mobile only shopping assistant</t>
  </si>
  <si>
    <t>mobile messaging assistant app</t>
  </si>
  <si>
    <t>personalized wish list creator app</t>
  </si>
  <si>
    <t>music streaming mobile app</t>
  </si>
  <si>
    <t>raw meat &amp; ready to eat food etailer</t>
  </si>
  <si>
    <t>gym discovery platform</t>
  </si>
  <si>
    <t>online purchase rewards app</t>
  </si>
  <si>
    <t>home rental platform</t>
  </si>
  <si>
    <t>crowdsourced delivery platform</t>
  </si>
  <si>
    <t>real estate insights platform</t>
  </si>
  <si>
    <t>structural &amp; civil engg service automation</t>
  </si>
  <si>
    <t>startup funding marketplace</t>
  </si>
  <si>
    <t>payments solution platform</t>
  </si>
  <si>
    <t>travel destination discovery platform</t>
  </si>
  <si>
    <t>order fulfillment saas platform</t>
  </si>
  <si>
    <t>last mile delivery service</t>
  </si>
  <si>
    <t>healthcare it solutions &amp; services</t>
  </si>
  <si>
    <t>gourmet meals delivery</t>
  </si>
  <si>
    <t>healthy meals food delivery platform</t>
  </si>
  <si>
    <t>real estate mobile crm</t>
  </si>
  <si>
    <t>micro-brewery</t>
  </si>
  <si>
    <t>home made food marketplace</t>
  </si>
  <si>
    <t>personalized stock intelligence platform</t>
  </si>
  <si>
    <t>personal diagnostic mobile app</t>
  </si>
  <si>
    <t>online food ordering &amp; delivery service</t>
  </si>
  <si>
    <t>hotel aggregator &amp; booking platform</t>
  </si>
  <si>
    <t>online logistics platform</t>
  </si>
  <si>
    <t>online student &amp; campus social networking platform</t>
  </si>
  <si>
    <t>professionals &amp; project search marketplace</t>
  </si>
  <si>
    <t>online pharmacy</t>
  </si>
  <si>
    <t>online payment gateway</t>
  </si>
  <si>
    <t>psychometric test online software</t>
  </si>
  <si>
    <t>location based nightlife recommendation platform</t>
  </si>
  <si>
    <t>professional health services platform</t>
  </si>
  <si>
    <t>online user engagement platform</t>
  </si>
  <si>
    <t>asset financing platform</t>
  </si>
  <si>
    <t>virtual reality activity based learning platform</t>
  </si>
  <si>
    <t>online grocery store</t>
  </si>
  <si>
    <t>investment management platform</t>
  </si>
  <si>
    <t>industrial toons marketplace</t>
  </si>
  <si>
    <t>public commute helper app</t>
  </si>
  <si>
    <t>artificial intelligence e-commerce chatbot</t>
  </si>
  <si>
    <t>truck aggregator &amp; logistics service</t>
  </si>
  <si>
    <t>ridesharing mobile app</t>
  </si>
  <si>
    <t>food discovery &amp; delivery mobile app</t>
  </si>
  <si>
    <t>competitive exam learning platform</t>
  </si>
  <si>
    <t>document digitization platform</t>
  </si>
  <si>
    <t>proximity marketing &amp; mobile advertising platform</t>
  </si>
  <si>
    <t>autorickshaw aggregator &amp; booking platform</t>
  </si>
  <si>
    <t>fintech startup incubation platform</t>
  </si>
  <si>
    <t>payment services platform</t>
  </si>
  <si>
    <t>personalized styling platform</t>
  </si>
  <si>
    <t>luxury goods shopping platform</t>
  </si>
  <si>
    <t>food delivery platform</t>
  </si>
  <si>
    <t>online lingerie marketplace</t>
  </si>
  <si>
    <t>cloud software solutions</t>
  </si>
  <si>
    <t>job search platform</t>
  </si>
  <si>
    <t>doctor consultancy mobile app</t>
  </si>
  <si>
    <t>small business financing (nbfc)</t>
  </si>
  <si>
    <t>beauty &amp; wellness services marketplace</t>
  </si>
  <si>
    <t>online movie review platform</t>
  </si>
  <si>
    <t>e-commerce brands full service agency</t>
  </si>
  <si>
    <t>cloud-based hotel booking platform</t>
  </si>
  <si>
    <t>community driven news/views platform</t>
  </si>
  <si>
    <t>study material marketplace</t>
  </si>
  <si>
    <t>restaurant ratings &amp; reviews platform</t>
  </si>
  <si>
    <t>dairy based product manufacturer</t>
  </si>
  <si>
    <t>government test preparation platform</t>
  </si>
  <si>
    <t>smart report cards for schools</t>
  </si>
  <si>
    <t>teacher empowerment platform</t>
  </si>
  <si>
    <t>multilingual test preparation platform</t>
  </si>
  <si>
    <t>industrial tools marketplace</t>
  </si>
  <si>
    <t>non profit organization to alleviate poverty</t>
  </si>
  <si>
    <t>gym &amp; fitness studios subscription platform</t>
  </si>
  <si>
    <t>pre-used luxury item marketplace</t>
  </si>
  <si>
    <t>home design &amp; platform</t>
  </si>
  <si>
    <t>used vehicles marketplace</t>
  </si>
  <si>
    <t>online bus &amp; cab ticketing platform</t>
  </si>
  <si>
    <t>mobile app testing platform</t>
  </si>
  <si>
    <t>hyperlocal delivery services</t>
  </si>
  <si>
    <t>early cancer detection solutions</t>
  </si>
  <si>
    <t>cab rental mobile app</t>
  </si>
  <si>
    <t>online insurance distribution platform</t>
  </si>
  <si>
    <t>mobile marketing automation platform</t>
  </si>
  <si>
    <t>prepaid mobile bill manager app</t>
  </si>
  <si>
    <t>chain of tea café</t>
  </si>
  <si>
    <t>branded budget hotel marketplace</t>
  </si>
  <si>
    <t>home fitting &amp; fixtures marketplace</t>
  </si>
  <si>
    <t>food subscription platform</t>
  </si>
  <si>
    <t>wedding planning platform</t>
  </si>
  <si>
    <t>b2b mobile auction marketplace</t>
  </si>
  <si>
    <t>e-commerce data analytics platform</t>
  </si>
  <si>
    <t>designer merchandize marketplace</t>
  </si>
  <si>
    <t>private label fashion etailer</t>
  </si>
  <si>
    <t>online food ordering &amp; delivery</t>
  </si>
  <si>
    <t>real estate broker platform app</t>
  </si>
  <si>
    <t>online health &amp; wellness platform</t>
  </si>
  <si>
    <t>internet of things platform</t>
  </si>
  <si>
    <t>diagnostic labs aggregator platform</t>
  </si>
  <si>
    <t>home medical care services</t>
  </si>
  <si>
    <t>real-time stock data platform</t>
  </si>
  <si>
    <t>food discovery &amp; table booking app</t>
  </si>
  <si>
    <t>financial products lead generation platform</t>
  </si>
  <si>
    <t>sustainable agri-inputs firm</t>
  </si>
  <si>
    <t>financial services portal</t>
  </si>
  <si>
    <t>pre-owned games marketplace</t>
  </si>
  <si>
    <t>content-based subscription e-commerce platform</t>
  </si>
  <si>
    <t>online interior designing platform</t>
  </si>
  <si>
    <t>end-to-end logistics platform</t>
  </si>
  <si>
    <t>private label apparel sales</t>
  </si>
  <si>
    <t>healthcare consulting platform</t>
  </si>
  <si>
    <t>stock market portal</t>
  </si>
  <si>
    <t>cross-device retargeting platform</t>
  </si>
  <si>
    <t>digital &amp; physical publishing platform</t>
  </si>
  <si>
    <t>data driven publishing platform</t>
  </si>
  <si>
    <t>employee onboarding &amp; orientation platform</t>
  </si>
  <si>
    <t>solar power solutions company</t>
  </si>
  <si>
    <t>online meat ordering platform</t>
  </si>
  <si>
    <t>cab booking app platform</t>
  </si>
  <si>
    <t>e-commerce &amp; m-commerce platform</t>
  </si>
  <si>
    <t>mobile advertising platform</t>
  </si>
  <si>
    <t>hyperlocal grocery delivery</t>
  </si>
  <si>
    <t>e-commerce product recommendation platform</t>
  </si>
  <si>
    <t>activity based social network</t>
  </si>
  <si>
    <t>fashion discovery platform</t>
  </si>
  <si>
    <t>consumer lending marketplace</t>
  </si>
  <si>
    <t>big data management platform</t>
  </si>
  <si>
    <t>budget accommodation platform</t>
  </si>
  <si>
    <t>local mobile os</t>
  </si>
  <si>
    <t>digital signal processing platform</t>
  </si>
  <si>
    <t>e-commerce marketplace</t>
  </si>
  <si>
    <t>restaurant discount app</t>
  </si>
  <si>
    <t>tech-enabled learning</t>
  </si>
  <si>
    <t>e-commerce logistics provider</t>
  </si>
  <si>
    <t>self driven car rental</t>
  </si>
  <si>
    <t>budget hotel accommodation brand</t>
  </si>
  <si>
    <t>energy &amp; environment online marketplace</t>
  </si>
  <si>
    <t>user engagment &amp; analytics platform</t>
  </si>
  <si>
    <t>on-demand delivery logistics</t>
  </si>
  <si>
    <t>online budget hotel chain</t>
  </si>
  <si>
    <t>hyperlocal handyman services</t>
  </si>
  <si>
    <t>rental accomodation finder</t>
  </si>
  <si>
    <t>tech platform for property brokers</t>
  </si>
  <si>
    <t>luxury apparel rental</t>
  </si>
  <si>
    <t>app security testing platform</t>
  </si>
  <si>
    <t>doctor appointment booking app</t>
  </si>
  <si>
    <t>travel community platform</t>
  </si>
  <si>
    <t>crowd funding platform</t>
  </si>
  <si>
    <t>mobile based pos solution</t>
  </si>
  <si>
    <t>car &amp; bike ecommerce platform</t>
  </si>
  <si>
    <t>fast food chain franchisee</t>
  </si>
  <si>
    <t>loyalty programs &amp; reward points</t>
  </si>
  <si>
    <t>energy saving solutions provider</t>
  </si>
  <si>
    <t>self-storage spaces</t>
  </si>
  <si>
    <t>grocery retail mobile app</t>
  </si>
  <si>
    <t>taxi rental platform</t>
  </si>
  <si>
    <t>machine learning platform</t>
  </si>
  <si>
    <t>hyper-local e-commerce</t>
  </si>
  <si>
    <t>online printing marketplace</t>
  </si>
  <si>
    <t>automated storage &amp; warehousing solution</t>
  </si>
  <si>
    <t>home design &amp; solutions</t>
  </si>
  <si>
    <t>quick service restaurant chain</t>
  </si>
  <si>
    <t>subscription based online grocery platform</t>
  </si>
  <si>
    <t>business and it consulting</t>
  </si>
  <si>
    <t>credit card fraud protection solutions</t>
  </si>
  <si>
    <t>online &amp; mobile grocery store</t>
  </si>
  <si>
    <t>career community for women</t>
  </si>
  <si>
    <t>mutual fund investing platform</t>
  </si>
  <si>
    <t>e-commerce marketing software platform</t>
  </si>
  <si>
    <t>financial inclusion platform</t>
  </si>
  <si>
    <t>digital marketing automation solution</t>
  </si>
  <si>
    <t>mobile commerce for farmers</t>
  </si>
  <si>
    <t>picture based social app</t>
  </si>
  <si>
    <t>logistics service platform</t>
  </si>
  <si>
    <t>on-demand beauty services</t>
  </si>
  <si>
    <t>exam preparation platform</t>
  </si>
  <si>
    <t>startup focused online publisher</t>
  </si>
  <si>
    <t>waste management solutions</t>
  </si>
  <si>
    <t>app based fitness coaching</t>
  </si>
  <si>
    <t>on demand cleaning &amp; fixing services</t>
  </si>
  <si>
    <t>beauty &amp; lifestyle platform</t>
  </si>
  <si>
    <t>data analytics platform</t>
  </si>
  <si>
    <t>deep learning cloud algorithms</t>
  </si>
  <si>
    <t>location based engagement &amp; rewards platform</t>
  </si>
  <si>
    <t>online identity verification services platform</t>
  </si>
  <si>
    <t>corporate wellness app</t>
  </si>
  <si>
    <t>fashion search &amp; review platform</t>
  </si>
  <si>
    <t>hyperlocal maintenance, repair &amp; cleaning services</t>
  </si>
  <si>
    <t>pre-owned luxury online apparel seller</t>
  </si>
  <si>
    <t>online furniture marketplace</t>
  </si>
  <si>
    <t>online diagnostic tests marketplace</t>
  </si>
  <si>
    <t>online marketplace for photographers</t>
  </si>
  <si>
    <t>visual blogging platform</t>
  </si>
  <si>
    <t>food customer analytics platform</t>
  </si>
  <si>
    <t>professional service appointment booking service</t>
  </si>
  <si>
    <t>scientific horoscope online assistance platform</t>
  </si>
  <si>
    <t>tech enabled ac bus service</t>
  </si>
  <si>
    <t>on-demand app based professional service provider</t>
  </si>
  <si>
    <t>restaurant reservation platform</t>
  </si>
  <si>
    <t>cross-channel crm platform</t>
  </si>
  <si>
    <t>professional custom creators marketplace</t>
  </si>
  <si>
    <t>on-demand washing &amp; dry-cleaning</t>
  </si>
  <si>
    <t>on-demand beauty service</t>
  </si>
  <si>
    <t>online food community platform</t>
  </si>
  <si>
    <t>private cloud networks saas platform</t>
  </si>
  <si>
    <t>education marketplace</t>
  </si>
  <si>
    <t>cloud based hotel sales platform</t>
  </si>
  <si>
    <t>beauty &amp; lifestyle mobile marketplace</t>
  </si>
  <si>
    <t>qsr restaurant chain</t>
  </si>
  <si>
    <t>digital media publishing platform</t>
  </si>
  <si>
    <t>online coffee delivery platform</t>
  </si>
  <si>
    <t>language localization cloud platform</t>
  </si>
  <si>
    <t>big data &amp; predictive analysis platform</t>
  </si>
  <si>
    <t>business it intelligence services</t>
  </si>
  <si>
    <t>crm / analytics platform</t>
  </si>
  <si>
    <t>hyperlocal electronics repair service</t>
  </si>
  <si>
    <t>ed-tech platform</t>
  </si>
  <si>
    <t>it infrastructure &amp; data center services</t>
  </si>
  <si>
    <t>online financial services</t>
  </si>
  <si>
    <t>used car marketplace</t>
  </si>
  <si>
    <t>language learning app</t>
  </si>
  <si>
    <t>mobile fitness marketplace</t>
  </si>
  <si>
    <t>custom merchandize platform</t>
  </si>
  <si>
    <t>p2p pre-owned goods marketplace</t>
  </si>
  <si>
    <t>custom furniture marketplace</t>
  </si>
  <si>
    <t>online tailoring services</t>
  </si>
  <si>
    <t>rail ticket confirmation predictor</t>
  </si>
  <si>
    <t>ethnic beverages manufacturer</t>
  </si>
  <si>
    <t>hyperlocal goods marketplace</t>
  </si>
  <si>
    <t>budget accommodation aggregator</t>
  </si>
  <si>
    <t>real estate rating &amp; analysis</t>
  </si>
  <si>
    <t>food discovery app</t>
  </si>
  <si>
    <t>music streaming app</t>
  </si>
  <si>
    <t>big data &amp; analytics platform</t>
  </si>
  <si>
    <t>coupon aggregator platform</t>
  </si>
  <si>
    <t>electric scooter manufacturer</t>
  </si>
  <si>
    <t>online food-tech platform</t>
  </si>
  <si>
    <t>celebrity fashion brand</t>
  </si>
  <si>
    <t>online finance lending platform</t>
  </si>
  <si>
    <t>healthcare mobile app</t>
  </si>
  <si>
    <t>self-driven vehicle rental</t>
  </si>
  <si>
    <t>news aggregator mobile app</t>
  </si>
  <si>
    <t>online jewellery store</t>
  </si>
  <si>
    <t>fashion info aggregator app</t>
  </si>
  <si>
    <t>online study notes marketplace</t>
  </si>
  <si>
    <t>warranty programs service administration</t>
  </si>
  <si>
    <t>pre-school chain</t>
  </si>
  <si>
    <t>premium loyalty rewards point management</t>
  </si>
  <si>
    <t>contact center software platform</t>
  </si>
  <si>
    <t>casual dining restaurant chain</t>
  </si>
  <si>
    <t>online grocery delivery</t>
  </si>
  <si>
    <t>online comparison engine</t>
  </si>
  <si>
    <t>physical storage warehouses</t>
  </si>
  <si>
    <t>tech recruitment platform</t>
  </si>
  <si>
    <t>bike rental platform</t>
  </si>
  <si>
    <t>tech enabled logistics platform</t>
  </si>
  <si>
    <t>budget hotel accommodation</t>
  </si>
  <si>
    <t>restaurant customer engagement platform</t>
  </si>
  <si>
    <t>live video streaming app</t>
  </si>
  <si>
    <t>hyper local logistics platform</t>
  </si>
  <si>
    <t>f&amp;b sector mobile payment platform</t>
  </si>
  <si>
    <t>industrial supplies b2b ecommerce</t>
  </si>
  <si>
    <t>payment solutions platform</t>
  </si>
  <si>
    <t>online hiring platform</t>
  </si>
  <si>
    <t>organic food ecommerce</t>
  </si>
  <si>
    <t>fine dining restaurant chain</t>
  </si>
  <si>
    <t>luxury rental homes</t>
  </si>
  <si>
    <t>mobile point of sale payment solution</t>
  </si>
  <si>
    <t>online grocers</t>
  </si>
  <si>
    <t>casual dating app</t>
  </si>
  <si>
    <t>clinical genomics provider</t>
  </si>
  <si>
    <t>travel information portal</t>
  </si>
  <si>
    <t>fitness marketplace</t>
  </si>
  <si>
    <t>online &amp; mobile classified listings</t>
  </si>
  <si>
    <t>private jet/ helicopter marketplace</t>
  </si>
  <si>
    <t>real estate broker network app</t>
  </si>
  <si>
    <t>ethnic/ traditional fashion store</t>
  </si>
  <si>
    <t>used bikes marketplace</t>
  </si>
  <si>
    <t>spa &amp; salon management software</t>
  </si>
  <si>
    <t>b2b logistics delivery platform</t>
  </si>
  <si>
    <t>logistics automation platform</t>
  </si>
  <si>
    <t>online home marketplace</t>
  </si>
  <si>
    <t>hyperlocal food &amp; grocery store</t>
  </si>
  <si>
    <t>medical tech instruments</t>
  </si>
  <si>
    <t>hyperlocal deals marketplace</t>
  </si>
  <si>
    <t>innovative water solutions</t>
  </si>
  <si>
    <t>online jewelry store</t>
  </si>
  <si>
    <t>business intelligence &amp; analytics</t>
  </si>
  <si>
    <t>used vehicle marketplace</t>
  </si>
  <si>
    <t>educational board games</t>
  </si>
  <si>
    <t>chinese food delivery</t>
  </si>
  <si>
    <t>on-demand laundry &amp; dry cleaning app</t>
  </si>
  <si>
    <t>on-demand car services app</t>
  </si>
  <si>
    <t>hyperlocal grocery app</t>
  </si>
  <si>
    <t>online curated holiday package bookings</t>
  </si>
  <si>
    <t>hasbro toy manufacturer</t>
  </si>
  <si>
    <t>beauty and wellness platform</t>
  </si>
  <si>
    <t>healthy food manufacturer</t>
  </si>
  <si>
    <t>online learning platform</t>
  </si>
  <si>
    <t>healthy food online community</t>
  </si>
  <si>
    <t>used two-wheeler marketplace</t>
  </si>
  <si>
    <t>online fashion video portal</t>
  </si>
  <si>
    <t>probiotic technology products manufacturer</t>
  </si>
  <si>
    <t>architectural design &amp; consulting</t>
  </si>
  <si>
    <t>big data &amp; analytics services</t>
  </si>
  <si>
    <t>preventive healthcare services</t>
  </si>
  <si>
    <t>tech-enabled rural healthcare services</t>
  </si>
  <si>
    <t>engineering innovations</t>
  </si>
  <si>
    <t>real estate intelligence platform</t>
  </si>
  <si>
    <t>online car rental affiliates</t>
  </si>
  <si>
    <t>data center software platform</t>
  </si>
  <si>
    <t>online city &amp; lifestyle guide</t>
  </si>
  <si>
    <t>p2p payments platform</t>
  </si>
  <si>
    <t>bespoke merchandize marketplace</t>
  </si>
  <si>
    <t>women lifestyle marketplace</t>
  </si>
  <si>
    <t>logistics solution provider</t>
  </si>
  <si>
    <t>video intelligence platform</t>
  </si>
  <si>
    <t>hyperlocal shopping app</t>
  </si>
  <si>
    <t>e-commerce platform</t>
  </si>
  <si>
    <t>renewable energy solutions</t>
  </si>
  <si>
    <t>healthcare service provider</t>
  </si>
  <si>
    <t>auto rickshaw based services</t>
  </si>
  <si>
    <t>artist / designer marketplace</t>
  </si>
  <si>
    <t>off-grid solar power</t>
  </si>
  <si>
    <t>private label lingerie e-commerce</t>
  </si>
  <si>
    <t>online food ordering</t>
  </si>
  <si>
    <t>mobile commerce platform</t>
  </si>
  <si>
    <t>online printing services</t>
  </si>
  <si>
    <t>digital marketing services</t>
  </si>
  <si>
    <t>travel guide mobile app</t>
  </si>
  <si>
    <t>fashion e-commerce store</t>
  </si>
  <si>
    <t>mobile compression software</t>
  </si>
  <si>
    <t>peer to peer lending platform</t>
  </si>
  <si>
    <t>global healthcare products</t>
  </si>
  <si>
    <t>home furnishing solutions</t>
  </si>
  <si>
    <t>skill training &amp; placement platform</t>
  </si>
  <si>
    <t>intra-city logistics service</t>
  </si>
  <si>
    <t>electronic goods recycling service</t>
  </si>
  <si>
    <t>online coupon &amp; comparison platform</t>
  </si>
  <si>
    <t>parents &amp; kids online platform</t>
  </si>
  <si>
    <t>dental clinic chain</t>
  </si>
  <si>
    <t>on-demand logistics service</t>
  </si>
  <si>
    <t>3d printer manufacturer</t>
  </si>
  <si>
    <t>it / customer engagement consulting</t>
  </si>
  <si>
    <t>health &amp; fitness app</t>
  </si>
  <si>
    <t>online education marketplace</t>
  </si>
  <si>
    <t>financial services platform</t>
  </si>
  <si>
    <t>social network for artists</t>
  </si>
  <si>
    <t>startup funding platform</t>
  </si>
  <si>
    <t>data driven recruitment recommendation</t>
  </si>
  <si>
    <t>travel search engine</t>
  </si>
  <si>
    <t>brain games platform</t>
  </si>
  <si>
    <t>video advertisement platform</t>
  </si>
  <si>
    <t>algorithmic match making platform</t>
  </si>
  <si>
    <t>mobile chat based concierge service</t>
  </si>
  <si>
    <t>online budget hotel booking service</t>
  </si>
  <si>
    <t>science learning app</t>
  </si>
  <si>
    <t>online education platform</t>
  </si>
  <si>
    <t>saas product intelligence platform</t>
  </si>
  <si>
    <t>app analytics platform</t>
  </si>
  <si>
    <t>micro finance platform</t>
  </si>
  <si>
    <t>freight logistics platform</t>
  </si>
  <si>
    <t>credit management services</t>
  </si>
  <si>
    <t>hyperlocal services marketplace</t>
  </si>
  <si>
    <t>beauty services mobile marketplace</t>
  </si>
  <si>
    <t>marketing / advertising automation platform</t>
  </si>
  <si>
    <t>online lingerie platform</t>
  </si>
  <si>
    <t>railways information mobile app</t>
  </si>
  <si>
    <t>flat rental mobile app</t>
  </si>
  <si>
    <t>wealth management platform</t>
  </si>
  <si>
    <t>online food delivery</t>
  </si>
  <si>
    <t>fund raising platform</t>
  </si>
  <si>
    <t>workforce management software</t>
  </si>
  <si>
    <t>online art marketplace</t>
  </si>
  <si>
    <t>affordable education</t>
  </si>
  <si>
    <t>career development</t>
  </si>
  <si>
    <t>real estate advisory</t>
  </si>
  <si>
    <t>banking analytics platform</t>
  </si>
  <si>
    <t>customer engagement platform</t>
  </si>
  <si>
    <t>e-commerce logistics</t>
  </si>
  <si>
    <t>speech recognition solutions</t>
  </si>
  <si>
    <t>online product comparison</t>
  </si>
  <si>
    <t>online security platform</t>
  </si>
  <si>
    <t>online medical diagnostic</t>
  </si>
  <si>
    <t>cloud data integration platform</t>
  </si>
  <si>
    <t>mobile laundry cleaning service</t>
  </si>
  <si>
    <t>service-on-demand mobile app</t>
  </si>
  <si>
    <t>intelligent data analytics</t>
  </si>
  <si>
    <t>online office rental</t>
  </si>
  <si>
    <t>lifestyle e-commerce portal</t>
  </si>
  <si>
    <t>online fashion aggregator</t>
  </si>
  <si>
    <t>online job skills showcase</t>
  </si>
  <si>
    <t>online news media</t>
  </si>
  <si>
    <t>enterprise communication platform</t>
  </si>
  <si>
    <t>offline tea chain</t>
  </si>
  <si>
    <t>business messaging app</t>
  </si>
  <si>
    <t>health mobile app</t>
  </si>
  <si>
    <t>online ed-tech platform</t>
  </si>
  <si>
    <t>online travel planning</t>
  </si>
  <si>
    <t>hyperlocal mobile marketplace</t>
  </si>
  <si>
    <t>trucking logistic operations</t>
  </si>
  <si>
    <t>b2c messaging app</t>
  </si>
  <si>
    <t>rooftop solar plants</t>
  </si>
  <si>
    <t>online car portal</t>
  </si>
  <si>
    <t>online table reservation</t>
  </si>
  <si>
    <t>parents focused web content</t>
  </si>
  <si>
    <t>payments solution provider</t>
  </si>
  <si>
    <t>on-demand service marketplace</t>
  </si>
  <si>
    <t>on-demand business messaging</t>
  </si>
  <si>
    <t>online home</t>
  </si>
  <si>
    <t>api workflow platform</t>
  </si>
  <si>
    <t>affordable hotel booking online</t>
  </si>
  <si>
    <t>logistics intelligence</t>
  </si>
  <si>
    <t>last mile logistics</t>
  </si>
  <si>
    <t>self-driven car rental</t>
  </si>
  <si>
    <t>weight management service</t>
  </si>
  <si>
    <t>web content publishing</t>
  </si>
  <si>
    <t>location based app</t>
  </si>
  <si>
    <t>video streaming</t>
  </si>
  <si>
    <t>price comparison</t>
  </si>
  <si>
    <t>online classifieds</t>
  </si>
  <si>
    <t>travel entertainment</t>
  </si>
  <si>
    <t>digital / mobile wallet</t>
  </si>
  <si>
    <t>cab aggregator</t>
  </si>
  <si>
    <t>device repair svcs</t>
  </si>
  <si>
    <t>premium beverages</t>
  </si>
  <si>
    <t>online furnishing e-commerce</t>
  </si>
  <si>
    <t>interactive how-to guides</t>
  </si>
  <si>
    <t>mobile health tech</t>
  </si>
  <si>
    <t>restaurant reviews</t>
  </si>
  <si>
    <t>online grocer</t>
  </si>
  <si>
    <t>online hotel booking</t>
  </si>
  <si>
    <t>online kitchen furniture</t>
  </si>
  <si>
    <t>hyper-local online services</t>
  </si>
  <si>
    <t>hyper-local online/mobile grocery</t>
  </si>
  <si>
    <t>online policy aggregator</t>
  </si>
  <si>
    <t>hyperlocal mobile services marketplace</t>
  </si>
  <si>
    <t>ondemand mobile handyman services</t>
  </si>
  <si>
    <t>mobile app development</t>
  </si>
  <si>
    <t>on-demand handyman services</t>
  </si>
  <si>
    <t>beauty &amp; wellness mobile app</t>
  </si>
  <si>
    <t>material collection &amp; recycling</t>
  </si>
  <si>
    <t>online pharmacy &amp; drug db</t>
  </si>
  <si>
    <t>online / mobile customer support</t>
  </si>
  <si>
    <t>online classifieds &amp; listings</t>
  </si>
  <si>
    <t>fashion e-commerce</t>
  </si>
  <si>
    <t>private coaching centers</t>
  </si>
  <si>
    <t>online certification courses</t>
  </si>
  <si>
    <t>ethnic product e-commerce</t>
  </si>
  <si>
    <t>last minute travel deals mobile marketplace</t>
  </si>
  <si>
    <t>auto rickshaw based logistics</t>
  </si>
  <si>
    <t>restaurant reservation app</t>
  </si>
  <si>
    <t>spam call block app</t>
  </si>
  <si>
    <t>online insurance aggregator</t>
  </si>
  <si>
    <t>restaurant management platform</t>
  </si>
  <si>
    <t>food logistics &amp; delivery</t>
  </si>
  <si>
    <t>interactive educational games</t>
  </si>
  <si>
    <t>clean tech</t>
  </si>
  <si>
    <t>grey collar job board</t>
  </si>
  <si>
    <t>online furniture ecommerce</t>
  </si>
  <si>
    <t>robotic program learning</t>
  </si>
  <si>
    <t>tele-shopping / e-commerce</t>
  </si>
  <si>
    <t>used gadgets buy / refurbishing</t>
  </si>
  <si>
    <t>cloud enterprise software</t>
  </si>
  <si>
    <t>startup analytics platform</t>
  </si>
  <si>
    <t>mobile food ordering app</t>
  </si>
  <si>
    <t>financial markets software</t>
  </si>
  <si>
    <t>hiring analytics platform</t>
  </si>
  <si>
    <t>online travel marketplace</t>
  </si>
  <si>
    <t>Sub_Vertical_Std</t>
  </si>
  <si>
    <t>e-learning</t>
  </si>
  <si>
    <t>app based shuttle service</t>
  </si>
  <si>
    <t>retailer of baby and toddler products</t>
  </si>
  <si>
    <t>online investment</t>
  </si>
  <si>
    <t>embroiled clothes for women</t>
  </si>
  <si>
    <t>open-market, freight management platform</t>
  </si>
  <si>
    <t>online food delivery platform</t>
  </si>
  <si>
    <t>agritech</t>
  </si>
  <si>
    <t>satellite communication</t>
  </si>
  <si>
    <t>logistics services and solutions</t>
  </si>
  <si>
    <t>food solutions for corporate</t>
  </si>
  <si>
    <t>online meat and seafood ordering startup</t>
  </si>
  <si>
    <t>non-banking financial company</t>
  </si>
  <si>
    <t>experience discovery platform</t>
  </si>
  <si>
    <t>real money based gaming startup</t>
  </si>
  <si>
    <t>online eyewear shopping portal</t>
  </si>
  <si>
    <t>business and customer engagement tools</t>
  </si>
  <si>
    <t>men's health and wellness brand</t>
  </si>
  <si>
    <t>elearning</t>
  </si>
  <si>
    <t>indian burger brand</t>
  </si>
  <si>
    <t>healthcare services</t>
  </si>
  <si>
    <t>financial services to msmes</t>
  </si>
  <si>
    <t>social gaming platform</t>
  </si>
  <si>
    <t>recovery software</t>
  </si>
  <si>
    <t>electric bike rental</t>
  </si>
  <si>
    <t>virtual e-commerce platform</t>
  </si>
  <si>
    <t>b2b platform for medical supplies</t>
  </si>
  <si>
    <t>scooter sharing app</t>
  </si>
  <si>
    <t>music education</t>
  </si>
  <si>
    <t>delivery service</t>
  </si>
  <si>
    <t>business development</t>
  </si>
  <si>
    <t>beauty and grooming</t>
  </si>
  <si>
    <t>financial services</t>
  </si>
  <si>
    <t>invoice discounting platform and sme lending marketplace</t>
  </si>
  <si>
    <t>digital marketing firm</t>
  </si>
  <si>
    <t>education technology</t>
  </si>
  <si>
    <t>building automation system</t>
  </si>
  <si>
    <t>deep-technology</t>
  </si>
  <si>
    <t>consumer electronics, home appliances</t>
  </si>
  <si>
    <t>wearable fitness bands</t>
  </si>
  <si>
    <t>mobile-based accounting software</t>
  </si>
  <si>
    <t>supply chain management</t>
  </si>
  <si>
    <t>fuel delivery</t>
  </si>
  <si>
    <t>vc funds</t>
  </si>
  <si>
    <t>last-mile retail transaction technology</t>
  </si>
  <si>
    <t>social commerce</t>
  </si>
  <si>
    <t>car retail</t>
  </si>
  <si>
    <t>conversational ai</t>
  </si>
  <si>
    <t>road safety analytics</t>
  </si>
  <si>
    <t>low carb food for diabetics</t>
  </si>
  <si>
    <t>digital lending platform</t>
  </si>
  <si>
    <t>wealth management</t>
  </si>
  <si>
    <t>b2b foodtech</t>
  </si>
  <si>
    <t>university admissions</t>
  </si>
  <si>
    <t>product review</t>
  </si>
  <si>
    <t>grocery delivery</t>
  </si>
  <si>
    <t>bike taxi</t>
  </si>
  <si>
    <t>auto insurance</t>
  </si>
  <si>
    <t>big data</t>
  </si>
  <si>
    <t>consulting</t>
  </si>
  <si>
    <t>cabs</t>
  </si>
  <si>
    <t>speech recognition</t>
  </si>
  <si>
    <t>digital vending machine</t>
  </si>
  <si>
    <t>industrial tools and equipments</t>
  </si>
  <si>
    <t>smartphone operating system</t>
  </si>
  <si>
    <t>primary care medical network</t>
  </si>
  <si>
    <t>clothes and apparel</t>
  </si>
  <si>
    <t>full-stack career platform</t>
  </si>
  <si>
    <t>brewery</t>
  </si>
  <si>
    <t>optimization</t>
  </si>
  <si>
    <t>hybrid reactor biodigestor</t>
  </si>
  <si>
    <t>renewable energy</t>
  </si>
  <si>
    <t>e-books</t>
  </si>
  <si>
    <t>video platform</t>
  </si>
  <si>
    <t>dockless scooter rental company</t>
  </si>
  <si>
    <t>digital documentation</t>
  </si>
  <si>
    <t>fashion and shopping</t>
  </si>
  <si>
    <t>beauty and wellness industry</t>
  </si>
  <si>
    <t>electric vehicle</t>
  </si>
  <si>
    <t>fresh agriculture produces</t>
  </si>
  <si>
    <t>online medicine</t>
  </si>
  <si>
    <t>waste management</t>
  </si>
  <si>
    <t>travel</t>
  </si>
  <si>
    <t>organic wellness</t>
  </si>
  <si>
    <t>banking</t>
  </si>
  <si>
    <t>mobile analytics and marketing</t>
  </si>
  <si>
    <t>software solutions</t>
  </si>
  <si>
    <t>lending platform</t>
  </si>
  <si>
    <t>bus aggregation</t>
  </si>
  <si>
    <t>supply-chain technology solutions</t>
  </si>
  <si>
    <t>fashion &amp; apparel</t>
  </si>
  <si>
    <t>anti-pollution</t>
  </si>
  <si>
    <t>budget rooms</t>
  </si>
  <si>
    <t>specialty pharmaceutical</t>
  </si>
  <si>
    <t>hyperlocal content</t>
  </si>
  <si>
    <t>platform for travel agents</t>
  </si>
  <si>
    <t>video-based certification, trainings</t>
  </si>
  <si>
    <t>real estate, erp</t>
  </si>
  <si>
    <t>regional flavours</t>
  </si>
  <si>
    <t>msme finance</t>
  </si>
  <si>
    <t>mobile e-sports</t>
  </si>
  <si>
    <t>meat retail chain</t>
  </si>
  <si>
    <t>pos for online ordering</t>
  </si>
  <si>
    <t>micro-delivery grocery service</t>
  </si>
  <si>
    <t>on-demand drivers</t>
  </si>
  <si>
    <t>car wash</t>
  </si>
  <si>
    <t>robotics</t>
  </si>
  <si>
    <t>wellness coach</t>
  </si>
  <si>
    <t>personalized learning</t>
  </si>
  <si>
    <t>sme funding</t>
  </si>
  <si>
    <t>art</t>
  </si>
  <si>
    <t>digital onboarding solution</t>
  </si>
  <si>
    <t>ai platform</t>
  </si>
  <si>
    <t>sme lending</t>
  </si>
  <si>
    <t>video sharing</t>
  </si>
  <si>
    <t>mens wear</t>
  </si>
  <si>
    <t>supply chain</t>
  </si>
  <si>
    <t>wine</t>
  </si>
  <si>
    <t>new and used cars platform</t>
  </si>
  <si>
    <t>co-working</t>
  </si>
  <si>
    <t>largest trucking platform</t>
  </si>
  <si>
    <t>book trucks online</t>
  </si>
  <si>
    <t>online pharmacy chain</t>
  </si>
  <si>
    <t>logistics and shipping</t>
  </si>
  <si>
    <t>news and ebooks mobile app</t>
  </si>
  <si>
    <t>online travel agecy</t>
  </si>
  <si>
    <t>online marketplace for multi-brand beauty cosmetic and wellness products</t>
  </si>
  <si>
    <t>computer vision and artificial intelligence (ai) platform</t>
  </si>
  <si>
    <t>online gaming platform</t>
  </si>
  <si>
    <t>online marketplace for mother and babycare products</t>
  </si>
  <si>
    <t>ai-based energy optimisation and control provider</t>
  </si>
  <si>
    <t>online marketplace for pharmaceutical products</t>
  </si>
  <si>
    <t>online micro lending marketplace</t>
  </si>
  <si>
    <t>personalisation technology firm focusing on the food and beverage industry</t>
  </si>
  <si>
    <t>patient financing platform</t>
  </si>
  <si>
    <t>social media and chat entertainment platform</t>
  </si>
  <si>
    <t>online home rental marketplace</t>
  </si>
  <si>
    <t>holy platform offering customised puja packages to individuals and corporates</t>
  </si>
  <si>
    <t>assisted e-commerce platform</t>
  </si>
  <si>
    <t>online travel aggregator</t>
  </si>
  <si>
    <t>real-time mobile app management</t>
  </si>
  <si>
    <t>online bike rental marketplace</t>
  </si>
  <si>
    <t>upi payments app</t>
  </si>
  <si>
    <t>e-learning platform</t>
  </si>
  <si>
    <t>consumer financing platform</t>
  </si>
  <si>
    <t>rural e-commerce platform</t>
  </si>
  <si>
    <t>ai based solutions platform</t>
  </si>
  <si>
    <t>online restaurant table reservation platform</t>
  </si>
  <si>
    <t>online loan matchmaking platform</t>
  </si>
  <si>
    <t>online organic juice delivery service</t>
  </si>
  <si>
    <t>applied artificial intelligence and iot focused platform</t>
  </si>
  <si>
    <t>online indian car rental platform</t>
  </si>
  <si>
    <t>customer sourcing platform</t>
  </si>
  <si>
    <t>local language health content app</t>
  </si>
  <si>
    <t>post-purchase customer engagement platform</t>
  </si>
  <si>
    <t>private equity firm</t>
  </si>
  <si>
    <t>hr virtual agent for employees</t>
  </si>
  <si>
    <t>e-commerce fulfilment platform</t>
  </si>
  <si>
    <t>online lending platform for salaried professionals</t>
  </si>
  <si>
    <t>online insurance selling platform</t>
  </si>
  <si>
    <t>online platform for risk-assessment services for real estate investments</t>
  </si>
  <si>
    <t>online platform that sells direct plans of mutual funds</t>
  </si>
  <si>
    <t>online platform that connects brands with freelance sales professionals</t>
  </si>
  <si>
    <t>med-tech platform providing care for newborns</t>
  </si>
  <si>
    <t>lending platform for micro and small enterprises</t>
  </si>
  <si>
    <t>mobile storefront and commerce platform for sellers</t>
  </si>
  <si>
    <t>online micro lending platform</t>
  </si>
  <si>
    <t>artificial intelligence-based sales acceleration software platform</t>
  </si>
  <si>
    <t>home diagnostics services provider</t>
  </si>
  <si>
    <t>a doctor-patient engagement platform</t>
  </si>
  <si>
    <t>online lending platform for sme</t>
  </si>
  <si>
    <t>online used car marketplace</t>
  </si>
  <si>
    <t>subscription-only news website</t>
  </si>
  <si>
    <t>online ticketing platform</t>
  </si>
  <si>
    <t>property discovery platform</t>
  </si>
  <si>
    <t>bicycle-sharing platform</t>
  </si>
  <si>
    <t>media analytics</t>
  </si>
  <si>
    <t>nanotechnology company specializing in graphene</t>
  </si>
  <si>
    <t>skill learning platform</t>
  </si>
  <si>
    <t>online insurance startup</t>
  </si>
  <si>
    <t>mobile-first video blogging app</t>
  </si>
  <si>
    <t>data analytics firm</t>
  </si>
  <si>
    <t>software-as-a-service platform</t>
  </si>
  <si>
    <t>travel-focused tech startup</t>
  </si>
  <si>
    <t>unified global investments ecosystem</t>
  </si>
  <si>
    <t>bus aggregation platform</t>
  </si>
  <si>
    <t>health and fitness platform</t>
  </si>
  <si>
    <t>non-bank lending platform for sme</t>
  </si>
  <si>
    <t>health and well being platform</t>
  </si>
  <si>
    <t>credit-based lending marketplace for small and medium enterprises</t>
  </si>
  <si>
    <t>sales analytics and enablement platform</t>
  </si>
  <si>
    <t>online marketplace for handicrafts, handlooms and local produce</t>
  </si>
  <si>
    <t>online crowdfunding platform</t>
  </si>
  <si>
    <t>online healthcare aggregator</t>
  </si>
  <si>
    <t>online marketplace for resellers</t>
  </si>
  <si>
    <t>specialised diagnostics platform</t>
  </si>
  <si>
    <t>supplychain finance</t>
  </si>
  <si>
    <t>fashion e-tailer</t>
  </si>
  <si>
    <t>an online platform that connects ayurveda doctors with patients</t>
  </si>
  <si>
    <t>mass market mutual fund investment platform</t>
  </si>
  <si>
    <t>a local discovery app for dining-out, party, leisure and events</t>
  </si>
  <si>
    <t>online home furnishing solutions</t>
  </si>
  <si>
    <t>cybersecurity specialist</t>
  </si>
  <si>
    <t>prosthetics manufacturers</t>
  </si>
  <si>
    <t>data analytics (saas)</t>
  </si>
  <si>
    <t>education services provider</t>
  </si>
  <si>
    <t>online rental marketplace</t>
  </si>
  <si>
    <t>trade finance firm</t>
  </si>
  <si>
    <t>online motorbike and scooter rental platforms</t>
  </si>
  <si>
    <t>digital payment platform for beverage delivery</t>
  </si>
  <si>
    <t>app-based investment platform</t>
  </si>
  <si>
    <t>digital payment platform</t>
  </si>
  <si>
    <t>data driven intelligence solutions platform</t>
  </si>
  <si>
    <t>e-commerce logistics platform</t>
  </si>
  <si>
    <t>an ai platform offering automated customer service software</t>
  </si>
  <si>
    <t>an artificial intelligence-based recruitment platform</t>
  </si>
  <si>
    <t>aggregator for packaging material</t>
  </si>
  <si>
    <t>p2p lending platform</t>
  </si>
  <si>
    <t>ai product company for health and life insurane companies</t>
  </si>
  <si>
    <t>agri-tech</t>
  </si>
  <si>
    <t>beauty e-tailer</t>
  </si>
  <si>
    <t>doctor-consultation app</t>
  </si>
  <si>
    <t>online video creation platform</t>
  </si>
  <si>
    <t>micro-delivery grocery startup</t>
  </si>
  <si>
    <t>micro lending platform</t>
  </si>
  <si>
    <t>products for shoolgoing children</t>
  </si>
  <si>
    <t>housing finance for low-income families</t>
  </si>
  <si>
    <t>designer of toys and learning projects for kids</t>
  </si>
  <si>
    <t>oxygen optimiser manufacturer</t>
  </si>
  <si>
    <t>online insurance platform</t>
  </si>
  <si>
    <t>home healthcare aggregator</t>
  </si>
  <si>
    <t>mobile payments technology platform</t>
  </si>
  <si>
    <t>events and activities discovery platform</t>
  </si>
  <si>
    <t>iot application platform in agriculture</t>
  </si>
  <si>
    <t>lending platform for smes</t>
  </si>
  <si>
    <t>online fitness discovey platform</t>
  </si>
  <si>
    <t>social media anlaytics platform</t>
  </si>
  <si>
    <t>enhanced employee engagement platform</t>
  </si>
  <si>
    <t>loans and services to affordable private schools in india</t>
  </si>
  <si>
    <t>interactive online tutoring platform</t>
  </si>
  <si>
    <t>digital financial services platform</t>
  </si>
  <si>
    <t>fashion accessories etailer</t>
  </si>
  <si>
    <t>blockchain platform</t>
  </si>
  <si>
    <t>mobile-based education network</t>
  </si>
  <si>
    <t>digital lending platform in logistics</t>
  </si>
  <si>
    <t>platform to discover healthcare financing options</t>
  </si>
  <si>
    <t>online platform for luxury hotel stay for business travelers</t>
  </si>
  <si>
    <t>connected care app for pregnant women</t>
  </si>
  <si>
    <t>online eyewear retailer</t>
  </si>
  <si>
    <t>online baby care products</t>
  </si>
  <si>
    <t>ai based expense management platform</t>
  </si>
  <si>
    <t>mobile balance checking app</t>
  </si>
  <si>
    <t>ai driven health tech platform</t>
  </si>
  <si>
    <t>digitized health-tech solutions for practitioners</t>
  </si>
  <si>
    <t>online platform providing micro loans for air travel</t>
  </si>
  <si>
    <t>women focussed digital media platform</t>
  </si>
  <si>
    <t>online travel ticketing platform</t>
  </si>
  <si>
    <t>online pharmacy store</t>
  </si>
  <si>
    <t>online stock broker</t>
  </si>
  <si>
    <t>b2c online loans marketplace</t>
  </si>
  <si>
    <t>online scholarship portal</t>
  </si>
  <si>
    <t>online furniture store</t>
  </si>
  <si>
    <t>online financial planning</t>
  </si>
  <si>
    <t>therapeutics</t>
  </si>
  <si>
    <t>genetic screening, dna diagnostics labs &amp; research centers</t>
  </si>
  <si>
    <t>online lending</t>
  </si>
  <si>
    <t>cloud based online hotel management software</t>
  </si>
  <si>
    <t>health service aggregator platform</t>
  </si>
  <si>
    <t>creative design, brand, media and technology platform solutions</t>
  </si>
  <si>
    <t>online furniture shopping store</t>
  </si>
  <si>
    <t>hyperlocal discovery</t>
  </si>
  <si>
    <t>healthcare aggregator</t>
  </si>
  <si>
    <t>online communication and collaboration platform for educational institutions</t>
  </si>
  <si>
    <t>online grocery shop</t>
  </si>
  <si>
    <t>ready to cook food solution</t>
  </si>
  <si>
    <t>technology enabled equitable healthcare for india</t>
  </si>
  <si>
    <t>online raw meat e-tailer</t>
  </si>
  <si>
    <t>customer success software for b2b saas</t>
  </si>
  <si>
    <t>consumer technology and artificial intelligence based aggregator app</t>
  </si>
  <si>
    <t>micro jobs provider for students</t>
  </si>
  <si>
    <t>subscription billing &amp; recurring payments software</t>
  </si>
  <si>
    <t>online loan platform</t>
  </si>
  <si>
    <t>voice-based assistant platform</t>
  </si>
  <si>
    <t>online ordering solution for restaurants and food chains</t>
  </si>
  <si>
    <t>fleet management and asset monitoring platform</t>
  </si>
  <si>
    <t>micro lending company</t>
  </si>
  <si>
    <t>news portal</t>
  </si>
  <si>
    <t>professional car drivers hiring app</t>
  </si>
  <si>
    <t>o2o fashion ecommerce platform</t>
  </si>
  <si>
    <t>online grocery &amp; food store</t>
  </si>
  <si>
    <t>food ordering and restaurant discovery</t>
  </si>
  <si>
    <t>e-publishing</t>
  </si>
  <si>
    <t>super-specialty hospital</t>
  </si>
  <si>
    <t>online platform for higher education services</t>
  </si>
  <si>
    <t>online food marketplace</t>
  </si>
  <si>
    <t>preventive health checkup</t>
  </si>
  <si>
    <t>online portal for diet,fitness and beauty</t>
  </si>
  <si>
    <t>enterprise contract management platform</t>
  </si>
  <si>
    <t>mobile weight loss coach</t>
  </si>
  <si>
    <t>virtual health clinics</t>
  </si>
  <si>
    <t>online gold loan</t>
  </si>
  <si>
    <t>marketing cloud for consumer businesses</t>
  </si>
  <si>
    <t>b2b marketplace</t>
  </si>
  <si>
    <t>online selling</t>
  </si>
  <si>
    <t>mobile solutions for social impact</t>
  </si>
  <si>
    <t>individualised progressive learning program</t>
  </si>
  <si>
    <t>integrated kids engagement company</t>
  </si>
  <si>
    <t>online pet care products</t>
  </si>
  <si>
    <t>online retailing</t>
  </si>
  <si>
    <t>expense management</t>
  </si>
  <si>
    <t>analytics</t>
  </si>
  <si>
    <t>cloud-based software</t>
  </si>
  <si>
    <t>robotic inspectionstartup</t>
  </si>
  <si>
    <t>digital design</t>
  </si>
  <si>
    <t>ai platform for hospitality industry</t>
  </si>
  <si>
    <t>online music streaming</t>
  </si>
  <si>
    <t>cancer radiology</t>
  </si>
  <si>
    <t>mobile app analytics</t>
  </si>
  <si>
    <t>food and beverages</t>
  </si>
  <si>
    <t>sports nutrition supplement etailer</t>
  </si>
  <si>
    <t>digital entertainment for children</t>
  </si>
  <si>
    <t>personal assistant</t>
  </si>
  <si>
    <t>agricultural loan</t>
  </si>
  <si>
    <t>medical devices</t>
  </si>
  <si>
    <t>algorithmic trading</t>
  </si>
  <si>
    <t>payment gateway</t>
  </si>
  <si>
    <t>venture capital</t>
  </si>
  <si>
    <t>social</t>
  </si>
  <si>
    <t>alternative lending</t>
  </si>
  <si>
    <t>online grocery</t>
  </si>
  <si>
    <t>digital lending</t>
  </si>
  <si>
    <t>coaching services</t>
  </si>
  <si>
    <t>eyewear</t>
  </si>
  <si>
    <t>hemostatic dressing solutions</t>
  </si>
  <si>
    <t>online services</t>
  </si>
  <si>
    <t>hygiene</t>
  </si>
  <si>
    <t>browser testing</t>
  </si>
  <si>
    <t>virtual reality</t>
  </si>
  <si>
    <t>fitness</t>
  </si>
  <si>
    <t>education solutions</t>
  </si>
  <si>
    <t>iot based air pollution controller</t>
  </si>
  <si>
    <t>daily task management mobile app</t>
  </si>
  <si>
    <t>residential project</t>
  </si>
  <si>
    <t>mobile learning management platform</t>
  </si>
  <si>
    <t>off-grid solar products platform</t>
  </si>
  <si>
    <t>child learning &amp; development platform</t>
  </si>
  <si>
    <t>mobile point of sale services provider</t>
  </si>
  <si>
    <t>home decor and online fashion portal</t>
  </si>
  <si>
    <t>super speciality hospitals</t>
  </si>
  <si>
    <t>"women's fashion clothing online platform"</t>
  </si>
  <si>
    <t>mobile news curation app</t>
  </si>
  <si>
    <t>online platform selling indian tea globally</t>
  </si>
  <si>
    <t>educational platform to learn mathematics</t>
  </si>
  <si>
    <t>assisting visually impaired to learn through braille</t>
  </si>
  <si>
    <t>furniture rental platform</t>
  </si>
  <si>
    <t>hotel aggregator platform</t>
  </si>
  <si>
    <t>platform based on 3d printing and digital manufacturing</t>
  </si>
  <si>
    <t>adaptive fraud intelligence platform</t>
  </si>
  <si>
    <t>fashion and lifestyle coupon platform</t>
  </si>
  <si>
    <t>gamification platform to train sales people</t>
  </si>
  <si>
    <t>mobile games development firm</t>
  </si>
  <si>
    <t>mobile application for doctor consultation</t>
  </si>
  <si>
    <t>artificial intelligence platform to raise funds</t>
  </si>
  <si>
    <t>fresh indian tea selling platform across 112 countries</t>
  </si>
  <si>
    <t>hyperlocal video information sharing platform</t>
  </si>
  <si>
    <t>mobile app for network of doctors</t>
  </si>
  <si>
    <t>provides business insights using drone imaginary</t>
  </si>
  <si>
    <t>beauty products online marketplace</t>
  </si>
  <si>
    <t>online micro-lending platform</t>
  </si>
  <si>
    <t>weather forecast platform</t>
  </si>
  <si>
    <t>online courses and mentoring from experts</t>
  </si>
  <si>
    <t>saas based big data analytics platform</t>
  </si>
  <si>
    <t>online poker platform</t>
  </si>
  <si>
    <t>vernacular and video content platform</t>
  </si>
  <si>
    <t>micro finance institution providing small ticket unsecured loans to women</t>
  </si>
  <si>
    <t>regional operating system for smartphones</t>
  </si>
  <si>
    <t>ecommerce enabler platform</t>
  </si>
  <si>
    <t>online gifting platform</t>
  </si>
  <si>
    <t>online spects platform for men and women</t>
  </si>
  <si>
    <t>online vehicle service booking platform</t>
  </si>
  <si>
    <t>realty tech startup solving real life interior designing problems</t>
  </si>
  <si>
    <t>business &amp; sme loans provider</t>
  </si>
  <si>
    <t>aadhaar-based api provider</t>
  </si>
  <si>
    <t>online tutorial marketplace</t>
  </si>
  <si>
    <t>online fantasy games</t>
  </si>
  <si>
    <t>vr based spiritual platform</t>
  </si>
  <si>
    <t>real time data analytics &amp; reporting</t>
  </si>
  <si>
    <t>financial technology research platform</t>
  </si>
  <si>
    <t>doctor patient communication platform</t>
  </si>
  <si>
    <t>wearable tech and internet of things platform</t>
  </si>
  <si>
    <t>distance education learning platform</t>
  </si>
  <si>
    <t>mutual fund investment app</t>
  </si>
  <si>
    <t>online platform for agricultural products</t>
  </si>
  <si>
    <t>iot based tech startup</t>
  </si>
  <si>
    <t>enrolment management platform</t>
  </si>
  <si>
    <t>saas based corporate travel management solution</t>
  </si>
  <si>
    <t>augmented reality based tech platform</t>
  </si>
  <si>
    <t>big data based analytics platform</t>
  </si>
  <si>
    <t>celebrity fashion accessories and merchandise</t>
  </si>
  <si>
    <t>healthy &amp; nutrition based snacks online platform</t>
  </si>
  <si>
    <t>ai based fintech platform</t>
  </si>
  <si>
    <t>banking software license platform</t>
  </si>
  <si>
    <t>social healthcare enterprise</t>
  </si>
  <si>
    <t>wifi analytics platform</t>
  </si>
  <si>
    <t>storytelling platform</t>
  </si>
  <si>
    <t>end-to-end property management for landlords living away</t>
  </si>
  <si>
    <t>placement preparation and career growth training platform</t>
  </si>
  <si>
    <t>self riding bike rental program</t>
  </si>
  <si>
    <t>bike and taxi pooling online platform</t>
  </si>
  <si>
    <t>managed cloud environment solutions</t>
  </si>
  <si>
    <t>ai based pharmacy drugs insights platform</t>
  </si>
  <si>
    <t>healthcare facilities at doorstep</t>
  </si>
  <si>
    <t>vehicle loan approval platform</t>
  </si>
  <si>
    <t>tech based investor firm</t>
  </si>
  <si>
    <t>online hotel reservation platform</t>
  </si>
  <si>
    <t>viral content and storytelling platform</t>
  </si>
  <si>
    <t>venture capitalist</t>
  </si>
  <si>
    <t>iot and saas based transportation platform</t>
  </si>
  <si>
    <t>diversified financial</t>
  </si>
  <si>
    <t>identity management platform</t>
  </si>
  <si>
    <t>virtual reality based gaming platform</t>
  </si>
  <si>
    <t>designer-led consumer products</t>
  </si>
  <si>
    <t>online truck aggregator platform</t>
  </si>
  <si>
    <t>health and fitness based mobile app</t>
  </si>
  <si>
    <t>student accommodation platform</t>
  </si>
  <si>
    <t>home loans aggregation platform</t>
  </si>
  <si>
    <t>home loan down payment assistance program</t>
  </si>
  <si>
    <t>app based cab hailing services</t>
  </si>
  <si>
    <t>p2p platform for fashion sales</t>
  </si>
  <si>
    <t>education collaboration platform</t>
  </si>
  <si>
    <t>digital wallet</t>
  </si>
  <si>
    <t>local recommendations and discoveries platform</t>
  </si>
  <si>
    <t>ecommerce portal for used goods</t>
  </si>
  <si>
    <t>mobile repair and refurbishment platform</t>
  </si>
  <si>
    <t>fresh produce scm company</t>
  </si>
  <si>
    <t>self drive car and bike rental platform</t>
  </si>
  <si>
    <t>student micro-financing platform</t>
  </si>
  <si>
    <t>agriculture supply chain management solutions</t>
  </si>
  <si>
    <t>home interior designing seller</t>
  </si>
  <si>
    <t>treasury risk management solution</t>
  </si>
  <si>
    <t>auto service logistics &amp; saas platform</t>
  </si>
  <si>
    <t>education technology platform</t>
  </si>
  <si>
    <t>ai-powered anti-fraud solutions</t>
  </si>
  <si>
    <t>ai-powered deep learning solutions</t>
  </si>
  <si>
    <t>online reseller network</t>
  </si>
  <si>
    <t>medical transportation services</t>
  </si>
  <si>
    <t>education network for institutions, teachers &amp; students</t>
  </si>
  <si>
    <t>online insurance policy aggregator</t>
  </si>
  <si>
    <t>online chai ordering platform</t>
  </si>
  <si>
    <t>micro-lending platform</t>
  </si>
  <si>
    <t>food ordering portal</t>
  </si>
  <si>
    <t>online financial marketplace</t>
  </si>
  <si>
    <t>app building platform</t>
  </si>
  <si>
    <t>b2b logistics provider</t>
  </si>
  <si>
    <t>online peer-to-peer lending platform</t>
  </si>
  <si>
    <t>mobile based learning app</t>
  </si>
  <si>
    <t>cold pressed juice maker</t>
  </si>
  <si>
    <t>machine learning based parking discovery</t>
  </si>
  <si>
    <t>cold chain monitoring solution</t>
  </si>
  <si>
    <t>herbal energy shot maker</t>
  </si>
  <si>
    <t>sme lending platform</t>
  </si>
  <si>
    <t>frozen meat provider</t>
  </si>
  <si>
    <t>real estate content portal</t>
  </si>
  <si>
    <t>contract automation</t>
  </si>
  <si>
    <t>online grocery portal</t>
  </si>
  <si>
    <t>b2b finance &amp; fulfilment network</t>
  </si>
  <si>
    <t>credit + payment mobile app</t>
  </si>
  <si>
    <t>payments platform for marketplaces and fintechs</t>
  </si>
  <si>
    <t>agriculture technology</t>
  </si>
  <si>
    <t>equity stock exchange</t>
  </si>
  <si>
    <t>online b2b store for office supplies</t>
  </si>
  <si>
    <t>online doctor discovery platform</t>
  </si>
  <si>
    <t>online photography platform</t>
  </si>
  <si>
    <t>application performance acceleration</t>
  </si>
  <si>
    <t>edutech platform</t>
  </si>
  <si>
    <t>online travel booking platform</t>
  </si>
  <si>
    <t>medical diagnostic solutions</t>
  </si>
  <si>
    <t>buying club for small businesses</t>
  </si>
  <si>
    <t>online credit scoring platform</t>
  </si>
  <si>
    <t>pet care portal &amp; mobile app</t>
  </si>
  <si>
    <t>branded budget hotels marketplace</t>
  </si>
  <si>
    <t>online unsecured lending platform</t>
  </si>
  <si>
    <t>ecommerce portal for senior citizens</t>
  </si>
  <si>
    <t>agre-tech mobile app</t>
  </si>
  <si>
    <t>logistics solutions provider</t>
  </si>
  <si>
    <t>healthcare services aggregator</t>
  </si>
  <si>
    <t>health food etailer</t>
  </si>
  <si>
    <t>healthcare services portal</t>
  </si>
  <si>
    <t>imaging technology for armed forces</t>
  </si>
  <si>
    <t>smart parking enabler</t>
  </si>
  <si>
    <t>content marketing platform</t>
  </si>
  <si>
    <t>telecom &amp; iot platform</t>
  </si>
  <si>
    <t>virtual reality gaming and entertainment platform</t>
  </si>
  <si>
    <t>online tutoring platform</t>
  </si>
  <si>
    <t>pregnancy &amp; baby care product etailer</t>
  </si>
  <si>
    <t>integrated receivables software solutions</t>
  </si>
  <si>
    <t>technology-empowered healthcare solutions</t>
  </si>
  <si>
    <t>e-sports platform</t>
  </si>
  <si>
    <t>home furnishing &amp; building material marketplace</t>
  </si>
  <si>
    <t>online travel agency</t>
  </si>
  <si>
    <t>omni-channel web commerce solutions provider</t>
  </si>
  <si>
    <t>scooter rental platform</t>
  </si>
  <si>
    <t>sme marketing management solution</t>
  </si>
  <si>
    <t>crop technology solutions</t>
  </si>
  <si>
    <t>bike aggregator mobile app</t>
  </si>
  <si>
    <t>sports &amp; sport related equipment portal</t>
  </si>
  <si>
    <t>matchmaking app for the differently abled</t>
  </si>
  <si>
    <t>language learning mobile app</t>
  </si>
  <si>
    <t>geospatial technology-based saas solutions</t>
  </si>
  <si>
    <t>o2o fashion discovery platform</t>
  </si>
  <si>
    <t>car repair and servicing platform</t>
  </si>
  <si>
    <t>luxury helicopter tourism services portal</t>
  </si>
  <si>
    <t>local language health information portal</t>
  </si>
  <si>
    <t>defense tech &amp; aerospace startup</t>
  </si>
  <si>
    <t>predictive care platform</t>
  </si>
  <si>
    <t>digital marketing agency</t>
  </si>
  <si>
    <t>diy ecommerce platform</t>
  </si>
  <si>
    <t>recruitment portal</t>
  </si>
  <si>
    <t>tea delivery portal &amp; offline stores</t>
  </si>
  <si>
    <t>health products &amp; services aggregator</t>
  </si>
  <si>
    <t>restaurant management solutions</t>
  </si>
  <si>
    <t>fashion resale marketplace</t>
  </si>
  <si>
    <t>warehouse aggregator</t>
  </si>
  <si>
    <t>skincare speciality services</t>
  </si>
  <si>
    <t>hospital management software</t>
  </si>
  <si>
    <t>mobile based logistics service</t>
  </si>
  <si>
    <t>agriculture supply chain solutions</t>
  </si>
  <si>
    <t>online milk delivery</t>
  </si>
  <si>
    <t>co-living space aggregator</t>
  </si>
  <si>
    <t>mobile games developer</t>
  </si>
  <si>
    <t>app based cab aggregation service</t>
  </si>
  <si>
    <t>sports content mobile app</t>
  </si>
  <si>
    <t>personal loans &amp; emi solutions platform</t>
  </si>
  <si>
    <t>unsecured small business loans</t>
  </si>
  <si>
    <t>payment solution mobile app</t>
  </si>
  <si>
    <t>building material online store</t>
  </si>
  <si>
    <t>e-tech platform</t>
  </si>
  <si>
    <t>govt service application portal</t>
  </si>
  <si>
    <t>cloud data protection and management solutions</t>
  </si>
  <si>
    <t>men grooming product etailer</t>
  </si>
  <si>
    <t>operations and manpower outsourcing</t>
  </si>
  <si>
    <t>software &amp; mobile app development platform</t>
  </si>
  <si>
    <t>mpos solutions provider</t>
  </si>
  <si>
    <t>restaurant &amp; hotel crm platform</t>
  </si>
  <si>
    <t>end to end health and wellness platform.</t>
  </si>
  <si>
    <t>healthtech iot platform</t>
  </si>
  <si>
    <t>saas based sales force automation services</t>
  </si>
  <si>
    <t>budget hotel aggregator platform</t>
  </si>
  <si>
    <t>genomics research and diagnostics solutions</t>
  </si>
  <si>
    <t>energy management solutions provider</t>
  </si>
  <si>
    <t>online marketplace for automobiles</t>
  </si>
  <si>
    <t>b2b marketplace for industrial products</t>
  </si>
  <si>
    <t>hyperlocal home services provider</t>
  </si>
  <si>
    <t>cloud solutions provider</t>
  </si>
  <si>
    <t>digital media video platform</t>
  </si>
  <si>
    <t>mf investment platform</t>
  </si>
  <si>
    <t>workshop management software platform</t>
  </si>
  <si>
    <t>salon &amp; spa aggregation &amp; discovery platform</t>
  </si>
  <si>
    <t>video content discovery platform</t>
  </si>
  <si>
    <t>online interior design platform</t>
  </si>
  <si>
    <t>digital payments solutions</t>
  </si>
  <si>
    <t>door step delivery platform</t>
  </si>
  <si>
    <t>chatbot creation tool</t>
  </si>
  <si>
    <t>next gen mobility device manufacturer</t>
  </si>
  <si>
    <t>construction site operations and analytics platform</t>
  </si>
  <si>
    <t>designer consumer products marketplace</t>
  </si>
  <si>
    <t>sales solutions for fashion brands</t>
  </si>
  <si>
    <t>enterprise banking solutions</t>
  </si>
  <si>
    <t>mobile services &amp; solutions</t>
  </si>
  <si>
    <t>ambulance aggregation services</t>
  </si>
  <si>
    <t>mobile games creator</t>
  </si>
  <si>
    <t>consumer leasing platform</t>
  </si>
  <si>
    <t>ai powered recruitment platform</t>
  </si>
  <si>
    <t>gamified learning app</t>
  </si>
  <si>
    <t>online payments platform</t>
  </si>
  <si>
    <t>online marketplace for construction material</t>
  </si>
  <si>
    <t>women work wear etailer</t>
  </si>
  <si>
    <t>machine learning access platform</t>
  </si>
  <si>
    <t>healthy food delivery platform</t>
  </si>
  <si>
    <t>mobile-first enterprise communication platform</t>
  </si>
  <si>
    <t>mobile learning app</t>
  </si>
  <si>
    <t>budget hotels brand &amp; aggregator platform</t>
  </si>
  <si>
    <t>assisted learning startup</t>
  </si>
  <si>
    <t>app-based aggregator of offline businesses</t>
  </si>
  <si>
    <t>beauty services marketplace</t>
  </si>
  <si>
    <t>mobile based travel erp platform</t>
  </si>
  <si>
    <t>online marketplace for renting bikes, electronics &amp; appliances</t>
  </si>
  <si>
    <t>online travel &amp; holiday booking platform</t>
  </si>
  <si>
    <t>online wealth management &amp; savings platform</t>
  </si>
  <si>
    <t>healthcare discovery &amp; booking platform</t>
  </si>
  <si>
    <t>mobile payments platform</t>
  </si>
  <si>
    <t>mobile app for mental health</t>
  </si>
  <si>
    <t>for profit social venture</t>
  </si>
  <si>
    <t>health coaching programs</t>
  </si>
  <si>
    <t>crm software for healthcare space</t>
  </si>
  <si>
    <t>unified digital health platform</t>
  </si>
  <si>
    <t>app-based investment advisory services</t>
  </si>
  <si>
    <t>travel &amp; adventure planning platform</t>
  </si>
  <si>
    <t>hygiene care product manufacturer</t>
  </si>
  <si>
    <t>online rooms aggregation platform</t>
  </si>
  <si>
    <t>online insurance brokerage platform</t>
  </si>
  <si>
    <t>location tracking solutions</t>
  </si>
  <si>
    <t>csr and sustainability management platform</t>
  </si>
  <si>
    <t>tech driven insurance platform</t>
  </si>
  <si>
    <t>cab aggregation app</t>
  </si>
  <si>
    <t>beauty products discovery platform</t>
  </si>
  <si>
    <t>micro food delivery platform</t>
  </si>
  <si>
    <t>money lending platform</t>
  </si>
  <si>
    <t>mobile saas ecommerce platform for smes</t>
  </si>
  <si>
    <t>personal finance platform</t>
  </si>
  <si>
    <t>maritime solutions</t>
  </si>
  <si>
    <t>diy project kits seller</t>
  </si>
  <si>
    <t>cloud-based product discovery platform</t>
  </si>
  <si>
    <t>enterprise human resources management platform</t>
  </si>
  <si>
    <t>mobile based ecommerce platform</t>
  </si>
  <si>
    <t>events ticketing platform</t>
  </si>
  <si>
    <t>fashion etailer</t>
  </si>
  <si>
    <t>artificial intelligence based platform</t>
  </si>
  <si>
    <t>point-of-sale services</t>
  </si>
  <si>
    <t>credit card fraud protection</t>
  </si>
  <si>
    <t>open source language for data science and machine learning</t>
  </si>
  <si>
    <t>consumer lending platform</t>
  </si>
  <si>
    <t>local homes booking platform</t>
  </si>
  <si>
    <t>lending platform for salaried professionals</t>
  </si>
  <si>
    <t>mobile based social networking platform</t>
  </si>
  <si>
    <t>gesture based smartwatch manufacturer</t>
  </si>
  <si>
    <t>holiday &amp; vacation resort aggregator</t>
  </si>
  <si>
    <t>personal finance app</t>
  </si>
  <si>
    <t>unified data analysis platform</t>
  </si>
  <si>
    <t>automobile parts marketplace</t>
  </si>
  <si>
    <t>fitness centre discovery platform</t>
  </si>
  <si>
    <t>online marketplace for financial products</t>
  </si>
  <si>
    <t>ai based personal assistant</t>
  </si>
  <si>
    <t>online fitness marketplace</t>
  </si>
  <si>
    <t>online rummy playing website</t>
  </si>
  <si>
    <t>buying portal for smes</t>
  </si>
  <si>
    <t>enterprise mobility solutions</t>
  </si>
  <si>
    <t>truck network company</t>
  </si>
  <si>
    <t>online platform for small business loans</t>
  </si>
  <si>
    <t>real estate risk assessment platform</t>
  </si>
  <si>
    <t>software &amp; mobile development services</t>
  </si>
  <si>
    <t>online diagnostics and wellness platform</t>
  </si>
  <si>
    <t>ai-based health content platform</t>
  </si>
  <si>
    <t>health-based social networking &amp; discovery app</t>
  </si>
  <si>
    <t>cloud based practice management software</t>
  </si>
  <si>
    <t>money savings &amp; management app</t>
  </si>
  <si>
    <t>last minute hotel booking mobile app</t>
  </si>
  <si>
    <t>restaurant automation solution</t>
  </si>
  <si>
    <t>cold-press juices manufacturer</t>
  </si>
  <si>
    <t>omni-channel platform</t>
  </si>
  <si>
    <t>energy analytics startup</t>
  </si>
  <si>
    <t>computer vision on embedded systems</t>
  </si>
  <si>
    <t>ecommerce fulfilment and technology platform</t>
  </si>
  <si>
    <t>it security &amp; data management services</t>
  </si>
  <si>
    <t>cyber security startup</t>
  </si>
  <si>
    <t>community building platform</t>
  </si>
  <si>
    <t>advertising platform for virtual reality</t>
  </si>
  <si>
    <t>diamond b2b etailer</t>
  </si>
  <si>
    <t>clean tech startup</t>
  </si>
  <si>
    <t>legal services to smes &amp; individuals</t>
  </si>
  <si>
    <t>nanotech product developer</t>
  </si>
  <si>
    <t>digital money transfer platform</t>
  </si>
  <si>
    <t>cloud ecommerce platform</t>
  </si>
  <si>
    <t>project management tool</t>
  </si>
  <si>
    <t>multi-lingual ai platform for businesses</t>
  </si>
  <si>
    <t>ai-based chatbot</t>
  </si>
  <si>
    <t>fashion ecommerce portal</t>
  </si>
  <si>
    <t>online luxury tea etailer</t>
  </si>
  <si>
    <t>online water pumps etailer</t>
  </si>
  <si>
    <t>mobile wallet &amp; ecommerce platform</t>
  </si>
  <si>
    <t>health food maker</t>
  </si>
  <si>
    <t>private fashion brand etailer</t>
  </si>
  <si>
    <t>ecommerce logistics provider</t>
  </si>
  <si>
    <t>cashless, paperless solutions for housing societies</t>
  </si>
  <si>
    <t>travel ecommerce portal</t>
  </si>
  <si>
    <t>hyperlocal discovery platform</t>
  </si>
  <si>
    <t>online tutoring services</t>
  </si>
  <si>
    <t>online lending mobile app</t>
  </si>
  <si>
    <t>finance management mobile app</t>
  </si>
  <si>
    <t>online mf investment platform</t>
  </si>
  <si>
    <t>image processing solution</t>
  </si>
  <si>
    <t>online medical equipment supplier</t>
  </si>
  <si>
    <t>express logistics network</t>
  </si>
  <si>
    <t>subscription based delivery platform</t>
  </si>
  <si>
    <t>hyperlocal discovery &amp; rewards platform</t>
  </si>
  <si>
    <t>online &amp; mobile based lending platform</t>
  </si>
  <si>
    <t>executive education provider</t>
  </si>
  <si>
    <t>online test preparation platform</t>
  </si>
  <si>
    <t>home healthcare provider</t>
  </si>
  <si>
    <t>enterprise iot solutions for tyre performance</t>
  </si>
  <si>
    <t>fresh-produce distribution platform</t>
  </si>
  <si>
    <t>fintech solutions</t>
  </si>
  <si>
    <t>interactive tech-support guides</t>
  </si>
  <si>
    <t>app based logistics &amp; distribution platform</t>
  </si>
  <si>
    <t>online truck aggregator &amp; booking platform</t>
  </si>
  <si>
    <t>app based doctor consulting platform</t>
  </si>
  <si>
    <t>credit score improvement platform</t>
  </si>
  <si>
    <t>business intelligence solutions</t>
  </si>
  <si>
    <t>home-based healthcare provider</t>
  </si>
  <si>
    <t>mobile gaming startup</t>
  </si>
  <si>
    <t>startup support platform</t>
  </si>
  <si>
    <t>online healthcare provider</t>
  </si>
  <si>
    <t>smart scooter manufacturer</t>
  </si>
  <si>
    <t>online marketplace for kitchen products</t>
  </si>
  <si>
    <t>online rental discovery platform</t>
  </si>
  <si>
    <t>saas platform for smes</t>
  </si>
  <si>
    <t>b2b agri-marketing platform</t>
  </si>
  <si>
    <t>software solutions for m&amp;as</t>
  </si>
  <si>
    <t>online sports portal &amp; mobile app</t>
  </si>
  <si>
    <t>online lingerie &amp; sleepwear etailer</t>
  </si>
  <si>
    <t>third party logistics provider</t>
  </si>
  <si>
    <t>online skill assessment platform</t>
  </si>
  <si>
    <t>online travel planner</t>
  </si>
  <si>
    <t>safety &amp; hygiene products etailer</t>
  </si>
  <si>
    <t>travel packages &amp; planner marketplace</t>
  </si>
  <si>
    <t>mobile app for schools</t>
  </si>
  <si>
    <t>online medical assistance platform</t>
  </si>
  <si>
    <t>health technology platform</t>
  </si>
  <si>
    <t>raw pressed juices manufacturer</t>
  </si>
  <si>
    <t>healthy snacks manufacturer</t>
  </si>
  <si>
    <t>online salon discovery &amp; booking services</t>
  </si>
  <si>
    <t>elearning &amp; skills development plat</t>
  </si>
  <si>
    <t>lending platform for small businesses</t>
  </si>
  <si>
    <t>cyber security solutions using ai</t>
  </si>
  <si>
    <t>markerless ar platform</t>
  </si>
  <si>
    <t>virtual reality startup</t>
  </si>
  <si>
    <t>iot platform for bus</t>
  </si>
  <si>
    <t>social commerce fashion platform</t>
  </si>
  <si>
    <t>video based collaborative learning</t>
  </si>
  <si>
    <t>qsr chain and online food delivery</t>
  </si>
  <si>
    <t>branded budget hotels aggregator</t>
  </si>
  <si>
    <t>learning mobile app for students</t>
  </si>
  <si>
    <t>breast cancer screening solutions</t>
  </si>
  <si>
    <t>coworking spaces booking platform</t>
  </si>
  <si>
    <t>collaborative co-working spaces</t>
  </si>
  <si>
    <t>customer data analytics software</t>
  </si>
  <si>
    <t>public and private events creation app</t>
  </si>
  <si>
    <t>online fashion marketplace</t>
  </si>
  <si>
    <t>bus pooling services platform</t>
  </si>
  <si>
    <t>on-demand food delivery</t>
  </si>
  <si>
    <t>software solutions for auto dealership</t>
  </si>
  <si>
    <t>education institution management solutions</t>
  </si>
  <si>
    <t>online educational courses</t>
  </si>
  <si>
    <t>healthcare related content platform</t>
  </si>
  <si>
    <t>financial advisory mobile app</t>
  </si>
  <si>
    <t>tutor discovery &amp; booking platform</t>
  </si>
  <si>
    <t>app based cab aggregator</t>
  </si>
  <si>
    <t>online jon portal</t>
  </si>
  <si>
    <t>ai based fashion search portal</t>
  </si>
  <si>
    <t>fresh produce selling portal</t>
  </si>
  <si>
    <t>women healthcare &amp; information portal</t>
  </si>
  <si>
    <t>packaging artwork management software</t>
  </si>
  <si>
    <t>end-to-end seller e-commerce solutions provider</t>
  </si>
  <si>
    <t>online credit score &amp; lending platform</t>
  </si>
  <si>
    <t>online ecosystem of social innovators</t>
  </si>
  <si>
    <t>employee onboarding and engagement platform</t>
  </si>
  <si>
    <t>professional tutors discovery &amp; booking mobile app</t>
  </si>
  <si>
    <t>ecommerce mobile app builder</t>
  </si>
  <si>
    <t>mobile app for live emoji</t>
  </si>
  <si>
    <t>ecommerce marketplace</t>
  </si>
  <si>
    <t>health diagnostic solutions</t>
  </si>
  <si>
    <t>online counselling platform</t>
  </si>
  <si>
    <t>fashion and lifestyle discovery platform</t>
  </si>
  <si>
    <t>gadget insurance &amp; repair services platform</t>
  </si>
  <si>
    <t>direct-to-farmer mobile-based retail platform</t>
  </si>
  <si>
    <t>dsp, tv analytics &amp; cross-platform advertising</t>
  </si>
  <si>
    <t>cyber security solutions</t>
  </si>
  <si>
    <t>online vehicle services booking platform</t>
  </si>
  <si>
    <t>intra-city logistics provider</t>
  </si>
  <si>
    <t>technology enabled logistics company</t>
  </si>
  <si>
    <t>intelligent sales prospecting platform</t>
  </si>
  <si>
    <t>subscription based home delivery platform</t>
  </si>
  <si>
    <t>online community for parents</t>
  </si>
  <si>
    <t>instant mobile apps store</t>
  </si>
  <si>
    <t>online real estate portal</t>
  </si>
  <si>
    <t>female hygiene product manufacturer</t>
  </si>
  <si>
    <t>online fresh fruits and grocery store</t>
  </si>
  <si>
    <t>sdn solutions</t>
  </si>
  <si>
    <t>fractional proerty ownership &amp; rental platform</t>
  </si>
  <si>
    <t>online dermatology consultation platform</t>
  </si>
  <si>
    <t>tech accessories e-tailer</t>
  </si>
  <si>
    <t>on-demand home services provider</t>
  </si>
  <si>
    <t>loyalty rewards app</t>
  </si>
  <si>
    <t>virtual reality platform</t>
  </si>
  <si>
    <t>digital media publication for women</t>
  </si>
  <si>
    <t>fitness mobile app</t>
  </si>
  <si>
    <t>farming rental equipment provider</t>
  </si>
  <si>
    <t>pregnancy &amp; baby care etailer</t>
  </si>
  <si>
    <t>tech-enabled social enterprise</t>
  </si>
  <si>
    <t>online travel search engine</t>
  </si>
  <si>
    <t>marketing research company</t>
  </si>
  <si>
    <t>parenting mobile app</t>
  </si>
  <si>
    <t>tech enabled fulfilment &amp; logistics solutions</t>
  </si>
  <si>
    <t>sports based online media portal</t>
  </si>
  <si>
    <t>enterprise automation suite</t>
  </si>
  <si>
    <t>on-demand personal assistant service</t>
  </si>
  <si>
    <t>luxury fashion marketplace</t>
  </si>
  <si>
    <t>vacation trip planning platform</t>
  </si>
  <si>
    <t>self-checkout ecommerce app</t>
  </si>
  <si>
    <t>doctor &amp; hospital search platform</t>
  </si>
  <si>
    <t>mobile os creator</t>
  </si>
  <si>
    <t>electric motorcycle manufacturer</t>
  </si>
  <si>
    <t>pathology &amp; diagnostic tests portal</t>
  </si>
  <si>
    <t>offline business aggregator app</t>
  </si>
  <si>
    <t>turnkey solar solutions</t>
  </si>
  <si>
    <t>sports engagement platform</t>
  </si>
  <si>
    <t>real-estate workflow mobile app</t>
  </si>
  <si>
    <t>erp solutions provider</t>
  </si>
  <si>
    <t>intelligent sales assistant</t>
  </si>
  <si>
    <t>curated platform for developers</t>
  </si>
  <si>
    <t>hotel management solution</t>
  </si>
  <si>
    <t>online travel agent marketplace</t>
  </si>
  <si>
    <t>online travel, adventure &amp; activities portal</t>
  </si>
  <si>
    <t>iot based energy monitoring &amp; control</t>
  </si>
  <si>
    <t>automobile classifieds portal</t>
  </si>
  <si>
    <t>car rental software solutions</t>
  </si>
  <si>
    <t>online education portal</t>
  </si>
  <si>
    <t>women apparel &amp; lifestyle etailer</t>
  </si>
  <si>
    <t>startup crowd-funding platform</t>
  </si>
  <si>
    <t>women fashion portal</t>
  </si>
  <si>
    <t>tech enabler for artists</t>
  </si>
  <si>
    <t>medical automation platform</t>
  </si>
  <si>
    <t>decision sciences analytics solutions</t>
  </si>
  <si>
    <t>on demand laundry &amp; dry cleaning services</t>
  </si>
  <si>
    <t>mortgage offering platform</t>
  </si>
  <si>
    <t>expense management solution</t>
  </si>
  <si>
    <t>online bike &amp; car services provider</t>
  </si>
  <si>
    <t>co-working space platform</t>
  </si>
  <si>
    <t>drone operations management platform</t>
  </si>
  <si>
    <t>online marketplace for used cars</t>
  </si>
  <si>
    <t>online media</t>
  </si>
  <si>
    <t>ar &amp; vr platform</t>
  </si>
  <si>
    <t>online media platform</t>
  </si>
  <si>
    <t>online match-making app</t>
  </si>
  <si>
    <t>diy event registration and ticketing portal</t>
  </si>
  <si>
    <t>solution provider for pet needs</t>
  </si>
  <si>
    <t>first aid care app</t>
  </si>
  <si>
    <t>photo sharing for groups</t>
  </si>
  <si>
    <t>smart parking platform</t>
  </si>
  <si>
    <t>b2b mobile app for pharmacies</t>
  </si>
  <si>
    <t>mobile advertising app</t>
  </si>
  <si>
    <t>co-living spaces aggregator</t>
  </si>
  <si>
    <t>online food ordering &amp; delivery portal</t>
  </si>
  <si>
    <t>live online coaching classes</t>
  </si>
  <si>
    <t>online freight aggregator</t>
  </si>
  <si>
    <t>online tax filing platform</t>
  </si>
  <si>
    <t>iot &amp; saas solutions for transportation industry</t>
  </si>
  <si>
    <t>online/app based car cleaning service provider</t>
  </si>
  <si>
    <t>blended learning delivery app for schools &amp; corporates</t>
  </si>
  <si>
    <t>dentist appointments booking platform</t>
  </si>
  <si>
    <t>healthcare technology solutions</t>
  </si>
  <si>
    <t>supply chain solutions provider</t>
  </si>
  <si>
    <t>movie ticket booking platform</t>
  </si>
  <si>
    <t>saas based retail analytics solutions</t>
  </si>
  <si>
    <t>small business loans marketplace platform</t>
  </si>
  <si>
    <t>doctor &amp; clinic discovery portal</t>
  </si>
  <si>
    <t>real-time mobile app management platform</t>
  </si>
  <si>
    <t>property search aggregator platform</t>
  </si>
  <si>
    <t>iot smart logistics and asset management company</t>
  </si>
  <si>
    <t>cashback &amp; coupons platform</t>
  </si>
  <si>
    <t>gadgets repair &amp; service booking platform</t>
  </si>
  <si>
    <t>cloud-based solutions provider</t>
  </si>
  <si>
    <t>personality development mobile app</t>
  </si>
  <si>
    <t>branded pg accomodation booking platform</t>
  </si>
  <si>
    <t>saas based media marketing platform</t>
  </si>
  <si>
    <t>custom &amp; modular furniture platform</t>
  </si>
  <si>
    <t>parenting info &amp; social network</t>
  </si>
  <si>
    <t>online healthcare platform</t>
  </si>
  <si>
    <t>food discovery platform</t>
  </si>
  <si>
    <t>online car service platform</t>
  </si>
  <si>
    <t>logistics and truck aggregator platform</t>
  </si>
  <si>
    <t>cyber security solution provider</t>
  </si>
  <si>
    <t>b2b marketplace for handicrafts</t>
  </si>
  <si>
    <t>online tea etailer</t>
  </si>
  <si>
    <t>cloud-based construction</t>
  </si>
  <si>
    <t>parking solutions mobile app</t>
  </si>
  <si>
    <t>indian sweets &amp; snacks etailer</t>
  </si>
  <si>
    <t>visual and interactive communications solutions</t>
  </si>
  <si>
    <t>b2b wholesale marketplace in india</t>
  </si>
  <si>
    <t>iot platform for tyre performance management &amp; tracking</t>
  </si>
  <si>
    <t>audit automation solutions</t>
  </si>
  <si>
    <t>border intrusion alert solutions</t>
  </si>
  <si>
    <t>maths learning program</t>
  </si>
  <si>
    <t>online job portal</t>
  </si>
  <si>
    <t>mobile-based social platform for sports</t>
  </si>
  <si>
    <t>platform to take businesses online</t>
  </si>
  <si>
    <t>online transport vehicle booking platform</t>
  </si>
  <si>
    <t>ecommerce marketing software</t>
  </si>
  <si>
    <t>crowdfunding platform</t>
  </si>
  <si>
    <t>agri decision support solution for farmers</t>
  </si>
  <si>
    <t>loyalty program management solutions</t>
  </si>
  <si>
    <t>security-as-a-service solution provider</t>
  </si>
  <si>
    <t>mobile game developer studio</t>
  </si>
  <si>
    <t>health tests booking platform &amp; epharmacy</t>
  </si>
  <si>
    <t>hyper-local handyman service provider</t>
  </si>
  <si>
    <t>english online news portal</t>
  </si>
  <si>
    <t>iot solutions for home automation applications</t>
  </si>
  <si>
    <t>cloud based virtual servers</t>
  </si>
  <si>
    <t>used furniture marketplace</t>
  </si>
  <si>
    <t>smart online address tags</t>
  </si>
  <si>
    <t>online pet products store</t>
  </si>
  <si>
    <t>online marriage registration services</t>
  </si>
  <si>
    <t>healthcare software system</t>
  </si>
  <si>
    <t>online instant personal loan provider</t>
  </si>
  <si>
    <t>lock screen rewards mobile app</t>
  </si>
  <si>
    <t>entry-level job seekers platform</t>
  </si>
  <si>
    <t>live music streaming app</t>
  </si>
  <si>
    <t>transport and logistics mobile app</t>
  </si>
  <si>
    <t>on-demand, self-drive bike rental platform</t>
  </si>
  <si>
    <t>mobile contacts management app</t>
  </si>
  <si>
    <t>clinical research and data analytics</t>
  </si>
  <si>
    <t>mobile app based fashion network</t>
  </si>
  <si>
    <t>mobile-only retailers engagement solution</t>
  </si>
  <si>
    <t>venue, events booking platform</t>
  </si>
  <si>
    <t>pet parenting mobile app</t>
  </si>
  <si>
    <t>self-driven car services booking portal</t>
  </si>
  <si>
    <t>online investment advisory platform</t>
  </si>
  <si>
    <t>connected transportation solutions</t>
  </si>
  <si>
    <t>online car servicing booking platform</t>
  </si>
  <si>
    <t>fashion apparel etailer</t>
  </si>
  <si>
    <t>beauty products etailer</t>
  </si>
  <si>
    <t>content management &amp; productivity platform</t>
  </si>
  <si>
    <t>education &amp; learning tech platform</t>
  </si>
  <si>
    <t>online doctor consulting platform</t>
  </si>
  <si>
    <t>self-branded websites &amp; apps for ecommerce</t>
  </si>
  <si>
    <t>cold press juice manufacturer &amp; seller</t>
  </si>
  <si>
    <t>marketplace for international freight</t>
  </si>
  <si>
    <t>online business-to-business (b2b) marketplace</t>
  </si>
  <si>
    <t>fitness discovery &amp; booking platform</t>
  </si>
  <si>
    <t>hotel booking platform</t>
  </si>
  <si>
    <t>fitness center aggregator &amp; booking mobile app</t>
  </si>
  <si>
    <t>user analytics and engagement platform</t>
  </si>
  <si>
    <t>online share &amp; commodity broking platform</t>
  </si>
  <si>
    <t>financial services for unorganized workforce</t>
  </si>
  <si>
    <t>drone manufacturing</t>
  </si>
  <si>
    <t>media technology solutions</t>
  </si>
  <si>
    <t>digital entertainment company</t>
  </si>
  <si>
    <t>cloud data center solutions provider</t>
  </si>
  <si>
    <t>holiday packages provider</t>
  </si>
  <si>
    <t>events &amp; activities marketplace</t>
  </si>
  <si>
    <t>rental property search portal</t>
  </si>
  <si>
    <t>online jewellery marketplace</t>
  </si>
  <si>
    <t>doctor search mobile app</t>
  </si>
  <si>
    <t>self-driven cab booking platform</t>
  </si>
  <si>
    <t>daily subscription based delivery service</t>
  </si>
  <si>
    <t>babycare products seller</t>
  </si>
  <si>
    <t>online vegetable etailer</t>
  </si>
  <si>
    <t>data as a service provider</t>
  </si>
  <si>
    <t>career planning &amp; assessment platform</t>
  </si>
  <si>
    <t>personal care product etailer</t>
  </si>
  <si>
    <t>cloud based crm for agencies</t>
  </si>
  <si>
    <t>b2b platform for merchants &amp; retailers</t>
  </si>
  <si>
    <t>legal advice platform</t>
  </si>
  <si>
    <t>process management startup</t>
  </si>
  <si>
    <t>compliance management software</t>
  </si>
  <si>
    <t>art &amp; lifestyle ecommerce store</t>
  </si>
  <si>
    <t>3d printed experimental human liver tissue creator</t>
  </si>
  <si>
    <t>video streaming platform</t>
  </si>
  <si>
    <t>saas ecommerce retail app</t>
  </si>
  <si>
    <t>online event-booking platform</t>
  </si>
  <si>
    <t>healthcare plan comparison platform</t>
  </si>
  <si>
    <t>library chain aggregator</t>
  </si>
  <si>
    <t>digital payments &amp; recharge platform</t>
  </si>
  <si>
    <t>on-demand washing &amp; dry cleaning services</t>
  </si>
  <si>
    <t>saas based helpdesk services</t>
  </si>
  <si>
    <t>healthcare services comparison platform</t>
  </si>
  <si>
    <t>health food restaurant chain</t>
  </si>
  <si>
    <t>saas-based web optimisation and marketing platform</t>
  </si>
  <si>
    <t>skill showcasing platform</t>
  </si>
  <si>
    <t>online insurance portal</t>
  </si>
  <si>
    <t>last mile delivery network</t>
  </si>
  <si>
    <t>ai-based software as a service solution provider</t>
  </si>
  <si>
    <t>immunisation management platform</t>
  </si>
  <si>
    <t>gourmet food etailer</t>
  </si>
  <si>
    <t>online ordering &amp; delivery of medicines</t>
  </si>
  <si>
    <t>packaging material marketplace</t>
  </si>
  <si>
    <t>technology based logistics platform</t>
  </si>
  <si>
    <t>online car sharing platform</t>
  </si>
  <si>
    <t>online property search portal</t>
  </si>
  <si>
    <t>golf session online bookings platform</t>
  </si>
  <si>
    <t>data sciences platform</t>
  </si>
  <si>
    <t>contactless payment solution</t>
  </si>
  <si>
    <t>online diabetes management platform</t>
  </si>
  <si>
    <t>banking &amp; fintech platform</t>
  </si>
  <si>
    <t>tech driven logistic &amp; distribution platform</t>
  </si>
  <si>
    <t>online rental discovery</t>
  </si>
  <si>
    <t>used furniture &amp; appliances marketplace</t>
  </si>
  <si>
    <t>mobile gaming portal</t>
  </si>
  <si>
    <t>cloud based health monitoring platform</t>
  </si>
  <si>
    <t>free legal advice</t>
  </si>
  <si>
    <t>online travel portal</t>
  </si>
  <si>
    <t>product photography mobile app</t>
  </si>
  <si>
    <t>insurance marketplace for the rural sector</t>
  </si>
  <si>
    <t>job board for clue collar jobs</t>
  </si>
  <si>
    <t>online food, grocery ordering &amp; delivery</t>
  </si>
  <si>
    <t>cash flow management solution for businesses</t>
  </si>
  <si>
    <t>real estate portal</t>
  </si>
  <si>
    <t>short news mobile app</t>
  </si>
  <si>
    <t>saas-based predictive analytics platform</t>
  </si>
  <si>
    <t>consumer finance &amp; credit score platform</t>
  </si>
  <si>
    <t>app based networking platform</t>
  </si>
  <si>
    <t>cloud telephony platform</t>
  </si>
  <si>
    <t>bot protection solutions</t>
  </si>
  <si>
    <t>fitness discovery platform</t>
  </si>
  <si>
    <t>background verification services</t>
  </si>
  <si>
    <t>local language social networking platform</t>
  </si>
  <si>
    <t>tech enabled laundry service provider</t>
  </si>
  <si>
    <t>personal device assistant app</t>
  </si>
  <si>
    <t>end-to-end event organizers solutions</t>
  </si>
  <si>
    <t>digital media content and distribution platform</t>
  </si>
  <si>
    <t>professional expert advice platform</t>
  </si>
  <si>
    <t>proximity based rewards platform</t>
  </si>
  <si>
    <t>b2b wholesale apparel marketplace</t>
  </si>
  <si>
    <t>creative artists discovery &amp; booking platform</t>
  </si>
  <si>
    <t>savings platform for medical expenses</t>
  </si>
  <si>
    <t>mobile app for saas based training</t>
  </si>
  <si>
    <t>ethnic indian fashion marketplace</t>
  </si>
  <si>
    <t>ai, machine learning solutions</t>
  </si>
  <si>
    <t>ai-driven b2b marketing platform</t>
  </si>
  <si>
    <t>quick service restaurants</t>
  </si>
  <si>
    <t>engineering interview facilitation platform</t>
  </si>
  <si>
    <t>online math learn</t>
  </si>
  <si>
    <t>campus social networking app</t>
  </si>
  <si>
    <t>online car repair marketplace</t>
  </si>
  <si>
    <t>fruit &amp; vegetable etailer</t>
  </si>
  <si>
    <t>airline ticket aggregator</t>
  </si>
  <si>
    <t>ai powered content &amp; commerce platform</t>
  </si>
  <si>
    <t>art &amp; craft marketplace</t>
  </si>
  <si>
    <t>online b2b marketplace</t>
  </si>
  <si>
    <t>health &amp; fitness wearable device</t>
  </si>
  <si>
    <t>industrial &amp; home products marketplace</t>
  </si>
  <si>
    <t>internet service provider</t>
  </si>
  <si>
    <t>product shopping comparison app</t>
  </si>
  <si>
    <t>foreign currency payments platform</t>
  </si>
  <si>
    <t>online food ordering platform</t>
  </si>
  <si>
    <t>mobile phone theft, damage protection platform</t>
  </si>
  <si>
    <t>online puja booking service</t>
  </si>
  <si>
    <t>rental property finder platform</t>
  </si>
  <si>
    <t>remote healthcare delivery solutions</t>
  </si>
  <si>
    <t>mobile health technology solutions</t>
  </si>
  <si>
    <t>footwear recommendation app</t>
  </si>
  <si>
    <t>sports discovery platform</t>
  </si>
  <si>
    <t>baby monitoring devices manufacturer</t>
  </si>
  <si>
    <t>sports training &amp; technology</t>
  </si>
  <si>
    <t>online funds raising platform</t>
  </si>
  <si>
    <t>marketing &amp; customer analytics solutions</t>
  </si>
  <si>
    <t>online hair extension etailer</t>
  </si>
  <si>
    <t>internet-based tv streaming service provider</t>
  </si>
  <si>
    <t>branded camping location aggregator</t>
  </si>
  <si>
    <t>b2b marketplace for shoes</t>
  </si>
  <si>
    <t>womens health tracker app</t>
  </si>
  <si>
    <t>online news portal</t>
  </si>
  <si>
    <t>api platform</t>
  </si>
  <si>
    <t>education sector lending</t>
  </si>
  <si>
    <t>saas based mobile application platform</t>
  </si>
  <si>
    <t>parenting and baby care platform</t>
  </si>
  <si>
    <t>co-working spaces aggregator</t>
  </si>
  <si>
    <t>vernacular content mobile app</t>
  </si>
  <si>
    <t>motorbike rental platform</t>
  </si>
  <si>
    <t>internet &amp; fresher job platform</t>
  </si>
  <si>
    <t>b2b saas based product</t>
  </si>
  <si>
    <t>sports social network mobile app</t>
  </si>
  <si>
    <t>app based travel discovery and transactions platform</t>
  </si>
  <si>
    <t>3d printing solutions for edu space</t>
  </si>
  <si>
    <t>parenting and child care portal</t>
  </si>
  <si>
    <t>copper based items etailer</t>
  </si>
  <si>
    <t>solar energy harnessing products marketplace</t>
  </si>
  <si>
    <t>cloud based erp for accreditation &amp; ict</t>
  </si>
  <si>
    <t>online furniture rental platform</t>
  </si>
  <si>
    <t>personal wealth management platform &amp; app</t>
  </si>
  <si>
    <t>wearable technology platform &amp; devices</t>
  </si>
  <si>
    <t>stay &amp; travel related services</t>
  </si>
  <si>
    <t>alcoholic beverage discovery platform</t>
  </si>
  <si>
    <t>train travel info mobile app</t>
  </si>
  <si>
    <t>hyperlocal communication mobile app</t>
  </si>
  <si>
    <t>b2b marketplace for traders</t>
  </si>
  <si>
    <t>health test discovery &amp; ordering service</t>
  </si>
  <si>
    <t>online food ordering platform/app</t>
  </si>
  <si>
    <t>invoice discounting marketplace</t>
  </si>
  <si>
    <t>credit report info platform</t>
  </si>
  <si>
    <t>courier logistics &amp; order management solutions</t>
  </si>
  <si>
    <t>online grocery etailer</t>
  </si>
  <si>
    <t>android utility app suite creator</t>
  </si>
  <si>
    <t>social media marketing platform</t>
  </si>
  <si>
    <t>fashion discovery app</t>
  </si>
  <si>
    <t>doctor consulting platform</t>
  </si>
  <si>
    <t>truck fleet operation platform</t>
  </si>
  <si>
    <t>electric vehicle manufacturer</t>
  </si>
  <si>
    <t>relocation service provider</t>
  </si>
  <si>
    <t>lifi based wireless communication provider</t>
  </si>
  <si>
    <t>electric bike manufacturer</t>
  </si>
  <si>
    <t>clinical and wearable diagnostic product creator</t>
  </si>
  <si>
    <t>business intelligence and data science startup</t>
  </si>
  <si>
    <t>talent discovery &amp; audition management platform</t>
  </si>
  <si>
    <t>personal digital assistant</t>
  </si>
  <si>
    <t>home improvement marketplace</t>
  </si>
  <si>
    <t>it risk assessment and digital security services provider.</t>
  </si>
  <si>
    <t>field force automation system</t>
  </si>
  <si>
    <t>platform for social causes</t>
  </si>
  <si>
    <t>women\xe2\x80\x99s fashion apparel etailer</t>
  </si>
  <si>
    <t>online gift vouchers platform</t>
  </si>
  <si>
    <t>online eyewear etailer</t>
  </si>
  <si>
    <t>hyperlocal doorstep beauty services provider</t>
  </si>
  <si>
    <t>online fashion retailer</t>
  </si>
  <si>
    <t>online certification programs</t>
  </si>
  <si>
    <t>online construction materials marketplace</t>
  </si>
  <si>
    <t>online learning app</t>
  </si>
  <si>
    <t>online home rental platform</t>
  </si>
  <si>
    <t>fruits &amp; vegetable etailer</t>
  </si>
  <si>
    <t>social health networking platform</t>
  </si>
  <si>
    <t>peer-to-peer social learning platform</t>
  </si>
  <si>
    <t>personal styling online platform</t>
  </si>
  <si>
    <t>online advertising solutions</t>
  </si>
  <si>
    <t>online beauty products etailer</t>
  </si>
  <si>
    <t>beauty salon aggregator</t>
  </si>
  <si>
    <t>fashion discovery mobile app</t>
  </si>
  <si>
    <t>restaurant menu &amp; food mobile app</t>
  </si>
  <si>
    <t>footwear &amp; leather b2b app</t>
  </si>
  <si>
    <t>online deals &amp; discount platform</t>
  </si>
  <si>
    <t>online video lectures platform</t>
  </si>
  <si>
    <t>jobs &amp; skill validation platform</t>
  </si>
  <si>
    <t>eyewear etailer</t>
  </si>
  <si>
    <t>employee engagement platform</t>
  </si>
  <si>
    <t>online furniture rental startup</t>
  </si>
  <si>
    <t>city based news aggregator app</t>
  </si>
  <si>
    <t>online doctor consultations</t>
  </si>
  <si>
    <t>couple socialization app</t>
  </si>
  <si>
    <t>integrated elearning content solutions</t>
  </si>
  <si>
    <t>online gadget repair services marketplace</t>
  </si>
  <si>
    <t>enterprise customer engagement solutions</t>
  </si>
  <si>
    <t>electronic health care records platform</t>
  </si>
  <si>
    <t>furniture etailer</t>
  </si>
  <si>
    <t>online book etailer</t>
  </si>
  <si>
    <t>mobile-based social networking platform</t>
  </si>
  <si>
    <t>on-demand gadget repair services platform</t>
  </si>
  <si>
    <t>mobile app for doctors</t>
  </si>
  <si>
    <t>mobile game publisher for indian audience</t>
  </si>
  <si>
    <t>mobile app development company</t>
  </si>
  <si>
    <t>saas application for pharma industry</t>
  </si>
  <si>
    <t>crm saas platform</t>
  </si>
  <si>
    <t>social platform for babycare and parenting</t>
  </si>
  <si>
    <t>social network for mothers</t>
  </si>
  <si>
    <t>financial platform for daily wage earning communities</t>
  </si>
  <si>
    <t>goods &amp; services barter platform</t>
  </si>
  <si>
    <t>event registration and ticketing platform</t>
  </si>
  <si>
    <t>parenting network platform</t>
  </si>
  <si>
    <t>community platform for artists and designers</t>
  </si>
  <si>
    <t>mens grooming products etailer</t>
  </si>
  <si>
    <t>out-station taxi rental platform</t>
  </si>
  <si>
    <t>virtual health clinic for women</t>
  </si>
  <si>
    <t>cloud based data protection solution</t>
  </si>
  <si>
    <t>local commerce platform</t>
  </si>
  <si>
    <t>education ecommerce platform</t>
  </si>
  <si>
    <t>bitcoin wallet</t>
  </si>
  <si>
    <t>vehicle maintenance services platform</t>
  </si>
  <si>
    <t>enterprise cloud solutions</t>
  </si>
  <si>
    <t>social networking platform for writers</t>
  </si>
  <si>
    <t>online pharmacy &amp; health marketplace</t>
  </si>
  <si>
    <t>doctor &amp; clinic discovery platform</t>
  </si>
  <si>
    <t>gadget repair services platform</t>
  </si>
  <si>
    <t>online women fashion marketplace</t>
  </si>
  <si>
    <t>hyperlocal grocery delivery platform</t>
  </si>
  <si>
    <t>online job and career platform for women</t>
  </si>
  <si>
    <t>hyperlocal daily needs products delivery platform</t>
  </si>
  <si>
    <t>retail food &amp; snack offline centres</t>
  </si>
  <si>
    <t>personal genomics</t>
  </si>
  <si>
    <t>waste recycle management platform</t>
  </si>
  <si>
    <t>mobile based bollywood discovery platform</t>
  </si>
  <si>
    <t>sports arena discovery</t>
  </si>
  <si>
    <t>healthcare analytics platform</t>
  </si>
  <si>
    <t>travel ticket booking software</t>
  </si>
  <si>
    <t>ad optimization platform</t>
  </si>
  <si>
    <t>indoor skydiving sports provider</t>
  </si>
  <si>
    <t>original art, digital prints etailer</t>
  </si>
  <si>
    <t>community services platform</t>
  </si>
  <si>
    <t>dental protection solution</t>
  </si>
  <si>
    <t>healthcare related iot platform</t>
  </si>
  <si>
    <t>photo sharing mobile app</t>
  </si>
  <si>
    <t>online ticket booking platform</t>
  </si>
  <si>
    <t>co-working spaces discovery &amp; booking platform</t>
  </si>
  <si>
    <t>online tutoring service provider</t>
  </si>
  <si>
    <t>cloud based software solutions provider</t>
  </si>
  <si>
    <t>agri-tech supply chain solution provider</t>
  </si>
  <si>
    <t>integrated enterprise analytics platform</t>
  </si>
  <si>
    <t>data analytics &amp; audience management platform</t>
  </si>
  <si>
    <t>b2c vernacular podcast aggregator platform</t>
  </si>
  <si>
    <t>women intimate wear etailer</t>
  </si>
  <si>
    <t>raw meat products etailer</t>
  </si>
  <si>
    <t>mobile messaging app</t>
  </si>
  <si>
    <t>sweets, dry fruits &amp; handicrafts etailer</t>
  </si>
  <si>
    <t>online &amp; mobile learning for kids</t>
  </si>
  <si>
    <t>career progression portal</t>
  </si>
  <si>
    <t>online logistics marketplace</t>
  </si>
  <si>
    <t>mobile chatbot app</t>
  </si>
  <si>
    <t>mobile security solutions</t>
  </si>
  <si>
    <t>packers &amp; movers</t>
  </si>
  <si>
    <t>mobile based ecommerce saas platform</t>
  </si>
  <si>
    <t>financial technology solutions provider</t>
  </si>
  <si>
    <t>classified listings platform</t>
  </si>
  <si>
    <t>aadhar based document signing platform</t>
  </si>
  <si>
    <t>full service ecommerce agency</t>
  </si>
  <si>
    <t>organic, natural food substitute manufacturer</t>
  </si>
  <si>
    <t>fitness gym &amp; services discovery platform</t>
  </si>
  <si>
    <t>cyber-security solutions provider</t>
  </si>
  <si>
    <t>online notes sharing portal</t>
  </si>
  <si>
    <t>marketing app for retailers</t>
  </si>
  <si>
    <t>artificial intelligence based marketing platform</t>
  </si>
  <si>
    <t>wedding website creator</t>
  </si>
  <si>
    <t>free interactive education platform</t>
  </si>
  <si>
    <t>clinical imaging solution provider</t>
  </si>
  <si>
    <t>home furnishing rental marketplace</t>
  </si>
  <si>
    <t>mobile apps &amp; tech services provider</t>
  </si>
  <si>
    <t>dreams fulfilling marketplace</t>
  </si>
  <si>
    <t>edutainment platform</t>
  </si>
  <si>
    <t>scrap collection and recycling platform</t>
  </si>
  <si>
    <t>mobile app &amp; web development company</t>
  </si>
  <si>
    <t>health and fitness centres</t>
  </si>
  <si>
    <t>consumer iot startup</t>
  </si>
  <si>
    <t>local lifestyle content and discovery platform</t>
  </si>
  <si>
    <t>self-driven car booking platform</t>
  </si>
  <si>
    <t>photo and video sharing app</t>
  </si>
  <si>
    <t>digital wallet platform</t>
  </si>
  <si>
    <t>on-demand, hyper-local cleaning services provider</t>
  </si>
  <si>
    <t>cashback mobile app</t>
  </si>
  <si>
    <t>hyperlocal logistics services provider</t>
  </si>
  <si>
    <t>self-publishing books platform</t>
  </si>
  <si>
    <t>online portal for home design</t>
  </si>
  <si>
    <t>assessment &amp; learning platform</t>
  </si>
  <si>
    <t>fruit &amp; vegetable delivery platform</t>
  </si>
  <si>
    <t>agriculture technology solutions</t>
  </si>
  <si>
    <t>photographer discovery &amp; information platform</t>
  </si>
  <si>
    <t>hybrid cloud technology enabled media erp platform</t>
  </si>
  <si>
    <t>online fashion rental platform</t>
  </si>
  <si>
    <t>matchmaking app for disabled</t>
  </si>
  <si>
    <t>hr software services startup</t>
  </si>
  <si>
    <t>seed investment &amp; innovation platform</t>
  </si>
  <si>
    <t>mobile marketplace for crowdsourced work</t>
  </si>
  <si>
    <t>wealth management app</t>
  </si>
  <si>
    <t>online preventive healthcare platform</t>
  </si>
  <si>
    <t>custom furniture online</t>
  </si>
  <si>
    <t>cloud based erp software</t>
  </si>
  <si>
    <t>video based doctor consulting platform app</t>
  </si>
  <si>
    <t>event &amp; movie ticketing platform</t>
  </si>
  <si>
    <t>online merchandize etailer</t>
  </si>
  <si>
    <t>full stack offline &amp; online erp solution</t>
  </si>
  <si>
    <t>wedding wishlist, gifts &amp; registry creation platform</t>
  </si>
  <si>
    <t>mobile security app development &amp; distribution</t>
  </si>
  <si>
    <t>gamified consumer insights portal</t>
  </si>
  <si>
    <t>on-demand delivery startup</t>
  </si>
  <si>
    <t>virtual reality content studio</t>
  </si>
  <si>
    <t>online car repair and servicing booking platform</t>
  </si>
  <si>
    <t>beauty products marketplace</t>
  </si>
  <si>
    <t>car tracking &amp; safety system</t>
  </si>
  <si>
    <t>unboxed &amp; refurbished electronic products marketplace</t>
  </si>
  <si>
    <t>saas based service agreement management</t>
  </si>
  <si>
    <t>education focused financing platform</t>
  </si>
  <si>
    <t>digital marketing &amp; adtech platform</t>
  </si>
  <si>
    <t>online legal consultation platform</t>
  </si>
  <si>
    <t>online budget hotel aggregator &amp; booking platform</t>
  </si>
  <si>
    <t>online content discovery, creation &amp; distribution platform</t>
  </si>
  <si>
    <t>cab aggregation &amp; rental platform</t>
  </si>
  <si>
    <t>online food ordering &amp; delivery startup</t>
  </si>
  <si>
    <t>vernacular language content creation &amp; sharing app</t>
  </si>
  <si>
    <t>e-tailoring service provider</t>
  </si>
  <si>
    <t>online furniture renting platform</t>
  </si>
  <si>
    <t>sports focused healthcare startup</t>
  </si>
  <si>
    <t>personalized precious jewellery etailer</t>
  </si>
  <si>
    <t>m-commerce solutions for retail stores</t>
  </si>
  <si>
    <t>online education &amp; tutoring portals</t>
  </si>
  <si>
    <t>enterprise work management software</t>
  </si>
  <si>
    <t>online investment banking platform</t>
  </si>
  <si>
    <t>women fashion etailer</t>
  </si>
  <si>
    <t>travel package marketplace</t>
  </si>
  <si>
    <t>online grocerys</t>
  </si>
  <si>
    <t>public transport mobile app</t>
  </si>
  <si>
    <t>jewellery etailer</t>
  </si>
  <si>
    <t>game development startup</t>
  </si>
  <si>
    <t>image analysis solutions</t>
  </si>
  <si>
    <t>cloud-based enterprise solutions</t>
  </si>
  <si>
    <t>loans comparison platform</t>
  </si>
  <si>
    <t>payroll &amp; benefits software solutions</t>
  </si>
  <si>
    <t>mobile apps saas platform</t>
  </si>
  <si>
    <t>online tax filing portal</t>
  </si>
  <si>
    <t>tech-focused cargo transport startup</t>
  </si>
  <si>
    <t>loan comparison &amp; deals platform</t>
  </si>
  <si>
    <t>online car rental booking platform</t>
  </si>
  <si>
    <t>online marketplace for books</t>
  </si>
  <si>
    <t>inter-city taxi booking platform</t>
  </si>
  <si>
    <t>yogurt and ice cream maker</t>
  </si>
  <si>
    <t>free ad based voice calling</t>
  </si>
  <si>
    <t>online marketplace for used automobiles</t>
  </si>
  <si>
    <t>on-demand healthcare service provider</t>
  </si>
  <si>
    <t>fashion re-commerce platform</t>
  </si>
  <si>
    <t>bus aggregator mobile app</t>
  </si>
  <si>
    <t>doctor consultation platform</t>
  </si>
  <si>
    <t>truck aggregator &amp; booking platform</t>
  </si>
  <si>
    <t>treatment development for antibiotic-resistant diseases</t>
  </si>
  <si>
    <t>digital media and entertainment startup</t>
  </si>
  <si>
    <t>k-12 maths learning courses</t>
  </si>
  <si>
    <t>student micro-loan platform</t>
  </si>
  <si>
    <t>post merger integration partners</t>
  </si>
  <si>
    <t>mobile crm platform</t>
  </si>
  <si>
    <t>credit scoring platform</t>
  </si>
  <si>
    <t>location based classified mobile app</t>
  </si>
  <si>
    <t>tech-enabled fashion talent platform</t>
  </si>
  <si>
    <t>online fashion discussion community</t>
  </si>
  <si>
    <t>online chef discovery &amp; booking service</t>
  </si>
  <si>
    <t>connecting small town consumers to e-commerce</t>
  </si>
  <si>
    <t>online medical support platform</t>
  </si>
  <si>
    <t>online tea store</t>
  </si>
  <si>
    <t>student acquisition platform</t>
  </si>
  <si>
    <t>fintech platform</t>
  </si>
  <si>
    <t>online event ticketing platform</t>
  </si>
  <si>
    <t>mobile based rewards platform</t>
  </si>
  <si>
    <t>entry level hiring platform</t>
  </si>
  <si>
    <t>household packaging &amp; storage product manufacturer</t>
  </si>
  <si>
    <t>wearable gaming platform</t>
  </si>
  <si>
    <t>auto parts &amp; accessories etailer</t>
  </si>
  <si>
    <t>data analytics based customer management services</t>
  </si>
  <si>
    <t>online food delivery for train travelers</t>
  </si>
  <si>
    <t>online custom shirt retailer</t>
  </si>
  <si>
    <t>e-book publisher</t>
  </si>
  <si>
    <t>education based online portal</t>
  </si>
  <si>
    <t>premium tea &amp; coffee capsules maker</t>
  </si>
  <si>
    <t>data driven advertising platform</t>
  </si>
  <si>
    <t>queue management mobile app</t>
  </si>
  <si>
    <t>online alternative health community platform</t>
  </si>
  <si>
    <t>on-demand product rental marketplace</t>
  </si>
  <si>
    <t>contact management mobile app</t>
  </si>
  <si>
    <t>help hiring platform</t>
  </si>
  <si>
    <t>sports venue discovery and booking platform</t>
  </si>
  <si>
    <t>web/mobile music streaming service</t>
  </si>
  <si>
    <t>sustainable green tech solution developer</t>
  </si>
  <si>
    <t>home automation solutions</t>
  </si>
  <si>
    <t>payroll &amp; hr software developer</t>
  </si>
  <si>
    <t>fashion rental marketplace</t>
  </si>
  <si>
    <t>fitness centre discovery &amp; booking mobile app</t>
  </si>
  <si>
    <t>freight logistics marketplace</t>
  </si>
  <si>
    <t>online test papers for competitive exams</t>
  </si>
  <si>
    <t>govt policy research &amp; information portal</t>
  </si>
  <si>
    <t>online platform for event sponsorship</t>
  </si>
  <si>
    <t>real estate platform</t>
  </si>
  <si>
    <t>online procurement marketplace</t>
  </si>
  <si>
    <t>fintech product development &amp; services startup</t>
  </si>
  <si>
    <t>online outdoors &amp; travel</t>
  </si>
  <si>
    <t>medical technology provider</t>
  </si>
  <si>
    <t>beauty products &amp; training to salons &amp; spas</t>
  </si>
  <si>
    <t>women lingerie store</t>
  </si>
  <si>
    <t>online invoice app for smes</t>
  </si>
  <si>
    <t>logistics management software</t>
  </si>
  <si>
    <t>school parent communication app</t>
  </si>
  <si>
    <t>artificial intelligence based search platform</t>
  </si>
  <si>
    <t>home tutors search &amp; discovery</t>
  </si>
  <si>
    <t>professional driver discovery &amp; booking mobile app</t>
  </si>
  <si>
    <t>multi-lingual self-publishing platform</t>
  </si>
  <si>
    <t>cloud data security &amp; privacy solutions</t>
  </si>
  <si>
    <t>cold storage logistics solutions</t>
  </si>
  <si>
    <t>supply chain equipment &amp; services provider</t>
  </si>
  <si>
    <t>free door step scrap pickup service</t>
  </si>
  <si>
    <t>online counselling &amp; personal coaching platform</t>
  </si>
  <si>
    <t>online spa &amp; salon discovery &amp; booking platform</t>
  </si>
  <si>
    <t>self-driven car rental platform</t>
  </si>
  <si>
    <t>online hotel aggregator &amp; booking platform</t>
  </si>
  <si>
    <t>gps based saas solutions</t>
  </si>
  <si>
    <t>online working capital business loans platform</t>
  </si>
  <si>
    <t>online talent discovery platform for kids</t>
  </si>
  <si>
    <t>online blogging platform</t>
  </si>
  <si>
    <t>ecommerce saas solutions</t>
  </si>
  <si>
    <t>visual content marketing</t>
  </si>
  <si>
    <t>online designer jewellery marketplace</t>
  </si>
  <si>
    <t>online/ mobile tax cab booking</t>
  </si>
  <si>
    <t>student focussed content discovery portal</t>
  </si>
  <si>
    <t>online mutual fund investment platform</t>
  </si>
  <si>
    <t>mobile based vehicle maintenance app</t>
  </si>
  <si>
    <t>parking technology platform</t>
  </si>
  <si>
    <t>agri data &amp; analytics platform</t>
  </si>
  <si>
    <t>mobile &amp; digital wallet</t>
  </si>
  <si>
    <t>career planning services portal</t>
  </si>
  <si>
    <t>online recruitment platform</t>
  </si>
  <si>
    <t>car driver discovery app</t>
  </si>
  <si>
    <t>road trip planning mobile app</t>
  </si>
  <si>
    <t>eyewear &amp; accessories etailer</t>
  </si>
  <si>
    <t>enterprise security technology platform</t>
  </si>
  <si>
    <t>solar rooftop system installation company</t>
  </si>
  <si>
    <t>telecom &amp; media it services company</t>
  </si>
  <si>
    <t>medical supplies etailer</t>
  </si>
  <si>
    <t>intelligent tech platform for finance vertical</t>
  </si>
  <si>
    <t>affordable non-emergency medical service health plans</t>
  </si>
  <si>
    <t>web video streaming platform</t>
  </si>
  <si>
    <t>ecommerce product discovery software</t>
  </si>
  <si>
    <t>cloud based software solutions</t>
  </si>
  <si>
    <t>education workshops &amp; mentoring programs</t>
  </si>
  <si>
    <t>social commerce platform</t>
  </si>
  <si>
    <t>logistics and warehousing services</t>
  </si>
  <si>
    <t>logistics intelligence platform</t>
  </si>
  <si>
    <t>children entertainment portal</t>
  </si>
  <si>
    <t>furniture, appliances portal</t>
  </si>
  <si>
    <t>conversion rate optimization platform</t>
  </si>
  <si>
    <t>clean water technology</t>
  </si>
  <si>
    <t>school uniform &amp; supplies marketplace</t>
  </si>
  <si>
    <t>home rental discovery &amp; booking portal</t>
  </si>
  <si>
    <t>online peer to peer lending platform</t>
  </si>
  <si>
    <t>data analytics company</t>
  </si>
  <si>
    <t>free online education platform</t>
  </si>
  <si>
    <t>senior healthcare services</t>
  </si>
  <si>
    <t>hindi social networking portal</t>
  </si>
  <si>
    <t>visual content discovery platform</t>
  </si>
  <si>
    <t>carpooling services</t>
  </si>
  <si>
    <t>budget room aggregator booking platform</t>
  </si>
  <si>
    <t>e-commerce logistics solutions</t>
  </si>
  <si>
    <t>smart learning products</t>
  </si>
  <si>
    <t>home decor emarketplace</t>
  </si>
  <si>
    <t>medical emergency response app</t>
  </si>
  <si>
    <t>mobile customer rewards management platform</t>
  </si>
  <si>
    <t>apparel rental platform</t>
  </si>
  <si>
    <t>food ordering mobile app</t>
  </si>
  <si>
    <t>online health-on-demand platform</t>
  </si>
  <si>
    <t>aptitude development program</t>
  </si>
  <si>
    <t>parenting &amp; child care app</t>
  </si>
  <si>
    <t>location-based offline retail discovery platform</t>
  </si>
  <si>
    <t>cab aggregating platform</t>
  </si>
  <si>
    <t>on demand digital sports network</t>
  </si>
  <si>
    <t>online peer to peer funding</t>
  </si>
  <si>
    <t>online investment platform</t>
  </si>
  <si>
    <t>mobile entertainment app</t>
  </si>
  <si>
    <t>pediatric primary healthcare network</t>
  </si>
  <si>
    <t>mobility devices for differently abled</t>
  </si>
  <si>
    <t>digital platform for women</t>
  </si>
  <si>
    <t>medical devices kit manufacturer</t>
  </si>
  <si>
    <t>celebrity entertainment contest app</t>
  </si>
  <si>
    <t>online healthcare service discovery platform</t>
  </si>
  <si>
    <t>safe driving analytics platform</t>
  </si>
  <si>
    <t>location based sports &amp; fitness discovery app</t>
  </si>
  <si>
    <t>apparel &amp; lifestyle etailer</t>
  </si>
  <si>
    <t>hyperlocal advertising platform</t>
  </si>
  <si>
    <t>matchmaking mobile app</t>
  </si>
  <si>
    <t>rolls &amp; biryanis qsr chain</t>
  </si>
  <si>
    <t>digital media entertainment portal</t>
  </si>
  <si>
    <t>various highway help services</t>
  </si>
  <si>
    <t>healthcare training programs</t>
  </si>
  <si>
    <t>personal assistant app</t>
  </si>
  <si>
    <t>gadget &amp; appliances service app</t>
  </si>
  <si>
    <t>logistics solutions</t>
  </si>
  <si>
    <t>online bike service and repairs platform</t>
  </si>
  <si>
    <t>mobile based on-demand beauty services platform</t>
  </si>
  <si>
    <t>mobile gaming studio</t>
  </si>
  <si>
    <t>curated food, event &amp; lifestyle guide</t>
  </si>
  <si>
    <t>mobile education platform</t>
  </si>
  <si>
    <t>online health diagnosis platform</t>
  </si>
  <si>
    <t>social discovery platform</t>
  </si>
  <si>
    <t>online fruit &amp; vegetable marketplace</t>
  </si>
  <si>
    <t>online branded budget room booking service</t>
  </si>
  <si>
    <t>price comparison portal</t>
  </si>
  <si>
    <t>on-demand task management app</t>
  </si>
  <si>
    <t>artist discovery &amp; booking platform</t>
  </si>
  <si>
    <t>video social network</t>
  </si>
  <si>
    <t>online legal services for startups</t>
  </si>
  <si>
    <t>subscription-based grocery delivery mobile app</t>
  </si>
  <si>
    <t>fashion ecommerce app</t>
  </si>
  <si>
    <t>wedding related services community</t>
  </si>
  <si>
    <t>loan comparison portal</t>
  </si>
  <si>
    <t>online car &amp; bike insurance comparison portal</t>
  </si>
  <si>
    <t>online tech portals</t>
  </si>
  <si>
    <t>on-demand beauty service provider</t>
  </si>
  <si>
    <t>marketplace for organic products</t>
  </si>
  <si>
    <t>car rental software</t>
  </si>
  <si>
    <t>furnished home rental platform</t>
  </si>
  <si>
    <t>expert advice platform</t>
  </si>
  <si>
    <t>bike aggregator app</t>
  </si>
  <si>
    <t>women fashion ecommerce portal</t>
  </si>
  <si>
    <t>online discovery and shopping platform</t>
  </si>
  <si>
    <t>on-demand delivery &amp; logistics platform</t>
  </si>
  <si>
    <t>eyewear etailing platform</t>
  </si>
  <si>
    <t>college &amp; student information platform</t>
  </si>
  <si>
    <t>fitness services aggregator platform</t>
  </si>
  <si>
    <t>online exam practice &amp; preparation platform</t>
  </si>
  <si>
    <t>online certification platform</t>
  </si>
  <si>
    <t>fashion and store discovery mobile app</t>
  </si>
  <si>
    <t>cleaning services provider</t>
  </si>
  <si>
    <t>loyalty rewards platform</t>
  </si>
  <si>
    <t>style, fashion discovery mobile app</t>
  </si>
  <si>
    <t>automotive design and engineering company</t>
  </si>
  <si>
    <t>mobile based meat ordering app</t>
  </si>
  <si>
    <t>educational gamification &amp; simulation platform</t>
  </si>
  <si>
    <t>converged backup &amp; data protection solutions for enterprises</t>
  </si>
  <si>
    <t>children\xe2\x80\x99s entertainment games &amp; products</t>
  </si>
  <si>
    <t>shuttle service provider</t>
  </si>
  <si>
    <t>ready-to-drink beverage producer</t>
  </si>
  <si>
    <t>digital payments platform</t>
  </si>
  <si>
    <t>online filing of tax returns</t>
  </si>
  <si>
    <t>social fashion ecommerce discovery platform</t>
  </si>
  <si>
    <t>micro grocery delivery platform</t>
  </si>
  <si>
    <t>train related information portal</t>
  </si>
  <si>
    <t>mobile based children health information app</t>
  </si>
  <si>
    <t>online wedding information portal</t>
  </si>
  <si>
    <t>online doctor discovery &amp; chat platform</t>
  </si>
  <si>
    <t>online crowdfunding platform for ngos &amp; social projects</t>
  </si>
  <si>
    <t>chauffeurs discovery for private car owners</t>
  </si>
  <si>
    <t>fitness centres, gym discovery online marketplace</t>
  </si>
  <si>
    <t>mobile wallet aggregation platform</t>
  </si>
  <si>
    <t>ai based office assistant mobile app</t>
  </si>
  <si>
    <t>industrial robots maker</t>
  </si>
  <si>
    <t>audio visual digital content creators for brands</t>
  </si>
  <si>
    <t>financial services &amp; analytics education institute</t>
  </si>
  <si>
    <t>social discovery mobile app</t>
  </si>
  <si>
    <t>parenting social network platform</t>
  </si>
  <si>
    <t>office products super store</t>
  </si>
  <si>
    <t>smart wheelchair design and development</t>
  </si>
  <si>
    <t>civil services news aggregator</t>
  </si>
  <si>
    <t>mobile app discovery and review platform</t>
  </si>
  <si>
    <t>handicraft products etailer</t>
  </si>
  <si>
    <t>healthcare related services provider</t>
  </si>
  <si>
    <t>bike taxi service &amp; hyperlocal delivery app</t>
  </si>
  <si>
    <t>b2b marketplace for farmers &amp; retailers</t>
  </si>
  <si>
    <t>cross platform p2p file sharing mobile app</t>
  </si>
  <si>
    <t>hyperlocal beauty services platform</t>
  </si>
  <si>
    <t>curated fashion ecommerce portal</t>
  </si>
  <si>
    <t>medical support service platform</t>
  </si>
  <si>
    <t>credit worthiness big data analytics</t>
  </si>
  <si>
    <t>ai based data analytics platform</t>
  </si>
  <si>
    <t>women health tracker</t>
  </si>
  <si>
    <t>ecommerce saas platform</t>
  </si>
  <si>
    <t>daily task management app</t>
  </si>
  <si>
    <t>b2b marketplace for smbs</t>
  </si>
  <si>
    <t>virtual reality solutions</t>
  </si>
  <si>
    <t>interior design &amp; home solutions</t>
  </si>
  <si>
    <t>carpooling mobile app</t>
  </si>
  <si>
    <t>self drive car rental</t>
  </si>
  <si>
    <t>personal ai transaction engine app</t>
  </si>
  <si>
    <t>premium dining lounges chain</t>
  </si>
  <si>
    <t>pre-owned fashion marketplace mobile app</t>
  </si>
  <si>
    <t>contract management software solutions platform</t>
  </si>
  <si>
    <t>construction material etailer</t>
  </si>
  <si>
    <t>food related marketing &amp; branding platform</t>
  </si>
  <si>
    <t>domestic, commercial, and industrial goods movers</t>
  </si>
  <si>
    <t>online medicine delivery aggregator</t>
  </si>
  <si>
    <t>tutor search platform</t>
  </si>
  <si>
    <t>advertising technology</t>
  </si>
  <si>
    <t>personalized fashion app</t>
  </si>
  <si>
    <t>hyperlocal home maintenance services</t>
  </si>
  <si>
    <t>online job board</t>
  </si>
  <si>
    <t>online investment management portal</t>
  </si>
  <si>
    <t>specialized patient care platform</t>
  </si>
  <si>
    <t>ondemand concierge service</t>
  </si>
  <si>
    <t>doctor discovery and booking platform</t>
  </si>
  <si>
    <t>car/ bike pooling app</t>
  </si>
  <si>
    <t>online sports discovery and booking platform</t>
  </si>
  <si>
    <t>online laundry &amp; washing service booking &amp; delivery</t>
  </si>
  <si>
    <t>online news media network</t>
  </si>
  <si>
    <t>budget hotel aggregator</t>
  </si>
  <si>
    <t>educational video content creator</t>
  </si>
  <si>
    <t>on-demand 2-wheeler servicing platform</t>
  </si>
  <si>
    <t>internet of things device manufacturer</t>
  </si>
  <si>
    <t>online pharmacy portal</t>
  </si>
  <si>
    <t>online credit management tools</t>
  </si>
  <si>
    <t>interior painting automation</t>
  </si>
  <si>
    <t>robotic classes for students</t>
  </si>
  <si>
    <t>healthcare related solutions</t>
  </si>
  <si>
    <t>mobile based private tutoring services</t>
  </si>
  <si>
    <t>online bike rental platform</t>
  </si>
  <si>
    <t>unified push notification service</t>
  </si>
  <si>
    <t>online marketplace for schools</t>
  </si>
  <si>
    <t>online mental healthcare</t>
  </si>
  <si>
    <t>child healthcare experts aggregator mobile app</t>
  </si>
  <si>
    <t>asset based lending platform</t>
  </si>
  <si>
    <t>mobile based logistics provider</t>
  </si>
  <si>
    <t>grc saas platform</t>
  </si>
  <si>
    <t>mobile balance check app</t>
  </si>
  <si>
    <t>predictive healthcare platform</t>
  </si>
  <si>
    <t>home loan rate comparison platform</t>
  </si>
  <si>
    <t>family stem cell banking services</t>
  </si>
  <si>
    <t>specialty coffee etailer</t>
  </si>
  <si>
    <t>iot &amp; m2m solutions</t>
  </si>
  <si>
    <t>competitive exam preparation platform</t>
  </si>
  <si>
    <t>mobile email productivity tool</t>
  </si>
  <si>
    <t>marketing automation platform</t>
  </si>
  <si>
    <t>augmented reality solutions</t>
  </si>
  <si>
    <t>audio technology solutions</t>
  </si>
  <si>
    <t>beauty &amp; wellness platform</t>
  </si>
  <si>
    <t>auto spare parts etailer</t>
  </si>
  <si>
    <t>music discovery mobile app</t>
  </si>
  <si>
    <t>book recommendation service</t>
  </si>
  <si>
    <t>fragrances &amp; perfume etailer</t>
  </si>
  <si>
    <t>children education platform</t>
  </si>
  <si>
    <t>safe driving data &amp; analytics platform</t>
  </si>
  <si>
    <t>marketplace for health foods</t>
  </si>
  <si>
    <t>workspace rentals</t>
  </si>
  <si>
    <t>personalized products &amp; merchandize etailer</t>
  </si>
  <si>
    <t>optical store aggregator platform</t>
  </si>
  <si>
    <t>healthcare services &amp; online pharmacy mobile app</t>
  </si>
  <si>
    <t>pet products etailer</t>
  </si>
  <si>
    <t>weight loss &amp; healthcare info portal</t>
  </si>
  <si>
    <t>personal fashion stylist app</t>
  </si>
  <si>
    <t>ad network</t>
  </si>
  <si>
    <t>on demand laundry services</t>
  </si>
  <si>
    <t>last mile logistics solutions</t>
  </si>
  <si>
    <t>ecommerce logistics solutions</t>
  </si>
  <si>
    <t>cancer therapeutic info &amp; solutions</t>
  </si>
  <si>
    <t>mobile app tech solutions</t>
  </si>
  <si>
    <t>startup focused media news portal</t>
  </si>
  <si>
    <t>personalized fitness coaching &amp; fitness band</t>
  </si>
  <si>
    <t>online salon aggregator</t>
  </si>
  <si>
    <t>social networking platform</t>
  </si>
  <si>
    <t>medicine intake reminder system</t>
  </si>
  <si>
    <t>it services &amp; talent collaboration services startup</t>
  </si>
  <si>
    <t>retailer supply chain platform</t>
  </si>
  <si>
    <t>online beauty parlour search &amp; discovery platform</t>
  </si>
  <si>
    <t>hyperlocal products &amp; services marketplace</t>
  </si>
  <si>
    <t>cloud analytics and management products</t>
  </si>
  <si>
    <t>premium tea and coffee</t>
  </si>
  <si>
    <t>solar power solutions</t>
  </si>
  <si>
    <t>online stock trading platform</t>
  </si>
  <si>
    <t>online recruitment marketplace</t>
  </si>
  <si>
    <t>horizontal online marketplace</t>
  </si>
  <si>
    <t>transportation &amp; on-demand delivery aggregator</t>
  </si>
  <si>
    <t>connectivity platform for local grocery stores</t>
  </si>
  <si>
    <t>events &amp; restaurant discovery marketplace app</t>
  </si>
  <si>
    <t>online household product rental platform</t>
  </si>
  <si>
    <t>micro lending platform for ecommerce purchases</t>
  </si>
  <si>
    <t>online legal services platform</t>
  </si>
  <si>
    <t>dynamic restaurant website creator</t>
  </si>
  <si>
    <t>data analytics based verification services platform</t>
  </si>
  <si>
    <t>sweets, eatables, handicrafts online marketplace</t>
  </si>
  <si>
    <t>instant messaging app</t>
  </si>
  <si>
    <t>doctor &amp; clinics discovery platform</t>
  </si>
  <si>
    <t>on-demand home cleaning services</t>
  </si>
  <si>
    <t>mobile gaming platform</t>
  </si>
  <si>
    <t>on-demand legal documentation and registration service</t>
  </si>
  <si>
    <t>independent online video production company</t>
  </si>
  <si>
    <t>private coaching classes</t>
  </si>
  <si>
    <t>eco-friendly consumer &amp; packaging products</t>
  </si>
  <si>
    <t>matrimony &amp; couples only mobile platform</t>
  </si>
  <si>
    <t>health related information portal</t>
  </si>
  <si>
    <t>social networking app for outdoor interests</t>
  </si>
  <si>
    <t>indian startup ecosystem trends analyzer &amp; funding platform</t>
  </si>
  <si>
    <t>warehouse automation</t>
  </si>
  <si>
    <t>ethnic products marketplace</t>
  </si>
  <si>
    <t>online loan comparison &amp; discovery platform</t>
  </si>
  <si>
    <t>alumni social network</t>
  </si>
  <si>
    <t>hyperlocal discover mobile app</t>
  </si>
  <si>
    <t>healthcare based tech solutions</t>
  </si>
  <si>
    <t>hyperlocal handyman services platform</t>
  </si>
  <si>
    <t>mobile fashion app</t>
  </si>
  <si>
    <t>independent news media portal</t>
  </si>
  <si>
    <t>deals and discount platform</t>
  </si>
  <si>
    <t>peer to peer lending marketplace</t>
  </si>
  <si>
    <t>peer to peer property listing platform</t>
  </si>
  <si>
    <t>online wedding services marketplace</t>
  </si>
  <si>
    <t>hotel reservations &amp; deal platform</t>
  </si>
  <si>
    <t>employee engagements &amp; rewards platform</t>
  </si>
  <si>
    <t>b2b commerce marketplace</t>
  </si>
  <si>
    <t>personalized learning solutions &amp; products</t>
  </si>
  <si>
    <t>party supplies etailer</t>
  </si>
  <si>
    <t>iot retail solutions</t>
  </si>
  <si>
    <t>skill development and vocational training platform</t>
  </si>
  <si>
    <t>baby &amp; kids products online flash sales platform</t>
  </si>
  <si>
    <t>online real estate listings</t>
  </si>
  <si>
    <t>health food / personal care marketplace</t>
  </si>
  <si>
    <t>on demand cleaning services mobile app</t>
  </si>
  <si>
    <t>online pet store</t>
  </si>
  <si>
    <t>college education portal</t>
  </si>
  <si>
    <t>craft beer manufacturing company</t>
  </si>
  <si>
    <t>healthy food manufacturing &amp; sales startup</t>
  </si>
  <si>
    <t>child disorder information &amp; education</t>
  </si>
  <si>
    <t>b2b procurement marketplace for office products</t>
  </si>
  <si>
    <t>cloud mobility solutions</t>
  </si>
  <si>
    <t>startup funding deal discovery &amp; execution platform</t>
  </si>
  <si>
    <t>branded workspaces aggregator</t>
  </si>
  <si>
    <t>tv search, guide and remote mobile app</t>
  </si>
  <si>
    <t>bitcoin buying &amp; selling mobile app</t>
  </si>
  <si>
    <t>medical tourism platform</t>
  </si>
  <si>
    <t>children education &amp; information platform</t>
  </si>
  <si>
    <t>school student admissions platform</t>
  </si>
  <si>
    <t>automobile service booking app</t>
  </si>
  <si>
    <t>two wheeler taxi service</t>
  </si>
  <si>
    <t>online furniture customization platform</t>
  </si>
  <si>
    <t>mobile based education platform</t>
  </si>
  <si>
    <t>online travel/hotel booking platform</t>
  </si>
  <si>
    <t>online/ mobile jewellery retailer</t>
  </si>
  <si>
    <t>train pnr status prediction platform</t>
  </si>
  <si>
    <t>career planning and education advisory platform</t>
  </si>
  <si>
    <t>online furnishing rental platform</t>
  </si>
  <si>
    <t>online fashion apparel retailer</t>
  </si>
  <si>
    <t>mobile app based concierge service</t>
  </si>
  <si>
    <t>online / mobile food ordering platform</t>
  </si>
  <si>
    <t>last minute hotel bookings mobile marketplace</t>
  </si>
  <si>
    <t>mobile based geo-target fashion marketplace</t>
  </si>
  <si>
    <t>p2p messaging service</t>
  </si>
  <si>
    <t>next generation in-building connectivity</t>
  </si>
  <si>
    <t>mobile based referral platform</t>
  </si>
  <si>
    <t>auto classifieds portal</t>
  </si>
  <si>
    <t>peer-to-peer renting marketplace</t>
  </si>
  <si>
    <t>weigh loss coaching</t>
  </si>
  <si>
    <t>visual search &amp; image recognition platform</t>
  </si>
  <si>
    <t>construction material marketplace</t>
  </si>
  <si>
    <t>tv to mobile audience platform</t>
  </si>
  <si>
    <t>healthcare product manufacturer</t>
  </si>
  <si>
    <t>fitness related social networking app &amp; forum</t>
  </si>
  <si>
    <t>party hall booking platform</t>
  </si>
  <si>
    <t>mobile app based job search</t>
  </si>
  <si>
    <t>instant content transfer mobile app</t>
  </si>
  <si>
    <t>dating &amp; singles chat platform</t>
  </si>
  <si>
    <t>saas diy ecommerce platform</t>
  </si>
  <si>
    <t>online/mobile food ordering platform</t>
  </si>
  <si>
    <t>parenting social network</t>
  </si>
  <si>
    <t>coupon &amp; cashback platform</t>
  </si>
  <si>
    <t>casual gaming platform</t>
  </si>
  <si>
    <t>mobile accessories etailer</t>
  </si>
  <si>
    <t>local language mobile os</t>
  </si>
  <si>
    <t>educational college search platform</t>
  </si>
  <si>
    <t>social business incubator &amp; fund</t>
  </si>
  <si>
    <t>budget accomodation aggregator</t>
  </si>
  <si>
    <t>b2b industrial goods marketplace</t>
  </si>
  <si>
    <t>b2b marketplace for distributors</t>
  </si>
  <si>
    <t>adult products etailers</t>
  </si>
  <si>
    <t>social meeting organizer app</t>
  </si>
  <si>
    <t>women hygiene product manufacturer</t>
  </si>
  <si>
    <t>kids focused etailer</t>
  </si>
  <si>
    <t>personal finance mobile app</t>
  </si>
  <si>
    <t>smartphone os developer</t>
  </si>
  <si>
    <t>hindi language social networking portal</t>
  </si>
  <si>
    <t>deal discovery app</t>
  </si>
  <si>
    <t>mobile based retail market ecosystem</t>
  </si>
  <si>
    <t>social network for healthcare professionals</t>
  </si>
  <si>
    <t>home automation &amp; security solutions</t>
  </si>
  <si>
    <t>electronic payments solution company</t>
  </si>
  <si>
    <t>enterprise cloud based data processing</t>
  </si>
  <si>
    <t>salons &amp; spa chain</t>
  </si>
  <si>
    <t>photography curation &amp; aggregator platform</t>
  </si>
  <si>
    <t>sme online buying hub</t>
  </si>
  <si>
    <t>home product etailer</t>
  </si>
  <si>
    <t>specialty tea etailer</t>
  </si>
  <si>
    <t>sales, market, distribution &amp; data analytics platform</t>
  </si>
  <si>
    <t>data intelligence &amp; analytics</t>
  </si>
  <si>
    <t>vegetables &amp; fruits supply chain</t>
  </si>
  <si>
    <t>medical video consultation platform</t>
  </si>
  <si>
    <t>connected smart home solutions</t>
  </si>
  <si>
    <t>online fitness &amp; educational information aggregator</t>
  </si>
  <si>
    <t>rental bike aggregator app</t>
  </si>
  <si>
    <t>indians focused matchmaking app</t>
  </si>
  <si>
    <t>fresh food delivery platform</t>
  </si>
  <si>
    <t>online marketplace for cars</t>
  </si>
  <si>
    <t>mobile &amp; cloud based app developer</t>
  </si>
  <si>
    <t>coding skill showcase &amp; resume builder</t>
  </si>
  <si>
    <t>hobby &amp; activity class aggregator</t>
  </si>
  <si>
    <t>interior design marketplace</t>
  </si>
  <si>
    <t>Investment_Type_std</t>
  </si>
  <si>
    <t>Debt And Preference Capital</t>
  </si>
  <si>
    <t>Investors_Name_Std</t>
  </si>
  <si>
    <t>Business School Seed Fund.</t>
  </si>
  <si>
    <t>Startup_Name</t>
  </si>
  <si>
    <t>Byju’s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</si>
</sst>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5" formatCode="0_);\(0\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top"/>
    </xf>
    <xf numFmtId="165" fontId="1" fillId="2" borderId="0" xfId="0" applyNumberFormat="1" applyFont="1" applyFill="1"/>
    <xf numFmtId="10" fontId="1" fillId="2" borderId="0" xfId="0" applyNumberFormat="1" applyFont="1" applyFill="1"/>
    <xf numFmtId="49" fontId="1" fillId="2" borderId="0" xfId="0" applyNumberFormat="1" applyFont="1" applyFill="1"/>
    <xf numFmtId="49" fontId="0" fillId="0" borderId="0" xfId="0" applyNumberFormat="1"/>
    <xf numFmtId="39" fontId="1" fillId="2" borderId="0" xfId="0" applyNumberFormat="1" applyFont="1" applyFill="1"/>
    <xf numFmtId="39" fontId="0" fillId="0" borderId="0" xfId="0" applyNumberFormat="1"/>
  </cellXfs>
  <cellStyles count="1">
    <cellStyle name="Normal" xfId="0" builtinId="0"/>
  </cellStyles>
  <dxfs count="20">
    <dxf>
      <numFmt numFmtId="166" formatCode="#,##0.00_);\(#,##0.00\)"/>
    </dxf>
    <dxf>
      <numFmt numFmtId="166" formatCode="#,##0.00_);\(#,##0.00\)"/>
    </dxf>
    <dxf>
      <numFmt numFmtId="14" formatCode="0.00%"/>
    </dxf>
    <dxf>
      <numFmt numFmtId="14" formatCode="0.00%"/>
    </dxf>
    <dxf>
      <numFmt numFmtId="14" formatCode="0.00%"/>
    </dxf>
    <dxf>
      <numFmt numFmtId="165" formatCode="0_);\(0\)"/>
    </dxf>
    <dxf>
      <numFmt numFmtId="165" formatCode="0_);\(0\)"/>
    </dxf>
    <dxf>
      <numFmt numFmtId="165" formatCode="0_);\(0\)"/>
    </dxf>
    <dxf>
      <numFmt numFmtId="166" formatCode="#,##0.00_);\(#,##0.00\)"/>
    </dxf>
    <dxf>
      <numFmt numFmtId="166" formatCode="#,##0.00_);\(#,##0.00\)"/>
    </dxf>
    <dxf>
      <numFmt numFmtId="166" formatCode="#,##0.00_);\(#,##0.00\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1" defaultTableStyle="TableStyleMedium2" defaultPivotStyle="PivotStyleLight16">
    <tableStyle name="Invisible" pivot="0" table="0" count="0" xr9:uid="{C768DC71-D7C8-45EA-B834-7CE23F93BC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2D350-F4DB-48CD-A7FD-C9B5067D9404}" name="Table1" displayName="Table1" ref="A1:AA3045" totalsRowShown="0" headerRowDxfId="19" tableBorderDxfId="18" dataCellStyle="Normal">
  <autoFilter ref="A1:AA3045" xr:uid="{D2D33BAA-8255-42A2-8765-C4036EF48BE5}"/>
  <tableColumns count="27">
    <tableColumn id="1" xr3:uid="{AF8A04E3-6868-4747-B700-F9E309555BEB}" name="Sr No" dataCellStyle="Normal"/>
    <tableColumn id="2" xr3:uid="{D1F35424-00B7-4F52-94F7-40D6146F2C81}" name="Date dd/mm/yyyy" dataDxfId="17" dataCellStyle="Normal"/>
    <tableColumn id="3" xr3:uid="{0FB02A40-166A-42E1-953E-F953763A9E5C}" name="Startup_Name" dataDxfId="16" dataCellStyle="Normal"/>
    <tableColumn id="4" xr3:uid="{62C82CC1-0757-4543-BB2C-3FE8E883B49D}" name="Industry_Vertical_Std" dataDxfId="15" dataCellStyle="Normal"/>
    <tableColumn id="5" xr3:uid="{0950CF0E-B5C8-47B6-AD92-D2106A5399CB}" name="Sub_Vertical_Std" dataDxfId="14" dataCellStyle="Normal"/>
    <tableColumn id="6" xr3:uid="{C533F625-2CB7-4112-A3C4-EF2CD3386BCE}" name="City_Location_Std" dataDxfId="13" dataCellStyle="Normal"/>
    <tableColumn id="7" xr3:uid="{B2F94D63-B94F-4895-8120-75A899CB54B6}" name="Investors_Name_Std" dataDxfId="12" dataCellStyle="Normal"/>
    <tableColumn id="8" xr3:uid="{7327ECEA-1C6E-4F78-89F1-42D454287819}" name="Investment_Type_std" dataDxfId="11" dataCellStyle="Normal"/>
    <tableColumn id="9" xr3:uid="{87B33BEB-0786-4805-82E8-1E842151FD68}" name="Amount in USD" dataDxfId="10" dataCellStyle="Normal"/>
    <tableColumn id="10" xr3:uid="{BC5EBD7A-B973-440D-9B01-24B11437D41E}" name="Monthly Revenue" dataDxfId="9" dataCellStyle="Normal"/>
    <tableColumn id="11" xr3:uid="{0A364B76-EC39-4873-96E4-D27FB346176D}" name="Annual Burn Rate" dataDxfId="8" dataCellStyle="Normal"/>
    <tableColumn id="12" xr3:uid="{942EF7BE-203F-4CA7-BD27-6903A96A8DA8}" name="Customer Acquisition Cost (CAC)" dataDxfId="7" dataCellStyle="Normal"/>
    <tableColumn id="13" xr3:uid="{D4499BA3-152B-4EA0-BBB1-B4A51223AACB}" name="Customer Lifetime Value (CLV)" dataDxfId="6" dataCellStyle="Normal"/>
    <tableColumn id="14" xr3:uid="{FF5DFF58-BE90-470A-A51D-081DD72A9038}" name="Active Users" dataDxfId="5" dataCellStyle="Normal"/>
    <tableColumn id="15" xr3:uid="{377A0A08-D2EF-4568-BC7B-47DA6B3B61AB}" name="Revenue Growth Rate (%)" dataDxfId="4" dataCellStyle="Normal"/>
    <tableColumn id="16" xr3:uid="{38092DF7-F80D-4023-8985-A601CE495221}" name="Funding Utilization (%)" dataDxfId="3" dataCellStyle="Normal"/>
    <tableColumn id="17" xr3:uid="{243F745A-8D01-466D-9DC0-AC170A708E94}" name="Profit Margin (%)" dataDxfId="2" dataCellStyle="Normal"/>
    <tableColumn id="18" xr3:uid="{55CE9901-A441-4021-9069-E5711EBD28AA}" name="Valuation at Funding" dataDxfId="1" dataCellStyle="Normal"/>
    <tableColumn id="19" xr3:uid="{2BB324C1-4C87-4AF6-92C7-3D175274DE35}" name="Operating Expenses" dataDxfId="0" dataCellStyle="Normal"/>
    <tableColumn id="20" xr3:uid="{A2706CE8-2056-4233-8887-37C1200B579D}" name="Year" dataCellStyle="Normal"/>
    <tableColumn id="21" xr3:uid="{EC161F07-91E9-482C-B59D-B7676BDAF992}" name="Month" dataCellStyle="Normal"/>
    <tableColumn id="22" xr3:uid="{49F96BE3-C191-4E96-94DB-76EF0B92043C}" name="Q1" dataCellStyle="Normal">
      <calculatedColumnFormula>_xlfn.PERCENTILE.INC(I2:I3045,0.25)</calculatedColumnFormula>
    </tableColumn>
    <tableColumn id="23" xr3:uid="{695AB95E-C99E-4C39-AD1B-392D89201516}" name="Q2" dataCellStyle="Normal">
      <calculatedColumnFormula>_xlfn.PERCENTILE.INC(I2:I3045,0.75)</calculatedColumnFormula>
    </tableColumn>
    <tableColumn id="24" xr3:uid="{41B612E5-3F7E-45DB-AB74-A8AC8233A095}" name="IQR" dataCellStyle="Normal">
      <calculatedColumnFormula>W2-V2</calculatedColumnFormula>
    </tableColumn>
    <tableColumn id="25" xr3:uid="{C2102339-A0BE-4A81-8F41-069980889098}" name="Lower bound" dataCellStyle="Normal">
      <calculatedColumnFormula>V2-1.5*X2</calculatedColumnFormula>
    </tableColumn>
    <tableColumn id="26" xr3:uid="{A7234A9D-EE26-4DA6-90CB-19896BBDA6C6}" name="Upper bound" dataCellStyle="Normal">
      <calculatedColumnFormula>W2+1.5*X2</calculatedColumnFormula>
    </tableColumn>
    <tableColumn id="27" xr3:uid="{63454E01-38FC-4A09-9A49-1A5CE75E0F0F}" name="outlier check" dataCellStyle="Normal">
      <calculatedColumnFormula>IF(OR(I2&lt;$Y$2, I2&gt;$Z$2), "Outlier", "Normal")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61A9-2DF9-4135-AE4A-763C9B12A21C}">
  <dimension ref="A1:AF3045"/>
  <sheetViews>
    <sheetView tabSelected="1" topLeftCell="M1" zoomScale="70" zoomScaleNormal="100" workbookViewId="0">
      <selection activeCell="AA14" sqref="AA14"/>
    </sheetView>
  </sheetViews>
  <sheetFormatPr defaultRowHeight="14.5" x14ac:dyDescent="0.35"/>
  <cols>
    <col min="1" max="1" width="7.81640625" bestFit="1" customWidth="1"/>
    <col min="2" max="2" width="18.08984375" style="1" customWidth="1"/>
    <col min="3" max="3" width="44.81640625" style="9" customWidth="1"/>
    <col min="4" max="4" width="50.81640625" style="9" customWidth="1"/>
    <col min="5" max="5" width="80.81640625" style="9" customWidth="1"/>
    <col min="6" max="6" width="21.1796875" style="9" customWidth="1"/>
    <col min="7" max="7" width="80.81640625" style="9" customWidth="1"/>
    <col min="8" max="8" width="23.6328125" style="9" customWidth="1"/>
    <col min="9" max="9" width="15.90625" style="11" customWidth="1"/>
    <col min="10" max="10" width="18" style="11" customWidth="1"/>
    <col min="11" max="11" width="17.90625" style="11" customWidth="1"/>
    <col min="12" max="12" width="31.6328125" style="3" customWidth="1"/>
    <col min="13" max="13" width="29.81640625" style="3" customWidth="1"/>
    <col min="14" max="14" width="13.81640625" style="3" customWidth="1"/>
    <col min="15" max="15" width="25.26953125" style="2" customWidth="1"/>
    <col min="16" max="16" width="22.1796875" style="2" bestFit="1" customWidth="1"/>
    <col min="17" max="17" width="17.08984375" style="2" customWidth="1"/>
    <col min="18" max="18" width="20.453125" style="11" customWidth="1"/>
    <col min="19" max="19" width="20.36328125" style="11" customWidth="1"/>
    <col min="20" max="20" width="6.81640625" bestFit="1" customWidth="1"/>
    <col min="21" max="21" width="8.1796875" bestFit="1" customWidth="1"/>
    <col min="22" max="22" width="11.81640625" customWidth="1"/>
    <col min="23" max="23" width="13.1796875" customWidth="1"/>
    <col min="24" max="24" width="15.1796875" customWidth="1"/>
    <col min="25" max="25" width="18.36328125" customWidth="1"/>
    <col min="26" max="26" width="16.81640625" customWidth="1"/>
    <col min="27" max="27" width="27" customWidth="1"/>
    <col min="30" max="30" width="8.7265625" style="2"/>
  </cols>
  <sheetData>
    <row r="1" spans="1:32" x14ac:dyDescent="0.35">
      <c r="A1" s="4" t="s">
        <v>0</v>
      </c>
      <c r="B1" s="5" t="s">
        <v>1</v>
      </c>
      <c r="C1" s="8" t="s">
        <v>7434</v>
      </c>
      <c r="D1" s="8" t="s">
        <v>4922</v>
      </c>
      <c r="E1" s="8" t="s">
        <v>5683</v>
      </c>
      <c r="F1" s="8" t="s">
        <v>4905</v>
      </c>
      <c r="G1" s="8" t="s">
        <v>7432</v>
      </c>
      <c r="H1" s="8" t="s">
        <v>7430</v>
      </c>
      <c r="I1" s="10" t="s">
        <v>2</v>
      </c>
      <c r="J1" s="10" t="s">
        <v>3</v>
      </c>
      <c r="K1" s="10" t="s">
        <v>4</v>
      </c>
      <c r="L1" s="6" t="s">
        <v>5</v>
      </c>
      <c r="M1" s="6" t="s">
        <v>6</v>
      </c>
      <c r="N1" s="6" t="s">
        <v>7</v>
      </c>
      <c r="O1" s="7" t="s">
        <v>8</v>
      </c>
      <c r="P1" s="7" t="s">
        <v>9</v>
      </c>
      <c r="Q1" s="7" t="s">
        <v>10</v>
      </c>
      <c r="R1" s="10" t="s">
        <v>11</v>
      </c>
      <c r="S1" s="10" t="s">
        <v>12</v>
      </c>
      <c r="T1" s="4" t="s">
        <v>13</v>
      </c>
      <c r="U1" s="4" t="s">
        <v>14</v>
      </c>
      <c r="V1" s="4" t="s">
        <v>4817</v>
      </c>
      <c r="W1" s="4" t="s">
        <v>4818</v>
      </c>
      <c r="X1" s="4" t="s">
        <v>4819</v>
      </c>
      <c r="Y1" s="4" t="s">
        <v>4820</v>
      </c>
      <c r="Z1" s="4" t="s">
        <v>4821</v>
      </c>
      <c r="AA1" s="4" t="s">
        <v>4822</v>
      </c>
    </row>
    <row r="2" spans="1:32" x14ac:dyDescent="0.35">
      <c r="A2">
        <v>1</v>
      </c>
      <c r="B2" s="1">
        <v>43839</v>
      </c>
      <c r="C2" s="9" t="s">
        <v>7435</v>
      </c>
      <c r="D2" s="9" t="s">
        <v>4923</v>
      </c>
      <c r="E2" s="9" t="s">
        <v>5684</v>
      </c>
      <c r="F2" s="9" t="s">
        <v>15</v>
      </c>
      <c r="G2" s="9" t="s">
        <v>16</v>
      </c>
      <c r="H2" s="9" t="s">
        <v>17</v>
      </c>
      <c r="I2" s="11">
        <v>200000000</v>
      </c>
      <c r="J2" s="11">
        <v>464469</v>
      </c>
      <c r="K2" s="11">
        <v>7436877</v>
      </c>
      <c r="L2" s="3">
        <v>20</v>
      </c>
      <c r="M2" s="3">
        <v>673</v>
      </c>
      <c r="N2" s="3">
        <v>1018455</v>
      </c>
      <c r="O2" s="2">
        <v>0.14199999999999999</v>
      </c>
      <c r="P2" s="2">
        <v>0.248</v>
      </c>
      <c r="Q2" s="2">
        <v>8.5000000000000006E-2</v>
      </c>
      <c r="R2" s="11">
        <v>74991072</v>
      </c>
      <c r="S2" s="11">
        <v>1976653</v>
      </c>
      <c r="T2">
        <v>2020</v>
      </c>
      <c r="U2">
        <v>1</v>
      </c>
      <c r="V2">
        <f t="shared" ref="V2:V65" si="0">_xlfn.PERCENTILE.INC(I2:I3045,0.25)</f>
        <v>1000000</v>
      </c>
      <c r="W2">
        <f t="shared" ref="W2:W65" si="1">_xlfn.PERCENTILE.INC(I2:I3045,0.75)</f>
        <v>18429897</v>
      </c>
      <c r="X2">
        <f t="shared" ref="X2:X65" si="2">W2-V2</f>
        <v>17429897</v>
      </c>
      <c r="Y2">
        <f t="shared" ref="Y2:Y65" si="3">V2-1.5*X2</f>
        <v>-25144845.5</v>
      </c>
      <c r="Z2">
        <f t="shared" ref="Z2:Z65" si="4">W2+1.5*X2</f>
        <v>44574742.5</v>
      </c>
      <c r="AA2" t="str">
        <f t="shared" ref="AA2:AA65" si="5">IF(OR(I2&lt;$Y$2, I2&gt;$Z$2), "Outlier", "Normal")</f>
        <v>Outlier</v>
      </c>
      <c r="AE2" s="2"/>
      <c r="AF2" s="2"/>
    </row>
    <row r="3" spans="1:32" x14ac:dyDescent="0.35">
      <c r="A3">
        <v>2</v>
      </c>
      <c r="B3" s="1">
        <v>43843</v>
      </c>
      <c r="C3" s="9" t="s">
        <v>18</v>
      </c>
      <c r="D3" s="9" t="s">
        <v>4924</v>
      </c>
      <c r="E3" s="9" t="s">
        <v>5685</v>
      </c>
      <c r="F3" s="9" t="s">
        <v>19</v>
      </c>
      <c r="G3" s="9" t="s">
        <v>20</v>
      </c>
      <c r="H3" s="9" t="s">
        <v>21</v>
      </c>
      <c r="I3" s="11">
        <v>8048394</v>
      </c>
      <c r="J3" s="11">
        <v>3874301</v>
      </c>
      <c r="K3" s="11">
        <v>7451543</v>
      </c>
      <c r="L3" s="3">
        <v>383</v>
      </c>
      <c r="M3" s="3">
        <v>2535</v>
      </c>
      <c r="N3" s="3">
        <v>111410</v>
      </c>
      <c r="O3" s="2">
        <v>0.35499999999999998</v>
      </c>
      <c r="P3" s="2">
        <v>0.63100000000000001</v>
      </c>
      <c r="Q3" s="2">
        <v>-0.13900000000000001</v>
      </c>
      <c r="R3" s="11">
        <v>417607907</v>
      </c>
      <c r="S3" s="11">
        <v>1093892</v>
      </c>
      <c r="T3">
        <v>2020</v>
      </c>
      <c r="U3">
        <v>1</v>
      </c>
      <c r="V3">
        <f t="shared" si="0"/>
        <v>1000000</v>
      </c>
      <c r="W3">
        <f t="shared" si="1"/>
        <v>18429897</v>
      </c>
      <c r="X3">
        <f t="shared" si="2"/>
        <v>17429897</v>
      </c>
      <c r="Y3">
        <f t="shared" si="3"/>
        <v>-25144845.5</v>
      </c>
      <c r="Z3">
        <f t="shared" si="4"/>
        <v>44574742.5</v>
      </c>
      <c r="AA3" t="str">
        <f t="shared" si="5"/>
        <v>Normal</v>
      </c>
      <c r="AE3" s="2"/>
      <c r="AF3" s="2"/>
    </row>
    <row r="4" spans="1:32" x14ac:dyDescent="0.35">
      <c r="A4">
        <v>3</v>
      </c>
      <c r="B4" s="1">
        <v>43839</v>
      </c>
      <c r="C4" s="9" t="s">
        <v>22</v>
      </c>
      <c r="D4" s="9" t="s">
        <v>4925</v>
      </c>
      <c r="E4" s="9" t="s">
        <v>5686</v>
      </c>
      <c r="F4" s="9" t="s">
        <v>15</v>
      </c>
      <c r="G4" s="9" t="s">
        <v>23</v>
      </c>
      <c r="H4" s="9" t="s">
        <v>24</v>
      </c>
      <c r="I4" s="11">
        <v>18358860</v>
      </c>
      <c r="J4" s="11">
        <v>3279766</v>
      </c>
      <c r="K4" s="11">
        <v>11963396</v>
      </c>
      <c r="L4" s="3">
        <v>405</v>
      </c>
      <c r="M4" s="3">
        <v>1415</v>
      </c>
      <c r="N4" s="3">
        <v>1732165</v>
      </c>
      <c r="O4" s="2">
        <v>-0.13800000000000001</v>
      </c>
      <c r="P4" s="2">
        <v>0.93700000000000006</v>
      </c>
      <c r="Q4" s="2">
        <v>-7.4999999999999997E-2</v>
      </c>
      <c r="R4" s="11">
        <v>265998637</v>
      </c>
      <c r="S4" s="11">
        <v>936106</v>
      </c>
      <c r="T4">
        <v>2020</v>
      </c>
      <c r="U4">
        <v>1</v>
      </c>
      <c r="V4">
        <f t="shared" si="0"/>
        <v>1000000</v>
      </c>
      <c r="W4">
        <f t="shared" si="1"/>
        <v>18429897</v>
      </c>
      <c r="X4">
        <f t="shared" si="2"/>
        <v>17429897</v>
      </c>
      <c r="Y4">
        <f t="shared" si="3"/>
        <v>-25144845.5</v>
      </c>
      <c r="Z4">
        <f t="shared" si="4"/>
        <v>44574742.5</v>
      </c>
      <c r="AA4" t="str">
        <f t="shared" si="5"/>
        <v>Normal</v>
      </c>
      <c r="AE4" s="2"/>
      <c r="AF4" s="2"/>
    </row>
    <row r="5" spans="1:32" x14ac:dyDescent="0.35">
      <c r="A5">
        <v>4</v>
      </c>
      <c r="B5" s="1">
        <v>43832</v>
      </c>
      <c r="C5" s="9" t="s">
        <v>25</v>
      </c>
      <c r="D5" s="9" t="s">
        <v>4926</v>
      </c>
      <c r="E5" s="9" t="s">
        <v>5687</v>
      </c>
      <c r="F5" s="9" t="s">
        <v>27</v>
      </c>
      <c r="G5" s="9" t="s">
        <v>28</v>
      </c>
      <c r="H5" s="9" t="s">
        <v>29</v>
      </c>
      <c r="I5" s="11">
        <v>3000000</v>
      </c>
      <c r="J5" s="11">
        <v>2205614</v>
      </c>
      <c r="K5" s="11">
        <v>9506464</v>
      </c>
      <c r="L5" s="3">
        <v>268</v>
      </c>
      <c r="M5" s="3">
        <v>3854</v>
      </c>
      <c r="N5" s="3">
        <v>1656397</v>
      </c>
      <c r="O5" s="2">
        <v>-8.1000000000000003E-2</v>
      </c>
      <c r="P5" s="2">
        <v>0.75700000000000001</v>
      </c>
      <c r="Q5" s="2">
        <v>0.39</v>
      </c>
      <c r="R5" s="11">
        <v>121949495</v>
      </c>
      <c r="S5" s="11">
        <v>1253589</v>
      </c>
      <c r="T5">
        <v>2020</v>
      </c>
      <c r="U5">
        <v>1</v>
      </c>
      <c r="V5">
        <f t="shared" si="0"/>
        <v>1000000</v>
      </c>
      <c r="W5">
        <f t="shared" si="1"/>
        <v>18429897</v>
      </c>
      <c r="X5">
        <f t="shared" si="2"/>
        <v>17429897</v>
      </c>
      <c r="Y5">
        <f t="shared" si="3"/>
        <v>-25144845.5</v>
      </c>
      <c r="Z5">
        <f t="shared" si="4"/>
        <v>44574742.5</v>
      </c>
      <c r="AA5" t="str">
        <f t="shared" si="5"/>
        <v>Normal</v>
      </c>
      <c r="AE5" s="2"/>
      <c r="AF5" s="2"/>
    </row>
    <row r="6" spans="1:32" x14ac:dyDescent="0.35">
      <c r="A6">
        <v>5</v>
      </c>
      <c r="B6" s="1">
        <v>43832</v>
      </c>
      <c r="C6" s="9" t="s">
        <v>30</v>
      </c>
      <c r="D6" s="9" t="s">
        <v>4927</v>
      </c>
      <c r="E6" s="9" t="s">
        <v>5688</v>
      </c>
      <c r="F6" s="9" t="s">
        <v>31</v>
      </c>
      <c r="G6" s="9" t="s">
        <v>32</v>
      </c>
      <c r="H6" s="9" t="s">
        <v>33</v>
      </c>
      <c r="I6" s="11">
        <v>1800000</v>
      </c>
      <c r="J6" s="11">
        <v>2176415</v>
      </c>
      <c r="K6" s="11">
        <v>6877378</v>
      </c>
      <c r="L6" s="3">
        <v>231</v>
      </c>
      <c r="M6" s="3">
        <v>4380</v>
      </c>
      <c r="N6" s="3">
        <v>312331</v>
      </c>
      <c r="O6" s="2">
        <v>0.6</v>
      </c>
      <c r="P6" s="2">
        <v>0.55700000000000005</v>
      </c>
      <c r="Q6" s="2">
        <v>0.122</v>
      </c>
      <c r="R6" s="11">
        <v>308227903</v>
      </c>
      <c r="S6" s="11">
        <v>1077335</v>
      </c>
      <c r="T6">
        <v>2020</v>
      </c>
      <c r="U6">
        <v>1</v>
      </c>
      <c r="V6">
        <f t="shared" si="0"/>
        <v>1000000</v>
      </c>
      <c r="W6">
        <f t="shared" si="1"/>
        <v>18429897</v>
      </c>
      <c r="X6">
        <f t="shared" si="2"/>
        <v>17429897</v>
      </c>
      <c r="Y6">
        <f t="shared" si="3"/>
        <v>-25144845.5</v>
      </c>
      <c r="Z6">
        <f t="shared" si="4"/>
        <v>44574742.5</v>
      </c>
      <c r="AA6" t="str">
        <f t="shared" si="5"/>
        <v>Normal</v>
      </c>
      <c r="AE6" s="2"/>
      <c r="AF6" s="2"/>
    </row>
    <row r="7" spans="1:32" x14ac:dyDescent="0.35">
      <c r="A7">
        <v>6</v>
      </c>
      <c r="B7" s="1">
        <v>43843</v>
      </c>
      <c r="C7" s="9" t="s">
        <v>34</v>
      </c>
      <c r="D7" s="9" t="s">
        <v>4928</v>
      </c>
      <c r="E7" s="9" t="s">
        <v>5689</v>
      </c>
      <c r="F7" s="9" t="s">
        <v>35</v>
      </c>
      <c r="G7" s="9" t="s">
        <v>36</v>
      </c>
      <c r="H7" s="9" t="s">
        <v>37</v>
      </c>
      <c r="I7" s="11">
        <v>9000000</v>
      </c>
      <c r="J7" s="11">
        <v>4295817</v>
      </c>
      <c r="K7" s="11">
        <v>9834072</v>
      </c>
      <c r="L7" s="3">
        <v>326</v>
      </c>
      <c r="M7" s="3">
        <v>1332</v>
      </c>
      <c r="N7" s="3">
        <v>1217347</v>
      </c>
      <c r="O7" s="2">
        <v>0.105</v>
      </c>
      <c r="P7" s="2">
        <v>0.21199999999999999</v>
      </c>
      <c r="Q7" s="2">
        <v>0.08</v>
      </c>
      <c r="R7" s="11">
        <v>477383342</v>
      </c>
      <c r="S7" s="11">
        <v>860056</v>
      </c>
      <c r="T7">
        <v>2020</v>
      </c>
      <c r="U7">
        <v>1</v>
      </c>
      <c r="V7">
        <f t="shared" si="0"/>
        <v>1000000</v>
      </c>
      <c r="W7">
        <f t="shared" si="1"/>
        <v>18429897</v>
      </c>
      <c r="X7">
        <f t="shared" si="2"/>
        <v>17429897</v>
      </c>
      <c r="Y7">
        <f t="shared" si="3"/>
        <v>-25144845.5</v>
      </c>
      <c r="Z7">
        <f t="shared" si="4"/>
        <v>44574742.5</v>
      </c>
      <c r="AA7" t="str">
        <f t="shared" si="5"/>
        <v>Normal</v>
      </c>
      <c r="AE7" s="2"/>
      <c r="AF7" s="2"/>
    </row>
    <row r="8" spans="1:32" x14ac:dyDescent="0.35">
      <c r="A8">
        <v>7</v>
      </c>
      <c r="B8" s="1">
        <v>43840</v>
      </c>
      <c r="C8" s="9" t="s">
        <v>38</v>
      </c>
      <c r="D8" s="9" t="s">
        <v>4929</v>
      </c>
      <c r="E8" s="9" t="s">
        <v>5690</v>
      </c>
      <c r="F8" s="9" t="s">
        <v>19</v>
      </c>
      <c r="G8" s="9" t="s">
        <v>39</v>
      </c>
      <c r="H8" s="9" t="s">
        <v>17</v>
      </c>
      <c r="I8" s="11">
        <v>150000000</v>
      </c>
      <c r="J8" s="11">
        <v>448009</v>
      </c>
      <c r="K8" s="11">
        <v>10778174</v>
      </c>
      <c r="L8" s="3">
        <v>210</v>
      </c>
      <c r="M8" s="3">
        <v>2785</v>
      </c>
      <c r="N8" s="3">
        <v>195672</v>
      </c>
      <c r="O8" s="2">
        <v>0.129</v>
      </c>
      <c r="P8" s="2">
        <v>0.70900000000000007</v>
      </c>
      <c r="Q8" s="2">
        <v>-0.19399999999999998</v>
      </c>
      <c r="R8" s="11">
        <v>86959804</v>
      </c>
      <c r="S8" s="11">
        <v>1008193.5</v>
      </c>
      <c r="T8">
        <v>2020</v>
      </c>
      <c r="U8">
        <v>1</v>
      </c>
      <c r="V8">
        <f t="shared" si="0"/>
        <v>1000000</v>
      </c>
      <c r="W8">
        <f t="shared" si="1"/>
        <v>18429897</v>
      </c>
      <c r="X8">
        <f t="shared" si="2"/>
        <v>17429897</v>
      </c>
      <c r="Y8">
        <f t="shared" si="3"/>
        <v>-25144845.5</v>
      </c>
      <c r="Z8">
        <f t="shared" si="4"/>
        <v>44574742.5</v>
      </c>
      <c r="AA8" t="str">
        <f t="shared" si="5"/>
        <v>Outlier</v>
      </c>
      <c r="AE8" s="2"/>
      <c r="AF8" s="2"/>
    </row>
    <row r="9" spans="1:32" x14ac:dyDescent="0.35">
      <c r="A9">
        <v>8</v>
      </c>
      <c r="B9" s="1">
        <v>43811</v>
      </c>
      <c r="C9" s="9" t="s">
        <v>40</v>
      </c>
      <c r="D9" s="9" t="s">
        <v>4930</v>
      </c>
      <c r="E9" s="9" t="s">
        <v>5691</v>
      </c>
      <c r="F9" s="9" t="s">
        <v>41</v>
      </c>
      <c r="G9" s="9" t="s">
        <v>42</v>
      </c>
      <c r="H9" s="9" t="s">
        <v>37</v>
      </c>
      <c r="I9" s="11">
        <v>6000000</v>
      </c>
      <c r="J9" s="11">
        <v>3492892</v>
      </c>
      <c r="K9" s="11">
        <v>4874569</v>
      </c>
      <c r="L9" s="3">
        <v>224</v>
      </c>
      <c r="M9" s="3">
        <v>4033</v>
      </c>
      <c r="N9" s="3">
        <v>175306</v>
      </c>
      <c r="O9" s="2">
        <v>-2.8000000000000001E-2</v>
      </c>
      <c r="P9" s="2">
        <v>0.52800000000000002</v>
      </c>
      <c r="Q9" s="2">
        <v>8.8999999999999996E-2</v>
      </c>
      <c r="R9" s="11">
        <v>353840848</v>
      </c>
      <c r="S9" s="11">
        <v>354204</v>
      </c>
      <c r="T9">
        <v>2019</v>
      </c>
      <c r="U9">
        <v>12</v>
      </c>
      <c r="V9">
        <f t="shared" si="0"/>
        <v>1000000</v>
      </c>
      <c r="W9">
        <f t="shared" si="1"/>
        <v>18429897</v>
      </c>
      <c r="X9">
        <f t="shared" si="2"/>
        <v>17429897</v>
      </c>
      <c r="Y9">
        <f t="shared" si="3"/>
        <v>-25144845.5</v>
      </c>
      <c r="Z9">
        <f t="shared" si="4"/>
        <v>44574742.5</v>
      </c>
      <c r="AA9" t="str">
        <f t="shared" si="5"/>
        <v>Normal</v>
      </c>
      <c r="AE9" s="2"/>
      <c r="AF9" s="2"/>
    </row>
    <row r="10" spans="1:32" x14ac:dyDescent="0.35">
      <c r="A10">
        <v>9</v>
      </c>
      <c r="B10" s="1">
        <v>43805</v>
      </c>
      <c r="C10" s="9" t="s">
        <v>43</v>
      </c>
      <c r="D10" s="9" t="s">
        <v>4925</v>
      </c>
      <c r="E10" s="9" t="s">
        <v>4968</v>
      </c>
      <c r="F10" s="9" t="s">
        <v>19</v>
      </c>
      <c r="G10" s="9" t="s">
        <v>44</v>
      </c>
      <c r="H10" s="9" t="s">
        <v>45</v>
      </c>
      <c r="I10" s="11">
        <v>70000000</v>
      </c>
      <c r="J10" s="11">
        <v>1023318</v>
      </c>
      <c r="K10" s="11">
        <v>12800290</v>
      </c>
      <c r="L10" s="3">
        <v>152</v>
      </c>
      <c r="M10" s="3">
        <v>802</v>
      </c>
      <c r="N10" s="3">
        <v>1264744</v>
      </c>
      <c r="O10" s="2">
        <v>-7.8E-2</v>
      </c>
      <c r="P10" s="2">
        <v>0.439</v>
      </c>
      <c r="Q10" s="2">
        <v>6.2E-2</v>
      </c>
      <c r="R10" s="11">
        <v>210760819</v>
      </c>
      <c r="S10" s="11">
        <v>1388496</v>
      </c>
      <c r="T10">
        <v>2019</v>
      </c>
      <c r="U10">
        <v>12</v>
      </c>
      <c r="V10">
        <f t="shared" si="0"/>
        <v>1000000</v>
      </c>
      <c r="W10">
        <f t="shared" si="1"/>
        <v>18429897</v>
      </c>
      <c r="X10">
        <f t="shared" si="2"/>
        <v>17429897</v>
      </c>
      <c r="Y10">
        <f t="shared" si="3"/>
        <v>-25144845.5</v>
      </c>
      <c r="Z10">
        <f t="shared" si="4"/>
        <v>44574742.5</v>
      </c>
      <c r="AA10" t="str">
        <f t="shared" si="5"/>
        <v>Outlier</v>
      </c>
      <c r="AE10" s="2"/>
      <c r="AF10" s="2"/>
    </row>
    <row r="11" spans="1:32" x14ac:dyDescent="0.35">
      <c r="A11">
        <v>10</v>
      </c>
      <c r="B11" s="1">
        <v>43802</v>
      </c>
      <c r="C11" s="9" t="s">
        <v>46</v>
      </c>
      <c r="D11" s="9" t="s">
        <v>4931</v>
      </c>
      <c r="E11" s="9" t="s">
        <v>5692</v>
      </c>
      <c r="F11" s="9" t="s">
        <v>15</v>
      </c>
      <c r="G11" s="9" t="s">
        <v>47</v>
      </c>
      <c r="H11" s="9" t="s">
        <v>48</v>
      </c>
      <c r="I11" s="11">
        <v>50000000</v>
      </c>
      <c r="J11" s="11">
        <v>489003</v>
      </c>
      <c r="K11" s="11">
        <v>6351915</v>
      </c>
      <c r="L11" s="3">
        <v>98</v>
      </c>
      <c r="M11" s="3">
        <v>104</v>
      </c>
      <c r="N11" s="3">
        <v>1593965</v>
      </c>
      <c r="O11" s="2">
        <v>-1.1000000000000001E-2</v>
      </c>
      <c r="P11" s="2">
        <v>0.65200000000000002</v>
      </c>
      <c r="Q11" s="2">
        <v>-0.14499999999999999</v>
      </c>
      <c r="R11" s="11">
        <v>114998529</v>
      </c>
      <c r="S11" s="11">
        <v>1810172</v>
      </c>
      <c r="T11">
        <v>2019</v>
      </c>
      <c r="U11">
        <v>12</v>
      </c>
      <c r="V11">
        <f t="shared" si="0"/>
        <v>1000000</v>
      </c>
      <c r="W11">
        <f t="shared" si="1"/>
        <v>18429897</v>
      </c>
      <c r="X11">
        <f t="shared" si="2"/>
        <v>17429897</v>
      </c>
      <c r="Y11">
        <f t="shared" si="3"/>
        <v>-25144845.5</v>
      </c>
      <c r="Z11">
        <f t="shared" si="4"/>
        <v>44574742.5</v>
      </c>
      <c r="AA11" t="str">
        <f t="shared" si="5"/>
        <v>Outlier</v>
      </c>
      <c r="AE11" s="2"/>
      <c r="AF11" s="2"/>
    </row>
    <row r="12" spans="1:32" x14ac:dyDescent="0.35">
      <c r="A12">
        <v>11</v>
      </c>
      <c r="B12" s="1">
        <v>43812</v>
      </c>
      <c r="C12" s="9" t="s">
        <v>49</v>
      </c>
      <c r="D12" s="9" t="s">
        <v>4930</v>
      </c>
      <c r="E12" s="9" t="s">
        <v>5693</v>
      </c>
      <c r="F12" s="9" t="s">
        <v>19</v>
      </c>
      <c r="G12" s="9" t="s">
        <v>50</v>
      </c>
      <c r="H12" s="9" t="s">
        <v>51</v>
      </c>
      <c r="I12" s="11">
        <v>20000000</v>
      </c>
      <c r="J12" s="11">
        <v>2641865</v>
      </c>
      <c r="K12" s="11">
        <v>5428100</v>
      </c>
      <c r="L12" s="3">
        <v>103</v>
      </c>
      <c r="M12" s="3">
        <v>3709</v>
      </c>
      <c r="N12" s="3">
        <v>1689298</v>
      </c>
      <c r="O12" s="2">
        <v>1.6E-2</v>
      </c>
      <c r="P12" s="2">
        <v>0.37</v>
      </c>
      <c r="Q12" s="2">
        <v>0.371</v>
      </c>
      <c r="R12" s="11">
        <v>144441510</v>
      </c>
      <c r="S12" s="11">
        <v>1355935</v>
      </c>
      <c r="T12">
        <v>2019</v>
      </c>
      <c r="U12">
        <v>12</v>
      </c>
      <c r="V12">
        <f t="shared" si="0"/>
        <v>1000000</v>
      </c>
      <c r="W12">
        <f t="shared" si="1"/>
        <v>18429897</v>
      </c>
      <c r="X12">
        <f t="shared" si="2"/>
        <v>17429897</v>
      </c>
      <c r="Y12">
        <f t="shared" si="3"/>
        <v>-25144845.5</v>
      </c>
      <c r="Z12">
        <f t="shared" si="4"/>
        <v>44574742.5</v>
      </c>
      <c r="AA12" t="str">
        <f t="shared" si="5"/>
        <v>Normal</v>
      </c>
      <c r="AE12" s="2"/>
      <c r="AF12" s="2"/>
    </row>
    <row r="13" spans="1:32" x14ac:dyDescent="0.35">
      <c r="A13">
        <v>12</v>
      </c>
      <c r="B13" s="1">
        <v>43816</v>
      </c>
      <c r="C13" s="9" t="s">
        <v>52</v>
      </c>
      <c r="D13" s="9" t="s">
        <v>4932</v>
      </c>
      <c r="E13" s="9" t="s">
        <v>5694</v>
      </c>
      <c r="F13" s="9" t="s">
        <v>15</v>
      </c>
      <c r="G13" s="9" t="s">
        <v>53</v>
      </c>
      <c r="H13" s="9" t="s">
        <v>21</v>
      </c>
      <c r="I13" s="11">
        <v>12000000</v>
      </c>
      <c r="J13" s="11">
        <v>4878599</v>
      </c>
      <c r="K13" s="11">
        <v>8425952</v>
      </c>
      <c r="L13" s="3">
        <v>329</v>
      </c>
      <c r="M13" s="3">
        <v>3773</v>
      </c>
      <c r="N13" s="3">
        <v>663384</v>
      </c>
      <c r="O13" s="2">
        <v>6.2E-2</v>
      </c>
      <c r="P13" s="2">
        <v>0.52200000000000002</v>
      </c>
      <c r="Q13" s="2">
        <v>0.35899999999999999</v>
      </c>
      <c r="R13" s="11">
        <v>208428771</v>
      </c>
      <c r="S13" s="11">
        <v>304931</v>
      </c>
      <c r="T13">
        <v>2019</v>
      </c>
      <c r="U13">
        <v>12</v>
      </c>
      <c r="V13">
        <f t="shared" si="0"/>
        <v>1000000</v>
      </c>
      <c r="W13">
        <f t="shared" si="1"/>
        <v>18429897</v>
      </c>
      <c r="X13">
        <f t="shared" si="2"/>
        <v>17429897</v>
      </c>
      <c r="Y13">
        <f t="shared" si="3"/>
        <v>-25144845.5</v>
      </c>
      <c r="Z13">
        <f t="shared" si="4"/>
        <v>44574742.5</v>
      </c>
      <c r="AA13" t="str">
        <f t="shared" si="5"/>
        <v>Normal</v>
      </c>
      <c r="AE13" s="2"/>
      <c r="AF13" s="2"/>
    </row>
    <row r="14" spans="1:32" x14ac:dyDescent="0.35">
      <c r="A14">
        <v>13</v>
      </c>
      <c r="B14" s="1">
        <v>43815</v>
      </c>
      <c r="C14" s="9" t="s">
        <v>54</v>
      </c>
      <c r="D14" s="9" t="s">
        <v>4925</v>
      </c>
      <c r="E14" s="9" t="s">
        <v>5695</v>
      </c>
      <c r="F14" s="9" t="s">
        <v>15</v>
      </c>
      <c r="G14" s="9" t="s">
        <v>55</v>
      </c>
      <c r="H14" s="9" t="s">
        <v>56</v>
      </c>
      <c r="I14" s="11">
        <v>30000000</v>
      </c>
      <c r="J14" s="11">
        <v>3684046</v>
      </c>
      <c r="K14" s="11">
        <v>2155354</v>
      </c>
      <c r="L14" s="3">
        <v>416</v>
      </c>
      <c r="M14" s="3">
        <v>828</v>
      </c>
      <c r="N14" s="3">
        <v>1846210</v>
      </c>
      <c r="O14" s="2">
        <v>0.108</v>
      </c>
      <c r="P14" s="2">
        <v>1.1259999999999999</v>
      </c>
      <c r="Q14" s="2">
        <v>-9.4E-2</v>
      </c>
      <c r="R14" s="11">
        <v>313748187</v>
      </c>
      <c r="S14" s="11">
        <v>294360</v>
      </c>
      <c r="T14">
        <v>2019</v>
      </c>
      <c r="U14">
        <v>12</v>
      </c>
      <c r="V14">
        <f t="shared" si="0"/>
        <v>1000000</v>
      </c>
      <c r="W14">
        <f t="shared" si="1"/>
        <v>18429897</v>
      </c>
      <c r="X14">
        <f t="shared" si="2"/>
        <v>17429897</v>
      </c>
      <c r="Y14">
        <f t="shared" si="3"/>
        <v>-25144845.5</v>
      </c>
      <c r="Z14">
        <f t="shared" si="4"/>
        <v>44574742.5</v>
      </c>
      <c r="AA14" t="str">
        <f t="shared" si="5"/>
        <v>Normal</v>
      </c>
      <c r="AE14" s="2"/>
      <c r="AF14" s="2"/>
    </row>
    <row r="15" spans="1:32" x14ac:dyDescent="0.35">
      <c r="A15">
        <v>14</v>
      </c>
      <c r="B15" s="1">
        <v>43815</v>
      </c>
      <c r="C15" s="9" t="s">
        <v>57</v>
      </c>
      <c r="D15" s="9" t="s">
        <v>4933</v>
      </c>
      <c r="E15" s="9" t="s">
        <v>5696</v>
      </c>
      <c r="F15" s="9" t="s">
        <v>31</v>
      </c>
      <c r="G15" s="9" t="s">
        <v>58</v>
      </c>
      <c r="H15" s="9" t="s">
        <v>59</v>
      </c>
      <c r="I15" s="11">
        <v>5900000</v>
      </c>
      <c r="J15" s="11">
        <v>3810475</v>
      </c>
      <c r="K15" s="11">
        <v>10153449</v>
      </c>
      <c r="L15" s="3">
        <v>214</v>
      </c>
      <c r="M15" s="3">
        <v>3005</v>
      </c>
      <c r="N15" s="3">
        <v>1079467</v>
      </c>
      <c r="O15" s="2">
        <v>0.20799999999999999</v>
      </c>
      <c r="P15" s="2">
        <v>0.81099999999999994</v>
      </c>
      <c r="Q15" s="2">
        <v>0.19899999999999998</v>
      </c>
      <c r="R15" s="11">
        <v>299133065</v>
      </c>
      <c r="S15" s="11">
        <v>819239</v>
      </c>
      <c r="T15">
        <v>2019</v>
      </c>
      <c r="U15">
        <v>12</v>
      </c>
      <c r="V15">
        <f t="shared" si="0"/>
        <v>1000000</v>
      </c>
      <c r="W15">
        <f t="shared" si="1"/>
        <v>18429897</v>
      </c>
      <c r="X15">
        <f t="shared" si="2"/>
        <v>17429897</v>
      </c>
      <c r="Y15">
        <f t="shared" si="3"/>
        <v>-25144845.5</v>
      </c>
      <c r="Z15">
        <f t="shared" si="4"/>
        <v>44574742.5</v>
      </c>
      <c r="AA15" t="str">
        <f t="shared" si="5"/>
        <v>Normal</v>
      </c>
      <c r="AE15" s="2"/>
      <c r="AF15" s="2"/>
    </row>
    <row r="16" spans="1:32" x14ac:dyDescent="0.35">
      <c r="A16">
        <v>15</v>
      </c>
      <c r="B16" s="1">
        <v>43813</v>
      </c>
      <c r="C16" s="9" t="s">
        <v>60</v>
      </c>
      <c r="D16" s="9" t="s">
        <v>4934</v>
      </c>
      <c r="E16" s="9" t="s">
        <v>5697</v>
      </c>
      <c r="F16" s="9" t="s">
        <v>15</v>
      </c>
      <c r="G16" s="9" t="s">
        <v>61</v>
      </c>
      <c r="H16" s="9" t="s">
        <v>33</v>
      </c>
      <c r="I16" s="11">
        <v>2000000</v>
      </c>
      <c r="J16" s="11">
        <v>3593036</v>
      </c>
      <c r="K16" s="11">
        <v>10153449</v>
      </c>
      <c r="L16" s="3">
        <v>52</v>
      </c>
      <c r="M16" s="3">
        <v>3615</v>
      </c>
      <c r="N16" s="3">
        <v>799911</v>
      </c>
      <c r="O16" s="2">
        <v>1.6E-2</v>
      </c>
      <c r="P16" s="2">
        <v>1.19</v>
      </c>
      <c r="Q16" s="2">
        <v>-0.36299999999999999</v>
      </c>
      <c r="R16" s="11">
        <v>289637443</v>
      </c>
      <c r="S16" s="11">
        <v>621085</v>
      </c>
      <c r="T16">
        <v>2019</v>
      </c>
      <c r="U16">
        <v>12</v>
      </c>
      <c r="V16">
        <f t="shared" si="0"/>
        <v>1000000</v>
      </c>
      <c r="W16">
        <f t="shared" si="1"/>
        <v>18429897</v>
      </c>
      <c r="X16">
        <f t="shared" si="2"/>
        <v>17429897</v>
      </c>
      <c r="Y16">
        <f t="shared" si="3"/>
        <v>-25144845.5</v>
      </c>
      <c r="Z16">
        <f t="shared" si="4"/>
        <v>44574742.5</v>
      </c>
      <c r="AA16" t="str">
        <f t="shared" si="5"/>
        <v>Normal</v>
      </c>
      <c r="AE16" s="2"/>
      <c r="AF16" s="2"/>
    </row>
    <row r="17" spans="1:32" x14ac:dyDescent="0.35">
      <c r="A17">
        <v>16</v>
      </c>
      <c r="B17" s="1">
        <v>43810</v>
      </c>
      <c r="C17" s="9" t="s">
        <v>62</v>
      </c>
      <c r="D17" s="9" t="s">
        <v>4935</v>
      </c>
      <c r="E17" s="9" t="s">
        <v>5698</v>
      </c>
      <c r="F17" s="9" t="s">
        <v>63</v>
      </c>
      <c r="G17" s="9" t="s">
        <v>64</v>
      </c>
      <c r="H17" s="9" t="s">
        <v>33</v>
      </c>
      <c r="I17" s="11">
        <v>50000000</v>
      </c>
      <c r="J17" s="11">
        <v>3934600</v>
      </c>
      <c r="K17" s="11">
        <v>19120802</v>
      </c>
      <c r="L17" s="3">
        <v>307</v>
      </c>
      <c r="M17" s="3">
        <v>2505.5</v>
      </c>
      <c r="N17" s="3">
        <v>689704</v>
      </c>
      <c r="O17" s="2">
        <v>0.47899999999999998</v>
      </c>
      <c r="P17" s="2">
        <v>0.82799999999999996</v>
      </c>
      <c r="Q17" s="2">
        <v>0.18</v>
      </c>
      <c r="R17" s="11">
        <v>182082580</v>
      </c>
      <c r="S17" s="11">
        <v>448097</v>
      </c>
      <c r="T17">
        <v>2019</v>
      </c>
      <c r="U17">
        <v>12</v>
      </c>
      <c r="V17">
        <f t="shared" si="0"/>
        <v>1000000</v>
      </c>
      <c r="W17">
        <f t="shared" si="1"/>
        <v>18429897</v>
      </c>
      <c r="X17">
        <f t="shared" si="2"/>
        <v>17429897</v>
      </c>
      <c r="Y17">
        <f t="shared" si="3"/>
        <v>-25144845.5</v>
      </c>
      <c r="Z17">
        <f t="shared" si="4"/>
        <v>44574742.5</v>
      </c>
      <c r="AA17" t="str">
        <f t="shared" si="5"/>
        <v>Outlier</v>
      </c>
      <c r="AE17" s="2"/>
      <c r="AF17" s="2"/>
    </row>
    <row r="18" spans="1:32" x14ac:dyDescent="0.35">
      <c r="A18">
        <v>17</v>
      </c>
      <c r="B18" s="1">
        <v>43819</v>
      </c>
      <c r="C18" s="9" t="s">
        <v>65</v>
      </c>
      <c r="D18" s="9" t="s">
        <v>4925</v>
      </c>
      <c r="E18" s="9" t="s">
        <v>5699</v>
      </c>
      <c r="F18" s="9" t="s">
        <v>66</v>
      </c>
      <c r="G18" s="9" t="s">
        <v>67</v>
      </c>
      <c r="H18" s="9" t="s">
        <v>68</v>
      </c>
      <c r="I18" s="11">
        <v>200000000</v>
      </c>
      <c r="J18" s="11">
        <v>2575868</v>
      </c>
      <c r="K18" s="11">
        <v>5743787</v>
      </c>
      <c r="L18" s="3">
        <v>451</v>
      </c>
      <c r="M18" s="3">
        <v>4050</v>
      </c>
      <c r="N18" s="3">
        <v>1469739</v>
      </c>
      <c r="O18" s="2">
        <v>0.28199999999999997</v>
      </c>
      <c r="P18" s="2">
        <v>0.29699999999999999</v>
      </c>
      <c r="Q18" s="2">
        <v>0.29499999999999998</v>
      </c>
      <c r="R18" s="11">
        <v>221667473</v>
      </c>
      <c r="S18" s="11">
        <v>959982</v>
      </c>
      <c r="T18">
        <v>2019</v>
      </c>
      <c r="U18">
        <v>12</v>
      </c>
      <c r="V18">
        <f t="shared" si="0"/>
        <v>1000000</v>
      </c>
      <c r="W18">
        <f t="shared" si="1"/>
        <v>18429897</v>
      </c>
      <c r="X18">
        <f t="shared" si="2"/>
        <v>17429897</v>
      </c>
      <c r="Y18">
        <f t="shared" si="3"/>
        <v>-25144845.5</v>
      </c>
      <c r="Z18">
        <f t="shared" si="4"/>
        <v>44574742.5</v>
      </c>
      <c r="AA18" t="str">
        <f t="shared" si="5"/>
        <v>Outlier</v>
      </c>
      <c r="AE18" s="2"/>
      <c r="AF18" s="2"/>
    </row>
    <row r="19" spans="1:32" x14ac:dyDescent="0.35">
      <c r="A19">
        <v>18</v>
      </c>
      <c r="B19" s="1">
        <v>43782</v>
      </c>
      <c r="C19" s="9" t="s">
        <v>69</v>
      </c>
      <c r="D19" s="9" t="s">
        <v>4936</v>
      </c>
      <c r="E19" s="9" t="s">
        <v>5700</v>
      </c>
      <c r="F19" s="9" t="s">
        <v>70</v>
      </c>
      <c r="G19" s="9" t="s">
        <v>71</v>
      </c>
      <c r="H19" s="9" t="s">
        <v>72</v>
      </c>
      <c r="I19" s="11">
        <v>150000000</v>
      </c>
      <c r="J19" s="11">
        <v>658005</v>
      </c>
      <c r="K19" s="11">
        <v>10153449</v>
      </c>
      <c r="L19" s="3">
        <v>266</v>
      </c>
      <c r="M19" s="3">
        <v>1138</v>
      </c>
      <c r="N19" s="3">
        <v>741177</v>
      </c>
      <c r="O19" s="2">
        <v>0.26700000000000002</v>
      </c>
      <c r="P19" s="2">
        <v>0.86599999999999999</v>
      </c>
      <c r="Q19" s="2">
        <v>0.36749999999999999</v>
      </c>
      <c r="R19" s="11">
        <v>457428015</v>
      </c>
      <c r="S19" s="11">
        <v>986701</v>
      </c>
      <c r="T19">
        <v>2019</v>
      </c>
      <c r="U19">
        <v>11</v>
      </c>
      <c r="V19">
        <f t="shared" si="0"/>
        <v>1000000</v>
      </c>
      <c r="W19">
        <f t="shared" si="1"/>
        <v>18429897</v>
      </c>
      <c r="X19">
        <f t="shared" si="2"/>
        <v>17429897</v>
      </c>
      <c r="Y19">
        <f t="shared" si="3"/>
        <v>-25144845.5</v>
      </c>
      <c r="Z19">
        <f t="shared" si="4"/>
        <v>44574742.5</v>
      </c>
      <c r="AA19" t="str">
        <f t="shared" si="5"/>
        <v>Outlier</v>
      </c>
      <c r="AE19" s="2"/>
      <c r="AF19" s="2"/>
    </row>
    <row r="20" spans="1:32" x14ac:dyDescent="0.35">
      <c r="A20">
        <v>19</v>
      </c>
      <c r="B20" s="1">
        <v>43783</v>
      </c>
      <c r="C20" s="9" t="s">
        <v>73</v>
      </c>
      <c r="D20" s="9" t="s">
        <v>4937</v>
      </c>
      <c r="E20" s="9" t="s">
        <v>5701</v>
      </c>
      <c r="F20" s="9" t="s">
        <v>19</v>
      </c>
      <c r="G20" s="9" t="s">
        <v>74</v>
      </c>
      <c r="H20" s="9" t="s">
        <v>24</v>
      </c>
      <c r="I20" s="11">
        <v>486000</v>
      </c>
      <c r="J20" s="11">
        <v>4201946</v>
      </c>
      <c r="K20" s="11">
        <v>10120711</v>
      </c>
      <c r="L20" s="3">
        <v>18</v>
      </c>
      <c r="M20" s="3">
        <v>2898</v>
      </c>
      <c r="N20" s="3">
        <v>781633</v>
      </c>
      <c r="O20" s="2">
        <v>0.193</v>
      </c>
      <c r="P20" s="2">
        <v>1.0659999999999998</v>
      </c>
      <c r="Q20" s="2">
        <v>0.104</v>
      </c>
      <c r="R20" s="11">
        <v>159243596</v>
      </c>
      <c r="S20" s="11">
        <v>1823802</v>
      </c>
      <c r="T20">
        <v>2019</v>
      </c>
      <c r="U20">
        <v>11</v>
      </c>
      <c r="V20">
        <f t="shared" si="0"/>
        <v>1000000</v>
      </c>
      <c r="W20">
        <f t="shared" si="1"/>
        <v>18429897</v>
      </c>
      <c r="X20">
        <f t="shared" si="2"/>
        <v>17429897</v>
      </c>
      <c r="Y20">
        <f t="shared" si="3"/>
        <v>-25144845.5</v>
      </c>
      <c r="Z20">
        <f t="shared" si="4"/>
        <v>44574742.5</v>
      </c>
      <c r="AA20" t="str">
        <f t="shared" si="5"/>
        <v>Normal</v>
      </c>
      <c r="AE20" s="2"/>
      <c r="AF20" s="2"/>
    </row>
    <row r="21" spans="1:32" x14ac:dyDescent="0.35">
      <c r="A21">
        <v>20</v>
      </c>
      <c r="B21" s="1">
        <v>43782</v>
      </c>
      <c r="C21" s="9" t="s">
        <v>75</v>
      </c>
      <c r="D21" s="9" t="s">
        <v>4938</v>
      </c>
      <c r="E21" s="9" t="s">
        <v>5702</v>
      </c>
      <c r="F21" s="9" t="s">
        <v>19</v>
      </c>
      <c r="G21" s="9" t="s">
        <v>76</v>
      </c>
      <c r="H21" s="9" t="s">
        <v>48</v>
      </c>
      <c r="I21" s="11">
        <v>1500000</v>
      </c>
      <c r="J21" s="11">
        <v>2262921</v>
      </c>
      <c r="K21" s="11">
        <v>14650161</v>
      </c>
      <c r="L21" s="3">
        <v>45</v>
      </c>
      <c r="M21" s="3">
        <v>3679</v>
      </c>
      <c r="N21" s="3">
        <v>775682</v>
      </c>
      <c r="O21" s="2">
        <v>0.22699999999999998</v>
      </c>
      <c r="P21" s="2">
        <v>1.1129999999999999E-2</v>
      </c>
      <c r="Q21" s="2">
        <v>0.13200000000000001</v>
      </c>
      <c r="R21" s="11">
        <v>373358246</v>
      </c>
      <c r="S21" s="11">
        <v>1564532</v>
      </c>
      <c r="T21">
        <v>2019</v>
      </c>
      <c r="U21">
        <v>11</v>
      </c>
      <c r="V21">
        <f t="shared" si="0"/>
        <v>1000000</v>
      </c>
      <c r="W21">
        <f t="shared" si="1"/>
        <v>18429897</v>
      </c>
      <c r="X21">
        <f t="shared" si="2"/>
        <v>17429897</v>
      </c>
      <c r="Y21">
        <f t="shared" si="3"/>
        <v>-25144845.5</v>
      </c>
      <c r="Z21">
        <f t="shared" si="4"/>
        <v>44574742.5</v>
      </c>
      <c r="AA21" t="str">
        <f t="shared" si="5"/>
        <v>Normal</v>
      </c>
      <c r="AE21" s="2"/>
      <c r="AF21" s="2"/>
    </row>
    <row r="22" spans="1:32" x14ac:dyDescent="0.35">
      <c r="A22">
        <v>21</v>
      </c>
      <c r="B22" s="1">
        <v>43786</v>
      </c>
      <c r="C22" s="9" t="s">
        <v>77</v>
      </c>
      <c r="D22" s="9" t="s">
        <v>4939</v>
      </c>
      <c r="E22" s="9" t="s">
        <v>5703</v>
      </c>
      <c r="F22" s="9" t="s">
        <v>19</v>
      </c>
      <c r="G22" s="9" t="s">
        <v>78</v>
      </c>
      <c r="H22" s="9" t="s">
        <v>79</v>
      </c>
      <c r="I22" s="11">
        <v>18429897</v>
      </c>
      <c r="J22" s="11">
        <v>2511752</v>
      </c>
      <c r="K22" s="11">
        <v>12534488</v>
      </c>
      <c r="L22" s="3">
        <v>263</v>
      </c>
      <c r="M22" s="3">
        <v>1391</v>
      </c>
      <c r="N22" s="3">
        <v>637818</v>
      </c>
      <c r="O22" s="2">
        <v>7.5999999999999998E-2</v>
      </c>
      <c r="P22" s="2">
        <v>0.755</v>
      </c>
      <c r="Q22" s="2">
        <v>0.82200000000000006</v>
      </c>
      <c r="R22" s="11">
        <v>278190336</v>
      </c>
      <c r="S22" s="11">
        <v>333797</v>
      </c>
      <c r="T22">
        <v>2019</v>
      </c>
      <c r="U22">
        <v>11</v>
      </c>
      <c r="V22">
        <f t="shared" si="0"/>
        <v>1000000</v>
      </c>
      <c r="W22">
        <f t="shared" si="1"/>
        <v>18429897</v>
      </c>
      <c r="X22">
        <f t="shared" si="2"/>
        <v>17429897</v>
      </c>
      <c r="Y22">
        <f t="shared" si="3"/>
        <v>-25144845.5</v>
      </c>
      <c r="Z22">
        <f t="shared" si="4"/>
        <v>44574742.5</v>
      </c>
      <c r="AA22" t="str">
        <f t="shared" si="5"/>
        <v>Normal</v>
      </c>
      <c r="AE22" s="2"/>
      <c r="AF22" s="2"/>
    </row>
    <row r="23" spans="1:32" x14ac:dyDescent="0.35">
      <c r="A23">
        <v>22</v>
      </c>
      <c r="B23" s="1">
        <v>43787</v>
      </c>
      <c r="C23" s="9" t="s">
        <v>52</v>
      </c>
      <c r="D23" s="9" t="s">
        <v>4937</v>
      </c>
      <c r="E23" s="9" t="s">
        <v>5704</v>
      </c>
      <c r="F23" s="9" t="s">
        <v>19</v>
      </c>
      <c r="G23" s="9" t="s">
        <v>80</v>
      </c>
      <c r="H23" s="9" t="s">
        <v>24</v>
      </c>
      <c r="I23" s="11">
        <v>12000000</v>
      </c>
      <c r="J23" s="11">
        <v>1866574</v>
      </c>
      <c r="K23" s="11">
        <v>16159321</v>
      </c>
      <c r="L23" s="3">
        <v>254</v>
      </c>
      <c r="M23" s="3">
        <v>855</v>
      </c>
      <c r="N23" s="3">
        <v>795099</v>
      </c>
      <c r="O23" s="2">
        <v>0.14000000000000001</v>
      </c>
      <c r="P23" s="2">
        <v>0.32</v>
      </c>
      <c r="Q23" s="2">
        <v>0.745</v>
      </c>
      <c r="R23" s="11">
        <v>92906744</v>
      </c>
      <c r="S23" s="11">
        <v>1158880</v>
      </c>
      <c r="T23">
        <v>2019</v>
      </c>
      <c r="U23">
        <v>11</v>
      </c>
      <c r="V23">
        <f t="shared" si="0"/>
        <v>1000000</v>
      </c>
      <c r="W23">
        <f t="shared" si="1"/>
        <v>18429897</v>
      </c>
      <c r="X23">
        <f t="shared" si="2"/>
        <v>17429897</v>
      </c>
      <c r="Y23">
        <f t="shared" si="3"/>
        <v>-25144845.5</v>
      </c>
      <c r="Z23">
        <f t="shared" si="4"/>
        <v>44574742.5</v>
      </c>
      <c r="AA23" t="str">
        <f t="shared" si="5"/>
        <v>Normal</v>
      </c>
      <c r="AE23" s="2"/>
      <c r="AF23" s="2"/>
    </row>
    <row r="24" spans="1:32" x14ac:dyDescent="0.35">
      <c r="A24">
        <v>23</v>
      </c>
      <c r="B24" s="1">
        <v>43784</v>
      </c>
      <c r="C24" s="9" t="s">
        <v>81</v>
      </c>
      <c r="D24" s="9" t="s">
        <v>4940</v>
      </c>
      <c r="E24" s="9" t="s">
        <v>5691</v>
      </c>
      <c r="F24" s="9" t="s">
        <v>15</v>
      </c>
      <c r="G24" s="9" t="s">
        <v>82</v>
      </c>
      <c r="H24" s="9" t="s">
        <v>59</v>
      </c>
      <c r="I24" s="11">
        <v>26000000</v>
      </c>
      <c r="J24" s="11">
        <v>2531926</v>
      </c>
      <c r="K24" s="11">
        <v>17027709</v>
      </c>
      <c r="L24" s="3">
        <v>33</v>
      </c>
      <c r="M24" s="3">
        <v>2214</v>
      </c>
      <c r="N24" s="3">
        <v>48522</v>
      </c>
      <c r="O24" s="2">
        <v>0.504</v>
      </c>
      <c r="P24" s="2">
        <v>0.84299999999999997</v>
      </c>
      <c r="Q24" s="2">
        <v>0.18</v>
      </c>
      <c r="R24" s="11">
        <v>44942704</v>
      </c>
      <c r="S24" s="11">
        <v>154509</v>
      </c>
      <c r="T24">
        <v>2019</v>
      </c>
      <c r="U24">
        <v>11</v>
      </c>
      <c r="V24">
        <f t="shared" si="0"/>
        <v>1000000</v>
      </c>
      <c r="W24">
        <f t="shared" si="1"/>
        <v>18429897</v>
      </c>
      <c r="X24">
        <f t="shared" si="2"/>
        <v>17429897</v>
      </c>
      <c r="Y24">
        <f t="shared" si="3"/>
        <v>-25144845.5</v>
      </c>
      <c r="Z24">
        <f t="shared" si="4"/>
        <v>44574742.5</v>
      </c>
      <c r="AA24" t="str">
        <f t="shared" si="5"/>
        <v>Normal</v>
      </c>
      <c r="AE24" s="2"/>
      <c r="AF24" s="2"/>
    </row>
    <row r="25" spans="1:32" x14ac:dyDescent="0.35">
      <c r="A25">
        <v>24</v>
      </c>
      <c r="B25" s="1">
        <v>43789</v>
      </c>
      <c r="C25" s="9" t="s">
        <v>83</v>
      </c>
      <c r="D25" s="9" t="s">
        <v>4926</v>
      </c>
      <c r="E25" s="9" t="s">
        <v>5705</v>
      </c>
      <c r="F25" s="9" t="s">
        <v>19</v>
      </c>
      <c r="G25" s="9" t="s">
        <v>26</v>
      </c>
      <c r="H25" s="9" t="s">
        <v>59</v>
      </c>
      <c r="I25" s="11">
        <v>17411265</v>
      </c>
      <c r="J25" s="11">
        <v>4635289</v>
      </c>
      <c r="K25" s="11">
        <v>2358811</v>
      </c>
      <c r="L25" s="3">
        <v>378</v>
      </c>
      <c r="M25" s="3">
        <v>3611</v>
      </c>
      <c r="N25" s="3">
        <v>1748929</v>
      </c>
      <c r="O25" s="2">
        <v>0.106</v>
      </c>
      <c r="P25" s="2">
        <v>0.34299999999999997</v>
      </c>
      <c r="Q25" s="2">
        <v>-6.6000000000000003E-2</v>
      </c>
      <c r="R25" s="11">
        <v>66663770</v>
      </c>
      <c r="S25" s="11">
        <v>1988408</v>
      </c>
      <c r="T25">
        <v>2019</v>
      </c>
      <c r="U25">
        <v>11</v>
      </c>
      <c r="V25">
        <f t="shared" si="0"/>
        <v>1000000</v>
      </c>
      <c r="W25">
        <f t="shared" si="1"/>
        <v>18429897</v>
      </c>
      <c r="X25">
        <f t="shared" si="2"/>
        <v>17429897</v>
      </c>
      <c r="Y25">
        <f t="shared" si="3"/>
        <v>-25144845.5</v>
      </c>
      <c r="Z25">
        <f t="shared" si="4"/>
        <v>44574742.5</v>
      </c>
      <c r="AA25" t="str">
        <f t="shared" si="5"/>
        <v>Normal</v>
      </c>
      <c r="AE25" s="2"/>
      <c r="AF25" s="2"/>
    </row>
    <row r="26" spans="1:32" x14ac:dyDescent="0.35">
      <c r="A26">
        <v>25</v>
      </c>
      <c r="B26" s="1">
        <v>43781</v>
      </c>
      <c r="C26" s="9" t="s">
        <v>84</v>
      </c>
      <c r="D26" s="9" t="s">
        <v>4941</v>
      </c>
      <c r="E26" s="9" t="s">
        <v>5706</v>
      </c>
      <c r="F26" s="9" t="s">
        <v>41</v>
      </c>
      <c r="G26" s="9" t="s">
        <v>85</v>
      </c>
      <c r="H26" s="9" t="s">
        <v>86</v>
      </c>
      <c r="I26" s="11">
        <v>1300000</v>
      </c>
      <c r="J26" s="11">
        <v>3912205</v>
      </c>
      <c r="K26" s="11">
        <v>7165474</v>
      </c>
      <c r="L26" s="3">
        <v>390</v>
      </c>
      <c r="M26" s="3">
        <v>2663</v>
      </c>
      <c r="N26" s="3">
        <v>500296</v>
      </c>
      <c r="O26" s="2">
        <v>-0.14599999999999999</v>
      </c>
      <c r="P26" s="2">
        <v>0.25600000000000001</v>
      </c>
      <c r="Q26" s="2">
        <v>0.161</v>
      </c>
      <c r="R26" s="11">
        <v>1000000000</v>
      </c>
      <c r="S26" s="11">
        <v>274866</v>
      </c>
      <c r="T26">
        <v>2019</v>
      </c>
      <c r="U26">
        <v>11</v>
      </c>
      <c r="V26">
        <f t="shared" si="0"/>
        <v>1000000</v>
      </c>
      <c r="W26">
        <f t="shared" si="1"/>
        <v>18429897</v>
      </c>
      <c r="X26">
        <f t="shared" si="2"/>
        <v>17429897</v>
      </c>
      <c r="Y26">
        <f t="shared" si="3"/>
        <v>-25144845.5</v>
      </c>
      <c r="Z26">
        <f t="shared" si="4"/>
        <v>44574742.5</v>
      </c>
      <c r="AA26" t="str">
        <f t="shared" si="5"/>
        <v>Normal</v>
      </c>
      <c r="AE26" s="2"/>
      <c r="AF26" s="2"/>
    </row>
    <row r="27" spans="1:32" x14ac:dyDescent="0.35">
      <c r="A27">
        <v>26</v>
      </c>
      <c r="B27" s="1">
        <v>43789</v>
      </c>
      <c r="C27" s="9" t="s">
        <v>87</v>
      </c>
      <c r="D27" s="9" t="s">
        <v>4942</v>
      </c>
      <c r="E27" s="9" t="s">
        <v>5707</v>
      </c>
      <c r="F27" s="9" t="s">
        <v>88</v>
      </c>
      <c r="G27" s="9" t="s">
        <v>89</v>
      </c>
      <c r="H27" s="9" t="s">
        <v>21</v>
      </c>
      <c r="I27" s="11">
        <v>135000000</v>
      </c>
      <c r="J27" s="11">
        <v>3226448</v>
      </c>
      <c r="K27" s="11">
        <v>13097180</v>
      </c>
      <c r="L27" s="3">
        <v>30</v>
      </c>
      <c r="M27" s="3">
        <v>3041</v>
      </c>
      <c r="N27" s="3">
        <v>894690</v>
      </c>
      <c r="O27" s="2">
        <v>0.25900000000000001</v>
      </c>
      <c r="P27" s="2">
        <v>0.41199999999999998</v>
      </c>
      <c r="Q27" s="2">
        <v>0.38200000000000001</v>
      </c>
      <c r="R27" s="11">
        <v>268265358</v>
      </c>
      <c r="S27" s="11">
        <v>1898348</v>
      </c>
      <c r="T27">
        <v>2019</v>
      </c>
      <c r="U27">
        <v>11</v>
      </c>
      <c r="V27">
        <f t="shared" si="0"/>
        <v>1000000</v>
      </c>
      <c r="W27">
        <f t="shared" si="1"/>
        <v>18429897</v>
      </c>
      <c r="X27">
        <f t="shared" si="2"/>
        <v>17429897</v>
      </c>
      <c r="Y27">
        <f t="shared" si="3"/>
        <v>-25144845.5</v>
      </c>
      <c r="Z27">
        <f t="shared" si="4"/>
        <v>44574742.5</v>
      </c>
      <c r="AA27" t="str">
        <f t="shared" si="5"/>
        <v>Outlier</v>
      </c>
      <c r="AE27" s="2"/>
      <c r="AF27" s="2"/>
    </row>
    <row r="28" spans="1:32" x14ac:dyDescent="0.35">
      <c r="A28">
        <v>27</v>
      </c>
      <c r="B28" s="1">
        <v>43780</v>
      </c>
      <c r="C28" s="9" t="s">
        <v>90</v>
      </c>
      <c r="D28" s="9" t="s">
        <v>4943</v>
      </c>
      <c r="E28" s="9" t="s">
        <v>5708</v>
      </c>
      <c r="F28" s="9" t="s">
        <v>91</v>
      </c>
      <c r="G28" s="9" t="s">
        <v>92</v>
      </c>
      <c r="H28" s="9" t="s">
        <v>48</v>
      </c>
      <c r="I28" s="11">
        <v>300000</v>
      </c>
      <c r="J28" s="11">
        <v>2024023</v>
      </c>
      <c r="K28" s="11">
        <v>10920788</v>
      </c>
      <c r="L28" s="3">
        <v>109</v>
      </c>
      <c r="M28" s="3">
        <v>3345</v>
      </c>
      <c r="N28" s="3">
        <v>340427</v>
      </c>
      <c r="O28" s="2">
        <v>0.29499999999999998</v>
      </c>
      <c r="P28" s="2">
        <v>0.29699999999999999</v>
      </c>
      <c r="Q28" s="2">
        <v>-0.318</v>
      </c>
      <c r="R28" s="11">
        <v>337555880</v>
      </c>
      <c r="S28" s="11">
        <v>476534</v>
      </c>
      <c r="T28">
        <v>2019</v>
      </c>
      <c r="U28">
        <v>11</v>
      </c>
      <c r="V28">
        <f t="shared" si="0"/>
        <v>1000000</v>
      </c>
      <c r="W28">
        <f t="shared" si="1"/>
        <v>18429897</v>
      </c>
      <c r="X28">
        <f t="shared" si="2"/>
        <v>17429897</v>
      </c>
      <c r="Y28">
        <f t="shared" si="3"/>
        <v>-25144845.5</v>
      </c>
      <c r="Z28">
        <f t="shared" si="4"/>
        <v>44574742.5</v>
      </c>
      <c r="AA28" t="str">
        <f t="shared" si="5"/>
        <v>Normal</v>
      </c>
      <c r="AE28" s="2"/>
      <c r="AF28" s="2"/>
    </row>
    <row r="29" spans="1:32" x14ac:dyDescent="0.35">
      <c r="A29">
        <v>28</v>
      </c>
      <c r="B29" s="1">
        <v>43788</v>
      </c>
      <c r="C29" s="9" t="s">
        <v>93</v>
      </c>
      <c r="D29" s="9" t="s">
        <v>4925</v>
      </c>
      <c r="E29" s="9" t="s">
        <v>5709</v>
      </c>
      <c r="F29" s="9" t="s">
        <v>94</v>
      </c>
      <c r="G29" s="9" t="s">
        <v>95</v>
      </c>
      <c r="H29" s="9" t="s">
        <v>86</v>
      </c>
      <c r="I29" s="11">
        <v>200000000</v>
      </c>
      <c r="J29" s="11">
        <v>4117352</v>
      </c>
      <c r="K29" s="11">
        <v>10153449</v>
      </c>
      <c r="L29" s="3">
        <v>6</v>
      </c>
      <c r="M29" s="3">
        <v>4779</v>
      </c>
      <c r="N29" s="3">
        <v>1073002</v>
      </c>
      <c r="O29" s="2">
        <v>0.151</v>
      </c>
      <c r="P29" s="2">
        <v>0.64500000000000002</v>
      </c>
      <c r="Q29" s="2">
        <v>-0.42299999999999999</v>
      </c>
      <c r="R29" s="11">
        <v>77220158</v>
      </c>
      <c r="S29" s="11">
        <v>1991852</v>
      </c>
      <c r="T29">
        <v>2019</v>
      </c>
      <c r="U29">
        <v>11</v>
      </c>
      <c r="V29">
        <f t="shared" si="0"/>
        <v>1000000</v>
      </c>
      <c r="W29">
        <f t="shared" si="1"/>
        <v>18429897</v>
      </c>
      <c r="X29">
        <f t="shared" si="2"/>
        <v>17429897</v>
      </c>
      <c r="Y29">
        <f t="shared" si="3"/>
        <v>-25144845.5</v>
      </c>
      <c r="Z29">
        <f t="shared" si="4"/>
        <v>44574742.5</v>
      </c>
      <c r="AA29" t="str">
        <f t="shared" si="5"/>
        <v>Outlier</v>
      </c>
      <c r="AE29" s="2"/>
      <c r="AF29" s="2"/>
    </row>
    <row r="30" spans="1:32" x14ac:dyDescent="0.35">
      <c r="A30">
        <v>29</v>
      </c>
      <c r="B30" s="1">
        <v>43787</v>
      </c>
      <c r="C30" s="9" t="s">
        <v>96</v>
      </c>
      <c r="D30" s="9" t="s">
        <v>2539</v>
      </c>
      <c r="E30" s="9" t="s">
        <v>5710</v>
      </c>
      <c r="F30" s="9" t="s">
        <v>31</v>
      </c>
      <c r="G30" s="9" t="s">
        <v>98</v>
      </c>
      <c r="H30" s="9" t="s">
        <v>24</v>
      </c>
      <c r="I30" s="11">
        <v>15800000</v>
      </c>
      <c r="J30" s="11">
        <v>2736237</v>
      </c>
      <c r="K30" s="11">
        <v>3545917</v>
      </c>
      <c r="L30" s="3">
        <v>285</v>
      </c>
      <c r="M30" s="3">
        <v>3187</v>
      </c>
      <c r="N30" s="3">
        <v>1018455</v>
      </c>
      <c r="O30" s="2">
        <v>1.6E-2</v>
      </c>
      <c r="P30" s="2">
        <v>1.1439999999999999E-2</v>
      </c>
      <c r="Q30" s="2">
        <v>-0.186</v>
      </c>
      <c r="R30" s="11">
        <v>92584084</v>
      </c>
      <c r="S30" s="11">
        <v>1224553</v>
      </c>
      <c r="T30">
        <v>2019</v>
      </c>
      <c r="U30">
        <v>11</v>
      </c>
      <c r="V30">
        <f t="shared" si="0"/>
        <v>1000000</v>
      </c>
      <c r="W30">
        <f t="shared" si="1"/>
        <v>18429897</v>
      </c>
      <c r="X30">
        <f t="shared" si="2"/>
        <v>17429897</v>
      </c>
      <c r="Y30">
        <f t="shared" si="3"/>
        <v>-25144845.5</v>
      </c>
      <c r="Z30">
        <f t="shared" si="4"/>
        <v>44574742.5</v>
      </c>
      <c r="AA30" t="str">
        <f t="shared" si="5"/>
        <v>Normal</v>
      </c>
      <c r="AE30" s="2"/>
      <c r="AF30" s="2"/>
    </row>
    <row r="31" spans="1:32" x14ac:dyDescent="0.35">
      <c r="A31">
        <v>30</v>
      </c>
      <c r="B31" s="1">
        <v>43784</v>
      </c>
      <c r="C31" s="9" t="s">
        <v>99</v>
      </c>
      <c r="D31" s="9" t="s">
        <v>4943</v>
      </c>
      <c r="E31" s="9" t="s">
        <v>5711</v>
      </c>
      <c r="F31" s="9" t="s">
        <v>100</v>
      </c>
      <c r="G31" s="9" t="s">
        <v>101</v>
      </c>
      <c r="H31" s="9" t="s">
        <v>24</v>
      </c>
      <c r="I31" s="11">
        <v>200000000</v>
      </c>
      <c r="J31" s="11">
        <v>2228202</v>
      </c>
      <c r="K31" s="11">
        <v>11491375</v>
      </c>
      <c r="L31" s="3">
        <v>91</v>
      </c>
      <c r="M31" s="3">
        <v>717</v>
      </c>
      <c r="N31" s="3">
        <v>339559</v>
      </c>
      <c r="O31" s="2">
        <v>0.377</v>
      </c>
      <c r="P31" s="2">
        <v>0.86</v>
      </c>
      <c r="Q31" s="2">
        <v>0.29100000000000004</v>
      </c>
      <c r="R31" s="11">
        <v>308744235</v>
      </c>
      <c r="S31" s="11">
        <v>1112042</v>
      </c>
      <c r="T31">
        <v>2019</v>
      </c>
      <c r="U31">
        <v>11</v>
      </c>
      <c r="V31">
        <f t="shared" si="0"/>
        <v>1000000</v>
      </c>
      <c r="W31">
        <f t="shared" si="1"/>
        <v>18429897</v>
      </c>
      <c r="X31">
        <f t="shared" si="2"/>
        <v>17429897</v>
      </c>
      <c r="Y31">
        <f t="shared" si="3"/>
        <v>-25144845.5</v>
      </c>
      <c r="Z31">
        <f t="shared" si="4"/>
        <v>44574742.5</v>
      </c>
      <c r="AA31" t="str">
        <f t="shared" si="5"/>
        <v>Outlier</v>
      </c>
      <c r="AE31" s="2"/>
      <c r="AF31" s="2"/>
    </row>
    <row r="32" spans="1:32" x14ac:dyDescent="0.35">
      <c r="A32">
        <v>31</v>
      </c>
      <c r="B32" s="1">
        <v>43788</v>
      </c>
      <c r="C32" s="9" t="s">
        <v>102</v>
      </c>
      <c r="D32" s="9" t="s">
        <v>4938</v>
      </c>
      <c r="E32" s="9" t="s">
        <v>5712</v>
      </c>
      <c r="F32" s="9" t="s">
        <v>103</v>
      </c>
      <c r="G32" s="9" t="s">
        <v>104</v>
      </c>
      <c r="H32" s="9" t="s">
        <v>105</v>
      </c>
      <c r="I32" s="11">
        <v>200000000</v>
      </c>
      <c r="J32" s="11">
        <v>2263288</v>
      </c>
      <c r="K32" s="11">
        <v>14837534</v>
      </c>
      <c r="L32" s="3">
        <v>458</v>
      </c>
      <c r="M32" s="3">
        <v>2032</v>
      </c>
      <c r="N32" s="3">
        <v>577525</v>
      </c>
      <c r="O32" s="2">
        <v>0.16600000000000001</v>
      </c>
      <c r="P32" s="2">
        <v>0.89400000000000002</v>
      </c>
      <c r="Q32" s="2">
        <v>0.30499999999999999</v>
      </c>
      <c r="R32" s="11">
        <v>288613555</v>
      </c>
      <c r="S32" s="11">
        <v>71085</v>
      </c>
      <c r="T32">
        <v>2019</v>
      </c>
      <c r="U32">
        <v>11</v>
      </c>
      <c r="V32">
        <f t="shared" si="0"/>
        <v>1000000</v>
      </c>
      <c r="W32">
        <f t="shared" si="1"/>
        <v>18429897</v>
      </c>
      <c r="X32">
        <f t="shared" si="2"/>
        <v>17429897</v>
      </c>
      <c r="Y32">
        <f t="shared" si="3"/>
        <v>-25144845.5</v>
      </c>
      <c r="Z32">
        <f t="shared" si="4"/>
        <v>44574742.5</v>
      </c>
      <c r="AA32" t="str">
        <f t="shared" si="5"/>
        <v>Outlier</v>
      </c>
      <c r="AE32" s="2"/>
      <c r="AF32" s="2"/>
    </row>
    <row r="33" spans="1:32" x14ac:dyDescent="0.35">
      <c r="A33">
        <v>32</v>
      </c>
      <c r="B33" s="1">
        <v>43794</v>
      </c>
      <c r="C33" s="9" t="s">
        <v>106</v>
      </c>
      <c r="D33" s="9" t="s">
        <v>4926</v>
      </c>
      <c r="E33" s="9" t="s">
        <v>5092</v>
      </c>
      <c r="F33" s="9" t="s">
        <v>63</v>
      </c>
      <c r="G33" s="9" t="s">
        <v>107</v>
      </c>
      <c r="H33" s="9" t="s">
        <v>108</v>
      </c>
      <c r="I33" s="11">
        <v>200000000</v>
      </c>
      <c r="J33" s="11">
        <v>1151648</v>
      </c>
      <c r="K33" s="11">
        <v>864497</v>
      </c>
      <c r="L33" s="3">
        <v>50</v>
      </c>
      <c r="M33" s="3">
        <v>890</v>
      </c>
      <c r="N33" s="3">
        <v>1809507</v>
      </c>
      <c r="O33" s="2">
        <v>5.7999999999999996E-2</v>
      </c>
      <c r="P33" s="2">
        <v>1.004</v>
      </c>
      <c r="Q33" s="2">
        <v>0.21100000000000002</v>
      </c>
      <c r="R33" s="11">
        <v>81246592</v>
      </c>
      <c r="S33" s="11">
        <v>1453637</v>
      </c>
      <c r="T33">
        <v>2019</v>
      </c>
      <c r="U33">
        <v>11</v>
      </c>
      <c r="V33">
        <f t="shared" si="0"/>
        <v>1000000</v>
      </c>
      <c r="W33">
        <f t="shared" si="1"/>
        <v>18429897</v>
      </c>
      <c r="X33">
        <f t="shared" si="2"/>
        <v>17429897</v>
      </c>
      <c r="Y33">
        <f t="shared" si="3"/>
        <v>-25144845.5</v>
      </c>
      <c r="Z33">
        <f t="shared" si="4"/>
        <v>44574742.5</v>
      </c>
      <c r="AA33" t="str">
        <f t="shared" si="5"/>
        <v>Outlier</v>
      </c>
      <c r="AE33" s="2"/>
      <c r="AF33" s="2"/>
    </row>
    <row r="34" spans="1:32" x14ac:dyDescent="0.35">
      <c r="A34">
        <v>33</v>
      </c>
      <c r="B34" s="1">
        <v>43742</v>
      </c>
      <c r="C34" s="9" t="s">
        <v>109</v>
      </c>
      <c r="D34" s="9" t="s">
        <v>4944</v>
      </c>
      <c r="E34" s="9" t="s">
        <v>5713</v>
      </c>
      <c r="F34" s="9" t="s">
        <v>15</v>
      </c>
      <c r="G34" s="9" t="s">
        <v>110</v>
      </c>
      <c r="H34" s="9" t="s">
        <v>45</v>
      </c>
      <c r="I34" s="11">
        <v>45000000</v>
      </c>
      <c r="J34" s="11">
        <v>478836</v>
      </c>
      <c r="K34" s="11">
        <v>11872273</v>
      </c>
      <c r="L34" s="3">
        <v>326</v>
      </c>
      <c r="M34" s="3">
        <v>3802</v>
      </c>
      <c r="N34" s="3">
        <v>1717833</v>
      </c>
      <c r="O34" s="2">
        <v>0.35799999999999998</v>
      </c>
      <c r="P34" s="2">
        <v>0.439</v>
      </c>
      <c r="Q34" s="2">
        <v>0.37799999999999995</v>
      </c>
      <c r="R34" s="11">
        <v>291514690</v>
      </c>
      <c r="S34" s="11">
        <v>77066</v>
      </c>
      <c r="T34">
        <v>2019</v>
      </c>
      <c r="U34">
        <v>10</v>
      </c>
      <c r="V34">
        <f t="shared" si="0"/>
        <v>1000000</v>
      </c>
      <c r="W34">
        <f t="shared" si="1"/>
        <v>18429897</v>
      </c>
      <c r="X34">
        <f t="shared" si="2"/>
        <v>17429897</v>
      </c>
      <c r="Y34">
        <f t="shared" si="3"/>
        <v>-25144845.5</v>
      </c>
      <c r="Z34">
        <f t="shared" si="4"/>
        <v>44574742.5</v>
      </c>
      <c r="AA34" t="str">
        <f t="shared" si="5"/>
        <v>Outlier</v>
      </c>
      <c r="AE34" s="2"/>
      <c r="AF34" s="2"/>
    </row>
    <row r="35" spans="1:32" x14ac:dyDescent="0.35">
      <c r="A35">
        <v>34</v>
      </c>
      <c r="B35" s="1">
        <v>43740</v>
      </c>
      <c r="C35" s="9" t="s">
        <v>111</v>
      </c>
      <c r="D35" s="9" t="s">
        <v>4945</v>
      </c>
      <c r="E35" s="9" t="s">
        <v>5714</v>
      </c>
      <c r="F35" s="9" t="s">
        <v>15</v>
      </c>
      <c r="G35" s="9" t="s">
        <v>112</v>
      </c>
      <c r="H35" s="9" t="s">
        <v>45</v>
      </c>
      <c r="I35" s="11">
        <v>200000000</v>
      </c>
      <c r="J35" s="11">
        <v>2781832</v>
      </c>
      <c r="K35" s="11">
        <v>10153449</v>
      </c>
      <c r="L35" s="3">
        <v>394</v>
      </c>
      <c r="M35" s="3">
        <v>4986</v>
      </c>
      <c r="N35" s="3">
        <v>1579907</v>
      </c>
      <c r="O35" s="2">
        <v>-0.28499999999999998</v>
      </c>
      <c r="P35" s="2">
        <v>0.77200000000000002</v>
      </c>
      <c r="Q35" s="2">
        <v>5.5E-2</v>
      </c>
      <c r="R35" s="11">
        <v>116506070</v>
      </c>
      <c r="S35" s="11">
        <v>1046496</v>
      </c>
      <c r="T35">
        <v>2019</v>
      </c>
      <c r="U35">
        <v>10</v>
      </c>
      <c r="V35">
        <f t="shared" si="0"/>
        <v>1000000</v>
      </c>
      <c r="W35">
        <f t="shared" si="1"/>
        <v>18429897</v>
      </c>
      <c r="X35">
        <f t="shared" si="2"/>
        <v>17429897</v>
      </c>
      <c r="Y35">
        <f t="shared" si="3"/>
        <v>-25144845.5</v>
      </c>
      <c r="Z35">
        <f t="shared" si="4"/>
        <v>44574742.5</v>
      </c>
      <c r="AA35" t="str">
        <f t="shared" si="5"/>
        <v>Outlier</v>
      </c>
      <c r="AE35" s="2"/>
      <c r="AF35" s="2"/>
    </row>
    <row r="36" spans="1:32" x14ac:dyDescent="0.35">
      <c r="A36">
        <v>35</v>
      </c>
      <c r="B36" s="1">
        <v>43759</v>
      </c>
      <c r="C36" s="9" t="s">
        <v>113</v>
      </c>
      <c r="D36" s="9" t="s">
        <v>4946</v>
      </c>
      <c r="E36" s="9" t="s">
        <v>5715</v>
      </c>
      <c r="F36" s="9" t="s">
        <v>19</v>
      </c>
      <c r="G36" s="9" t="s">
        <v>114</v>
      </c>
      <c r="H36" s="9" t="s">
        <v>115</v>
      </c>
      <c r="I36" s="11">
        <v>18429897</v>
      </c>
      <c r="J36" s="11">
        <v>4441691</v>
      </c>
      <c r="K36" s="11">
        <v>11517237</v>
      </c>
      <c r="L36" s="3">
        <v>93</v>
      </c>
      <c r="M36" s="3">
        <v>3868</v>
      </c>
      <c r="N36" s="3">
        <v>406831</v>
      </c>
      <c r="O36" s="2">
        <v>0.14199999999999999</v>
      </c>
      <c r="P36" s="2">
        <v>0.91299999999999992</v>
      </c>
      <c r="Q36" s="2">
        <v>3.2000000000000001E-2</v>
      </c>
      <c r="R36" s="11">
        <v>154048172</v>
      </c>
      <c r="S36" s="11">
        <v>1779738</v>
      </c>
      <c r="T36">
        <v>2019</v>
      </c>
      <c r="U36">
        <v>10</v>
      </c>
      <c r="V36">
        <f t="shared" si="0"/>
        <v>1000000</v>
      </c>
      <c r="W36">
        <f t="shared" si="1"/>
        <v>18429897</v>
      </c>
      <c r="X36">
        <f t="shared" si="2"/>
        <v>17429897</v>
      </c>
      <c r="Y36">
        <f t="shared" si="3"/>
        <v>-25144845.5</v>
      </c>
      <c r="Z36">
        <f t="shared" si="4"/>
        <v>44574742.5</v>
      </c>
      <c r="AA36" t="str">
        <f t="shared" si="5"/>
        <v>Normal</v>
      </c>
      <c r="AE36" s="2"/>
      <c r="AF36" s="2"/>
    </row>
    <row r="37" spans="1:32" x14ac:dyDescent="0.35">
      <c r="A37">
        <v>36</v>
      </c>
      <c r="B37" s="1">
        <v>43713</v>
      </c>
      <c r="C37" s="9" t="s">
        <v>116</v>
      </c>
      <c r="D37" s="9" t="s">
        <v>4926</v>
      </c>
      <c r="E37" s="9" t="s">
        <v>5716</v>
      </c>
      <c r="F37" s="9" t="s">
        <v>41</v>
      </c>
      <c r="G37" s="9" t="s">
        <v>117</v>
      </c>
      <c r="H37" s="9" t="s">
        <v>118</v>
      </c>
      <c r="I37" s="11">
        <v>4500000</v>
      </c>
      <c r="J37" s="11">
        <v>337809</v>
      </c>
      <c r="K37" s="11">
        <v>19060404</v>
      </c>
      <c r="L37" s="3">
        <v>130</v>
      </c>
      <c r="M37" s="3">
        <v>1267</v>
      </c>
      <c r="N37" s="3">
        <v>1299738</v>
      </c>
      <c r="O37" s="2">
        <v>1.2E-2</v>
      </c>
      <c r="P37" s="2">
        <v>0.504</v>
      </c>
      <c r="Q37" s="2">
        <v>0.19600000000000001</v>
      </c>
      <c r="R37" s="11">
        <v>42316556</v>
      </c>
      <c r="S37" s="11">
        <v>1503710</v>
      </c>
      <c r="T37">
        <v>2019</v>
      </c>
      <c r="U37">
        <v>9</v>
      </c>
      <c r="V37">
        <f t="shared" si="0"/>
        <v>1000000</v>
      </c>
      <c r="W37">
        <f t="shared" si="1"/>
        <v>18429897</v>
      </c>
      <c r="X37">
        <f t="shared" si="2"/>
        <v>17429897</v>
      </c>
      <c r="Y37">
        <f t="shared" si="3"/>
        <v>-25144845.5</v>
      </c>
      <c r="Z37">
        <f t="shared" si="4"/>
        <v>44574742.5</v>
      </c>
      <c r="AA37" t="str">
        <f t="shared" si="5"/>
        <v>Normal</v>
      </c>
      <c r="AE37" s="2"/>
      <c r="AF37" s="2"/>
    </row>
    <row r="38" spans="1:32" x14ac:dyDescent="0.35">
      <c r="A38">
        <v>37</v>
      </c>
      <c r="B38" s="1">
        <v>43712</v>
      </c>
      <c r="C38" s="9" t="s">
        <v>119</v>
      </c>
      <c r="D38" s="9" t="s">
        <v>4926</v>
      </c>
      <c r="E38" s="9" t="s">
        <v>5717</v>
      </c>
      <c r="F38" s="9" t="s">
        <v>31</v>
      </c>
      <c r="G38" s="9" t="s">
        <v>120</v>
      </c>
      <c r="H38" s="9" t="s">
        <v>37</v>
      </c>
      <c r="I38" s="11">
        <v>3300000</v>
      </c>
      <c r="J38" s="11">
        <v>4294290</v>
      </c>
      <c r="K38" s="11">
        <v>7116249</v>
      </c>
      <c r="L38" s="3">
        <v>399</v>
      </c>
      <c r="M38" s="3">
        <v>3496</v>
      </c>
      <c r="N38" s="3">
        <v>1638615</v>
      </c>
      <c r="O38" s="2">
        <v>0.41799999999999998</v>
      </c>
      <c r="P38" s="2">
        <v>0.58799999999999997</v>
      </c>
      <c r="Q38" s="2">
        <v>0.52800000000000002</v>
      </c>
      <c r="R38" s="11">
        <v>34975648</v>
      </c>
      <c r="S38" s="11">
        <v>247192</v>
      </c>
      <c r="T38">
        <v>2019</v>
      </c>
      <c r="U38">
        <v>9</v>
      </c>
      <c r="V38">
        <f t="shared" si="0"/>
        <v>1000000</v>
      </c>
      <c r="W38">
        <f t="shared" si="1"/>
        <v>18429897</v>
      </c>
      <c r="X38">
        <f t="shared" si="2"/>
        <v>17429897</v>
      </c>
      <c r="Y38">
        <f t="shared" si="3"/>
        <v>-25144845.5</v>
      </c>
      <c r="Z38">
        <f t="shared" si="4"/>
        <v>44574742.5</v>
      </c>
      <c r="AA38" t="str">
        <f t="shared" si="5"/>
        <v>Normal</v>
      </c>
      <c r="AE38" s="2"/>
      <c r="AF38" s="2"/>
    </row>
    <row r="39" spans="1:32" x14ac:dyDescent="0.35">
      <c r="A39">
        <v>38</v>
      </c>
      <c r="B39" s="1">
        <v>43712</v>
      </c>
      <c r="C39" s="9" t="s">
        <v>121</v>
      </c>
      <c r="D39" s="9" t="s">
        <v>4947</v>
      </c>
      <c r="E39" s="9" t="s">
        <v>5718</v>
      </c>
      <c r="F39" s="9" t="s">
        <v>31</v>
      </c>
      <c r="G39" s="9" t="s">
        <v>122</v>
      </c>
      <c r="H39" s="9" t="s">
        <v>17</v>
      </c>
      <c r="I39" s="11">
        <v>6000000</v>
      </c>
      <c r="J39" s="11">
        <v>4141603</v>
      </c>
      <c r="K39" s="11">
        <v>169290</v>
      </c>
      <c r="L39" s="3">
        <v>50</v>
      </c>
      <c r="M39" s="3">
        <v>154</v>
      </c>
      <c r="N39" s="3">
        <v>1299638</v>
      </c>
      <c r="O39" s="2">
        <v>0.16899999999999998</v>
      </c>
      <c r="P39" s="2">
        <v>0.90099999999999991</v>
      </c>
      <c r="Q39" s="2">
        <v>0.20300000000000001</v>
      </c>
      <c r="R39" s="11">
        <v>418629941</v>
      </c>
      <c r="S39" s="11">
        <v>339834</v>
      </c>
      <c r="T39">
        <v>2019</v>
      </c>
      <c r="U39">
        <v>9</v>
      </c>
      <c r="V39">
        <f t="shared" si="0"/>
        <v>1000000</v>
      </c>
      <c r="W39">
        <f t="shared" si="1"/>
        <v>18429897</v>
      </c>
      <c r="X39">
        <f t="shared" si="2"/>
        <v>17429897</v>
      </c>
      <c r="Y39">
        <f t="shared" si="3"/>
        <v>-25144845.5</v>
      </c>
      <c r="Z39">
        <f t="shared" si="4"/>
        <v>44574742.5</v>
      </c>
      <c r="AA39" t="str">
        <f t="shared" si="5"/>
        <v>Normal</v>
      </c>
      <c r="AE39" s="2"/>
      <c r="AF39" s="2"/>
    </row>
    <row r="40" spans="1:32" x14ac:dyDescent="0.35">
      <c r="A40">
        <v>39</v>
      </c>
      <c r="B40" s="1">
        <v>43712</v>
      </c>
      <c r="C40" s="9" t="s">
        <v>123</v>
      </c>
      <c r="D40" s="9" t="s">
        <v>4942</v>
      </c>
      <c r="E40" s="9" t="s">
        <v>5719</v>
      </c>
      <c r="F40" s="9" t="s">
        <v>124</v>
      </c>
      <c r="G40" s="9" t="s">
        <v>125</v>
      </c>
      <c r="H40" s="9" t="s">
        <v>29</v>
      </c>
      <c r="I40" s="11">
        <v>5000000</v>
      </c>
      <c r="J40" s="11">
        <v>1398263</v>
      </c>
      <c r="K40" s="11">
        <v>13673065</v>
      </c>
      <c r="L40" s="3">
        <v>223</v>
      </c>
      <c r="M40" s="3">
        <v>1397</v>
      </c>
      <c r="N40" s="3">
        <v>1718698</v>
      </c>
      <c r="O40" s="2">
        <v>-5.2999999999999999E-2</v>
      </c>
      <c r="P40" s="2">
        <v>1.008E-2</v>
      </c>
      <c r="Q40" s="2">
        <v>7.5999999999999998E-2</v>
      </c>
      <c r="R40" s="11">
        <v>49106767</v>
      </c>
      <c r="S40" s="11">
        <v>662277</v>
      </c>
      <c r="T40">
        <v>2019</v>
      </c>
      <c r="U40">
        <v>9</v>
      </c>
      <c r="V40">
        <f t="shared" si="0"/>
        <v>1000000</v>
      </c>
      <c r="W40">
        <f t="shared" si="1"/>
        <v>18429897</v>
      </c>
      <c r="X40">
        <f t="shared" si="2"/>
        <v>17429897</v>
      </c>
      <c r="Y40">
        <f t="shared" si="3"/>
        <v>-25144845.5</v>
      </c>
      <c r="Z40">
        <f t="shared" si="4"/>
        <v>44574742.5</v>
      </c>
      <c r="AA40" t="str">
        <f t="shared" si="5"/>
        <v>Normal</v>
      </c>
      <c r="AE40" s="2"/>
      <c r="AF40" s="2"/>
    </row>
    <row r="41" spans="1:32" x14ac:dyDescent="0.35">
      <c r="A41">
        <v>40</v>
      </c>
      <c r="B41" s="1">
        <v>43712</v>
      </c>
      <c r="C41" s="9" t="s">
        <v>126</v>
      </c>
      <c r="D41" s="9" t="s">
        <v>4948</v>
      </c>
      <c r="E41" s="9" t="s">
        <v>5720</v>
      </c>
      <c r="F41" s="9" t="s">
        <v>127</v>
      </c>
      <c r="G41" s="9" t="s">
        <v>128</v>
      </c>
      <c r="H41" s="9" t="s">
        <v>37</v>
      </c>
      <c r="I41" s="11">
        <v>18000000</v>
      </c>
      <c r="J41" s="11">
        <v>3165688</v>
      </c>
      <c r="K41" s="11">
        <v>4334552</v>
      </c>
      <c r="L41" s="3">
        <v>128</v>
      </c>
      <c r="M41" s="3">
        <v>1551</v>
      </c>
      <c r="N41" s="3">
        <v>402191</v>
      </c>
      <c r="O41" s="2">
        <v>0.34799999999999998</v>
      </c>
      <c r="P41" s="2">
        <v>0.56200000000000006</v>
      </c>
      <c r="Q41" s="2">
        <v>0.36749999999999999</v>
      </c>
      <c r="R41" s="11">
        <v>173565259</v>
      </c>
      <c r="S41" s="11">
        <v>1459409</v>
      </c>
      <c r="T41">
        <v>2019</v>
      </c>
      <c r="U41">
        <v>9</v>
      </c>
      <c r="V41">
        <f t="shared" si="0"/>
        <v>1000000</v>
      </c>
      <c r="W41">
        <f t="shared" si="1"/>
        <v>18429897</v>
      </c>
      <c r="X41">
        <f t="shared" si="2"/>
        <v>17429897</v>
      </c>
      <c r="Y41">
        <f t="shared" si="3"/>
        <v>-25144845.5</v>
      </c>
      <c r="Z41">
        <f t="shared" si="4"/>
        <v>44574742.5</v>
      </c>
      <c r="AA41" t="str">
        <f t="shared" si="5"/>
        <v>Normal</v>
      </c>
      <c r="AE41" s="2"/>
      <c r="AF41" s="2"/>
    </row>
    <row r="42" spans="1:32" x14ac:dyDescent="0.35">
      <c r="A42">
        <v>41</v>
      </c>
      <c r="B42" s="1">
        <v>43712</v>
      </c>
      <c r="C42" s="9" t="s">
        <v>129</v>
      </c>
      <c r="D42" s="9" t="s">
        <v>4949</v>
      </c>
      <c r="E42" s="9" t="s">
        <v>5721</v>
      </c>
      <c r="F42" s="9" t="s">
        <v>15</v>
      </c>
      <c r="G42" s="9" t="s">
        <v>130</v>
      </c>
      <c r="H42" s="9" t="s">
        <v>48</v>
      </c>
      <c r="I42" s="11">
        <v>1000000</v>
      </c>
      <c r="J42" s="11">
        <v>842840</v>
      </c>
      <c r="K42" s="11">
        <v>292699</v>
      </c>
      <c r="L42" s="3">
        <v>11</v>
      </c>
      <c r="M42" s="3">
        <v>2373</v>
      </c>
      <c r="N42" s="3">
        <v>927606</v>
      </c>
      <c r="O42" s="2">
        <v>-0.372</v>
      </c>
      <c r="P42" s="2">
        <v>0.82599999999999996</v>
      </c>
      <c r="Q42" s="2">
        <v>0.45600000000000002</v>
      </c>
      <c r="R42" s="11">
        <v>198642241</v>
      </c>
      <c r="S42" s="11">
        <v>727608</v>
      </c>
      <c r="T42">
        <v>2019</v>
      </c>
      <c r="U42">
        <v>9</v>
      </c>
      <c r="V42">
        <f t="shared" si="0"/>
        <v>1000000</v>
      </c>
      <c r="W42">
        <f t="shared" si="1"/>
        <v>18429897</v>
      </c>
      <c r="X42">
        <f t="shared" si="2"/>
        <v>17429897</v>
      </c>
      <c r="Y42">
        <f t="shared" si="3"/>
        <v>-25144845.5</v>
      </c>
      <c r="Z42">
        <f t="shared" si="4"/>
        <v>44574742.5</v>
      </c>
      <c r="AA42" t="str">
        <f t="shared" si="5"/>
        <v>Normal</v>
      </c>
      <c r="AE42" s="2"/>
      <c r="AF42" s="2"/>
    </row>
    <row r="43" spans="1:32" x14ac:dyDescent="0.35">
      <c r="A43">
        <v>42</v>
      </c>
      <c r="B43" s="1">
        <v>43712</v>
      </c>
      <c r="C43" s="9" t="s">
        <v>131</v>
      </c>
      <c r="D43" s="9" t="s">
        <v>4950</v>
      </c>
      <c r="E43" s="9" t="s">
        <v>5722</v>
      </c>
      <c r="F43" s="9" t="s">
        <v>31</v>
      </c>
      <c r="G43" s="9" t="s">
        <v>132</v>
      </c>
      <c r="H43" s="9" t="s">
        <v>37</v>
      </c>
      <c r="I43" s="11">
        <v>10000000</v>
      </c>
      <c r="J43" s="11">
        <v>3795276</v>
      </c>
      <c r="K43" s="11">
        <v>3685864</v>
      </c>
      <c r="L43" s="3">
        <v>228</v>
      </c>
      <c r="M43" s="3">
        <v>1636</v>
      </c>
      <c r="N43" s="3">
        <v>660973</v>
      </c>
      <c r="O43" s="2">
        <v>0.222</v>
      </c>
      <c r="P43" s="2">
        <v>0.86399999999999999</v>
      </c>
      <c r="Q43" s="2">
        <v>1</v>
      </c>
      <c r="R43" s="11">
        <v>92401147</v>
      </c>
      <c r="S43" s="11">
        <v>1208282</v>
      </c>
      <c r="T43">
        <v>2019</v>
      </c>
      <c r="U43">
        <v>9</v>
      </c>
      <c r="V43">
        <f t="shared" si="0"/>
        <v>1000000</v>
      </c>
      <c r="W43">
        <f t="shared" si="1"/>
        <v>18429897</v>
      </c>
      <c r="X43">
        <f t="shared" si="2"/>
        <v>17429897</v>
      </c>
      <c r="Y43">
        <f t="shared" si="3"/>
        <v>-25144845.5</v>
      </c>
      <c r="Z43">
        <f t="shared" si="4"/>
        <v>44574742.5</v>
      </c>
      <c r="AA43" t="str">
        <f t="shared" si="5"/>
        <v>Normal</v>
      </c>
      <c r="AE43" s="2"/>
      <c r="AF43" s="2"/>
    </row>
    <row r="44" spans="1:32" x14ac:dyDescent="0.35">
      <c r="A44">
        <v>43</v>
      </c>
      <c r="B44" s="1">
        <v>43712</v>
      </c>
      <c r="C44" s="9" t="s">
        <v>133</v>
      </c>
      <c r="D44" s="9" t="s">
        <v>4937</v>
      </c>
      <c r="E44" s="9" t="s">
        <v>5723</v>
      </c>
      <c r="F44" s="9" t="s">
        <v>134</v>
      </c>
      <c r="G44" s="9" t="s">
        <v>135</v>
      </c>
      <c r="H44" s="9" t="s">
        <v>21</v>
      </c>
      <c r="I44" s="11">
        <v>200000000</v>
      </c>
      <c r="J44" s="11">
        <v>3508604</v>
      </c>
      <c r="K44" s="11">
        <v>18687176</v>
      </c>
      <c r="L44" s="3">
        <v>245</v>
      </c>
      <c r="M44" s="3">
        <v>2192</v>
      </c>
      <c r="N44" s="3">
        <v>1449058</v>
      </c>
      <c r="O44" s="2">
        <v>-0.13300000000000001</v>
      </c>
      <c r="P44" s="2">
        <v>0.50800000000000001</v>
      </c>
      <c r="Q44" s="2">
        <v>0.36749999999999999</v>
      </c>
      <c r="R44" s="11">
        <v>67768349</v>
      </c>
      <c r="S44" s="11">
        <v>1591461</v>
      </c>
      <c r="T44">
        <v>2019</v>
      </c>
      <c r="U44">
        <v>9</v>
      </c>
      <c r="V44">
        <f t="shared" si="0"/>
        <v>1000000</v>
      </c>
      <c r="W44">
        <f t="shared" si="1"/>
        <v>18429897</v>
      </c>
      <c r="X44">
        <f t="shared" si="2"/>
        <v>17429897</v>
      </c>
      <c r="Y44">
        <f t="shared" si="3"/>
        <v>-25144845.5</v>
      </c>
      <c r="Z44">
        <f t="shared" si="4"/>
        <v>44574742.5</v>
      </c>
      <c r="AA44" t="str">
        <f t="shared" si="5"/>
        <v>Outlier</v>
      </c>
      <c r="AE44" s="2"/>
      <c r="AF44" s="2"/>
    </row>
    <row r="45" spans="1:32" x14ac:dyDescent="0.35">
      <c r="A45">
        <v>44</v>
      </c>
      <c r="B45" s="1">
        <v>43711</v>
      </c>
      <c r="C45" s="9" t="s">
        <v>136</v>
      </c>
      <c r="D45" s="9" t="s">
        <v>4951</v>
      </c>
      <c r="E45" s="9" t="s">
        <v>5724</v>
      </c>
      <c r="F45" s="9" t="s">
        <v>15</v>
      </c>
      <c r="G45" s="9" t="s">
        <v>137</v>
      </c>
      <c r="H45" s="9" t="s">
        <v>37</v>
      </c>
      <c r="I45" s="11">
        <v>5000000</v>
      </c>
      <c r="J45" s="11">
        <v>1785539</v>
      </c>
      <c r="K45" s="11">
        <v>10153449</v>
      </c>
      <c r="L45" s="3">
        <v>176</v>
      </c>
      <c r="M45" s="3">
        <v>99</v>
      </c>
      <c r="N45" s="3">
        <v>255731</v>
      </c>
      <c r="O45" s="2">
        <v>2.7999999999999997E-2</v>
      </c>
      <c r="P45" s="2">
        <v>0.98699999999999999</v>
      </c>
      <c r="Q45" s="2">
        <v>-1.9E-2</v>
      </c>
      <c r="R45" s="11">
        <v>460419798</v>
      </c>
      <c r="S45" s="11">
        <v>1008193.5</v>
      </c>
      <c r="T45">
        <v>2019</v>
      </c>
      <c r="U45">
        <v>9</v>
      </c>
      <c r="V45">
        <f t="shared" si="0"/>
        <v>1000000</v>
      </c>
      <c r="W45">
        <f t="shared" si="1"/>
        <v>18429897</v>
      </c>
      <c r="X45">
        <f t="shared" si="2"/>
        <v>17429897</v>
      </c>
      <c r="Y45">
        <f t="shared" si="3"/>
        <v>-25144845.5</v>
      </c>
      <c r="Z45">
        <f t="shared" si="4"/>
        <v>44574742.5</v>
      </c>
      <c r="AA45" t="str">
        <f t="shared" si="5"/>
        <v>Normal</v>
      </c>
      <c r="AE45" s="2"/>
      <c r="AF45" s="2"/>
    </row>
    <row r="46" spans="1:32" x14ac:dyDescent="0.35">
      <c r="A46">
        <v>45</v>
      </c>
      <c r="B46" s="1">
        <v>43678</v>
      </c>
      <c r="C46" s="9" t="s">
        <v>43</v>
      </c>
      <c r="D46" s="9" t="s">
        <v>4925</v>
      </c>
      <c r="E46" s="9" t="s">
        <v>4954</v>
      </c>
      <c r="F46" s="9" t="s">
        <v>19</v>
      </c>
      <c r="G46" s="9" t="s">
        <v>138</v>
      </c>
      <c r="H46" s="9" t="s">
        <v>21</v>
      </c>
      <c r="I46" s="11">
        <v>20000000</v>
      </c>
      <c r="J46" s="11">
        <v>358241</v>
      </c>
      <c r="K46" s="11">
        <v>5572804</v>
      </c>
      <c r="L46" s="3">
        <v>407</v>
      </c>
      <c r="M46" s="3">
        <v>4093</v>
      </c>
      <c r="N46" s="3">
        <v>637283</v>
      </c>
      <c r="O46" s="2">
        <v>7.1999999999999995E-2</v>
      </c>
      <c r="P46" s="2">
        <v>0.39500000000000002</v>
      </c>
      <c r="Q46" s="2">
        <v>0.30399999999999999</v>
      </c>
      <c r="R46" s="11">
        <v>424051009</v>
      </c>
      <c r="S46" s="11">
        <v>1825075</v>
      </c>
      <c r="T46">
        <v>2019</v>
      </c>
      <c r="U46">
        <v>8</v>
      </c>
      <c r="V46">
        <f t="shared" si="0"/>
        <v>1000000</v>
      </c>
      <c r="W46">
        <f t="shared" si="1"/>
        <v>18429897</v>
      </c>
      <c r="X46">
        <f t="shared" si="2"/>
        <v>17429897</v>
      </c>
      <c r="Y46">
        <f t="shared" si="3"/>
        <v>-25144845.5</v>
      </c>
      <c r="Z46">
        <f t="shared" si="4"/>
        <v>44574742.5</v>
      </c>
      <c r="AA46" t="str">
        <f t="shared" si="5"/>
        <v>Normal</v>
      </c>
      <c r="AE46" s="2"/>
      <c r="AF46" s="2"/>
    </row>
    <row r="47" spans="1:32" x14ac:dyDescent="0.35">
      <c r="A47">
        <v>46</v>
      </c>
      <c r="B47" s="1">
        <v>43678</v>
      </c>
      <c r="C47" s="9" t="s">
        <v>139</v>
      </c>
      <c r="D47" s="9" t="s">
        <v>4933</v>
      </c>
      <c r="E47" s="9" t="s">
        <v>5725</v>
      </c>
      <c r="F47" s="9" t="s">
        <v>27</v>
      </c>
      <c r="G47" s="9" t="s">
        <v>140</v>
      </c>
      <c r="H47" s="9" t="s">
        <v>37</v>
      </c>
      <c r="I47" s="11">
        <v>5000000</v>
      </c>
      <c r="J47" s="11">
        <v>4854076</v>
      </c>
      <c r="K47" s="11">
        <v>12001793</v>
      </c>
      <c r="L47" s="3">
        <v>52</v>
      </c>
      <c r="M47" s="3">
        <v>2007</v>
      </c>
      <c r="N47" s="3">
        <v>1404925</v>
      </c>
      <c r="O47" s="2">
        <v>0.30199999999999999</v>
      </c>
      <c r="P47" s="2">
        <v>0.50800000000000001</v>
      </c>
      <c r="Q47" s="2">
        <v>-9.5000000000000001E-2</v>
      </c>
      <c r="R47" s="11">
        <v>250264963</v>
      </c>
      <c r="S47" s="11">
        <v>1733951</v>
      </c>
      <c r="T47">
        <v>2019</v>
      </c>
      <c r="U47">
        <v>8</v>
      </c>
      <c r="V47">
        <f t="shared" si="0"/>
        <v>1000000</v>
      </c>
      <c r="W47">
        <f t="shared" si="1"/>
        <v>18429897</v>
      </c>
      <c r="X47">
        <f t="shared" si="2"/>
        <v>17429897</v>
      </c>
      <c r="Y47">
        <f t="shared" si="3"/>
        <v>-25144845.5</v>
      </c>
      <c r="Z47">
        <f t="shared" si="4"/>
        <v>44574742.5</v>
      </c>
      <c r="AA47" t="str">
        <f t="shared" si="5"/>
        <v>Normal</v>
      </c>
      <c r="AE47" s="2"/>
      <c r="AF47" s="2"/>
    </row>
    <row r="48" spans="1:32" x14ac:dyDescent="0.35">
      <c r="A48">
        <v>47</v>
      </c>
      <c r="B48" s="1">
        <v>43678</v>
      </c>
      <c r="C48" s="9" t="s">
        <v>141</v>
      </c>
      <c r="D48" s="9" t="s">
        <v>4952</v>
      </c>
      <c r="E48" s="9" t="s">
        <v>5726</v>
      </c>
      <c r="F48" s="9" t="s">
        <v>15</v>
      </c>
      <c r="G48" s="9" t="s">
        <v>58</v>
      </c>
      <c r="H48" s="9" t="s">
        <v>142</v>
      </c>
      <c r="I48" s="11">
        <v>1600000</v>
      </c>
      <c r="J48" s="11">
        <v>2239523</v>
      </c>
      <c r="K48" s="11">
        <v>6852833</v>
      </c>
      <c r="L48" s="3">
        <v>217</v>
      </c>
      <c r="M48" s="3">
        <v>4050</v>
      </c>
      <c r="N48" s="3">
        <v>35640</v>
      </c>
      <c r="O48" s="2">
        <v>0.56100000000000005</v>
      </c>
      <c r="P48" s="2">
        <v>1.1579999999999999</v>
      </c>
      <c r="Q48" s="2">
        <v>0.26</v>
      </c>
      <c r="R48" s="11">
        <v>152891752</v>
      </c>
      <c r="S48" s="11">
        <v>1545194</v>
      </c>
      <c r="T48">
        <v>2019</v>
      </c>
      <c r="U48">
        <v>8</v>
      </c>
      <c r="V48">
        <f t="shared" si="0"/>
        <v>1000000</v>
      </c>
      <c r="W48">
        <f t="shared" si="1"/>
        <v>18429897</v>
      </c>
      <c r="X48">
        <f t="shared" si="2"/>
        <v>17429897</v>
      </c>
      <c r="Y48">
        <f t="shared" si="3"/>
        <v>-25144845.5</v>
      </c>
      <c r="Z48">
        <f t="shared" si="4"/>
        <v>44574742.5</v>
      </c>
      <c r="AA48" t="str">
        <f t="shared" si="5"/>
        <v>Normal</v>
      </c>
      <c r="AE48" s="2"/>
      <c r="AF48" s="2"/>
    </row>
    <row r="49" spans="1:32" x14ac:dyDescent="0.35">
      <c r="A49">
        <v>48</v>
      </c>
      <c r="B49" s="1">
        <v>43678</v>
      </c>
      <c r="C49" s="9" t="s">
        <v>143</v>
      </c>
      <c r="D49" s="9" t="s">
        <v>4933</v>
      </c>
      <c r="E49" s="9" t="s">
        <v>5727</v>
      </c>
      <c r="F49" s="9" t="s">
        <v>31</v>
      </c>
      <c r="G49" s="9" t="s">
        <v>144</v>
      </c>
      <c r="H49" s="9" t="s">
        <v>145</v>
      </c>
      <c r="I49" s="11">
        <v>140000000</v>
      </c>
      <c r="J49" s="11">
        <v>2531926</v>
      </c>
      <c r="K49" s="11">
        <v>3628939</v>
      </c>
      <c r="L49" s="3">
        <v>94</v>
      </c>
      <c r="M49" s="3">
        <v>336</v>
      </c>
      <c r="N49" s="3">
        <v>511518</v>
      </c>
      <c r="O49" s="2">
        <v>-0.23600000000000002</v>
      </c>
      <c r="P49" s="2">
        <v>0.57799999999999996</v>
      </c>
      <c r="Q49" s="2">
        <v>-0.26800000000000002</v>
      </c>
      <c r="R49" s="11">
        <v>67923276</v>
      </c>
      <c r="S49" s="11">
        <v>500693</v>
      </c>
      <c r="T49">
        <v>2019</v>
      </c>
      <c r="U49">
        <v>8</v>
      </c>
      <c r="V49">
        <f t="shared" si="0"/>
        <v>1000000</v>
      </c>
      <c r="W49">
        <f t="shared" si="1"/>
        <v>18429897</v>
      </c>
      <c r="X49">
        <f t="shared" si="2"/>
        <v>17429897</v>
      </c>
      <c r="Y49">
        <f t="shared" si="3"/>
        <v>-25144845.5</v>
      </c>
      <c r="Z49">
        <f t="shared" si="4"/>
        <v>44574742.5</v>
      </c>
      <c r="AA49" t="str">
        <f t="shared" si="5"/>
        <v>Outlier</v>
      </c>
      <c r="AE49" s="2"/>
      <c r="AF49" s="2"/>
    </row>
    <row r="50" spans="1:32" x14ac:dyDescent="0.35">
      <c r="A50">
        <v>49</v>
      </c>
      <c r="B50" s="1">
        <v>43678</v>
      </c>
      <c r="C50" s="9" t="s">
        <v>146</v>
      </c>
      <c r="D50" s="9" t="s">
        <v>4949</v>
      </c>
      <c r="E50" s="9" t="s">
        <v>5728</v>
      </c>
      <c r="F50" s="9" t="s">
        <v>63</v>
      </c>
      <c r="G50" s="9" t="s">
        <v>147</v>
      </c>
      <c r="H50" s="9" t="s">
        <v>115</v>
      </c>
      <c r="I50" s="11">
        <v>38080000</v>
      </c>
      <c r="J50" s="11">
        <v>3396036</v>
      </c>
      <c r="K50" s="11">
        <v>19768823</v>
      </c>
      <c r="L50" s="3">
        <v>380</v>
      </c>
      <c r="M50" s="3">
        <v>4337</v>
      </c>
      <c r="N50" s="3">
        <v>1419332</v>
      </c>
      <c r="O50" s="2">
        <v>0.20899999999999999</v>
      </c>
      <c r="P50" s="2">
        <v>0.96499999999999997</v>
      </c>
      <c r="Q50" s="2">
        <v>3.5000000000000003E-2</v>
      </c>
      <c r="R50" s="11">
        <v>36092752</v>
      </c>
      <c r="S50" s="11">
        <v>1007645</v>
      </c>
      <c r="T50">
        <v>2019</v>
      </c>
      <c r="U50">
        <v>8</v>
      </c>
      <c r="V50">
        <f t="shared" si="0"/>
        <v>1000000</v>
      </c>
      <c r="W50">
        <f t="shared" si="1"/>
        <v>18429897</v>
      </c>
      <c r="X50">
        <f t="shared" si="2"/>
        <v>17429897</v>
      </c>
      <c r="Y50">
        <f t="shared" si="3"/>
        <v>-25144845.5</v>
      </c>
      <c r="Z50">
        <f t="shared" si="4"/>
        <v>44574742.5</v>
      </c>
      <c r="AA50" t="str">
        <f t="shared" si="5"/>
        <v>Normal</v>
      </c>
      <c r="AE50" s="2"/>
      <c r="AF50" s="2"/>
    </row>
    <row r="51" spans="1:32" x14ac:dyDescent="0.35">
      <c r="A51">
        <v>50</v>
      </c>
      <c r="B51" s="1">
        <v>43689</v>
      </c>
      <c r="C51" s="9" t="s">
        <v>148</v>
      </c>
      <c r="D51" s="9" t="s">
        <v>4925</v>
      </c>
      <c r="E51" s="9" t="s">
        <v>5729</v>
      </c>
      <c r="F51" s="9" t="s">
        <v>15</v>
      </c>
      <c r="G51" s="9" t="s">
        <v>149</v>
      </c>
      <c r="H51" s="9" t="s">
        <v>45</v>
      </c>
      <c r="I51" s="11">
        <v>125000000</v>
      </c>
      <c r="J51" s="11">
        <v>2531926</v>
      </c>
      <c r="K51" s="11">
        <v>16298022</v>
      </c>
      <c r="L51" s="3">
        <v>280</v>
      </c>
      <c r="M51" s="3">
        <v>3150</v>
      </c>
      <c r="N51" s="3">
        <v>478959</v>
      </c>
      <c r="O51" s="2">
        <v>0.56000000000000005</v>
      </c>
      <c r="P51" s="2">
        <v>0.7390000000000001</v>
      </c>
      <c r="Q51" s="2">
        <v>8.5000000000000006E-2</v>
      </c>
      <c r="R51" s="11">
        <v>323039804</v>
      </c>
      <c r="S51" s="11">
        <v>1601276</v>
      </c>
      <c r="T51">
        <v>2019</v>
      </c>
      <c r="U51">
        <v>8</v>
      </c>
      <c r="V51">
        <f t="shared" si="0"/>
        <v>1000000</v>
      </c>
      <c r="W51">
        <f t="shared" si="1"/>
        <v>18429897</v>
      </c>
      <c r="X51">
        <f t="shared" si="2"/>
        <v>17429897</v>
      </c>
      <c r="Y51">
        <f t="shared" si="3"/>
        <v>-25144845.5</v>
      </c>
      <c r="Z51">
        <f t="shared" si="4"/>
        <v>44574742.5</v>
      </c>
      <c r="AA51" t="str">
        <f t="shared" si="5"/>
        <v>Outlier</v>
      </c>
      <c r="AE51" s="2"/>
      <c r="AF51" s="2"/>
    </row>
    <row r="52" spans="1:32" x14ac:dyDescent="0.35">
      <c r="A52">
        <v>51</v>
      </c>
      <c r="B52" s="1">
        <v>43690</v>
      </c>
      <c r="C52" s="9" t="s">
        <v>150</v>
      </c>
      <c r="D52" s="9" t="s">
        <v>4925</v>
      </c>
      <c r="E52" s="9" t="s">
        <v>5730</v>
      </c>
      <c r="F52" s="9" t="s">
        <v>151</v>
      </c>
      <c r="G52" s="9" t="s">
        <v>152</v>
      </c>
      <c r="H52" s="9" t="s">
        <v>45</v>
      </c>
      <c r="I52" s="11">
        <v>11000000</v>
      </c>
      <c r="J52" s="11">
        <v>3804299</v>
      </c>
      <c r="K52" s="11">
        <v>7333295</v>
      </c>
      <c r="L52" s="3">
        <v>354</v>
      </c>
      <c r="M52" s="3">
        <v>1194</v>
      </c>
      <c r="N52" s="3">
        <v>1212864</v>
      </c>
      <c r="O52" s="2">
        <v>0.5</v>
      </c>
      <c r="P52" s="2">
        <v>0.63800000000000001</v>
      </c>
      <c r="Q52" s="2">
        <v>0.54700000000000004</v>
      </c>
      <c r="R52" s="11">
        <v>179898675</v>
      </c>
      <c r="S52" s="11">
        <v>1008193.5</v>
      </c>
      <c r="T52">
        <v>2019</v>
      </c>
      <c r="U52">
        <v>8</v>
      </c>
      <c r="V52">
        <f t="shared" si="0"/>
        <v>1000000</v>
      </c>
      <c r="W52">
        <f t="shared" si="1"/>
        <v>18429897</v>
      </c>
      <c r="X52">
        <f t="shared" si="2"/>
        <v>17429897</v>
      </c>
      <c r="Y52">
        <f t="shared" si="3"/>
        <v>-25144845.5</v>
      </c>
      <c r="Z52">
        <f t="shared" si="4"/>
        <v>44574742.5</v>
      </c>
      <c r="AA52" t="str">
        <f t="shared" si="5"/>
        <v>Normal</v>
      </c>
      <c r="AE52" s="2"/>
      <c r="AF52" s="2"/>
    </row>
    <row r="53" spans="1:32" x14ac:dyDescent="0.35">
      <c r="A53">
        <v>52</v>
      </c>
      <c r="B53" s="1">
        <v>43690</v>
      </c>
      <c r="C53" s="9" t="s">
        <v>153</v>
      </c>
      <c r="D53" s="9" t="s">
        <v>4953</v>
      </c>
      <c r="E53" s="9" t="s">
        <v>5731</v>
      </c>
      <c r="F53" s="9" t="s">
        <v>154</v>
      </c>
      <c r="G53" s="9" t="s">
        <v>155</v>
      </c>
      <c r="H53" s="9" t="s">
        <v>21</v>
      </c>
      <c r="I53" s="11">
        <v>51000000</v>
      </c>
      <c r="J53" s="11">
        <v>989300</v>
      </c>
      <c r="K53" s="11">
        <v>1000000000</v>
      </c>
      <c r="L53" s="3">
        <v>58</v>
      </c>
      <c r="M53" s="3">
        <v>3775</v>
      </c>
      <c r="N53" s="3">
        <v>800975</v>
      </c>
      <c r="O53" s="2">
        <v>1.6E-2</v>
      </c>
      <c r="P53" s="2">
        <v>0.77</v>
      </c>
      <c r="Q53" s="2">
        <v>0.34300000000000003</v>
      </c>
      <c r="R53" s="11">
        <v>274561828</v>
      </c>
      <c r="S53" s="11">
        <v>1665819</v>
      </c>
      <c r="T53">
        <v>2019</v>
      </c>
      <c r="U53">
        <v>8</v>
      </c>
      <c r="V53">
        <f t="shared" si="0"/>
        <v>1000000</v>
      </c>
      <c r="W53">
        <f t="shared" si="1"/>
        <v>18429897</v>
      </c>
      <c r="X53">
        <f t="shared" si="2"/>
        <v>17429897</v>
      </c>
      <c r="Y53">
        <f t="shared" si="3"/>
        <v>-25144845.5</v>
      </c>
      <c r="Z53">
        <f t="shared" si="4"/>
        <v>44574742.5</v>
      </c>
      <c r="AA53" t="str">
        <f t="shared" si="5"/>
        <v>Outlier</v>
      </c>
      <c r="AE53" s="2"/>
      <c r="AF53" s="2"/>
    </row>
    <row r="54" spans="1:32" x14ac:dyDescent="0.35">
      <c r="A54">
        <v>53</v>
      </c>
      <c r="B54" s="1">
        <v>43700</v>
      </c>
      <c r="C54" s="9" t="s">
        <v>156</v>
      </c>
      <c r="D54" s="9" t="s">
        <v>4954</v>
      </c>
      <c r="E54" s="9" t="s">
        <v>5732</v>
      </c>
      <c r="F54" s="9" t="s">
        <v>70</v>
      </c>
      <c r="G54" s="9" t="s">
        <v>157</v>
      </c>
      <c r="H54" s="9" t="s">
        <v>24</v>
      </c>
      <c r="I54" s="11">
        <v>37000000</v>
      </c>
      <c r="J54" s="11">
        <v>1832252</v>
      </c>
      <c r="K54" s="11">
        <v>16330288</v>
      </c>
      <c r="L54" s="3">
        <v>231</v>
      </c>
      <c r="M54" s="3">
        <v>3754</v>
      </c>
      <c r="N54" s="3">
        <v>922781</v>
      </c>
      <c r="O54" s="2">
        <v>0.16700000000000001</v>
      </c>
      <c r="P54" s="2">
        <v>0.50800000000000001</v>
      </c>
      <c r="Q54" s="2">
        <v>1.1000000000000001E-2</v>
      </c>
      <c r="R54" s="11">
        <v>121900847</v>
      </c>
      <c r="S54" s="11">
        <v>882781</v>
      </c>
      <c r="T54">
        <v>2019</v>
      </c>
      <c r="U54">
        <v>8</v>
      </c>
      <c r="V54">
        <f t="shared" si="0"/>
        <v>994500</v>
      </c>
      <c r="W54">
        <f t="shared" si="1"/>
        <v>18429897</v>
      </c>
      <c r="X54">
        <f t="shared" si="2"/>
        <v>17435397</v>
      </c>
      <c r="Y54">
        <f t="shared" si="3"/>
        <v>-25158595.5</v>
      </c>
      <c r="Z54">
        <f t="shared" si="4"/>
        <v>44582992.5</v>
      </c>
      <c r="AA54" t="str">
        <f t="shared" si="5"/>
        <v>Normal</v>
      </c>
      <c r="AE54" s="2"/>
      <c r="AF54" s="2"/>
    </row>
    <row r="55" spans="1:32" x14ac:dyDescent="0.35">
      <c r="A55">
        <v>54</v>
      </c>
      <c r="B55" s="1">
        <v>43700</v>
      </c>
      <c r="C55" s="9" t="s">
        <v>158</v>
      </c>
      <c r="D55" s="9" t="s">
        <v>4946</v>
      </c>
      <c r="E55" s="9" t="s">
        <v>5733</v>
      </c>
      <c r="F55" s="9" t="s">
        <v>15</v>
      </c>
      <c r="G55" s="9" t="s">
        <v>159</v>
      </c>
      <c r="H55" s="9" t="s">
        <v>33</v>
      </c>
      <c r="I55" s="11">
        <v>500000</v>
      </c>
      <c r="J55" s="11">
        <v>2344270</v>
      </c>
      <c r="K55" s="11">
        <v>9271051</v>
      </c>
      <c r="L55" s="3">
        <v>30</v>
      </c>
      <c r="M55" s="3">
        <v>3645</v>
      </c>
      <c r="N55" s="3">
        <v>716340</v>
      </c>
      <c r="O55" s="2">
        <v>0.28599999999999998</v>
      </c>
      <c r="P55" s="2">
        <v>0.51800000000000002</v>
      </c>
      <c r="Q55" s="2">
        <v>0.36749999999999999</v>
      </c>
      <c r="R55" s="11">
        <v>360536573</v>
      </c>
      <c r="S55" s="11">
        <v>1862004</v>
      </c>
      <c r="T55">
        <v>2019</v>
      </c>
      <c r="U55">
        <v>8</v>
      </c>
      <c r="V55">
        <f t="shared" si="0"/>
        <v>989000</v>
      </c>
      <c r="W55">
        <f t="shared" si="1"/>
        <v>18429897</v>
      </c>
      <c r="X55">
        <f t="shared" si="2"/>
        <v>17440897</v>
      </c>
      <c r="Y55">
        <f t="shared" si="3"/>
        <v>-25172345.5</v>
      </c>
      <c r="Z55">
        <f t="shared" si="4"/>
        <v>44591242.5</v>
      </c>
      <c r="AA55" t="str">
        <f t="shared" si="5"/>
        <v>Normal</v>
      </c>
      <c r="AE55" s="2"/>
      <c r="AF55" s="2"/>
    </row>
    <row r="56" spans="1:32" x14ac:dyDescent="0.35">
      <c r="A56">
        <v>55</v>
      </c>
      <c r="B56" s="1">
        <v>43700</v>
      </c>
      <c r="C56" s="9" t="s">
        <v>160</v>
      </c>
      <c r="D56" s="9" t="s">
        <v>4926</v>
      </c>
      <c r="E56" s="9" t="s">
        <v>5734</v>
      </c>
      <c r="F56" s="9" t="s">
        <v>161</v>
      </c>
      <c r="G56" s="9" t="s">
        <v>162</v>
      </c>
      <c r="H56" s="9" t="s">
        <v>45</v>
      </c>
      <c r="I56" s="11">
        <v>110000000</v>
      </c>
      <c r="J56" s="11">
        <v>2499001</v>
      </c>
      <c r="K56" s="11">
        <v>7601343</v>
      </c>
      <c r="L56" s="3">
        <v>165</v>
      </c>
      <c r="M56" s="3">
        <v>4358</v>
      </c>
      <c r="N56" s="3">
        <v>1797390</v>
      </c>
      <c r="O56" s="2">
        <v>0.252</v>
      </c>
      <c r="P56" s="2">
        <v>0.96099999999999997</v>
      </c>
      <c r="Q56" s="2">
        <v>-6.9000000000000006E-2</v>
      </c>
      <c r="R56" s="11">
        <v>204089548</v>
      </c>
      <c r="S56" s="11">
        <v>1960689</v>
      </c>
      <c r="T56">
        <v>2019</v>
      </c>
      <c r="U56">
        <v>8</v>
      </c>
      <c r="V56">
        <f t="shared" si="0"/>
        <v>1000000</v>
      </c>
      <c r="W56">
        <f t="shared" si="1"/>
        <v>18429897</v>
      </c>
      <c r="X56">
        <f t="shared" si="2"/>
        <v>17429897</v>
      </c>
      <c r="Y56">
        <f t="shared" si="3"/>
        <v>-25144845.5</v>
      </c>
      <c r="Z56">
        <f t="shared" si="4"/>
        <v>44574742.5</v>
      </c>
      <c r="AA56" t="str">
        <f t="shared" si="5"/>
        <v>Outlier</v>
      </c>
      <c r="AE56" s="2"/>
      <c r="AF56" s="2"/>
    </row>
    <row r="57" spans="1:32" x14ac:dyDescent="0.35">
      <c r="A57">
        <v>56</v>
      </c>
      <c r="B57" s="1">
        <v>43699</v>
      </c>
      <c r="C57" s="9" t="s">
        <v>163</v>
      </c>
      <c r="D57" s="9" t="s">
        <v>4926</v>
      </c>
      <c r="E57" s="9" t="s">
        <v>5735</v>
      </c>
      <c r="F57" s="9" t="s">
        <v>19</v>
      </c>
      <c r="G57" s="9" t="s">
        <v>16</v>
      </c>
      <c r="H57" s="9" t="s">
        <v>164</v>
      </c>
      <c r="I57" s="11">
        <v>15000000</v>
      </c>
      <c r="J57" s="11">
        <v>238142</v>
      </c>
      <c r="K57" s="11">
        <v>7807401</v>
      </c>
      <c r="L57" s="3">
        <v>472</v>
      </c>
      <c r="M57" s="3">
        <v>4772</v>
      </c>
      <c r="N57" s="3">
        <v>1441744</v>
      </c>
      <c r="O57" s="2">
        <v>4.8000000000000001E-2</v>
      </c>
      <c r="P57" s="2">
        <v>0.50800000000000001</v>
      </c>
      <c r="Q57" s="2">
        <v>-0.18100000000000002</v>
      </c>
      <c r="R57" s="11">
        <v>250264963</v>
      </c>
      <c r="S57" s="11">
        <v>625107</v>
      </c>
      <c r="T57">
        <v>2019</v>
      </c>
      <c r="U57">
        <v>8</v>
      </c>
      <c r="V57">
        <f t="shared" si="0"/>
        <v>1000000</v>
      </c>
      <c r="W57">
        <f t="shared" si="1"/>
        <v>18429897</v>
      </c>
      <c r="X57">
        <f t="shared" si="2"/>
        <v>17429897</v>
      </c>
      <c r="Y57">
        <f t="shared" si="3"/>
        <v>-25144845.5</v>
      </c>
      <c r="Z57">
        <f t="shared" si="4"/>
        <v>44574742.5</v>
      </c>
      <c r="AA57" t="str">
        <f t="shared" si="5"/>
        <v>Normal</v>
      </c>
      <c r="AE57" s="2"/>
      <c r="AF57" s="2"/>
    </row>
    <row r="58" spans="1:32" x14ac:dyDescent="0.35">
      <c r="A58">
        <v>57</v>
      </c>
      <c r="B58" s="1">
        <v>43698</v>
      </c>
      <c r="C58" s="9" t="s">
        <v>165</v>
      </c>
      <c r="D58" s="9" t="s">
        <v>4939</v>
      </c>
      <c r="E58" s="9" t="s">
        <v>5736</v>
      </c>
      <c r="F58" s="9" t="s">
        <v>15</v>
      </c>
      <c r="G58" s="9" t="s">
        <v>166</v>
      </c>
      <c r="H58" s="9" t="s">
        <v>21</v>
      </c>
      <c r="I58" s="11">
        <v>6590000</v>
      </c>
      <c r="J58" s="11">
        <v>2741916</v>
      </c>
      <c r="K58" s="11">
        <v>8991505</v>
      </c>
      <c r="L58" s="3">
        <v>364</v>
      </c>
      <c r="M58" s="3">
        <v>874</v>
      </c>
      <c r="N58" s="3">
        <v>1454542</v>
      </c>
      <c r="O58" s="2">
        <v>-4.1000000000000002E-2</v>
      </c>
      <c r="P58" s="2">
        <v>1.135</v>
      </c>
      <c r="Q58" s="2">
        <v>0.504</v>
      </c>
      <c r="R58" s="11">
        <v>430211947</v>
      </c>
      <c r="S58" s="11">
        <v>1922461</v>
      </c>
      <c r="T58">
        <v>2019</v>
      </c>
      <c r="U58">
        <v>8</v>
      </c>
      <c r="V58">
        <f t="shared" si="0"/>
        <v>994500</v>
      </c>
      <c r="W58">
        <f t="shared" si="1"/>
        <v>18429897</v>
      </c>
      <c r="X58">
        <f t="shared" si="2"/>
        <v>17435397</v>
      </c>
      <c r="Y58">
        <f t="shared" si="3"/>
        <v>-25158595.5</v>
      </c>
      <c r="Z58">
        <f t="shared" si="4"/>
        <v>44582992.5</v>
      </c>
      <c r="AA58" t="str">
        <f t="shared" si="5"/>
        <v>Normal</v>
      </c>
      <c r="AE58" s="2"/>
      <c r="AF58" s="2"/>
    </row>
    <row r="59" spans="1:32" x14ac:dyDescent="0.35">
      <c r="A59">
        <v>58</v>
      </c>
      <c r="B59" s="1">
        <v>43700</v>
      </c>
      <c r="C59" s="9" t="s">
        <v>167</v>
      </c>
      <c r="D59" s="9" t="s">
        <v>4955</v>
      </c>
      <c r="E59" s="9" t="s">
        <v>5737</v>
      </c>
      <c r="F59" s="9" t="s">
        <v>63</v>
      </c>
      <c r="G59" s="9" t="s">
        <v>168</v>
      </c>
      <c r="H59" s="9" t="s">
        <v>33</v>
      </c>
      <c r="I59" s="11">
        <v>1000000</v>
      </c>
      <c r="J59" s="11">
        <v>788361</v>
      </c>
      <c r="K59" s="11">
        <v>10475466</v>
      </c>
      <c r="L59" s="3">
        <v>43</v>
      </c>
      <c r="M59" s="3">
        <v>1447</v>
      </c>
      <c r="N59" s="3">
        <v>1018455</v>
      </c>
      <c r="O59" s="2">
        <v>0.38299999999999995</v>
      </c>
      <c r="P59" s="2">
        <v>0.20899999999999999</v>
      </c>
      <c r="Q59" s="2">
        <v>-8.900000000000001E-2</v>
      </c>
      <c r="R59" s="11">
        <v>148618825</v>
      </c>
      <c r="S59" s="11">
        <v>816567</v>
      </c>
      <c r="T59">
        <v>2019</v>
      </c>
      <c r="U59">
        <v>8</v>
      </c>
      <c r="V59">
        <f t="shared" si="0"/>
        <v>989000</v>
      </c>
      <c r="W59">
        <f t="shared" si="1"/>
        <v>18429897</v>
      </c>
      <c r="X59">
        <f t="shared" si="2"/>
        <v>17440897</v>
      </c>
      <c r="Y59">
        <f t="shared" si="3"/>
        <v>-25172345.5</v>
      </c>
      <c r="Z59">
        <f t="shared" si="4"/>
        <v>44591242.5</v>
      </c>
      <c r="AA59" t="str">
        <f t="shared" si="5"/>
        <v>Normal</v>
      </c>
      <c r="AE59" s="2"/>
      <c r="AF59" s="2"/>
    </row>
    <row r="60" spans="1:32" x14ac:dyDescent="0.35">
      <c r="A60">
        <v>59</v>
      </c>
      <c r="B60" s="1">
        <v>43696</v>
      </c>
      <c r="C60" s="9" t="s">
        <v>169</v>
      </c>
      <c r="D60" s="9" t="s">
        <v>4956</v>
      </c>
      <c r="E60" s="9" t="s">
        <v>5738</v>
      </c>
      <c r="F60" s="9" t="s">
        <v>19</v>
      </c>
      <c r="G60" s="9" t="s">
        <v>170</v>
      </c>
      <c r="H60" s="9" t="s">
        <v>37</v>
      </c>
      <c r="I60" s="11">
        <v>18429897</v>
      </c>
      <c r="J60" s="11">
        <v>3722012</v>
      </c>
      <c r="K60" s="11">
        <v>897490</v>
      </c>
      <c r="L60" s="3">
        <v>187</v>
      </c>
      <c r="M60" s="3">
        <v>247</v>
      </c>
      <c r="N60" s="3">
        <v>851219</v>
      </c>
      <c r="O60" s="2">
        <v>-3.5000000000000003E-2</v>
      </c>
      <c r="P60" s="2">
        <v>0.96899999999999997</v>
      </c>
      <c r="Q60" s="2">
        <v>0.53</v>
      </c>
      <c r="R60" s="11">
        <v>372578808</v>
      </c>
      <c r="S60" s="11">
        <v>1524268</v>
      </c>
      <c r="T60">
        <v>2019</v>
      </c>
      <c r="U60">
        <v>8</v>
      </c>
      <c r="V60">
        <f t="shared" si="0"/>
        <v>983500</v>
      </c>
      <c r="W60">
        <f t="shared" si="1"/>
        <v>18429897</v>
      </c>
      <c r="X60">
        <f t="shared" si="2"/>
        <v>17446397</v>
      </c>
      <c r="Y60">
        <f t="shared" si="3"/>
        <v>-25186095.5</v>
      </c>
      <c r="Z60">
        <f t="shared" si="4"/>
        <v>44599492.5</v>
      </c>
      <c r="AA60" t="str">
        <f t="shared" si="5"/>
        <v>Normal</v>
      </c>
      <c r="AE60" s="2"/>
      <c r="AF60" s="2"/>
    </row>
    <row r="61" spans="1:32" x14ac:dyDescent="0.35">
      <c r="A61">
        <v>60</v>
      </c>
      <c r="B61" s="1">
        <v>43696</v>
      </c>
      <c r="C61" s="9" t="s">
        <v>171</v>
      </c>
      <c r="D61" s="9" t="s">
        <v>4925</v>
      </c>
      <c r="E61" s="9" t="s">
        <v>5739</v>
      </c>
      <c r="F61" s="9" t="s">
        <v>19</v>
      </c>
      <c r="G61" s="9" t="s">
        <v>67</v>
      </c>
      <c r="H61" s="9" t="s">
        <v>51</v>
      </c>
      <c r="I61" s="11">
        <v>70000000</v>
      </c>
      <c r="J61" s="11">
        <v>3421583</v>
      </c>
      <c r="K61" s="11">
        <v>9654835</v>
      </c>
      <c r="L61" s="3">
        <v>436</v>
      </c>
      <c r="M61" s="3">
        <v>379</v>
      </c>
      <c r="N61" s="3">
        <v>206666</v>
      </c>
      <c r="O61" s="2">
        <v>-0.26300000000000001</v>
      </c>
      <c r="P61" s="2">
        <v>0.35699999999999998</v>
      </c>
      <c r="Q61" s="2">
        <v>0.125</v>
      </c>
      <c r="R61" s="11">
        <v>342889879</v>
      </c>
      <c r="S61" s="11">
        <v>1302892</v>
      </c>
      <c r="T61">
        <v>2019</v>
      </c>
      <c r="U61">
        <v>8</v>
      </c>
      <c r="V61">
        <f t="shared" si="0"/>
        <v>978000</v>
      </c>
      <c r="W61">
        <f t="shared" si="1"/>
        <v>18429897</v>
      </c>
      <c r="X61">
        <f t="shared" si="2"/>
        <v>17451897</v>
      </c>
      <c r="Y61">
        <f t="shared" si="3"/>
        <v>-25199845.5</v>
      </c>
      <c r="Z61">
        <f t="shared" si="4"/>
        <v>44607742.5</v>
      </c>
      <c r="AA61" t="str">
        <f t="shared" si="5"/>
        <v>Outlier</v>
      </c>
      <c r="AE61" s="2"/>
      <c r="AF61" s="2"/>
    </row>
    <row r="62" spans="1:32" x14ac:dyDescent="0.35">
      <c r="A62">
        <v>61</v>
      </c>
      <c r="B62" s="1">
        <v>43704</v>
      </c>
      <c r="C62" s="9" t="s">
        <v>172</v>
      </c>
      <c r="D62" s="9" t="s">
        <v>4924</v>
      </c>
      <c r="E62" s="9" t="s">
        <v>5740</v>
      </c>
      <c r="F62" s="9" t="s">
        <v>15</v>
      </c>
      <c r="G62" s="9" t="s">
        <v>173</v>
      </c>
      <c r="H62" s="9" t="s">
        <v>24</v>
      </c>
      <c r="I62" s="11">
        <v>200000000</v>
      </c>
      <c r="J62" s="11">
        <v>4614188</v>
      </c>
      <c r="K62" s="11">
        <v>8855372</v>
      </c>
      <c r="L62" s="3">
        <v>89</v>
      </c>
      <c r="M62" s="3">
        <v>572</v>
      </c>
      <c r="N62" s="3">
        <v>106852</v>
      </c>
      <c r="O62" s="2">
        <v>-0.17100000000000001</v>
      </c>
      <c r="P62" s="2">
        <v>0.96099999999999997</v>
      </c>
      <c r="Q62" s="2">
        <v>7.9000000000000001E-2</v>
      </c>
      <c r="R62" s="11">
        <v>122202933</v>
      </c>
      <c r="S62" s="11">
        <v>1008193.5</v>
      </c>
      <c r="T62">
        <v>2019</v>
      </c>
      <c r="U62">
        <v>8</v>
      </c>
      <c r="V62">
        <f t="shared" si="0"/>
        <v>976250</v>
      </c>
      <c r="W62">
        <f t="shared" si="1"/>
        <v>18429897</v>
      </c>
      <c r="X62">
        <f t="shared" si="2"/>
        <v>17453647</v>
      </c>
      <c r="Y62">
        <f t="shared" si="3"/>
        <v>-25204220.5</v>
      </c>
      <c r="Z62">
        <f t="shared" si="4"/>
        <v>44610367.5</v>
      </c>
      <c r="AA62" t="str">
        <f t="shared" si="5"/>
        <v>Outlier</v>
      </c>
      <c r="AE62" s="2"/>
      <c r="AF62" s="2"/>
    </row>
    <row r="63" spans="1:32" x14ac:dyDescent="0.35">
      <c r="A63">
        <v>62</v>
      </c>
      <c r="B63" s="1">
        <v>43648</v>
      </c>
      <c r="C63" s="9" t="s">
        <v>174</v>
      </c>
      <c r="D63" s="9" t="s">
        <v>4933</v>
      </c>
      <c r="E63" s="9" t="s">
        <v>5741</v>
      </c>
      <c r="F63" s="9" t="s">
        <v>19</v>
      </c>
      <c r="G63" s="9" t="s">
        <v>175</v>
      </c>
      <c r="H63" s="9" t="s">
        <v>24</v>
      </c>
      <c r="I63" s="11">
        <v>19000000</v>
      </c>
      <c r="J63" s="11">
        <v>3728915</v>
      </c>
      <c r="K63" s="11">
        <v>5564221</v>
      </c>
      <c r="L63" s="3">
        <v>379</v>
      </c>
      <c r="M63" s="3">
        <v>3475</v>
      </c>
      <c r="N63" s="3">
        <v>964297</v>
      </c>
      <c r="O63" s="2">
        <v>0.5</v>
      </c>
      <c r="P63" s="2">
        <v>1.0700000000000001E-2</v>
      </c>
      <c r="Q63" s="2">
        <v>0.124</v>
      </c>
      <c r="R63" s="11">
        <v>126117294</v>
      </c>
      <c r="S63" s="11">
        <v>1791707</v>
      </c>
      <c r="T63">
        <v>2019</v>
      </c>
      <c r="U63">
        <v>7</v>
      </c>
      <c r="V63">
        <f t="shared" si="0"/>
        <v>974500</v>
      </c>
      <c r="W63">
        <f t="shared" si="1"/>
        <v>18429897</v>
      </c>
      <c r="X63">
        <f t="shared" si="2"/>
        <v>17455397</v>
      </c>
      <c r="Y63">
        <f t="shared" si="3"/>
        <v>-25208595.5</v>
      </c>
      <c r="Z63">
        <f t="shared" si="4"/>
        <v>44612992.5</v>
      </c>
      <c r="AA63" t="str">
        <f t="shared" si="5"/>
        <v>Normal</v>
      </c>
      <c r="AE63" s="2"/>
      <c r="AF63" s="2"/>
    </row>
    <row r="64" spans="1:32" x14ac:dyDescent="0.35">
      <c r="A64">
        <v>63</v>
      </c>
      <c r="B64" s="1">
        <v>43648</v>
      </c>
      <c r="C64" s="9" t="s">
        <v>176</v>
      </c>
      <c r="D64" s="9" t="s">
        <v>4949</v>
      </c>
      <c r="E64" s="9" t="s">
        <v>5742</v>
      </c>
      <c r="F64" s="9" t="s">
        <v>177</v>
      </c>
      <c r="G64" s="9" t="s">
        <v>178</v>
      </c>
      <c r="H64" s="9" t="s">
        <v>29</v>
      </c>
      <c r="I64" s="11">
        <v>2500000</v>
      </c>
      <c r="J64" s="11">
        <v>1845880</v>
      </c>
      <c r="K64" s="11">
        <v>7172341</v>
      </c>
      <c r="L64" s="3">
        <v>163</v>
      </c>
      <c r="M64" s="3">
        <v>3050</v>
      </c>
      <c r="N64" s="3">
        <v>1752183</v>
      </c>
      <c r="O64" s="2">
        <v>0.41899999999999998</v>
      </c>
      <c r="P64" s="2">
        <v>0.50800000000000001</v>
      </c>
      <c r="Q64" s="2">
        <v>0.40200000000000002</v>
      </c>
      <c r="R64" s="11">
        <v>161034241</v>
      </c>
      <c r="S64" s="11">
        <v>1114330</v>
      </c>
      <c r="T64">
        <v>2019</v>
      </c>
      <c r="U64">
        <v>7</v>
      </c>
      <c r="V64">
        <f t="shared" si="0"/>
        <v>972750</v>
      </c>
      <c r="W64">
        <f t="shared" si="1"/>
        <v>18429897</v>
      </c>
      <c r="X64">
        <f t="shared" si="2"/>
        <v>17457147</v>
      </c>
      <c r="Y64">
        <f t="shared" si="3"/>
        <v>-25212970.5</v>
      </c>
      <c r="Z64">
        <f t="shared" si="4"/>
        <v>44615617.5</v>
      </c>
      <c r="AA64" t="str">
        <f t="shared" si="5"/>
        <v>Normal</v>
      </c>
      <c r="AE64" s="2"/>
      <c r="AF64" s="2"/>
    </row>
    <row r="65" spans="1:32" x14ac:dyDescent="0.35">
      <c r="A65">
        <v>64</v>
      </c>
      <c r="B65" s="1">
        <v>43647</v>
      </c>
      <c r="C65" s="9" t="s">
        <v>179</v>
      </c>
      <c r="D65" s="9" t="s">
        <v>4957</v>
      </c>
      <c r="E65" s="9" t="s">
        <v>5743</v>
      </c>
      <c r="F65" s="9" t="s">
        <v>27</v>
      </c>
      <c r="G65" s="9" t="s">
        <v>180</v>
      </c>
      <c r="H65" s="9" t="s">
        <v>181</v>
      </c>
      <c r="I65" s="11">
        <v>145000</v>
      </c>
      <c r="J65" s="11">
        <v>4838198</v>
      </c>
      <c r="K65" s="11">
        <v>8548665</v>
      </c>
      <c r="L65" s="3">
        <v>241</v>
      </c>
      <c r="M65" s="3">
        <v>222</v>
      </c>
      <c r="N65" s="3">
        <v>965829</v>
      </c>
      <c r="O65" s="2">
        <v>-0.11799999999999999</v>
      </c>
      <c r="P65" s="2">
        <v>0.79400000000000004</v>
      </c>
      <c r="Q65" s="2">
        <v>-0.114</v>
      </c>
      <c r="R65" s="11">
        <v>446410928</v>
      </c>
      <c r="S65" s="11">
        <v>265574</v>
      </c>
      <c r="T65">
        <v>2019</v>
      </c>
      <c r="U65">
        <v>7</v>
      </c>
      <c r="V65">
        <f t="shared" si="0"/>
        <v>971000</v>
      </c>
      <c r="W65">
        <f t="shared" si="1"/>
        <v>18429897</v>
      </c>
      <c r="X65">
        <f t="shared" si="2"/>
        <v>17458897</v>
      </c>
      <c r="Y65">
        <f t="shared" si="3"/>
        <v>-25217345.5</v>
      </c>
      <c r="Z65">
        <f t="shared" si="4"/>
        <v>44618242.5</v>
      </c>
      <c r="AA65" t="str">
        <f t="shared" si="5"/>
        <v>Normal</v>
      </c>
      <c r="AE65" s="2"/>
      <c r="AF65" s="2"/>
    </row>
    <row r="66" spans="1:32" x14ac:dyDescent="0.35">
      <c r="A66">
        <v>65</v>
      </c>
      <c r="B66" s="1">
        <v>43649</v>
      </c>
      <c r="C66" s="9" t="s">
        <v>182</v>
      </c>
      <c r="D66" s="9" t="s">
        <v>4958</v>
      </c>
      <c r="E66" s="9" t="s">
        <v>5744</v>
      </c>
      <c r="F66" s="9" t="s">
        <v>100</v>
      </c>
      <c r="G66" s="9" t="s">
        <v>183</v>
      </c>
      <c r="H66" s="9" t="s">
        <v>184</v>
      </c>
      <c r="I66" s="11">
        <v>1000000</v>
      </c>
      <c r="J66" s="11">
        <v>2066034</v>
      </c>
      <c r="K66" s="11">
        <v>7384804</v>
      </c>
      <c r="L66" s="3">
        <v>439</v>
      </c>
      <c r="M66" s="3">
        <v>2137</v>
      </c>
      <c r="N66" s="3">
        <v>1969287</v>
      </c>
      <c r="O66" s="2">
        <v>0.42399999999999999</v>
      </c>
      <c r="P66" s="2">
        <v>0.32299999999999995</v>
      </c>
      <c r="Q66" s="2">
        <v>0.22700000000000001</v>
      </c>
      <c r="R66" s="11">
        <v>216825678</v>
      </c>
      <c r="S66" s="11">
        <v>1130146</v>
      </c>
      <c r="T66">
        <v>2019</v>
      </c>
      <c r="U66">
        <v>7</v>
      </c>
      <c r="V66">
        <f t="shared" ref="V66:V129" si="6">_xlfn.PERCENTILE.INC(I66:I3109,0.25)</f>
        <v>976250</v>
      </c>
      <c r="W66">
        <f t="shared" ref="W66:W129" si="7">_xlfn.PERCENTILE.INC(I66:I3109,0.75)</f>
        <v>18429897</v>
      </c>
      <c r="X66">
        <f t="shared" ref="X66:X129" si="8">W66-V66</f>
        <v>17453647</v>
      </c>
      <c r="Y66">
        <f t="shared" ref="Y66:Y129" si="9">V66-1.5*X66</f>
        <v>-25204220.5</v>
      </c>
      <c r="Z66">
        <f t="shared" ref="Z66:Z129" si="10">W66+1.5*X66</f>
        <v>44610367.5</v>
      </c>
      <c r="AA66" t="str">
        <f t="shared" ref="AA66:AA129" si="11">IF(OR(I66&lt;$Y$2, I66&gt;$Z$2), "Outlier", "Normal")</f>
        <v>Normal</v>
      </c>
      <c r="AE66" s="2"/>
      <c r="AF66" s="2"/>
    </row>
    <row r="67" spans="1:32" x14ac:dyDescent="0.35">
      <c r="A67">
        <v>66</v>
      </c>
      <c r="B67" s="1">
        <v>43647</v>
      </c>
      <c r="C67" s="9" t="s">
        <v>153</v>
      </c>
      <c r="D67" s="9" t="s">
        <v>4959</v>
      </c>
      <c r="E67" s="9" t="s">
        <v>5745</v>
      </c>
      <c r="F67" s="9" t="s">
        <v>185</v>
      </c>
      <c r="G67" s="9" t="s">
        <v>155</v>
      </c>
      <c r="H67" s="9" t="s">
        <v>21</v>
      </c>
      <c r="I67" s="11">
        <v>38080000</v>
      </c>
      <c r="J67" s="11">
        <v>1642610</v>
      </c>
      <c r="K67" s="11">
        <v>18175909</v>
      </c>
      <c r="L67" s="3">
        <v>337</v>
      </c>
      <c r="M67" s="3">
        <v>596</v>
      </c>
      <c r="N67" s="3">
        <v>1046970</v>
      </c>
      <c r="O67" s="2">
        <v>0.38100000000000001</v>
      </c>
      <c r="P67" s="2">
        <v>1.1599999999999999</v>
      </c>
      <c r="Q67" s="2">
        <v>0.09</v>
      </c>
      <c r="R67" s="11">
        <v>371769199</v>
      </c>
      <c r="S67" s="11">
        <v>1235083</v>
      </c>
      <c r="T67">
        <v>2019</v>
      </c>
      <c r="U67">
        <v>7</v>
      </c>
      <c r="V67">
        <f t="shared" si="6"/>
        <v>974500</v>
      </c>
      <c r="W67">
        <f t="shared" si="7"/>
        <v>18429897</v>
      </c>
      <c r="X67">
        <f t="shared" si="8"/>
        <v>17455397</v>
      </c>
      <c r="Y67">
        <f t="shared" si="9"/>
        <v>-25208595.5</v>
      </c>
      <c r="Z67">
        <f t="shared" si="10"/>
        <v>44612992.5</v>
      </c>
      <c r="AA67" t="str">
        <f t="shared" si="11"/>
        <v>Normal</v>
      </c>
      <c r="AE67" s="2"/>
      <c r="AF67" s="2"/>
    </row>
    <row r="68" spans="1:32" x14ac:dyDescent="0.35">
      <c r="A68">
        <v>67</v>
      </c>
      <c r="B68" s="1">
        <v>43650</v>
      </c>
      <c r="C68" s="9" t="s">
        <v>186</v>
      </c>
      <c r="D68" s="9" t="s">
        <v>4939</v>
      </c>
      <c r="E68" s="9" t="s">
        <v>5746</v>
      </c>
      <c r="F68" s="9" t="s">
        <v>27</v>
      </c>
      <c r="G68" s="9" t="s">
        <v>187</v>
      </c>
      <c r="H68" s="9" t="s">
        <v>33</v>
      </c>
      <c r="I68" s="11">
        <v>500000</v>
      </c>
      <c r="J68" s="11">
        <v>4529568</v>
      </c>
      <c r="K68" s="11">
        <v>10617517</v>
      </c>
      <c r="L68" s="3">
        <v>145</v>
      </c>
      <c r="M68" s="3">
        <v>1015</v>
      </c>
      <c r="N68" s="3">
        <v>1269078</v>
      </c>
      <c r="O68" s="2">
        <v>0.16500000000000001</v>
      </c>
      <c r="P68" s="2">
        <v>0.52600000000000002</v>
      </c>
      <c r="Q68" s="2">
        <v>0.20100000000000001</v>
      </c>
      <c r="R68" s="11">
        <v>250264963</v>
      </c>
      <c r="S68" s="11">
        <v>1492021</v>
      </c>
      <c r="T68">
        <v>2019</v>
      </c>
      <c r="U68">
        <v>7</v>
      </c>
      <c r="V68">
        <f t="shared" si="6"/>
        <v>972750</v>
      </c>
      <c r="W68">
        <f t="shared" si="7"/>
        <v>18429897</v>
      </c>
      <c r="X68">
        <f t="shared" si="8"/>
        <v>17457147</v>
      </c>
      <c r="Y68">
        <f t="shared" si="9"/>
        <v>-25212970.5</v>
      </c>
      <c r="Z68">
        <f t="shared" si="10"/>
        <v>44615617.5</v>
      </c>
      <c r="AA68" t="str">
        <f t="shared" si="11"/>
        <v>Normal</v>
      </c>
      <c r="AE68" s="2"/>
      <c r="AF68" s="2"/>
    </row>
    <row r="69" spans="1:32" x14ac:dyDescent="0.35">
      <c r="A69">
        <v>68</v>
      </c>
      <c r="B69" s="1">
        <v>43656</v>
      </c>
      <c r="C69" s="9" t="s">
        <v>188</v>
      </c>
      <c r="D69" s="9" t="s">
        <v>4955</v>
      </c>
      <c r="E69" s="9" t="s">
        <v>4938</v>
      </c>
      <c r="F69" s="9" t="s">
        <v>15</v>
      </c>
      <c r="G69" s="9" t="s">
        <v>189</v>
      </c>
      <c r="H69" s="9" t="s">
        <v>17</v>
      </c>
      <c r="I69" s="11">
        <v>150000000</v>
      </c>
      <c r="J69" s="11">
        <v>1864889</v>
      </c>
      <c r="K69" s="11">
        <v>10107593</v>
      </c>
      <c r="L69" s="3">
        <v>254</v>
      </c>
      <c r="M69" s="3">
        <v>325</v>
      </c>
      <c r="N69" s="3">
        <v>155350</v>
      </c>
      <c r="O69" s="2">
        <v>-0.39</v>
      </c>
      <c r="P69" s="2">
        <v>0.22800000000000001</v>
      </c>
      <c r="Q69" s="2">
        <v>4.9000000000000002E-2</v>
      </c>
      <c r="R69" s="11">
        <v>38553197</v>
      </c>
      <c r="S69" s="11">
        <v>1392304</v>
      </c>
      <c r="T69">
        <v>2019</v>
      </c>
      <c r="U69">
        <v>7</v>
      </c>
      <c r="V69">
        <f t="shared" si="6"/>
        <v>978000</v>
      </c>
      <c r="W69">
        <f t="shared" si="7"/>
        <v>18429897</v>
      </c>
      <c r="X69">
        <f t="shared" si="8"/>
        <v>17451897</v>
      </c>
      <c r="Y69">
        <f t="shared" si="9"/>
        <v>-25199845.5</v>
      </c>
      <c r="Z69">
        <f t="shared" si="10"/>
        <v>44607742.5</v>
      </c>
      <c r="AA69" t="str">
        <f t="shared" si="11"/>
        <v>Outlier</v>
      </c>
      <c r="AE69" s="2"/>
      <c r="AF69" s="2"/>
    </row>
    <row r="70" spans="1:32" x14ac:dyDescent="0.35">
      <c r="A70">
        <v>69</v>
      </c>
      <c r="B70" s="1">
        <v>43657</v>
      </c>
      <c r="C70" s="9" t="s">
        <v>190</v>
      </c>
      <c r="D70" s="9" t="s">
        <v>4925</v>
      </c>
      <c r="E70" s="9" t="s">
        <v>5747</v>
      </c>
      <c r="F70" s="9" t="s">
        <v>177</v>
      </c>
      <c r="G70" s="9" t="s">
        <v>191</v>
      </c>
      <c r="H70" s="9" t="s">
        <v>45</v>
      </c>
      <c r="I70" s="11">
        <v>60000000</v>
      </c>
      <c r="J70" s="11">
        <v>400189</v>
      </c>
      <c r="K70" s="11">
        <v>5332442</v>
      </c>
      <c r="L70" s="3">
        <v>121</v>
      </c>
      <c r="M70" s="3">
        <v>2665</v>
      </c>
      <c r="N70" s="3">
        <v>1536424</v>
      </c>
      <c r="O70" s="2">
        <v>-0.11700000000000001</v>
      </c>
      <c r="P70" s="2">
        <v>0.20199999999999999</v>
      </c>
      <c r="Q70" s="2">
        <v>1</v>
      </c>
      <c r="R70" s="11">
        <v>250264963</v>
      </c>
      <c r="S70" s="11">
        <v>708310</v>
      </c>
      <c r="T70">
        <v>2019</v>
      </c>
      <c r="U70">
        <v>7</v>
      </c>
      <c r="V70">
        <f t="shared" si="6"/>
        <v>976250</v>
      </c>
      <c r="W70">
        <f t="shared" si="7"/>
        <v>18429897</v>
      </c>
      <c r="X70">
        <f t="shared" si="8"/>
        <v>17453647</v>
      </c>
      <c r="Y70">
        <f t="shared" si="9"/>
        <v>-25204220.5</v>
      </c>
      <c r="Z70">
        <f t="shared" si="10"/>
        <v>44610367.5</v>
      </c>
      <c r="AA70" t="str">
        <f t="shared" si="11"/>
        <v>Outlier</v>
      </c>
      <c r="AE70" s="2"/>
      <c r="AF70" s="2"/>
    </row>
    <row r="71" spans="1:32" x14ac:dyDescent="0.35">
      <c r="A71">
        <v>70</v>
      </c>
      <c r="B71" s="1">
        <v>43656</v>
      </c>
      <c r="C71" s="9" t="s">
        <v>192</v>
      </c>
      <c r="D71" s="9" t="s">
        <v>4960</v>
      </c>
      <c r="E71" s="9" t="s">
        <v>4928</v>
      </c>
      <c r="F71" s="9" t="s">
        <v>177</v>
      </c>
      <c r="G71" s="9" t="s">
        <v>193</v>
      </c>
      <c r="H71" s="9" t="s">
        <v>24</v>
      </c>
      <c r="I71" s="11">
        <v>16000000</v>
      </c>
      <c r="J71" s="11">
        <v>2358387</v>
      </c>
      <c r="K71" s="11">
        <v>18336089</v>
      </c>
      <c r="L71" s="3">
        <v>254</v>
      </c>
      <c r="M71" s="3">
        <v>452</v>
      </c>
      <c r="N71" s="3">
        <v>1778070</v>
      </c>
      <c r="O71" s="2">
        <v>-0.7</v>
      </c>
      <c r="P71" s="2">
        <v>0.93900000000000006</v>
      </c>
      <c r="Q71" s="2">
        <v>0.23100000000000001</v>
      </c>
      <c r="R71" s="11">
        <v>154565762</v>
      </c>
      <c r="S71" s="11">
        <v>1657175</v>
      </c>
      <c r="T71">
        <v>2019</v>
      </c>
      <c r="U71">
        <v>7</v>
      </c>
      <c r="V71">
        <f t="shared" si="6"/>
        <v>974500</v>
      </c>
      <c r="W71">
        <f t="shared" si="7"/>
        <v>18429897</v>
      </c>
      <c r="X71">
        <f t="shared" si="8"/>
        <v>17455397</v>
      </c>
      <c r="Y71">
        <f t="shared" si="9"/>
        <v>-25208595.5</v>
      </c>
      <c r="Z71">
        <f t="shared" si="10"/>
        <v>44612992.5</v>
      </c>
      <c r="AA71" t="str">
        <f t="shared" si="11"/>
        <v>Normal</v>
      </c>
      <c r="AE71" s="2"/>
      <c r="AF71" s="2"/>
    </row>
    <row r="72" spans="1:32" x14ac:dyDescent="0.35">
      <c r="A72">
        <v>71</v>
      </c>
      <c r="B72" s="1">
        <v>43656</v>
      </c>
      <c r="C72" s="9" t="s">
        <v>194</v>
      </c>
      <c r="D72" s="9" t="s">
        <v>4960</v>
      </c>
      <c r="E72" s="9" t="s">
        <v>5748</v>
      </c>
      <c r="F72" s="9" t="s">
        <v>195</v>
      </c>
      <c r="G72" s="9" t="s">
        <v>196</v>
      </c>
      <c r="H72" s="9" t="s">
        <v>24</v>
      </c>
      <c r="I72" s="11">
        <v>5750000</v>
      </c>
      <c r="J72" s="11">
        <v>3982486</v>
      </c>
      <c r="K72" s="11">
        <v>561407</v>
      </c>
      <c r="L72" s="3">
        <v>71</v>
      </c>
      <c r="M72" s="3">
        <v>3938</v>
      </c>
      <c r="N72" s="3">
        <v>1012099</v>
      </c>
      <c r="O72" s="2">
        <v>1.6E-2</v>
      </c>
      <c r="P72" s="2">
        <v>1.0329999999999999</v>
      </c>
      <c r="Q72" s="2">
        <v>-0.245</v>
      </c>
      <c r="R72" s="11">
        <v>141203799</v>
      </c>
      <c r="S72" s="11">
        <v>1326358</v>
      </c>
      <c r="T72">
        <v>2019</v>
      </c>
      <c r="U72">
        <v>7</v>
      </c>
      <c r="V72">
        <f t="shared" si="6"/>
        <v>972750</v>
      </c>
      <c r="W72">
        <f t="shared" si="7"/>
        <v>18429897</v>
      </c>
      <c r="X72">
        <f t="shared" si="8"/>
        <v>17457147</v>
      </c>
      <c r="Y72">
        <f t="shared" si="9"/>
        <v>-25212970.5</v>
      </c>
      <c r="Z72">
        <f t="shared" si="10"/>
        <v>44615617.5</v>
      </c>
      <c r="AA72" t="str">
        <f t="shared" si="11"/>
        <v>Normal</v>
      </c>
      <c r="AE72" s="2"/>
      <c r="AF72" s="2"/>
    </row>
    <row r="73" spans="1:32" x14ac:dyDescent="0.35">
      <c r="A73">
        <v>72</v>
      </c>
      <c r="B73" s="1">
        <v>43656</v>
      </c>
      <c r="C73" s="9" t="s">
        <v>197</v>
      </c>
      <c r="D73" s="9" t="s">
        <v>4961</v>
      </c>
      <c r="E73" s="9" t="s">
        <v>5749</v>
      </c>
      <c r="F73" s="9" t="s">
        <v>31</v>
      </c>
      <c r="G73" s="9" t="s">
        <v>198</v>
      </c>
      <c r="H73" s="9" t="s">
        <v>37</v>
      </c>
      <c r="I73" s="11">
        <v>2500000</v>
      </c>
      <c r="J73" s="11">
        <v>963567</v>
      </c>
      <c r="K73" s="11">
        <v>11047528</v>
      </c>
      <c r="L73" s="3">
        <v>441</v>
      </c>
      <c r="M73" s="3">
        <v>4663</v>
      </c>
      <c r="N73" s="3">
        <v>1809111</v>
      </c>
      <c r="O73" s="2">
        <v>0.6</v>
      </c>
      <c r="P73" s="2">
        <v>1.0029999999999999</v>
      </c>
      <c r="Q73" s="2">
        <v>0.44800000000000001</v>
      </c>
      <c r="R73" s="11">
        <v>94843167</v>
      </c>
      <c r="S73" s="11">
        <v>1502099</v>
      </c>
      <c r="T73">
        <v>2019</v>
      </c>
      <c r="U73">
        <v>7</v>
      </c>
      <c r="V73">
        <f t="shared" si="6"/>
        <v>971000</v>
      </c>
      <c r="W73">
        <f t="shared" si="7"/>
        <v>18429897</v>
      </c>
      <c r="X73">
        <f t="shared" si="8"/>
        <v>17458897</v>
      </c>
      <c r="Y73">
        <f t="shared" si="9"/>
        <v>-25217345.5</v>
      </c>
      <c r="Z73">
        <f t="shared" si="10"/>
        <v>44618242.5</v>
      </c>
      <c r="AA73" t="str">
        <f t="shared" si="11"/>
        <v>Normal</v>
      </c>
      <c r="AE73" s="2"/>
      <c r="AF73" s="2"/>
    </row>
    <row r="74" spans="1:32" x14ac:dyDescent="0.35">
      <c r="A74">
        <v>73</v>
      </c>
      <c r="B74" s="1">
        <v>43655</v>
      </c>
      <c r="C74" s="9" t="s">
        <v>199</v>
      </c>
      <c r="D74" s="9" t="s">
        <v>4962</v>
      </c>
      <c r="E74" s="9" t="s">
        <v>5750</v>
      </c>
      <c r="F74" s="9" t="s">
        <v>31</v>
      </c>
      <c r="G74" s="9" t="s">
        <v>200</v>
      </c>
      <c r="H74" s="9" t="s">
        <v>37</v>
      </c>
      <c r="I74" s="11">
        <v>1000000</v>
      </c>
      <c r="J74" s="11">
        <v>2325444</v>
      </c>
      <c r="K74" s="11">
        <v>3459189</v>
      </c>
      <c r="L74" s="3">
        <v>32</v>
      </c>
      <c r="M74" s="3">
        <v>4286</v>
      </c>
      <c r="N74" s="3">
        <v>473362</v>
      </c>
      <c r="O74" s="2">
        <v>-3.5000000000000003E-2</v>
      </c>
      <c r="P74" s="2">
        <v>0.75900000000000001</v>
      </c>
      <c r="Q74" s="2">
        <v>0.127</v>
      </c>
      <c r="R74" s="11">
        <v>480969382</v>
      </c>
      <c r="S74" s="11">
        <v>851514</v>
      </c>
      <c r="T74">
        <v>2019</v>
      </c>
      <c r="U74">
        <v>7</v>
      </c>
      <c r="V74">
        <f t="shared" si="6"/>
        <v>970750</v>
      </c>
      <c r="W74">
        <f t="shared" si="7"/>
        <v>18429897</v>
      </c>
      <c r="X74">
        <f t="shared" si="8"/>
        <v>17459147</v>
      </c>
      <c r="Y74">
        <f t="shared" si="9"/>
        <v>-25217970.5</v>
      </c>
      <c r="Z74">
        <f t="shared" si="10"/>
        <v>44618617.5</v>
      </c>
      <c r="AA74" t="str">
        <f t="shared" si="11"/>
        <v>Normal</v>
      </c>
      <c r="AE74" s="2"/>
      <c r="AF74" s="2"/>
    </row>
    <row r="75" spans="1:32" x14ac:dyDescent="0.35">
      <c r="A75">
        <v>74</v>
      </c>
      <c r="B75" s="1">
        <v>43654</v>
      </c>
      <c r="C75" s="9" t="s">
        <v>201</v>
      </c>
      <c r="D75" s="9" t="s">
        <v>4955</v>
      </c>
      <c r="E75" s="9" t="s">
        <v>5751</v>
      </c>
      <c r="F75" s="9" t="s">
        <v>202</v>
      </c>
      <c r="G75" s="9" t="s">
        <v>203</v>
      </c>
      <c r="H75" s="9" t="s">
        <v>204</v>
      </c>
      <c r="I75" s="11">
        <v>319605</v>
      </c>
      <c r="J75" s="11">
        <v>667009</v>
      </c>
      <c r="K75" s="11">
        <v>1000000000</v>
      </c>
      <c r="L75" s="3">
        <v>272</v>
      </c>
      <c r="M75" s="3">
        <v>2505.5</v>
      </c>
      <c r="N75" s="3">
        <v>978505</v>
      </c>
      <c r="O75" s="2">
        <v>0.158</v>
      </c>
      <c r="P75" s="2">
        <v>0.83200000000000007</v>
      </c>
      <c r="Q75" s="2">
        <v>-3.7000000000000005E-2</v>
      </c>
      <c r="R75" s="11">
        <v>137067225</v>
      </c>
      <c r="S75" s="11">
        <v>678630</v>
      </c>
      <c r="T75">
        <v>2019</v>
      </c>
      <c r="U75">
        <v>7</v>
      </c>
      <c r="V75">
        <f t="shared" si="6"/>
        <v>970500</v>
      </c>
      <c r="W75">
        <f t="shared" si="7"/>
        <v>18429897</v>
      </c>
      <c r="X75">
        <f t="shared" si="8"/>
        <v>17459397</v>
      </c>
      <c r="Y75">
        <f t="shared" si="9"/>
        <v>-25218595.5</v>
      </c>
      <c r="Z75">
        <f t="shared" si="10"/>
        <v>44618992.5</v>
      </c>
      <c r="AA75" t="str">
        <f t="shared" si="11"/>
        <v>Normal</v>
      </c>
      <c r="AE75" s="2"/>
      <c r="AF75" s="2"/>
    </row>
    <row r="76" spans="1:32" x14ac:dyDescent="0.35">
      <c r="A76">
        <v>75</v>
      </c>
      <c r="B76" s="1">
        <v>43621</v>
      </c>
      <c r="C76" s="9" t="s">
        <v>205</v>
      </c>
      <c r="D76" s="9" t="s">
        <v>4925</v>
      </c>
      <c r="E76" s="9" t="s">
        <v>4986</v>
      </c>
      <c r="F76" s="9" t="s">
        <v>15</v>
      </c>
      <c r="G76" s="9" t="s">
        <v>206</v>
      </c>
      <c r="H76" s="9" t="s">
        <v>21</v>
      </c>
      <c r="I76" s="11">
        <v>51000000</v>
      </c>
      <c r="J76" s="11">
        <v>3438661</v>
      </c>
      <c r="K76" s="11">
        <v>7627698</v>
      </c>
      <c r="L76" s="3">
        <v>488</v>
      </c>
      <c r="M76" s="3">
        <v>3771</v>
      </c>
      <c r="N76" s="3">
        <v>1824143</v>
      </c>
      <c r="O76" s="2">
        <v>-0.16200000000000001</v>
      </c>
      <c r="P76" s="2">
        <v>1.107</v>
      </c>
      <c r="Q76" s="2">
        <v>0.192</v>
      </c>
      <c r="R76" s="11">
        <v>10705581</v>
      </c>
      <c r="S76" s="11">
        <v>1844431</v>
      </c>
      <c r="T76">
        <v>2019</v>
      </c>
      <c r="U76">
        <v>6</v>
      </c>
      <c r="V76">
        <f t="shared" si="6"/>
        <v>972750</v>
      </c>
      <c r="W76">
        <f t="shared" si="7"/>
        <v>18429897</v>
      </c>
      <c r="X76">
        <f t="shared" si="8"/>
        <v>17457147</v>
      </c>
      <c r="Y76">
        <f t="shared" si="9"/>
        <v>-25212970.5</v>
      </c>
      <c r="Z76">
        <f t="shared" si="10"/>
        <v>44615617.5</v>
      </c>
      <c r="AA76" t="str">
        <f t="shared" si="11"/>
        <v>Outlier</v>
      </c>
      <c r="AE76" s="2"/>
      <c r="AF76" s="2"/>
    </row>
    <row r="77" spans="1:32" x14ac:dyDescent="0.35">
      <c r="A77">
        <v>76</v>
      </c>
      <c r="B77" s="1">
        <v>43620</v>
      </c>
      <c r="C77" s="9" t="s">
        <v>207</v>
      </c>
      <c r="D77" s="9" t="s">
        <v>4939</v>
      </c>
      <c r="E77" s="9" t="s">
        <v>5752</v>
      </c>
      <c r="F77" s="9" t="s">
        <v>27</v>
      </c>
      <c r="G77" s="9" t="s">
        <v>208</v>
      </c>
      <c r="H77" s="9" t="s">
        <v>59</v>
      </c>
      <c r="I77" s="11">
        <v>10000000</v>
      </c>
      <c r="J77" s="11">
        <v>2389010</v>
      </c>
      <c r="K77" s="11">
        <v>5942467</v>
      </c>
      <c r="L77" s="3">
        <v>170</v>
      </c>
      <c r="M77" s="3">
        <v>2505.5</v>
      </c>
      <c r="N77" s="3">
        <v>1207341</v>
      </c>
      <c r="O77" s="2">
        <v>0.115</v>
      </c>
      <c r="P77" s="2">
        <v>0.8640000000000001</v>
      </c>
      <c r="Q77" s="2">
        <v>-7.400000000000001E-2</v>
      </c>
      <c r="R77" s="11">
        <v>212622303</v>
      </c>
      <c r="S77" s="11">
        <v>1355772</v>
      </c>
      <c r="T77">
        <v>2019</v>
      </c>
      <c r="U77">
        <v>6</v>
      </c>
      <c r="V77">
        <f t="shared" si="6"/>
        <v>971000</v>
      </c>
      <c r="W77">
        <f t="shared" si="7"/>
        <v>18429897</v>
      </c>
      <c r="X77">
        <f t="shared" si="8"/>
        <v>17458897</v>
      </c>
      <c r="Y77">
        <f t="shared" si="9"/>
        <v>-25217345.5</v>
      </c>
      <c r="Z77">
        <f t="shared" si="10"/>
        <v>44618242.5</v>
      </c>
      <c r="AA77" t="str">
        <f t="shared" si="11"/>
        <v>Normal</v>
      </c>
      <c r="AE77" s="2"/>
      <c r="AF77" s="2"/>
    </row>
    <row r="78" spans="1:32" x14ac:dyDescent="0.35">
      <c r="A78">
        <v>77</v>
      </c>
      <c r="B78" s="1">
        <v>43619</v>
      </c>
      <c r="C78" s="9" t="s">
        <v>209</v>
      </c>
      <c r="D78" s="9" t="s">
        <v>4925</v>
      </c>
      <c r="E78" s="9" t="s">
        <v>4929</v>
      </c>
      <c r="F78" s="9" t="s">
        <v>19</v>
      </c>
      <c r="G78" s="9" t="s">
        <v>210</v>
      </c>
      <c r="H78" s="9" t="s">
        <v>105</v>
      </c>
      <c r="I78" s="11">
        <v>4889975</v>
      </c>
      <c r="J78" s="11">
        <v>1664377</v>
      </c>
      <c r="K78" s="11">
        <v>1253278</v>
      </c>
      <c r="L78" s="3">
        <v>270</v>
      </c>
      <c r="M78" s="3">
        <v>4433</v>
      </c>
      <c r="N78" s="3">
        <v>1376732</v>
      </c>
      <c r="O78" s="2">
        <v>-0.04</v>
      </c>
      <c r="P78" s="2">
        <v>0.55100000000000005</v>
      </c>
      <c r="Q78" s="2">
        <v>0.12</v>
      </c>
      <c r="R78" s="11">
        <v>384111393</v>
      </c>
      <c r="S78" s="11">
        <v>718005</v>
      </c>
      <c r="T78">
        <v>2019</v>
      </c>
      <c r="U78">
        <v>6</v>
      </c>
      <c r="V78">
        <f t="shared" si="6"/>
        <v>970750</v>
      </c>
      <c r="W78">
        <f t="shared" si="7"/>
        <v>18429897</v>
      </c>
      <c r="X78">
        <f t="shared" si="8"/>
        <v>17459147</v>
      </c>
      <c r="Y78">
        <f t="shared" si="9"/>
        <v>-25217970.5</v>
      </c>
      <c r="Z78">
        <f t="shared" si="10"/>
        <v>44618617.5</v>
      </c>
      <c r="AA78" t="str">
        <f t="shared" si="11"/>
        <v>Normal</v>
      </c>
      <c r="AE78" s="2"/>
      <c r="AF78" s="2"/>
    </row>
    <row r="79" spans="1:32" x14ac:dyDescent="0.35">
      <c r="A79">
        <v>78</v>
      </c>
      <c r="B79" s="1">
        <v>43619</v>
      </c>
      <c r="C79" s="9" t="s">
        <v>211</v>
      </c>
      <c r="D79" s="9" t="s">
        <v>4933</v>
      </c>
      <c r="E79" s="9" t="s">
        <v>4926</v>
      </c>
      <c r="F79" s="9" t="s">
        <v>15</v>
      </c>
      <c r="G79" s="9" t="s">
        <v>212</v>
      </c>
      <c r="H79" s="9" t="s">
        <v>37</v>
      </c>
      <c r="I79" s="11">
        <v>9000000</v>
      </c>
      <c r="J79" s="11">
        <v>1150008</v>
      </c>
      <c r="K79" s="11">
        <v>15829228</v>
      </c>
      <c r="L79" s="3">
        <v>41</v>
      </c>
      <c r="M79" s="3">
        <v>1120</v>
      </c>
      <c r="N79" s="3">
        <v>806555</v>
      </c>
      <c r="O79" s="2">
        <v>0.65799999999999992</v>
      </c>
      <c r="P79" s="2">
        <v>1.15E-2</v>
      </c>
      <c r="Q79" s="2">
        <v>0.121</v>
      </c>
      <c r="R79" s="11">
        <v>423973718</v>
      </c>
      <c r="S79" s="11">
        <v>754964</v>
      </c>
      <c r="T79">
        <v>2019</v>
      </c>
      <c r="U79">
        <v>6</v>
      </c>
      <c r="V79">
        <f t="shared" si="6"/>
        <v>970500</v>
      </c>
      <c r="W79">
        <f t="shared" si="7"/>
        <v>18429897</v>
      </c>
      <c r="X79">
        <f t="shared" si="8"/>
        <v>17459397</v>
      </c>
      <c r="Y79">
        <f t="shared" si="9"/>
        <v>-25218595.5</v>
      </c>
      <c r="Z79">
        <f t="shared" si="10"/>
        <v>44618992.5</v>
      </c>
      <c r="AA79" t="str">
        <f t="shared" si="11"/>
        <v>Normal</v>
      </c>
      <c r="AE79" s="2"/>
      <c r="AF79" s="2"/>
    </row>
    <row r="80" spans="1:32" x14ac:dyDescent="0.35">
      <c r="A80">
        <v>79</v>
      </c>
      <c r="B80" s="1">
        <v>43620</v>
      </c>
      <c r="C80" s="9" t="s">
        <v>213</v>
      </c>
      <c r="D80" s="9" t="s">
        <v>4933</v>
      </c>
      <c r="E80" s="9" t="s">
        <v>4926</v>
      </c>
      <c r="F80" s="9" t="s">
        <v>27</v>
      </c>
      <c r="G80" s="9" t="s">
        <v>214</v>
      </c>
      <c r="H80" s="9" t="s">
        <v>24</v>
      </c>
      <c r="I80" s="11">
        <v>75000000</v>
      </c>
      <c r="J80" s="11">
        <v>2831209</v>
      </c>
      <c r="K80" s="11">
        <v>7989995</v>
      </c>
      <c r="L80" s="3">
        <v>366</v>
      </c>
      <c r="M80" s="3">
        <v>3040</v>
      </c>
      <c r="N80" s="3">
        <v>1097171</v>
      </c>
      <c r="O80" s="2">
        <v>-6.4000000000000001E-2</v>
      </c>
      <c r="P80" s="2">
        <v>1.1659999999999998E-2</v>
      </c>
      <c r="Q80" s="2">
        <v>0.41499999999999998</v>
      </c>
      <c r="R80" s="11">
        <v>186060566</v>
      </c>
      <c r="S80" s="11">
        <v>1276000</v>
      </c>
      <c r="T80">
        <v>2019</v>
      </c>
      <c r="U80">
        <v>6</v>
      </c>
      <c r="V80">
        <f t="shared" si="6"/>
        <v>970250</v>
      </c>
      <c r="W80">
        <f t="shared" si="7"/>
        <v>18429897</v>
      </c>
      <c r="X80">
        <f t="shared" si="8"/>
        <v>17459647</v>
      </c>
      <c r="Y80">
        <f t="shared" si="9"/>
        <v>-25219220.5</v>
      </c>
      <c r="Z80">
        <f t="shared" si="10"/>
        <v>44619367.5</v>
      </c>
      <c r="AA80" t="str">
        <f t="shared" si="11"/>
        <v>Outlier</v>
      </c>
      <c r="AE80" s="2"/>
      <c r="AF80" s="2"/>
    </row>
    <row r="81" spans="1:32" x14ac:dyDescent="0.35">
      <c r="A81">
        <v>80</v>
      </c>
      <c r="B81" s="1">
        <v>43620</v>
      </c>
      <c r="C81" s="9" t="s">
        <v>215</v>
      </c>
      <c r="D81" s="9" t="s">
        <v>4963</v>
      </c>
      <c r="E81" s="9" t="s">
        <v>5753</v>
      </c>
      <c r="F81" s="9" t="s">
        <v>124</v>
      </c>
      <c r="G81" s="9" t="s">
        <v>216</v>
      </c>
      <c r="H81" s="9" t="s">
        <v>29</v>
      </c>
      <c r="I81" s="11">
        <v>26000000</v>
      </c>
      <c r="J81" s="11">
        <v>3355673</v>
      </c>
      <c r="K81" s="11">
        <v>5360000</v>
      </c>
      <c r="L81" s="3">
        <v>488</v>
      </c>
      <c r="M81" s="3">
        <v>1564</v>
      </c>
      <c r="N81" s="3">
        <v>743193</v>
      </c>
      <c r="O81" s="2">
        <v>0.50600000000000001</v>
      </c>
      <c r="P81" s="2">
        <v>0.82799999999999996</v>
      </c>
      <c r="Q81" s="2">
        <v>0.17</v>
      </c>
      <c r="R81" s="11">
        <v>340151156</v>
      </c>
      <c r="S81" s="11">
        <v>935210</v>
      </c>
      <c r="T81">
        <v>2019</v>
      </c>
      <c r="U81">
        <v>6</v>
      </c>
      <c r="V81">
        <f t="shared" si="6"/>
        <v>970000</v>
      </c>
      <c r="W81">
        <f t="shared" si="7"/>
        <v>18429897</v>
      </c>
      <c r="X81">
        <f t="shared" si="8"/>
        <v>17459897</v>
      </c>
      <c r="Y81">
        <f t="shared" si="9"/>
        <v>-25219845.5</v>
      </c>
      <c r="Z81">
        <f t="shared" si="10"/>
        <v>44619742.5</v>
      </c>
      <c r="AA81" t="str">
        <f t="shared" si="11"/>
        <v>Normal</v>
      </c>
      <c r="AE81" s="2"/>
      <c r="AF81" s="2"/>
    </row>
    <row r="82" spans="1:32" x14ac:dyDescent="0.35">
      <c r="A82">
        <v>81</v>
      </c>
      <c r="B82" s="1">
        <v>43619</v>
      </c>
      <c r="C82" s="9" t="s">
        <v>217</v>
      </c>
      <c r="D82" s="9" t="s">
        <v>4964</v>
      </c>
      <c r="E82" s="9" t="s">
        <v>4959</v>
      </c>
      <c r="F82" s="9" t="s">
        <v>15</v>
      </c>
      <c r="G82" s="9" t="s">
        <v>218</v>
      </c>
      <c r="H82" s="9" t="s">
        <v>29</v>
      </c>
      <c r="I82" s="11">
        <v>2500000</v>
      </c>
      <c r="J82" s="11">
        <v>4702724</v>
      </c>
      <c r="K82" s="11">
        <v>16901507</v>
      </c>
      <c r="L82" s="3">
        <v>387</v>
      </c>
      <c r="M82" s="3">
        <v>4193</v>
      </c>
      <c r="N82" s="3">
        <v>1364200</v>
      </c>
      <c r="O82" s="2">
        <v>-0.10800000000000001</v>
      </c>
      <c r="P82" s="2">
        <v>0.7659999999999999</v>
      </c>
      <c r="Q82" s="2">
        <v>-0.18</v>
      </c>
      <c r="R82" s="11">
        <v>70249656</v>
      </c>
      <c r="S82" s="11">
        <v>49072</v>
      </c>
      <c r="T82">
        <v>2019</v>
      </c>
      <c r="U82">
        <v>6</v>
      </c>
      <c r="V82">
        <f t="shared" si="6"/>
        <v>968250</v>
      </c>
      <c r="W82">
        <f t="shared" si="7"/>
        <v>18429897</v>
      </c>
      <c r="X82">
        <f t="shared" si="8"/>
        <v>17461647</v>
      </c>
      <c r="Y82">
        <f t="shared" si="9"/>
        <v>-25224220.5</v>
      </c>
      <c r="Z82">
        <f t="shared" si="10"/>
        <v>44622367.5</v>
      </c>
      <c r="AA82" t="str">
        <f t="shared" si="11"/>
        <v>Normal</v>
      </c>
      <c r="AE82" s="2"/>
      <c r="AF82" s="2"/>
    </row>
    <row r="83" spans="1:32" x14ac:dyDescent="0.35">
      <c r="A83">
        <v>82</v>
      </c>
      <c r="B83" s="1">
        <v>43622</v>
      </c>
      <c r="C83" s="9" t="s">
        <v>219</v>
      </c>
      <c r="D83" s="9" t="s">
        <v>4965</v>
      </c>
      <c r="E83" s="9" t="s">
        <v>5754</v>
      </c>
      <c r="F83" s="9" t="s">
        <v>220</v>
      </c>
      <c r="G83" s="9" t="s">
        <v>221</v>
      </c>
      <c r="H83" s="9" t="s">
        <v>105</v>
      </c>
      <c r="I83" s="11">
        <v>2739034</v>
      </c>
      <c r="J83" s="11">
        <v>2197016</v>
      </c>
      <c r="K83" s="11">
        <v>489044</v>
      </c>
      <c r="L83" s="3">
        <v>254</v>
      </c>
      <c r="M83" s="3">
        <v>101</v>
      </c>
      <c r="N83" s="3">
        <v>111667</v>
      </c>
      <c r="O83" s="2">
        <v>0.17299999999999999</v>
      </c>
      <c r="P83" s="2">
        <v>1.137</v>
      </c>
      <c r="Q83" s="2">
        <v>0.245</v>
      </c>
      <c r="R83" s="11">
        <v>33950042</v>
      </c>
      <c r="S83" s="11">
        <v>186778</v>
      </c>
      <c r="T83">
        <v>2019</v>
      </c>
      <c r="U83">
        <v>6</v>
      </c>
      <c r="V83">
        <f t="shared" si="6"/>
        <v>966500</v>
      </c>
      <c r="W83">
        <f t="shared" si="7"/>
        <v>18429897</v>
      </c>
      <c r="X83">
        <f t="shared" si="8"/>
        <v>17463397</v>
      </c>
      <c r="Y83">
        <f t="shared" si="9"/>
        <v>-25228595.5</v>
      </c>
      <c r="Z83">
        <f t="shared" si="10"/>
        <v>44624992.5</v>
      </c>
      <c r="AA83" t="str">
        <f t="shared" si="11"/>
        <v>Normal</v>
      </c>
      <c r="AE83" s="2"/>
      <c r="AF83" s="2"/>
    </row>
    <row r="84" spans="1:32" x14ac:dyDescent="0.35">
      <c r="A84">
        <v>83</v>
      </c>
      <c r="B84" s="1">
        <v>43622</v>
      </c>
      <c r="C84" s="9" t="s">
        <v>222</v>
      </c>
      <c r="D84" s="9" t="s">
        <v>4966</v>
      </c>
      <c r="E84" s="9" t="s">
        <v>5755</v>
      </c>
      <c r="F84" s="9" t="s">
        <v>27</v>
      </c>
      <c r="G84" s="9" t="s">
        <v>223</v>
      </c>
      <c r="H84" s="9" t="s">
        <v>37</v>
      </c>
      <c r="I84" s="11">
        <v>26000000</v>
      </c>
      <c r="J84" s="11">
        <v>820227</v>
      </c>
      <c r="K84" s="11">
        <v>9429803</v>
      </c>
      <c r="L84" s="3">
        <v>179</v>
      </c>
      <c r="M84" s="3">
        <v>2115</v>
      </c>
      <c r="N84" s="3">
        <v>1023771</v>
      </c>
      <c r="O84" s="2">
        <v>0.22</v>
      </c>
      <c r="P84" s="2">
        <v>0.97799999999999998</v>
      </c>
      <c r="Q84" s="2">
        <v>0.28000000000000003</v>
      </c>
      <c r="R84" s="11">
        <v>373260008</v>
      </c>
      <c r="S84" s="11">
        <v>1168079</v>
      </c>
      <c r="T84">
        <v>2019</v>
      </c>
      <c r="U84">
        <v>6</v>
      </c>
      <c r="V84">
        <f t="shared" si="6"/>
        <v>964750</v>
      </c>
      <c r="W84">
        <f t="shared" si="7"/>
        <v>18429897</v>
      </c>
      <c r="X84">
        <f t="shared" si="8"/>
        <v>17465147</v>
      </c>
      <c r="Y84">
        <f t="shared" si="9"/>
        <v>-25232970.5</v>
      </c>
      <c r="Z84">
        <f t="shared" si="10"/>
        <v>44627617.5</v>
      </c>
      <c r="AA84" t="str">
        <f t="shared" si="11"/>
        <v>Normal</v>
      </c>
      <c r="AE84" s="2"/>
      <c r="AF84" s="2"/>
    </row>
    <row r="85" spans="1:32" x14ac:dyDescent="0.35">
      <c r="A85">
        <v>84</v>
      </c>
      <c r="B85" s="1">
        <v>43622</v>
      </c>
      <c r="C85" s="9" t="s">
        <v>224</v>
      </c>
      <c r="D85" s="9" t="s">
        <v>4967</v>
      </c>
      <c r="E85" s="9" t="s">
        <v>5756</v>
      </c>
      <c r="F85" s="9" t="s">
        <v>15</v>
      </c>
      <c r="G85" s="9" t="s">
        <v>225</v>
      </c>
      <c r="H85" s="9" t="s">
        <v>24</v>
      </c>
      <c r="I85" s="11">
        <v>15109500</v>
      </c>
      <c r="J85" s="11">
        <v>4166737</v>
      </c>
      <c r="K85" s="11">
        <v>3298505</v>
      </c>
      <c r="L85" s="3">
        <v>363</v>
      </c>
      <c r="M85" s="3">
        <v>1926</v>
      </c>
      <c r="N85" s="3">
        <v>1859676</v>
      </c>
      <c r="O85" s="2">
        <v>0.14800000000000002</v>
      </c>
      <c r="P85" s="2">
        <v>0.31900000000000001</v>
      </c>
      <c r="Q85" s="2">
        <v>-0.30299999999999999</v>
      </c>
      <c r="R85" s="11">
        <v>254432238</v>
      </c>
      <c r="S85" s="11">
        <v>353424</v>
      </c>
      <c r="T85">
        <v>2019</v>
      </c>
      <c r="U85">
        <v>6</v>
      </c>
      <c r="V85">
        <f t="shared" si="6"/>
        <v>963000</v>
      </c>
      <c r="W85">
        <f t="shared" si="7"/>
        <v>18429897</v>
      </c>
      <c r="X85">
        <f t="shared" si="8"/>
        <v>17466897</v>
      </c>
      <c r="Y85">
        <f t="shared" si="9"/>
        <v>-25237345.5</v>
      </c>
      <c r="Z85">
        <f t="shared" si="10"/>
        <v>44630242.5</v>
      </c>
      <c r="AA85" t="str">
        <f t="shared" si="11"/>
        <v>Normal</v>
      </c>
      <c r="AE85" s="2"/>
      <c r="AF85" s="2"/>
    </row>
    <row r="86" spans="1:32" x14ac:dyDescent="0.35">
      <c r="A86">
        <v>85</v>
      </c>
      <c r="B86" s="1">
        <v>43626</v>
      </c>
      <c r="C86" s="9" t="s">
        <v>226</v>
      </c>
      <c r="D86" s="9" t="s">
        <v>4967</v>
      </c>
      <c r="E86" s="9" t="s">
        <v>5757</v>
      </c>
      <c r="F86" s="9" t="s">
        <v>15</v>
      </c>
      <c r="G86" s="9" t="s">
        <v>227</v>
      </c>
      <c r="H86" s="9" t="s">
        <v>86</v>
      </c>
      <c r="I86" s="11">
        <v>430200</v>
      </c>
      <c r="J86" s="11">
        <v>3156226</v>
      </c>
      <c r="K86" s="11">
        <v>2626768</v>
      </c>
      <c r="L86" s="3">
        <v>400</v>
      </c>
      <c r="M86" s="3">
        <v>4269</v>
      </c>
      <c r="N86" s="3">
        <v>116863</v>
      </c>
      <c r="O86" s="2">
        <v>0.13600000000000001</v>
      </c>
      <c r="P86" s="2">
        <v>1.1579999999999999</v>
      </c>
      <c r="Q86" s="2">
        <v>-0.19700000000000001</v>
      </c>
      <c r="R86" s="11">
        <v>2218693</v>
      </c>
      <c r="S86" s="11">
        <v>1553377</v>
      </c>
      <c r="T86">
        <v>2019</v>
      </c>
      <c r="U86">
        <v>6</v>
      </c>
      <c r="V86">
        <f t="shared" si="6"/>
        <v>959500</v>
      </c>
      <c r="W86">
        <f t="shared" si="7"/>
        <v>18429897</v>
      </c>
      <c r="X86">
        <f t="shared" si="8"/>
        <v>17470397</v>
      </c>
      <c r="Y86">
        <f t="shared" si="9"/>
        <v>-25246095.5</v>
      </c>
      <c r="Z86">
        <f t="shared" si="10"/>
        <v>44635492.5</v>
      </c>
      <c r="AA86" t="str">
        <f t="shared" si="11"/>
        <v>Normal</v>
      </c>
      <c r="AE86" s="2"/>
      <c r="AF86" s="2"/>
    </row>
    <row r="87" spans="1:32" x14ac:dyDescent="0.35">
      <c r="A87">
        <v>86</v>
      </c>
      <c r="B87" s="1">
        <v>43626</v>
      </c>
      <c r="C87" s="9" t="s">
        <v>228</v>
      </c>
      <c r="D87" s="9" t="s">
        <v>4926</v>
      </c>
      <c r="E87" s="9" t="s">
        <v>5716</v>
      </c>
      <c r="F87" s="9" t="s">
        <v>229</v>
      </c>
      <c r="G87" s="9" t="s">
        <v>16</v>
      </c>
      <c r="H87" s="9" t="s">
        <v>37</v>
      </c>
      <c r="I87" s="11">
        <v>15500000</v>
      </c>
      <c r="J87" s="11">
        <v>3507320</v>
      </c>
      <c r="K87" s="11">
        <v>530892</v>
      </c>
      <c r="L87" s="3">
        <v>204</v>
      </c>
      <c r="M87" s="3">
        <v>1508</v>
      </c>
      <c r="N87" s="3">
        <v>902287</v>
      </c>
      <c r="O87" s="2">
        <v>0.29199999999999998</v>
      </c>
      <c r="P87" s="2">
        <v>0.92400000000000004</v>
      </c>
      <c r="Q87" s="2">
        <v>0.60199999999999998</v>
      </c>
      <c r="R87" s="11">
        <v>117800827</v>
      </c>
      <c r="S87" s="11">
        <v>1008193.5</v>
      </c>
      <c r="T87">
        <v>2019</v>
      </c>
      <c r="U87">
        <v>6</v>
      </c>
      <c r="V87">
        <f t="shared" si="6"/>
        <v>966500</v>
      </c>
      <c r="W87">
        <f t="shared" si="7"/>
        <v>18429897</v>
      </c>
      <c r="X87">
        <f t="shared" si="8"/>
        <v>17463397</v>
      </c>
      <c r="Y87">
        <f t="shared" si="9"/>
        <v>-25228595.5</v>
      </c>
      <c r="Z87">
        <f t="shared" si="10"/>
        <v>44624992.5</v>
      </c>
      <c r="AA87" t="str">
        <f t="shared" si="11"/>
        <v>Normal</v>
      </c>
      <c r="AE87" s="2"/>
      <c r="AF87" s="2"/>
    </row>
    <row r="88" spans="1:32" x14ac:dyDescent="0.35">
      <c r="A88">
        <v>87</v>
      </c>
      <c r="B88" s="1">
        <v>43622</v>
      </c>
      <c r="C88" s="9" t="s">
        <v>230</v>
      </c>
      <c r="D88" s="9" t="s">
        <v>4926</v>
      </c>
      <c r="E88" s="9" t="s">
        <v>1111</v>
      </c>
      <c r="F88" s="9" t="s">
        <v>231</v>
      </c>
      <c r="G88" s="9" t="s">
        <v>173</v>
      </c>
      <c r="H88" s="9" t="s">
        <v>24</v>
      </c>
      <c r="I88" s="11">
        <v>52000000</v>
      </c>
      <c r="J88" s="11">
        <v>504188</v>
      </c>
      <c r="K88" s="11">
        <v>3822214</v>
      </c>
      <c r="L88" s="3">
        <v>480</v>
      </c>
      <c r="M88" s="3">
        <v>4484</v>
      </c>
      <c r="N88" s="3">
        <v>1320916</v>
      </c>
      <c r="O88" s="2">
        <v>0.20300000000000001</v>
      </c>
      <c r="P88" s="2">
        <v>0.93900000000000006</v>
      </c>
      <c r="Q88" s="2">
        <v>1.7000000000000001E-2</v>
      </c>
      <c r="R88" s="11">
        <v>195991781</v>
      </c>
      <c r="S88" s="11">
        <v>1667667</v>
      </c>
      <c r="T88">
        <v>2019</v>
      </c>
      <c r="U88">
        <v>6</v>
      </c>
      <c r="V88">
        <f t="shared" si="6"/>
        <v>964750</v>
      </c>
      <c r="W88">
        <f t="shared" si="7"/>
        <v>18429897</v>
      </c>
      <c r="X88">
        <f t="shared" si="8"/>
        <v>17465147</v>
      </c>
      <c r="Y88">
        <f t="shared" si="9"/>
        <v>-25232970.5</v>
      </c>
      <c r="Z88">
        <f t="shared" si="10"/>
        <v>44627617.5</v>
      </c>
      <c r="AA88" t="str">
        <f t="shared" si="11"/>
        <v>Outlier</v>
      </c>
      <c r="AE88" s="2"/>
      <c r="AF88" s="2"/>
    </row>
    <row r="89" spans="1:32" x14ac:dyDescent="0.35">
      <c r="A89">
        <v>88</v>
      </c>
      <c r="B89" s="1">
        <v>43624</v>
      </c>
      <c r="C89" s="9" t="s">
        <v>232</v>
      </c>
      <c r="D89" s="9" t="s">
        <v>4924</v>
      </c>
      <c r="E89" s="9" t="s">
        <v>5758</v>
      </c>
      <c r="F89" s="9" t="s">
        <v>233</v>
      </c>
      <c r="G89" s="9" t="s">
        <v>143</v>
      </c>
      <c r="H89" s="9" t="s">
        <v>59</v>
      </c>
      <c r="I89" s="11">
        <v>3584000</v>
      </c>
      <c r="J89" s="11">
        <v>1575585</v>
      </c>
      <c r="K89" s="11">
        <v>18946546</v>
      </c>
      <c r="L89" s="3">
        <v>105</v>
      </c>
      <c r="M89" s="3">
        <v>2506</v>
      </c>
      <c r="N89" s="3">
        <v>169209</v>
      </c>
      <c r="O89" s="2">
        <v>8.5000000000000006E-2</v>
      </c>
      <c r="P89" s="2">
        <v>0.60099999999999998</v>
      </c>
      <c r="Q89" s="2">
        <v>2.3E-2</v>
      </c>
      <c r="R89" s="11">
        <v>250264963</v>
      </c>
      <c r="S89" s="11">
        <v>1559964</v>
      </c>
      <c r="T89">
        <v>2019</v>
      </c>
      <c r="U89">
        <v>6</v>
      </c>
      <c r="V89">
        <f t="shared" si="6"/>
        <v>963000</v>
      </c>
      <c r="W89">
        <f t="shared" si="7"/>
        <v>18429897</v>
      </c>
      <c r="X89">
        <f t="shared" si="8"/>
        <v>17466897</v>
      </c>
      <c r="Y89">
        <f t="shared" si="9"/>
        <v>-25237345.5</v>
      </c>
      <c r="Z89">
        <f t="shared" si="10"/>
        <v>44630242.5</v>
      </c>
      <c r="AA89" t="str">
        <f t="shared" si="11"/>
        <v>Normal</v>
      </c>
      <c r="AE89" s="2"/>
      <c r="AF89" s="2"/>
    </row>
    <row r="90" spans="1:32" x14ac:dyDescent="0.35">
      <c r="A90">
        <v>89</v>
      </c>
      <c r="B90" s="1">
        <v>43620</v>
      </c>
      <c r="C90" s="9" t="s">
        <v>234</v>
      </c>
      <c r="D90" s="9" t="s">
        <v>4956</v>
      </c>
      <c r="E90" s="9" t="s">
        <v>5759</v>
      </c>
      <c r="F90" s="9" t="s">
        <v>235</v>
      </c>
      <c r="G90" s="9" t="s">
        <v>236</v>
      </c>
      <c r="H90" s="9" t="s">
        <v>37</v>
      </c>
      <c r="I90" s="11">
        <v>3400000</v>
      </c>
      <c r="J90" s="11">
        <v>3843862</v>
      </c>
      <c r="K90" s="11">
        <v>8965865</v>
      </c>
      <c r="L90" s="3">
        <v>372</v>
      </c>
      <c r="M90" s="3">
        <v>3447</v>
      </c>
      <c r="N90" s="3">
        <v>10533</v>
      </c>
      <c r="O90" s="2">
        <v>-1.4999999999999999E-2</v>
      </c>
      <c r="P90" s="2">
        <v>0.20800000000000002</v>
      </c>
      <c r="Q90" s="2">
        <v>9.0999999999999998E-2</v>
      </c>
      <c r="R90" s="11">
        <v>152767152</v>
      </c>
      <c r="S90" s="11">
        <v>1756160</v>
      </c>
      <c r="T90">
        <v>2019</v>
      </c>
      <c r="U90">
        <v>6</v>
      </c>
      <c r="V90">
        <f t="shared" si="6"/>
        <v>959500</v>
      </c>
      <c r="W90">
        <f t="shared" si="7"/>
        <v>18429897</v>
      </c>
      <c r="X90">
        <f t="shared" si="8"/>
        <v>17470397</v>
      </c>
      <c r="Y90">
        <f t="shared" si="9"/>
        <v>-25246095.5</v>
      </c>
      <c r="Z90">
        <f t="shared" si="10"/>
        <v>44635492.5</v>
      </c>
      <c r="AA90" t="str">
        <f t="shared" si="11"/>
        <v>Normal</v>
      </c>
      <c r="AE90" s="2"/>
      <c r="AF90" s="2"/>
    </row>
    <row r="91" spans="1:32" x14ac:dyDescent="0.35">
      <c r="A91">
        <v>90</v>
      </c>
      <c r="B91" s="1">
        <v>43591</v>
      </c>
      <c r="C91" s="9" t="s">
        <v>237</v>
      </c>
      <c r="D91" s="9" t="s">
        <v>4958</v>
      </c>
      <c r="E91" s="9" t="s">
        <v>5744</v>
      </c>
      <c r="F91" s="9" t="s">
        <v>15</v>
      </c>
      <c r="G91" s="9" t="s">
        <v>238</v>
      </c>
      <c r="H91" s="9" t="s">
        <v>37</v>
      </c>
      <c r="I91" s="11">
        <v>18429897</v>
      </c>
      <c r="J91" s="11">
        <v>4164653</v>
      </c>
      <c r="K91" s="11">
        <v>19999542</v>
      </c>
      <c r="L91" s="3">
        <v>250</v>
      </c>
      <c r="M91" s="3">
        <v>2676</v>
      </c>
      <c r="N91" s="3">
        <v>330387</v>
      </c>
      <c r="O91" s="2">
        <v>8.6999999999999994E-2</v>
      </c>
      <c r="P91" s="2">
        <v>0.50800000000000001</v>
      </c>
      <c r="Q91" s="2">
        <v>-0.06</v>
      </c>
      <c r="R91" s="11">
        <v>282951656</v>
      </c>
      <c r="S91" s="11">
        <v>1251263</v>
      </c>
      <c r="T91">
        <v>2019</v>
      </c>
      <c r="U91">
        <v>5</v>
      </c>
      <c r="V91">
        <f t="shared" si="6"/>
        <v>956000</v>
      </c>
      <c r="W91">
        <f t="shared" si="7"/>
        <v>18429897</v>
      </c>
      <c r="X91">
        <f t="shared" si="8"/>
        <v>17473897</v>
      </c>
      <c r="Y91">
        <f t="shared" si="9"/>
        <v>-25254845.5</v>
      </c>
      <c r="Z91">
        <f t="shared" si="10"/>
        <v>44640742.5</v>
      </c>
      <c r="AA91" t="str">
        <f t="shared" si="11"/>
        <v>Normal</v>
      </c>
      <c r="AE91" s="2"/>
      <c r="AF91" s="2"/>
    </row>
    <row r="92" spans="1:32" x14ac:dyDescent="0.35">
      <c r="A92">
        <v>91</v>
      </c>
      <c r="B92" s="1">
        <v>43591</v>
      </c>
      <c r="C92" s="9" t="s">
        <v>239</v>
      </c>
      <c r="D92" s="9" t="s">
        <v>4963</v>
      </c>
      <c r="E92" s="9" t="s">
        <v>5753</v>
      </c>
      <c r="F92" s="9" t="s">
        <v>15</v>
      </c>
      <c r="G92" s="9" t="s">
        <v>240</v>
      </c>
      <c r="H92" s="9" t="s">
        <v>241</v>
      </c>
      <c r="I92" s="11">
        <v>868600</v>
      </c>
      <c r="J92" s="11">
        <v>2187379</v>
      </c>
      <c r="K92" s="11">
        <v>5419270</v>
      </c>
      <c r="L92" s="3">
        <v>357</v>
      </c>
      <c r="M92" s="3">
        <v>2183</v>
      </c>
      <c r="N92" s="3">
        <v>440769</v>
      </c>
      <c r="O92" s="2">
        <v>8.4000000000000005E-2</v>
      </c>
      <c r="P92" s="2">
        <v>0.53100000000000003</v>
      </c>
      <c r="Q92" s="2">
        <v>-0.34299999999999997</v>
      </c>
      <c r="R92" s="11">
        <v>99957076</v>
      </c>
      <c r="S92" s="11">
        <v>1015144</v>
      </c>
      <c r="T92">
        <v>2019</v>
      </c>
      <c r="U92">
        <v>5</v>
      </c>
      <c r="V92">
        <f t="shared" si="6"/>
        <v>952500</v>
      </c>
      <c r="W92">
        <f t="shared" si="7"/>
        <v>18429897</v>
      </c>
      <c r="X92">
        <f t="shared" si="8"/>
        <v>17477397</v>
      </c>
      <c r="Y92">
        <f t="shared" si="9"/>
        <v>-25263595.5</v>
      </c>
      <c r="Z92">
        <f t="shared" si="10"/>
        <v>44645992.5</v>
      </c>
      <c r="AA92" t="str">
        <f t="shared" si="11"/>
        <v>Normal</v>
      </c>
      <c r="AE92" s="2"/>
      <c r="AF92" s="2"/>
    </row>
    <row r="93" spans="1:32" x14ac:dyDescent="0.35">
      <c r="A93">
        <v>92</v>
      </c>
      <c r="B93" s="1">
        <v>43590</v>
      </c>
      <c r="C93" s="9" t="s">
        <v>242</v>
      </c>
      <c r="D93" s="9" t="s">
        <v>4925</v>
      </c>
      <c r="E93" s="9" t="s">
        <v>5760</v>
      </c>
      <c r="F93" s="9" t="s">
        <v>94</v>
      </c>
      <c r="G93" s="9" t="s">
        <v>243</v>
      </c>
      <c r="H93" s="9" t="s">
        <v>244</v>
      </c>
      <c r="I93" s="11">
        <v>18429897</v>
      </c>
      <c r="J93" s="11">
        <v>4027726</v>
      </c>
      <c r="K93" s="11">
        <v>15268382</v>
      </c>
      <c r="L93" s="3">
        <v>300</v>
      </c>
      <c r="M93" s="3">
        <v>1555</v>
      </c>
      <c r="N93" s="3">
        <v>1757322</v>
      </c>
      <c r="O93" s="2">
        <v>0.08</v>
      </c>
      <c r="P93" s="2">
        <v>0.65599999999999992</v>
      </c>
      <c r="Q93" s="2">
        <v>-0.18099999999999999</v>
      </c>
      <c r="R93" s="11">
        <v>282265253</v>
      </c>
      <c r="S93" s="11">
        <v>1361151</v>
      </c>
      <c r="T93">
        <v>2019</v>
      </c>
      <c r="U93">
        <v>5</v>
      </c>
      <c r="V93">
        <f t="shared" si="6"/>
        <v>963000</v>
      </c>
      <c r="W93">
        <f t="shared" si="7"/>
        <v>18429897</v>
      </c>
      <c r="X93">
        <f t="shared" si="8"/>
        <v>17466897</v>
      </c>
      <c r="Y93">
        <f t="shared" si="9"/>
        <v>-25237345.5</v>
      </c>
      <c r="Z93">
        <f t="shared" si="10"/>
        <v>44630242.5</v>
      </c>
      <c r="AA93" t="str">
        <f t="shared" si="11"/>
        <v>Normal</v>
      </c>
      <c r="AE93" s="2"/>
      <c r="AF93" s="2"/>
    </row>
    <row r="94" spans="1:32" x14ac:dyDescent="0.35">
      <c r="A94">
        <v>93</v>
      </c>
      <c r="B94" s="1">
        <v>43586</v>
      </c>
      <c r="C94" s="9" t="s">
        <v>245</v>
      </c>
      <c r="D94" s="9" t="s">
        <v>4958</v>
      </c>
      <c r="E94" s="9" t="s">
        <v>4928</v>
      </c>
      <c r="F94" s="9" t="s">
        <v>15</v>
      </c>
      <c r="G94" s="9" t="s">
        <v>246</v>
      </c>
      <c r="H94" s="9" t="s">
        <v>45</v>
      </c>
      <c r="I94" s="11">
        <v>150000000</v>
      </c>
      <c r="J94" s="11">
        <v>4211625</v>
      </c>
      <c r="K94" s="11">
        <v>1883071</v>
      </c>
      <c r="L94" s="3">
        <v>254</v>
      </c>
      <c r="M94" s="3">
        <v>1444</v>
      </c>
      <c r="N94" s="3">
        <v>312042</v>
      </c>
      <c r="O94" s="2">
        <v>0.13500000000000001</v>
      </c>
      <c r="P94" s="2">
        <v>0.90099999999999991</v>
      </c>
      <c r="Q94" s="2">
        <v>-0.06</v>
      </c>
      <c r="R94" s="11">
        <v>323665310</v>
      </c>
      <c r="S94" s="11">
        <v>1008193.5</v>
      </c>
      <c r="T94">
        <v>2019</v>
      </c>
      <c r="U94">
        <v>5</v>
      </c>
      <c r="V94">
        <f t="shared" si="6"/>
        <v>959500</v>
      </c>
      <c r="W94">
        <f t="shared" si="7"/>
        <v>18429897</v>
      </c>
      <c r="X94">
        <f t="shared" si="8"/>
        <v>17470397</v>
      </c>
      <c r="Y94">
        <f t="shared" si="9"/>
        <v>-25246095.5</v>
      </c>
      <c r="Z94">
        <f t="shared" si="10"/>
        <v>44635492.5</v>
      </c>
      <c r="AA94" t="str">
        <f t="shared" si="11"/>
        <v>Outlier</v>
      </c>
      <c r="AE94" s="2"/>
      <c r="AF94" s="2"/>
    </row>
    <row r="95" spans="1:32" x14ac:dyDescent="0.35">
      <c r="A95">
        <v>94</v>
      </c>
      <c r="B95" s="1">
        <v>43587</v>
      </c>
      <c r="C95" s="9" t="s">
        <v>247</v>
      </c>
      <c r="D95" s="9" t="s">
        <v>4942</v>
      </c>
      <c r="E95" s="9" t="s">
        <v>5761</v>
      </c>
      <c r="F95" s="9" t="s">
        <v>124</v>
      </c>
      <c r="G95" s="9" t="s">
        <v>16</v>
      </c>
      <c r="H95" s="9" t="s">
        <v>21</v>
      </c>
      <c r="I95" s="11">
        <v>50000000</v>
      </c>
      <c r="J95" s="11">
        <v>1949642</v>
      </c>
      <c r="K95" s="11">
        <v>2251750</v>
      </c>
      <c r="L95" s="3">
        <v>254</v>
      </c>
      <c r="M95" s="3">
        <v>3219</v>
      </c>
      <c r="N95" s="3">
        <v>1280981</v>
      </c>
      <c r="O95" s="2">
        <v>-0.16200000000000001</v>
      </c>
      <c r="P95" s="2">
        <v>0.65099999999999991</v>
      </c>
      <c r="Q95" s="2">
        <v>-2.5999999999999999E-2</v>
      </c>
      <c r="R95" s="11">
        <v>333228708</v>
      </c>
      <c r="S95" s="11">
        <v>1829481</v>
      </c>
      <c r="T95">
        <v>2019</v>
      </c>
      <c r="U95">
        <v>5</v>
      </c>
      <c r="V95">
        <f t="shared" si="6"/>
        <v>956000</v>
      </c>
      <c r="W95">
        <f t="shared" si="7"/>
        <v>18429897</v>
      </c>
      <c r="X95">
        <f t="shared" si="8"/>
        <v>17473897</v>
      </c>
      <c r="Y95">
        <f t="shared" si="9"/>
        <v>-25254845.5</v>
      </c>
      <c r="Z95">
        <f t="shared" si="10"/>
        <v>44640742.5</v>
      </c>
      <c r="AA95" t="str">
        <f t="shared" si="11"/>
        <v>Outlier</v>
      </c>
      <c r="AE95" s="2"/>
      <c r="AF95" s="2"/>
    </row>
    <row r="96" spans="1:32" x14ac:dyDescent="0.35">
      <c r="A96">
        <v>95</v>
      </c>
      <c r="B96" s="1">
        <v>43613</v>
      </c>
      <c r="C96" s="9" t="s">
        <v>248</v>
      </c>
      <c r="D96" s="9" t="s">
        <v>4968</v>
      </c>
      <c r="E96" s="9" t="s">
        <v>5762</v>
      </c>
      <c r="F96" s="9" t="s">
        <v>15</v>
      </c>
      <c r="G96" s="9" t="s">
        <v>249</v>
      </c>
      <c r="H96" s="9" t="s">
        <v>21</v>
      </c>
      <c r="I96" s="11">
        <v>51000000</v>
      </c>
      <c r="J96" s="11">
        <v>4492476</v>
      </c>
      <c r="K96" s="11">
        <v>426264</v>
      </c>
      <c r="L96" s="3">
        <v>421</v>
      </c>
      <c r="M96" s="3">
        <v>1659</v>
      </c>
      <c r="N96" s="3">
        <v>680310</v>
      </c>
      <c r="O96" s="2">
        <v>-8.5999999999999993E-2</v>
      </c>
      <c r="P96" s="2">
        <v>0.57200000000000006</v>
      </c>
      <c r="Q96" s="2">
        <v>-9.1999999999999998E-2</v>
      </c>
      <c r="R96" s="11">
        <v>130721574</v>
      </c>
      <c r="S96" s="11">
        <v>642958</v>
      </c>
      <c r="T96">
        <v>2019</v>
      </c>
      <c r="U96">
        <v>5</v>
      </c>
      <c r="V96">
        <f t="shared" si="6"/>
        <v>952500</v>
      </c>
      <c r="W96">
        <f t="shared" si="7"/>
        <v>18429897</v>
      </c>
      <c r="X96">
        <f t="shared" si="8"/>
        <v>17477397</v>
      </c>
      <c r="Y96">
        <f t="shared" si="9"/>
        <v>-25263595.5</v>
      </c>
      <c r="Z96">
        <f t="shared" si="10"/>
        <v>44645992.5</v>
      </c>
      <c r="AA96" t="str">
        <f t="shared" si="11"/>
        <v>Outlier</v>
      </c>
      <c r="AE96" s="2"/>
      <c r="AF96" s="2"/>
    </row>
    <row r="97" spans="1:32" x14ac:dyDescent="0.35">
      <c r="A97">
        <v>96</v>
      </c>
      <c r="B97" s="1">
        <v>43613</v>
      </c>
      <c r="C97" s="9" t="s">
        <v>250</v>
      </c>
      <c r="D97" s="9" t="s">
        <v>4969</v>
      </c>
      <c r="E97" s="9" t="s">
        <v>5763</v>
      </c>
      <c r="F97" s="9" t="s">
        <v>31</v>
      </c>
      <c r="G97" s="9" t="s">
        <v>251</v>
      </c>
      <c r="H97" s="9" t="s">
        <v>33</v>
      </c>
      <c r="I97" s="11">
        <v>140000000</v>
      </c>
      <c r="J97" s="11">
        <v>1455873</v>
      </c>
      <c r="K97" s="11">
        <v>17989014</v>
      </c>
      <c r="L97" s="3">
        <v>409</v>
      </c>
      <c r="M97" s="3">
        <v>4327</v>
      </c>
      <c r="N97" s="3">
        <v>1071166</v>
      </c>
      <c r="O97" s="2">
        <v>0.28600000000000003</v>
      </c>
      <c r="P97" s="2">
        <v>0.44799999999999995</v>
      </c>
      <c r="Q97" s="2">
        <v>-0.27300000000000002</v>
      </c>
      <c r="R97" s="11">
        <v>67631761</v>
      </c>
      <c r="S97" s="11">
        <v>215652</v>
      </c>
      <c r="T97">
        <v>2019</v>
      </c>
      <c r="U97">
        <v>5</v>
      </c>
      <c r="V97">
        <f t="shared" si="6"/>
        <v>949000</v>
      </c>
      <c r="W97">
        <f t="shared" si="7"/>
        <v>18429897</v>
      </c>
      <c r="X97">
        <f t="shared" si="8"/>
        <v>17480897</v>
      </c>
      <c r="Y97">
        <f t="shared" si="9"/>
        <v>-25272345.5</v>
      </c>
      <c r="Z97">
        <f t="shared" si="10"/>
        <v>44651242.5</v>
      </c>
      <c r="AA97" t="str">
        <f t="shared" si="11"/>
        <v>Outlier</v>
      </c>
      <c r="AE97" s="2"/>
      <c r="AF97" s="2"/>
    </row>
    <row r="98" spans="1:32" x14ac:dyDescent="0.35">
      <c r="A98">
        <v>97</v>
      </c>
      <c r="B98" s="1">
        <v>43615</v>
      </c>
      <c r="C98" s="9" t="s">
        <v>252</v>
      </c>
      <c r="D98" s="9" t="s">
        <v>4925</v>
      </c>
      <c r="E98" s="9" t="s">
        <v>4952</v>
      </c>
      <c r="F98" s="9" t="s">
        <v>15</v>
      </c>
      <c r="G98" s="9" t="s">
        <v>253</v>
      </c>
      <c r="H98" s="9" t="s">
        <v>24</v>
      </c>
      <c r="I98" s="11">
        <v>11500000</v>
      </c>
      <c r="J98" s="11">
        <v>1212997</v>
      </c>
      <c r="K98" s="11">
        <v>13465260</v>
      </c>
      <c r="L98" s="3">
        <v>48</v>
      </c>
      <c r="M98" s="3">
        <v>705</v>
      </c>
      <c r="N98" s="3">
        <v>1816640</v>
      </c>
      <c r="O98" s="2">
        <v>-0.33</v>
      </c>
      <c r="P98" s="2">
        <v>0.50800000000000001</v>
      </c>
      <c r="Q98" s="2">
        <v>-3.7999999999999999E-2</v>
      </c>
      <c r="R98" s="11">
        <v>121422826</v>
      </c>
      <c r="S98" s="11">
        <v>1907517</v>
      </c>
      <c r="T98">
        <v>2019</v>
      </c>
      <c r="U98">
        <v>5</v>
      </c>
      <c r="V98">
        <f t="shared" si="6"/>
        <v>945522.25</v>
      </c>
      <c r="W98">
        <f t="shared" si="7"/>
        <v>18429897</v>
      </c>
      <c r="X98">
        <f t="shared" si="8"/>
        <v>17484374.75</v>
      </c>
      <c r="Y98">
        <f t="shared" si="9"/>
        <v>-25281039.875</v>
      </c>
      <c r="Z98">
        <f t="shared" si="10"/>
        <v>44656459.125</v>
      </c>
      <c r="AA98" t="str">
        <f t="shared" si="11"/>
        <v>Normal</v>
      </c>
      <c r="AE98" s="2"/>
      <c r="AF98" s="2"/>
    </row>
    <row r="99" spans="1:32" x14ac:dyDescent="0.35">
      <c r="A99">
        <v>98</v>
      </c>
      <c r="B99" s="1">
        <v>43616</v>
      </c>
      <c r="C99" s="9" t="s">
        <v>207</v>
      </c>
      <c r="D99" s="9" t="s">
        <v>4939</v>
      </c>
      <c r="E99" s="9" t="s">
        <v>5752</v>
      </c>
      <c r="F99" s="9" t="s">
        <v>27</v>
      </c>
      <c r="G99" s="9" t="s">
        <v>254</v>
      </c>
      <c r="H99" s="9" t="s">
        <v>24</v>
      </c>
      <c r="I99" s="11">
        <v>5600000</v>
      </c>
      <c r="J99" s="11">
        <v>3418827</v>
      </c>
      <c r="K99" s="11">
        <v>14901146</v>
      </c>
      <c r="L99" s="3">
        <v>214</v>
      </c>
      <c r="M99" s="3">
        <v>1116</v>
      </c>
      <c r="N99" s="3">
        <v>1716560</v>
      </c>
      <c r="O99" s="2">
        <v>0.35899999999999999</v>
      </c>
      <c r="P99" s="2">
        <v>0.98799999999999999</v>
      </c>
      <c r="Q99" s="2">
        <v>0.379</v>
      </c>
      <c r="R99" s="11">
        <v>278242765</v>
      </c>
      <c r="S99" s="11">
        <v>1656598</v>
      </c>
      <c r="T99">
        <v>2019</v>
      </c>
      <c r="U99">
        <v>5</v>
      </c>
      <c r="V99">
        <f t="shared" si="6"/>
        <v>942044.5</v>
      </c>
      <c r="W99">
        <f t="shared" si="7"/>
        <v>18429897</v>
      </c>
      <c r="X99">
        <f t="shared" si="8"/>
        <v>17487852.5</v>
      </c>
      <c r="Y99">
        <f t="shared" si="9"/>
        <v>-25289734.25</v>
      </c>
      <c r="Z99">
        <f t="shared" si="10"/>
        <v>44661675.75</v>
      </c>
      <c r="AA99" t="str">
        <f t="shared" si="11"/>
        <v>Normal</v>
      </c>
      <c r="AE99" s="2"/>
      <c r="AF99" s="2"/>
    </row>
    <row r="100" spans="1:32" x14ac:dyDescent="0.35">
      <c r="A100">
        <v>99</v>
      </c>
      <c r="B100" s="1">
        <v>43571</v>
      </c>
      <c r="C100" s="9" t="s">
        <v>255</v>
      </c>
      <c r="D100" s="9" t="s">
        <v>4933</v>
      </c>
      <c r="E100" s="9" t="s">
        <v>5735</v>
      </c>
      <c r="F100" s="9" t="s">
        <v>15</v>
      </c>
      <c r="G100" s="9" t="s">
        <v>256</v>
      </c>
      <c r="H100" s="9" t="s">
        <v>37</v>
      </c>
      <c r="I100" s="11">
        <v>45000000</v>
      </c>
      <c r="J100" s="11">
        <v>3191073</v>
      </c>
      <c r="K100" s="11">
        <v>18553984</v>
      </c>
      <c r="L100" s="3">
        <v>376</v>
      </c>
      <c r="M100" s="3">
        <v>283</v>
      </c>
      <c r="N100" s="3">
        <v>159495</v>
      </c>
      <c r="O100" s="2">
        <v>0.8</v>
      </c>
      <c r="P100" s="2">
        <v>0.50800000000000001</v>
      </c>
      <c r="Q100" s="2">
        <v>-6.8000000000000005E-2</v>
      </c>
      <c r="R100" s="11">
        <v>295614141</v>
      </c>
      <c r="S100" s="11">
        <v>1268285</v>
      </c>
      <c r="T100">
        <v>2019</v>
      </c>
      <c r="U100">
        <v>4</v>
      </c>
      <c r="V100">
        <f t="shared" si="6"/>
        <v>938566.75</v>
      </c>
      <c r="W100">
        <f t="shared" si="7"/>
        <v>18429897</v>
      </c>
      <c r="X100">
        <f t="shared" si="8"/>
        <v>17491330.25</v>
      </c>
      <c r="Y100">
        <f t="shared" si="9"/>
        <v>-25298428.625</v>
      </c>
      <c r="Z100">
        <f t="shared" si="10"/>
        <v>44666892.375</v>
      </c>
      <c r="AA100" t="str">
        <f t="shared" si="11"/>
        <v>Outlier</v>
      </c>
      <c r="AE100" s="2"/>
      <c r="AF100" s="2"/>
    </row>
    <row r="101" spans="1:32" x14ac:dyDescent="0.35">
      <c r="A101">
        <v>100</v>
      </c>
      <c r="B101" s="1">
        <v>43567</v>
      </c>
      <c r="C101" s="9" t="s">
        <v>257</v>
      </c>
      <c r="D101" s="9" t="s">
        <v>4925</v>
      </c>
      <c r="E101" s="9" t="s">
        <v>5764</v>
      </c>
      <c r="F101" s="9" t="s">
        <v>15</v>
      </c>
      <c r="G101" s="9" t="s">
        <v>258</v>
      </c>
      <c r="H101" s="9" t="s">
        <v>105</v>
      </c>
      <c r="I101" s="11">
        <v>17000000</v>
      </c>
      <c r="J101" s="11">
        <v>715967</v>
      </c>
      <c r="K101" s="11">
        <v>6711665</v>
      </c>
      <c r="L101" s="3">
        <v>434</v>
      </c>
      <c r="M101" s="3">
        <v>4324</v>
      </c>
      <c r="N101" s="3">
        <v>178238</v>
      </c>
      <c r="O101" s="2">
        <v>0.45400000000000001</v>
      </c>
      <c r="P101" s="2">
        <v>0.41799999999999998</v>
      </c>
      <c r="Q101" s="2">
        <v>5.4000000000000006E-2</v>
      </c>
      <c r="R101" s="11">
        <v>474996941</v>
      </c>
      <c r="S101" s="11">
        <v>308662</v>
      </c>
      <c r="T101">
        <v>2019</v>
      </c>
      <c r="U101">
        <v>4</v>
      </c>
      <c r="V101">
        <f t="shared" si="6"/>
        <v>935089</v>
      </c>
      <c r="W101">
        <f t="shared" si="7"/>
        <v>18429897</v>
      </c>
      <c r="X101">
        <f t="shared" si="8"/>
        <v>17494808</v>
      </c>
      <c r="Y101">
        <f t="shared" si="9"/>
        <v>-25307123</v>
      </c>
      <c r="Z101">
        <f t="shared" si="10"/>
        <v>44672109</v>
      </c>
      <c r="AA101" t="str">
        <f t="shared" si="11"/>
        <v>Normal</v>
      </c>
      <c r="AE101" s="2"/>
      <c r="AF101" s="2"/>
    </row>
    <row r="102" spans="1:32" x14ac:dyDescent="0.35">
      <c r="A102">
        <v>101</v>
      </c>
      <c r="B102" s="1">
        <v>43565</v>
      </c>
      <c r="C102" s="9" t="s">
        <v>259</v>
      </c>
      <c r="D102" s="9" t="s">
        <v>4925</v>
      </c>
      <c r="E102" s="9" t="s">
        <v>5765</v>
      </c>
      <c r="F102" s="9" t="s">
        <v>260</v>
      </c>
      <c r="G102" s="9" t="s">
        <v>261</v>
      </c>
      <c r="H102" s="9" t="s">
        <v>105</v>
      </c>
      <c r="I102" s="11">
        <v>430665</v>
      </c>
      <c r="J102" s="11">
        <v>2531926</v>
      </c>
      <c r="K102" s="11">
        <v>14478466</v>
      </c>
      <c r="L102" s="3">
        <v>184</v>
      </c>
      <c r="M102" s="3">
        <v>2101</v>
      </c>
      <c r="N102" s="3">
        <v>714876</v>
      </c>
      <c r="O102" s="2">
        <v>0.36499999999999999</v>
      </c>
      <c r="P102" s="2">
        <v>0.42</v>
      </c>
      <c r="Q102" s="2">
        <v>0.36749999999999999</v>
      </c>
      <c r="R102" s="11">
        <v>295533953</v>
      </c>
      <c r="S102" s="11">
        <v>519733</v>
      </c>
      <c r="T102">
        <v>2019</v>
      </c>
      <c r="U102">
        <v>4</v>
      </c>
      <c r="V102">
        <f t="shared" si="6"/>
        <v>926316.75</v>
      </c>
      <c r="W102">
        <f t="shared" si="7"/>
        <v>18429897</v>
      </c>
      <c r="X102">
        <f t="shared" si="8"/>
        <v>17503580.25</v>
      </c>
      <c r="Y102">
        <f t="shared" si="9"/>
        <v>-25329053.625</v>
      </c>
      <c r="Z102">
        <f t="shared" si="10"/>
        <v>44685267.375</v>
      </c>
      <c r="AA102" t="str">
        <f t="shared" si="11"/>
        <v>Normal</v>
      </c>
      <c r="AE102" s="2"/>
      <c r="AF102" s="2"/>
    </row>
    <row r="103" spans="1:32" x14ac:dyDescent="0.35">
      <c r="A103">
        <v>102</v>
      </c>
      <c r="B103" s="1">
        <v>43568</v>
      </c>
      <c r="C103" s="9" t="s">
        <v>262</v>
      </c>
      <c r="D103" s="9" t="s">
        <v>4970</v>
      </c>
      <c r="E103" s="9" t="s">
        <v>5766</v>
      </c>
      <c r="F103" s="9" t="s">
        <v>27</v>
      </c>
      <c r="G103" s="9" t="s">
        <v>263</v>
      </c>
      <c r="H103" s="9" t="s">
        <v>24</v>
      </c>
      <c r="I103" s="11">
        <v>3591375</v>
      </c>
      <c r="J103" s="11">
        <v>1015542</v>
      </c>
      <c r="K103" s="11">
        <v>10095330</v>
      </c>
      <c r="L103" s="3">
        <v>371</v>
      </c>
      <c r="M103" s="3">
        <v>2505.5</v>
      </c>
      <c r="N103" s="3">
        <v>1617537</v>
      </c>
      <c r="O103" s="2">
        <v>5.5E-2</v>
      </c>
      <c r="P103" s="2">
        <v>0.86299999999999999</v>
      </c>
      <c r="Q103" s="2">
        <v>-7.2000000000000008E-2</v>
      </c>
      <c r="R103" s="11">
        <v>390197817</v>
      </c>
      <c r="S103" s="11">
        <v>645920</v>
      </c>
      <c r="T103">
        <v>2019</v>
      </c>
      <c r="U103">
        <v>4</v>
      </c>
      <c r="V103">
        <f t="shared" si="6"/>
        <v>942044.5</v>
      </c>
      <c r="W103">
        <f t="shared" si="7"/>
        <v>18429897</v>
      </c>
      <c r="X103">
        <f t="shared" si="8"/>
        <v>17487852.5</v>
      </c>
      <c r="Y103">
        <f t="shared" si="9"/>
        <v>-25289734.25</v>
      </c>
      <c r="Z103">
        <f t="shared" si="10"/>
        <v>44661675.75</v>
      </c>
      <c r="AA103" t="str">
        <f t="shared" si="11"/>
        <v>Normal</v>
      </c>
      <c r="AE103" s="2"/>
      <c r="AF103" s="2"/>
    </row>
    <row r="104" spans="1:32" x14ac:dyDescent="0.35">
      <c r="A104">
        <v>103</v>
      </c>
      <c r="B104" s="1">
        <v>43567</v>
      </c>
      <c r="C104" s="9" t="s">
        <v>264</v>
      </c>
      <c r="D104" s="9" t="s">
        <v>4937</v>
      </c>
      <c r="E104" s="9" t="s">
        <v>5767</v>
      </c>
      <c r="F104" s="9" t="s">
        <v>151</v>
      </c>
      <c r="G104" s="9" t="s">
        <v>265</v>
      </c>
      <c r="H104" s="9" t="s">
        <v>86</v>
      </c>
      <c r="I104" s="11">
        <v>200000</v>
      </c>
      <c r="J104" s="11">
        <v>4028397</v>
      </c>
      <c r="K104" s="11">
        <v>10898934</v>
      </c>
      <c r="L104" s="3">
        <v>285</v>
      </c>
      <c r="M104" s="3">
        <v>261</v>
      </c>
      <c r="N104" s="3">
        <v>1519147</v>
      </c>
      <c r="O104" s="2">
        <v>7.4999999999999997E-2</v>
      </c>
      <c r="P104" s="2">
        <v>0.97299999999999998</v>
      </c>
      <c r="Q104" s="2">
        <v>0.8640000000000001</v>
      </c>
      <c r="R104" s="11">
        <v>424452646</v>
      </c>
      <c r="S104" s="11">
        <v>1784840</v>
      </c>
      <c r="T104">
        <v>2019</v>
      </c>
      <c r="U104">
        <v>4</v>
      </c>
      <c r="V104">
        <f t="shared" si="6"/>
        <v>938566.75</v>
      </c>
      <c r="W104">
        <f t="shared" si="7"/>
        <v>18429897</v>
      </c>
      <c r="X104">
        <f t="shared" si="8"/>
        <v>17491330.25</v>
      </c>
      <c r="Y104">
        <f t="shared" si="9"/>
        <v>-25298428.625</v>
      </c>
      <c r="Z104">
        <f t="shared" si="10"/>
        <v>44666892.375</v>
      </c>
      <c r="AA104" t="str">
        <f t="shared" si="11"/>
        <v>Normal</v>
      </c>
      <c r="AE104" s="2"/>
      <c r="AF104" s="2"/>
    </row>
    <row r="105" spans="1:32" x14ac:dyDescent="0.35">
      <c r="A105">
        <v>104</v>
      </c>
      <c r="B105" s="1">
        <v>43566</v>
      </c>
      <c r="C105" s="9" t="s">
        <v>266</v>
      </c>
      <c r="D105" s="9" t="s">
        <v>4926</v>
      </c>
      <c r="E105" s="9" t="s">
        <v>5768</v>
      </c>
      <c r="F105" s="9" t="s">
        <v>15</v>
      </c>
      <c r="G105" s="9" t="s">
        <v>267</v>
      </c>
      <c r="H105" s="9" t="s">
        <v>86</v>
      </c>
      <c r="I105" s="11">
        <v>3500000</v>
      </c>
      <c r="J105" s="11">
        <v>56664</v>
      </c>
      <c r="K105" s="11">
        <v>13269010</v>
      </c>
      <c r="L105" s="3">
        <v>114</v>
      </c>
      <c r="M105" s="3">
        <v>4594</v>
      </c>
      <c r="N105" s="3">
        <v>1236875</v>
      </c>
      <c r="O105" s="2">
        <v>0.439</v>
      </c>
      <c r="P105" s="2">
        <v>0.98499999999999999</v>
      </c>
      <c r="Q105" s="2">
        <v>0.32299999999999995</v>
      </c>
      <c r="R105" s="11">
        <v>221718517</v>
      </c>
      <c r="S105" s="11">
        <v>729636</v>
      </c>
      <c r="T105">
        <v>2019</v>
      </c>
      <c r="U105">
        <v>4</v>
      </c>
      <c r="V105">
        <f t="shared" si="6"/>
        <v>949000</v>
      </c>
      <c r="W105">
        <f t="shared" si="7"/>
        <v>18429897</v>
      </c>
      <c r="X105">
        <f t="shared" si="8"/>
        <v>17480897</v>
      </c>
      <c r="Y105">
        <f t="shared" si="9"/>
        <v>-25272345.5</v>
      </c>
      <c r="Z105">
        <f t="shared" si="10"/>
        <v>44651242.5</v>
      </c>
      <c r="AA105" t="str">
        <f t="shared" si="11"/>
        <v>Normal</v>
      </c>
      <c r="AE105" s="2"/>
      <c r="AF105" s="2"/>
    </row>
    <row r="106" spans="1:32" x14ac:dyDescent="0.35">
      <c r="A106">
        <v>105</v>
      </c>
      <c r="B106" s="1">
        <v>43565</v>
      </c>
      <c r="C106" s="9" t="s">
        <v>268</v>
      </c>
      <c r="D106" s="9" t="s">
        <v>4955</v>
      </c>
      <c r="E106" s="9" t="s">
        <v>5684</v>
      </c>
      <c r="F106" s="9" t="s">
        <v>31</v>
      </c>
      <c r="G106" s="9" t="s">
        <v>269</v>
      </c>
      <c r="H106" s="9" t="s">
        <v>7431</v>
      </c>
      <c r="I106" s="11">
        <v>6320820</v>
      </c>
      <c r="J106" s="11">
        <v>3988276</v>
      </c>
      <c r="K106" s="11">
        <v>10153449</v>
      </c>
      <c r="L106" s="3">
        <v>447</v>
      </c>
      <c r="M106" s="3">
        <v>4408</v>
      </c>
      <c r="N106" s="3">
        <v>1726196</v>
      </c>
      <c r="O106" s="2">
        <v>0.375</v>
      </c>
      <c r="P106" s="2">
        <v>1.0709999999999999E-2</v>
      </c>
      <c r="Q106" s="2">
        <v>0.11899999999999999</v>
      </c>
      <c r="R106" s="11">
        <v>99561025</v>
      </c>
      <c r="S106" s="11">
        <v>1277847</v>
      </c>
      <c r="T106">
        <v>2019</v>
      </c>
      <c r="U106">
        <v>4</v>
      </c>
      <c r="V106">
        <f t="shared" si="6"/>
        <v>945522.25</v>
      </c>
      <c r="W106">
        <f t="shared" si="7"/>
        <v>18429897</v>
      </c>
      <c r="X106">
        <f t="shared" si="8"/>
        <v>17484374.75</v>
      </c>
      <c r="Y106">
        <f t="shared" si="9"/>
        <v>-25281039.875</v>
      </c>
      <c r="Z106">
        <f t="shared" si="10"/>
        <v>44656459.125</v>
      </c>
      <c r="AA106" t="str">
        <f t="shared" si="11"/>
        <v>Normal</v>
      </c>
      <c r="AE106" s="2"/>
      <c r="AF106" s="2"/>
    </row>
    <row r="107" spans="1:32" x14ac:dyDescent="0.35">
      <c r="A107">
        <v>106</v>
      </c>
      <c r="B107" s="1">
        <v>43565</v>
      </c>
      <c r="C107" s="9" t="s">
        <v>270</v>
      </c>
      <c r="D107" s="9" t="s">
        <v>4925</v>
      </c>
      <c r="E107" s="9" t="s">
        <v>4927</v>
      </c>
      <c r="F107" s="9" t="s">
        <v>31</v>
      </c>
      <c r="G107" s="9" t="s">
        <v>271</v>
      </c>
      <c r="H107" s="9" t="s">
        <v>272</v>
      </c>
      <c r="I107" s="11">
        <v>2443495</v>
      </c>
      <c r="J107" s="11">
        <v>3938883</v>
      </c>
      <c r="K107" s="11">
        <v>578604</v>
      </c>
      <c r="L107" s="3">
        <v>225</v>
      </c>
      <c r="M107" s="3">
        <v>1420</v>
      </c>
      <c r="N107" s="3">
        <v>364597</v>
      </c>
      <c r="O107" s="2">
        <v>0.315</v>
      </c>
      <c r="P107" s="2">
        <v>0.95399999999999996</v>
      </c>
      <c r="Q107" s="2">
        <v>3.7999999999999999E-2</v>
      </c>
      <c r="R107" s="11">
        <v>103724350</v>
      </c>
      <c r="S107" s="11">
        <v>1875006</v>
      </c>
      <c r="T107">
        <v>2019</v>
      </c>
      <c r="U107">
        <v>4</v>
      </c>
      <c r="V107">
        <f t="shared" si="6"/>
        <v>942044.5</v>
      </c>
      <c r="W107">
        <f t="shared" si="7"/>
        <v>18429897</v>
      </c>
      <c r="X107">
        <f t="shared" si="8"/>
        <v>17487852.5</v>
      </c>
      <c r="Y107">
        <f t="shared" si="9"/>
        <v>-25289734.25</v>
      </c>
      <c r="Z107">
        <f t="shared" si="10"/>
        <v>44661675.75</v>
      </c>
      <c r="AA107" t="str">
        <f t="shared" si="11"/>
        <v>Normal</v>
      </c>
      <c r="AE107" s="2"/>
      <c r="AF107" s="2"/>
    </row>
    <row r="108" spans="1:32" x14ac:dyDescent="0.35">
      <c r="A108">
        <v>107</v>
      </c>
      <c r="B108" s="1">
        <v>43565</v>
      </c>
      <c r="C108" s="9" t="s">
        <v>273</v>
      </c>
      <c r="D108" s="9" t="s">
        <v>4955</v>
      </c>
      <c r="E108" s="9" t="s">
        <v>5684</v>
      </c>
      <c r="F108" s="9" t="s">
        <v>15</v>
      </c>
      <c r="G108" s="9" t="s">
        <v>274</v>
      </c>
      <c r="H108" s="9" t="s">
        <v>275</v>
      </c>
      <c r="I108" s="11">
        <v>307000</v>
      </c>
      <c r="J108" s="11">
        <v>3906214</v>
      </c>
      <c r="K108" s="11">
        <v>1593707</v>
      </c>
      <c r="L108" s="3">
        <v>304</v>
      </c>
      <c r="M108" s="3">
        <v>3267</v>
      </c>
      <c r="N108" s="3">
        <v>1472284</v>
      </c>
      <c r="O108" s="2">
        <v>0.34899999999999998</v>
      </c>
      <c r="P108" s="2">
        <v>0.68599999999999994</v>
      </c>
      <c r="Q108" s="2">
        <v>0.436</v>
      </c>
      <c r="R108" s="11">
        <v>137628551</v>
      </c>
      <c r="S108" s="11">
        <v>1372191</v>
      </c>
      <c r="T108">
        <v>2019</v>
      </c>
      <c r="U108">
        <v>4</v>
      </c>
      <c r="V108">
        <f t="shared" si="6"/>
        <v>938566.75</v>
      </c>
      <c r="W108">
        <f t="shared" si="7"/>
        <v>18429897</v>
      </c>
      <c r="X108">
        <f t="shared" si="8"/>
        <v>17491330.25</v>
      </c>
      <c r="Y108">
        <f t="shared" si="9"/>
        <v>-25298428.625</v>
      </c>
      <c r="Z108">
        <f t="shared" si="10"/>
        <v>44666892.375</v>
      </c>
      <c r="AA108" t="str">
        <f t="shared" si="11"/>
        <v>Normal</v>
      </c>
      <c r="AE108" s="2"/>
      <c r="AF108" s="2"/>
    </row>
    <row r="109" spans="1:32" x14ac:dyDescent="0.35">
      <c r="A109">
        <v>108</v>
      </c>
      <c r="B109" s="1">
        <v>43566</v>
      </c>
      <c r="C109" s="9" t="s">
        <v>276</v>
      </c>
      <c r="D109" s="9" t="s">
        <v>4942</v>
      </c>
      <c r="E109" s="9" t="s">
        <v>5769</v>
      </c>
      <c r="F109" s="9" t="s">
        <v>31</v>
      </c>
      <c r="G109" s="9" t="s">
        <v>277</v>
      </c>
      <c r="H109" s="9" t="s">
        <v>24</v>
      </c>
      <c r="I109" s="11">
        <v>26000000</v>
      </c>
      <c r="J109" s="11">
        <v>3330957</v>
      </c>
      <c r="K109" s="11">
        <v>10080664</v>
      </c>
      <c r="L109" s="3">
        <v>147</v>
      </c>
      <c r="M109" s="3">
        <v>1299</v>
      </c>
      <c r="N109" s="3">
        <v>1938675</v>
      </c>
      <c r="O109" s="2">
        <v>-9.8000000000000004E-2</v>
      </c>
      <c r="P109" s="2">
        <v>0.46700000000000003</v>
      </c>
      <c r="Q109" s="2">
        <v>-7.2999999999999995E-2</v>
      </c>
      <c r="R109" s="11">
        <v>184947978</v>
      </c>
      <c r="S109" s="11">
        <v>1127339</v>
      </c>
      <c r="T109">
        <v>2019</v>
      </c>
      <c r="U109">
        <v>4</v>
      </c>
      <c r="V109">
        <f t="shared" si="6"/>
        <v>949000</v>
      </c>
      <c r="W109">
        <f t="shared" si="7"/>
        <v>18429897</v>
      </c>
      <c r="X109">
        <f t="shared" si="8"/>
        <v>17480897</v>
      </c>
      <c r="Y109">
        <f t="shared" si="9"/>
        <v>-25272345.5</v>
      </c>
      <c r="Z109">
        <f t="shared" si="10"/>
        <v>44651242.5</v>
      </c>
      <c r="AA109" t="str">
        <f t="shared" si="11"/>
        <v>Normal</v>
      </c>
      <c r="AE109" s="2"/>
      <c r="AF109" s="2"/>
    </row>
    <row r="110" spans="1:32" x14ac:dyDescent="0.35">
      <c r="A110">
        <v>109</v>
      </c>
      <c r="B110" s="1">
        <v>43574</v>
      </c>
      <c r="C110" s="9" t="s">
        <v>278</v>
      </c>
      <c r="D110" s="9" t="s">
        <v>4925</v>
      </c>
      <c r="E110" s="9" t="s">
        <v>5770</v>
      </c>
      <c r="F110" s="9" t="s">
        <v>4906</v>
      </c>
      <c r="G110" s="9" t="s">
        <v>254</v>
      </c>
      <c r="H110" s="9" t="s">
        <v>37</v>
      </c>
      <c r="I110" s="11">
        <v>3000000</v>
      </c>
      <c r="J110" s="11">
        <v>2368404</v>
      </c>
      <c r="K110" s="11">
        <v>11441249</v>
      </c>
      <c r="L110" s="3">
        <v>17</v>
      </c>
      <c r="M110" s="3">
        <v>4226</v>
      </c>
      <c r="N110" s="3">
        <v>1930426</v>
      </c>
      <c r="O110" s="2">
        <v>0.161</v>
      </c>
      <c r="P110" s="2">
        <v>0.57399999999999995</v>
      </c>
      <c r="Q110" s="2">
        <v>-0.8</v>
      </c>
      <c r="R110" s="11">
        <v>183859447</v>
      </c>
      <c r="S110" s="11">
        <v>261583</v>
      </c>
      <c r="T110">
        <v>2019</v>
      </c>
      <c r="U110">
        <v>4</v>
      </c>
      <c r="V110">
        <f t="shared" si="6"/>
        <v>945522.25</v>
      </c>
      <c r="W110">
        <f t="shared" si="7"/>
        <v>18429897</v>
      </c>
      <c r="X110">
        <f t="shared" si="8"/>
        <v>17484374.75</v>
      </c>
      <c r="Y110">
        <f t="shared" si="9"/>
        <v>-25281039.875</v>
      </c>
      <c r="Z110">
        <f t="shared" si="10"/>
        <v>44656459.125</v>
      </c>
      <c r="AA110" t="str">
        <f t="shared" si="11"/>
        <v>Normal</v>
      </c>
      <c r="AE110" s="2"/>
      <c r="AF110" s="2"/>
    </row>
    <row r="111" spans="1:32" x14ac:dyDescent="0.35">
      <c r="A111">
        <v>110</v>
      </c>
      <c r="B111" s="1">
        <v>43574</v>
      </c>
      <c r="C111" s="9" t="s">
        <v>279</v>
      </c>
      <c r="D111" s="9" t="s">
        <v>4925</v>
      </c>
      <c r="E111" s="9" t="s">
        <v>5771</v>
      </c>
      <c r="F111" s="9" t="s">
        <v>15</v>
      </c>
      <c r="G111" s="9" t="s">
        <v>280</v>
      </c>
      <c r="H111" s="9" t="s">
        <v>281</v>
      </c>
      <c r="I111" s="11">
        <v>18429897</v>
      </c>
      <c r="J111" s="11">
        <v>3531723</v>
      </c>
      <c r="K111" s="11">
        <v>14674669</v>
      </c>
      <c r="L111" s="3">
        <v>229</v>
      </c>
      <c r="M111" s="3">
        <v>3591</v>
      </c>
      <c r="N111" s="3">
        <v>1422511</v>
      </c>
      <c r="O111" s="2">
        <v>-3.4000000000000002E-2</v>
      </c>
      <c r="P111" s="2">
        <v>0.48399999999999999</v>
      </c>
      <c r="Q111" s="2">
        <v>0.502</v>
      </c>
      <c r="R111" s="11">
        <v>485004420</v>
      </c>
      <c r="S111" s="11">
        <v>540089</v>
      </c>
      <c r="T111">
        <v>2019</v>
      </c>
      <c r="U111">
        <v>4</v>
      </c>
      <c r="V111">
        <f t="shared" si="6"/>
        <v>942044.5</v>
      </c>
      <c r="W111">
        <f t="shared" si="7"/>
        <v>18429897</v>
      </c>
      <c r="X111">
        <f t="shared" si="8"/>
        <v>17487852.5</v>
      </c>
      <c r="Y111">
        <f t="shared" si="9"/>
        <v>-25289734.25</v>
      </c>
      <c r="Z111">
        <f t="shared" si="10"/>
        <v>44661675.75</v>
      </c>
      <c r="AA111" t="str">
        <f t="shared" si="11"/>
        <v>Normal</v>
      </c>
      <c r="AE111" s="2"/>
      <c r="AF111" s="2"/>
    </row>
    <row r="112" spans="1:32" x14ac:dyDescent="0.35">
      <c r="A112">
        <v>111</v>
      </c>
      <c r="B112" s="1">
        <v>43572</v>
      </c>
      <c r="C112" s="9" t="s">
        <v>18</v>
      </c>
      <c r="D112" s="9" t="s">
        <v>4924</v>
      </c>
      <c r="E112" s="9" t="s">
        <v>5772</v>
      </c>
      <c r="F112" s="9" t="s">
        <v>151</v>
      </c>
      <c r="G112" s="9" t="s">
        <v>282</v>
      </c>
      <c r="H112" s="9" t="s">
        <v>164</v>
      </c>
      <c r="I112" s="11">
        <v>5000000</v>
      </c>
      <c r="J112" s="11">
        <v>1400065</v>
      </c>
      <c r="K112" s="11">
        <v>11486526</v>
      </c>
      <c r="L112" s="3">
        <v>362</v>
      </c>
      <c r="M112" s="3">
        <v>2249</v>
      </c>
      <c r="N112" s="3">
        <v>1018455</v>
      </c>
      <c r="O112" s="2">
        <v>-0.10300000000000001</v>
      </c>
      <c r="P112" s="2">
        <v>0.29899999999999999</v>
      </c>
      <c r="Q112" s="2">
        <v>0.6</v>
      </c>
      <c r="R112" s="11">
        <v>64511783</v>
      </c>
      <c r="S112" s="11">
        <v>51479</v>
      </c>
      <c r="T112">
        <v>2019</v>
      </c>
      <c r="U112">
        <v>4</v>
      </c>
      <c r="V112">
        <f t="shared" si="6"/>
        <v>938566.75</v>
      </c>
      <c r="W112">
        <f t="shared" si="7"/>
        <v>18429897</v>
      </c>
      <c r="X112">
        <f t="shared" si="8"/>
        <v>17491330.25</v>
      </c>
      <c r="Y112">
        <f t="shared" si="9"/>
        <v>-25298428.625</v>
      </c>
      <c r="Z112">
        <f t="shared" si="10"/>
        <v>44666892.375</v>
      </c>
      <c r="AA112" t="str">
        <f t="shared" si="11"/>
        <v>Normal</v>
      </c>
      <c r="AE112" s="2"/>
      <c r="AF112" s="2"/>
    </row>
    <row r="113" spans="1:32" x14ac:dyDescent="0.35">
      <c r="A113">
        <v>112</v>
      </c>
      <c r="B113" s="1">
        <v>43572</v>
      </c>
      <c r="C113" s="9" t="s">
        <v>283</v>
      </c>
      <c r="D113" s="9" t="s">
        <v>4930</v>
      </c>
      <c r="E113" s="9" t="s">
        <v>5773</v>
      </c>
      <c r="F113" s="9" t="s">
        <v>15</v>
      </c>
      <c r="G113" s="9" t="s">
        <v>284</v>
      </c>
      <c r="H113" s="9" t="s">
        <v>37</v>
      </c>
      <c r="I113" s="11">
        <v>3000000</v>
      </c>
      <c r="J113" s="11">
        <v>3908030</v>
      </c>
      <c r="K113" s="11">
        <v>3845684</v>
      </c>
      <c r="L113" s="3">
        <v>166</v>
      </c>
      <c r="M113" s="3">
        <v>4646</v>
      </c>
      <c r="N113" s="3">
        <v>447473</v>
      </c>
      <c r="O113" s="2">
        <v>0.153</v>
      </c>
      <c r="P113" s="2">
        <v>0.34399999999999997</v>
      </c>
      <c r="Q113" s="2">
        <v>-1.7000000000000001E-2</v>
      </c>
      <c r="R113" s="11">
        <v>320728920</v>
      </c>
      <c r="S113" s="11">
        <v>334761</v>
      </c>
      <c r="T113">
        <v>2019</v>
      </c>
      <c r="U113">
        <v>4</v>
      </c>
      <c r="V113">
        <f t="shared" si="6"/>
        <v>935089</v>
      </c>
      <c r="W113">
        <f t="shared" si="7"/>
        <v>18429897</v>
      </c>
      <c r="X113">
        <f t="shared" si="8"/>
        <v>17494808</v>
      </c>
      <c r="Y113">
        <f t="shared" si="9"/>
        <v>-25307123</v>
      </c>
      <c r="Z113">
        <f t="shared" si="10"/>
        <v>44672109</v>
      </c>
      <c r="AA113" t="str">
        <f t="shared" si="11"/>
        <v>Normal</v>
      </c>
      <c r="AE113" s="2"/>
      <c r="AF113" s="2"/>
    </row>
    <row r="114" spans="1:32" x14ac:dyDescent="0.35">
      <c r="A114">
        <v>113</v>
      </c>
      <c r="B114" s="1">
        <v>43497</v>
      </c>
      <c r="C114" s="9" t="s">
        <v>285</v>
      </c>
      <c r="D114" s="9" t="s">
        <v>4971</v>
      </c>
      <c r="E114" s="9" t="s">
        <v>4928</v>
      </c>
      <c r="F114" s="9" t="s">
        <v>19</v>
      </c>
      <c r="G114" s="9" t="s">
        <v>4823</v>
      </c>
      <c r="H114" s="9" t="s">
        <v>29</v>
      </c>
      <c r="I114" s="11">
        <v>18429897</v>
      </c>
      <c r="J114" s="11">
        <v>2787121</v>
      </c>
      <c r="K114" s="11">
        <v>7399731</v>
      </c>
      <c r="L114" s="3">
        <v>464</v>
      </c>
      <c r="M114" s="3">
        <v>1158</v>
      </c>
      <c r="N114" s="3">
        <v>1018455</v>
      </c>
      <c r="O114" s="2">
        <v>3.7000000000000005E-2</v>
      </c>
      <c r="P114" s="2">
        <v>0.21299999999999999</v>
      </c>
      <c r="Q114" s="2">
        <v>-6.6000000000000003E-2</v>
      </c>
      <c r="R114" s="11">
        <v>476380702</v>
      </c>
      <c r="S114" s="11">
        <v>1179097</v>
      </c>
      <c r="T114">
        <v>2019</v>
      </c>
      <c r="U114">
        <v>2</v>
      </c>
      <c r="V114">
        <f t="shared" si="6"/>
        <v>926316.75</v>
      </c>
      <c r="W114">
        <f t="shared" si="7"/>
        <v>18429897</v>
      </c>
      <c r="X114">
        <f t="shared" si="8"/>
        <v>17503580.25</v>
      </c>
      <c r="Y114">
        <f t="shared" si="9"/>
        <v>-25329053.625</v>
      </c>
      <c r="Z114">
        <f t="shared" si="10"/>
        <v>44685267.375</v>
      </c>
      <c r="AA114" t="str">
        <f t="shared" si="11"/>
        <v>Normal</v>
      </c>
      <c r="AE114" s="2"/>
      <c r="AF114" s="2"/>
    </row>
    <row r="115" spans="1:32" x14ac:dyDescent="0.35">
      <c r="A115">
        <v>114</v>
      </c>
      <c r="B115" s="1">
        <v>43504</v>
      </c>
      <c r="C115" s="9" t="s">
        <v>286</v>
      </c>
      <c r="D115" s="9" t="s">
        <v>4925</v>
      </c>
      <c r="E115" s="9" t="s">
        <v>5774</v>
      </c>
      <c r="F115" s="9" t="s">
        <v>287</v>
      </c>
      <c r="G115" s="9" t="s">
        <v>288</v>
      </c>
      <c r="H115" s="9" t="s">
        <v>45</v>
      </c>
      <c r="I115" s="11">
        <v>200000000</v>
      </c>
      <c r="J115" s="11">
        <v>2305400</v>
      </c>
      <c r="K115" s="11">
        <v>8931432</v>
      </c>
      <c r="L115" s="3">
        <v>376</v>
      </c>
      <c r="M115" s="3">
        <v>4984</v>
      </c>
      <c r="N115" s="3">
        <v>494685</v>
      </c>
      <c r="O115" s="2">
        <v>8.6999999999999994E-2</v>
      </c>
      <c r="P115" s="2">
        <v>0.39700000000000002</v>
      </c>
      <c r="Q115" s="2">
        <v>-0.38300000000000001</v>
      </c>
      <c r="R115" s="11">
        <v>319111128</v>
      </c>
      <c r="S115" s="11">
        <v>1351286</v>
      </c>
      <c r="T115">
        <v>2019</v>
      </c>
      <c r="U115">
        <v>2</v>
      </c>
      <c r="V115">
        <f t="shared" si="6"/>
        <v>917544.5</v>
      </c>
      <c r="W115">
        <f t="shared" si="7"/>
        <v>18429897</v>
      </c>
      <c r="X115">
        <f t="shared" si="8"/>
        <v>17512352.5</v>
      </c>
      <c r="Y115">
        <f t="shared" si="9"/>
        <v>-25350984.25</v>
      </c>
      <c r="Z115">
        <f t="shared" si="10"/>
        <v>44698425.75</v>
      </c>
      <c r="AA115" t="str">
        <f t="shared" si="11"/>
        <v>Outlier</v>
      </c>
      <c r="AE115" s="2"/>
      <c r="AF115" s="2"/>
    </row>
    <row r="116" spans="1:32" x14ac:dyDescent="0.35">
      <c r="A116">
        <v>115</v>
      </c>
      <c r="B116" s="1">
        <v>43509</v>
      </c>
      <c r="C116" s="9" t="s">
        <v>289</v>
      </c>
      <c r="D116" s="9" t="s">
        <v>4972</v>
      </c>
      <c r="E116" s="9" t="s">
        <v>5775</v>
      </c>
      <c r="F116" s="9" t="s">
        <v>27</v>
      </c>
      <c r="G116" s="9" t="s">
        <v>290</v>
      </c>
      <c r="H116" s="9" t="s">
        <v>37</v>
      </c>
      <c r="I116" s="11">
        <v>600000</v>
      </c>
      <c r="J116" s="11">
        <v>2537919</v>
      </c>
      <c r="K116" s="11">
        <v>19680483</v>
      </c>
      <c r="L116" s="3">
        <v>322</v>
      </c>
      <c r="M116" s="3">
        <v>1486</v>
      </c>
      <c r="N116" s="3">
        <v>844193</v>
      </c>
      <c r="O116" s="2">
        <v>0.02</v>
      </c>
      <c r="P116" s="2">
        <v>1.0349999999999999</v>
      </c>
      <c r="Q116" s="2">
        <v>0.35399999999999998</v>
      </c>
      <c r="R116" s="11">
        <v>482065130</v>
      </c>
      <c r="S116" s="11">
        <v>344748</v>
      </c>
      <c r="T116">
        <v>2019</v>
      </c>
      <c r="U116">
        <v>2</v>
      </c>
      <c r="V116">
        <f t="shared" si="6"/>
        <v>908772.25</v>
      </c>
      <c r="W116">
        <f t="shared" si="7"/>
        <v>18429897</v>
      </c>
      <c r="X116">
        <f t="shared" si="8"/>
        <v>17521124.75</v>
      </c>
      <c r="Y116">
        <f t="shared" si="9"/>
        <v>-25372914.875</v>
      </c>
      <c r="Z116">
        <f t="shared" si="10"/>
        <v>44711584.125</v>
      </c>
      <c r="AA116" t="str">
        <f t="shared" si="11"/>
        <v>Normal</v>
      </c>
      <c r="AE116" s="2"/>
      <c r="AF116" s="2"/>
    </row>
    <row r="117" spans="1:32" x14ac:dyDescent="0.35">
      <c r="A117">
        <v>116</v>
      </c>
      <c r="B117" s="1">
        <v>43145</v>
      </c>
      <c r="C117" s="9" t="s">
        <v>291</v>
      </c>
      <c r="D117" s="9" t="s">
        <v>4929</v>
      </c>
      <c r="E117" s="9" t="s">
        <v>5776</v>
      </c>
      <c r="F117" s="9" t="s">
        <v>19</v>
      </c>
      <c r="G117" s="9" t="s">
        <v>292</v>
      </c>
      <c r="H117" s="9" t="s">
        <v>293</v>
      </c>
      <c r="I117" s="11">
        <v>100000000</v>
      </c>
      <c r="J117" s="11">
        <v>2852331</v>
      </c>
      <c r="K117" s="11">
        <v>10697349</v>
      </c>
      <c r="L117" s="3">
        <v>404</v>
      </c>
      <c r="M117" s="3">
        <v>4449</v>
      </c>
      <c r="N117" s="3">
        <v>234013</v>
      </c>
      <c r="O117" s="2">
        <v>-0.13100000000000001</v>
      </c>
      <c r="P117" s="2">
        <v>0.73699999999999999</v>
      </c>
      <c r="Q117" s="2">
        <v>8.900000000000001E-2</v>
      </c>
      <c r="R117" s="11">
        <v>254295487</v>
      </c>
      <c r="S117" s="11">
        <v>668287</v>
      </c>
      <c r="T117">
        <v>2018</v>
      </c>
      <c r="U117">
        <v>2</v>
      </c>
      <c r="V117">
        <f t="shared" si="6"/>
        <v>935089</v>
      </c>
      <c r="W117">
        <f t="shared" si="7"/>
        <v>18429897</v>
      </c>
      <c r="X117">
        <f t="shared" si="8"/>
        <v>17494808</v>
      </c>
      <c r="Y117">
        <f t="shared" si="9"/>
        <v>-25307123</v>
      </c>
      <c r="Z117">
        <f t="shared" si="10"/>
        <v>44672109</v>
      </c>
      <c r="AA117" t="str">
        <f t="shared" si="11"/>
        <v>Outlier</v>
      </c>
      <c r="AE117" s="2"/>
      <c r="AF117" s="2"/>
    </row>
    <row r="118" spans="1:32" x14ac:dyDescent="0.35">
      <c r="A118">
        <v>117</v>
      </c>
      <c r="B118" s="1">
        <v>43468</v>
      </c>
      <c r="C118" s="9" t="s">
        <v>43</v>
      </c>
      <c r="D118" s="9" t="s">
        <v>4968</v>
      </c>
      <c r="E118" s="9" t="s">
        <v>4976</v>
      </c>
      <c r="F118" s="9" t="s">
        <v>294</v>
      </c>
      <c r="G118" s="9" t="s">
        <v>4824</v>
      </c>
      <c r="H118" s="9" t="s">
        <v>21</v>
      </c>
      <c r="I118" s="11">
        <v>110000000</v>
      </c>
      <c r="J118" s="11">
        <v>205566</v>
      </c>
      <c r="K118" s="11">
        <v>12736065</v>
      </c>
      <c r="L118" s="3">
        <v>431</v>
      </c>
      <c r="M118" s="3">
        <v>4280</v>
      </c>
      <c r="N118" s="3">
        <v>604176</v>
      </c>
      <c r="O118" s="2">
        <v>0.45899999999999996</v>
      </c>
      <c r="P118" s="2">
        <v>0.58899999999999997</v>
      </c>
      <c r="Q118" s="2">
        <v>0.36699999999999999</v>
      </c>
      <c r="R118" s="11">
        <v>145561085</v>
      </c>
      <c r="S118" s="11">
        <v>1379867</v>
      </c>
      <c r="T118">
        <v>2019</v>
      </c>
      <c r="U118">
        <v>1</v>
      </c>
      <c r="V118">
        <f t="shared" si="6"/>
        <v>926316.75</v>
      </c>
      <c r="W118">
        <f t="shared" si="7"/>
        <v>18429897</v>
      </c>
      <c r="X118">
        <f t="shared" si="8"/>
        <v>17503580.25</v>
      </c>
      <c r="Y118">
        <f t="shared" si="9"/>
        <v>-25329053.625</v>
      </c>
      <c r="Z118">
        <f t="shared" si="10"/>
        <v>44685267.375</v>
      </c>
      <c r="AA118" t="str">
        <f t="shared" si="11"/>
        <v>Outlier</v>
      </c>
      <c r="AE118" s="2"/>
      <c r="AF118" s="2"/>
    </row>
    <row r="119" spans="1:32" x14ac:dyDescent="0.35">
      <c r="A119">
        <v>118</v>
      </c>
      <c r="B119" s="1">
        <v>43469</v>
      </c>
      <c r="C119" s="9" t="s">
        <v>295</v>
      </c>
      <c r="D119" s="9" t="s">
        <v>4937</v>
      </c>
      <c r="E119" s="9" t="s">
        <v>5777</v>
      </c>
      <c r="F119" s="9" t="s">
        <v>4907</v>
      </c>
      <c r="G119" s="9" t="s">
        <v>296</v>
      </c>
      <c r="H119" s="9" t="s">
        <v>45</v>
      </c>
      <c r="I119" s="11">
        <v>22000000</v>
      </c>
      <c r="J119" s="11">
        <v>716189</v>
      </c>
      <c r="K119" s="11">
        <v>10153449</v>
      </c>
      <c r="L119" s="3">
        <v>362</v>
      </c>
      <c r="M119" s="3">
        <v>2835</v>
      </c>
      <c r="N119" s="3">
        <v>151826</v>
      </c>
      <c r="O119" s="2">
        <v>0.151</v>
      </c>
      <c r="P119" s="2">
        <v>0.43700000000000006</v>
      </c>
      <c r="Q119" s="2">
        <v>0.36749999999999999</v>
      </c>
      <c r="R119" s="11">
        <v>89195510</v>
      </c>
      <c r="S119" s="11">
        <v>145736</v>
      </c>
      <c r="T119">
        <v>2019</v>
      </c>
      <c r="U119">
        <v>1</v>
      </c>
      <c r="V119">
        <f t="shared" si="6"/>
        <v>917544.5</v>
      </c>
      <c r="W119">
        <f t="shared" si="7"/>
        <v>18429897</v>
      </c>
      <c r="X119">
        <f t="shared" si="8"/>
        <v>17512352.5</v>
      </c>
      <c r="Y119">
        <f t="shared" si="9"/>
        <v>-25350984.25</v>
      </c>
      <c r="Z119">
        <f t="shared" si="10"/>
        <v>44698425.75</v>
      </c>
      <c r="AA119" t="str">
        <f t="shared" si="11"/>
        <v>Normal</v>
      </c>
      <c r="AE119" s="2"/>
      <c r="AF119" s="2"/>
    </row>
    <row r="120" spans="1:32" x14ac:dyDescent="0.35">
      <c r="A120">
        <v>119</v>
      </c>
      <c r="B120" s="1">
        <v>43469</v>
      </c>
      <c r="C120" s="9" t="s">
        <v>297</v>
      </c>
      <c r="D120" s="9" t="s">
        <v>4933</v>
      </c>
      <c r="E120" s="9" t="s">
        <v>5696</v>
      </c>
      <c r="F120" s="9" t="s">
        <v>35</v>
      </c>
      <c r="G120" s="9" t="s">
        <v>298</v>
      </c>
      <c r="H120" s="9" t="s">
        <v>59</v>
      </c>
      <c r="I120" s="11">
        <v>5000000</v>
      </c>
      <c r="J120" s="11">
        <v>1242496</v>
      </c>
      <c r="K120" s="11">
        <v>7308557</v>
      </c>
      <c r="L120" s="3">
        <v>413</v>
      </c>
      <c r="M120" s="3">
        <v>653</v>
      </c>
      <c r="N120" s="3">
        <v>923804</v>
      </c>
      <c r="O120" s="2">
        <v>-0.16800000000000001</v>
      </c>
      <c r="P120" s="2">
        <v>0.79</v>
      </c>
      <c r="Q120" s="2">
        <v>-0.6</v>
      </c>
      <c r="R120" s="11">
        <v>101978505</v>
      </c>
      <c r="S120" s="11">
        <v>1211730</v>
      </c>
      <c r="T120">
        <v>2019</v>
      </c>
      <c r="U120">
        <v>1</v>
      </c>
      <c r="V120">
        <f t="shared" si="6"/>
        <v>908772.25</v>
      </c>
      <c r="W120">
        <f t="shared" si="7"/>
        <v>18429897</v>
      </c>
      <c r="X120">
        <f t="shared" si="8"/>
        <v>17521124.75</v>
      </c>
      <c r="Y120">
        <f t="shared" si="9"/>
        <v>-25372914.875</v>
      </c>
      <c r="Z120">
        <f t="shared" si="10"/>
        <v>44711584.125</v>
      </c>
      <c r="AA120" t="str">
        <f t="shared" si="11"/>
        <v>Normal</v>
      </c>
      <c r="AE120" s="2"/>
      <c r="AF120" s="2"/>
    </row>
    <row r="121" spans="1:32" x14ac:dyDescent="0.35">
      <c r="A121">
        <v>120</v>
      </c>
      <c r="B121" s="1">
        <v>43438</v>
      </c>
      <c r="C121" s="9" t="s">
        <v>299</v>
      </c>
      <c r="D121" s="9" t="s">
        <v>4970</v>
      </c>
      <c r="E121" s="9" t="s">
        <v>5778</v>
      </c>
      <c r="F121" s="9" t="s">
        <v>94</v>
      </c>
      <c r="G121" s="9" t="s">
        <v>300</v>
      </c>
      <c r="H121" s="9" t="s">
        <v>86</v>
      </c>
      <c r="I121" s="11">
        <v>700000</v>
      </c>
      <c r="J121" s="11">
        <v>590359</v>
      </c>
      <c r="K121" s="11">
        <v>19292628</v>
      </c>
      <c r="L121" s="3">
        <v>358</v>
      </c>
      <c r="M121" s="3">
        <v>3768</v>
      </c>
      <c r="N121" s="3">
        <v>144728</v>
      </c>
      <c r="O121" s="2">
        <v>0.156</v>
      </c>
      <c r="P121" s="2">
        <v>1.173</v>
      </c>
      <c r="Q121" s="2">
        <v>-6.6000000000000003E-2</v>
      </c>
      <c r="R121" s="11">
        <v>413126604</v>
      </c>
      <c r="S121" s="11">
        <v>940659</v>
      </c>
      <c r="T121">
        <v>2018</v>
      </c>
      <c r="U121">
        <v>12</v>
      </c>
      <c r="V121">
        <f t="shared" si="6"/>
        <v>900000</v>
      </c>
      <c r="W121">
        <f t="shared" si="7"/>
        <v>18429897</v>
      </c>
      <c r="X121">
        <f t="shared" si="8"/>
        <v>17529897</v>
      </c>
      <c r="Y121">
        <f t="shared" si="9"/>
        <v>-25394845.5</v>
      </c>
      <c r="Z121">
        <f t="shared" si="10"/>
        <v>44724742.5</v>
      </c>
      <c r="AA121" t="str">
        <f t="shared" si="11"/>
        <v>Normal</v>
      </c>
      <c r="AE121" s="2"/>
      <c r="AF121" s="2"/>
    </row>
    <row r="122" spans="1:32" x14ac:dyDescent="0.35">
      <c r="A122">
        <v>121</v>
      </c>
      <c r="B122" s="1">
        <v>43435</v>
      </c>
      <c r="C122" s="9" t="s">
        <v>301</v>
      </c>
      <c r="D122" s="9" t="s">
        <v>4973</v>
      </c>
      <c r="E122" s="9" t="s">
        <v>5060</v>
      </c>
      <c r="F122" s="9" t="s">
        <v>27</v>
      </c>
      <c r="G122" s="9" t="s">
        <v>302</v>
      </c>
      <c r="H122" s="9" t="s">
        <v>45</v>
      </c>
      <c r="I122" s="11">
        <v>50000000</v>
      </c>
      <c r="J122" s="11">
        <v>2209275</v>
      </c>
      <c r="K122" s="11">
        <v>13530713</v>
      </c>
      <c r="L122" s="3">
        <v>431</v>
      </c>
      <c r="M122" s="3">
        <v>3506</v>
      </c>
      <c r="N122" s="3">
        <v>1535857</v>
      </c>
      <c r="O122" s="2">
        <v>0.42399999999999999</v>
      </c>
      <c r="P122" s="2">
        <v>0.54800000000000004</v>
      </c>
      <c r="Q122" s="2">
        <v>0.27100000000000002</v>
      </c>
      <c r="R122" s="11">
        <v>301694792</v>
      </c>
      <c r="S122" s="11">
        <v>659073</v>
      </c>
      <c r="T122">
        <v>2018</v>
      </c>
      <c r="U122">
        <v>12</v>
      </c>
      <c r="V122">
        <f t="shared" si="6"/>
        <v>926316.75</v>
      </c>
      <c r="W122">
        <f t="shared" si="7"/>
        <v>18429897</v>
      </c>
      <c r="X122">
        <f t="shared" si="8"/>
        <v>17503580.25</v>
      </c>
      <c r="Y122">
        <f t="shared" si="9"/>
        <v>-25329053.625</v>
      </c>
      <c r="Z122">
        <f t="shared" si="10"/>
        <v>44685267.375</v>
      </c>
      <c r="AA122" t="str">
        <f t="shared" si="11"/>
        <v>Outlier</v>
      </c>
      <c r="AE122" s="2"/>
      <c r="AF122" s="2"/>
    </row>
    <row r="123" spans="1:32" x14ac:dyDescent="0.35">
      <c r="A123">
        <v>122</v>
      </c>
      <c r="B123" s="1">
        <v>43436</v>
      </c>
      <c r="C123" s="9" t="s">
        <v>303</v>
      </c>
      <c r="D123" s="9" t="s">
        <v>4974</v>
      </c>
      <c r="E123" s="9" t="s">
        <v>5779</v>
      </c>
      <c r="F123" s="9" t="s">
        <v>31</v>
      </c>
      <c r="G123" s="9" t="s">
        <v>304</v>
      </c>
      <c r="H123" s="9" t="s">
        <v>29</v>
      </c>
      <c r="I123" s="11">
        <v>800000</v>
      </c>
      <c r="J123" s="11">
        <v>3348646</v>
      </c>
      <c r="K123" s="11">
        <v>16980683</v>
      </c>
      <c r="L123" s="3">
        <v>56</v>
      </c>
      <c r="M123" s="3">
        <v>4332</v>
      </c>
      <c r="N123" s="3">
        <v>1311504</v>
      </c>
      <c r="O123" s="2">
        <v>0.312</v>
      </c>
      <c r="P123" s="2">
        <v>1.048</v>
      </c>
      <c r="Q123" s="2">
        <v>-0.10099999999999999</v>
      </c>
      <c r="R123" s="11">
        <v>428631504</v>
      </c>
      <c r="S123" s="11">
        <v>938599</v>
      </c>
      <c r="T123">
        <v>2018</v>
      </c>
      <c r="U123">
        <v>12</v>
      </c>
      <c r="V123">
        <f t="shared" si="6"/>
        <v>917544.5</v>
      </c>
      <c r="W123">
        <f t="shared" si="7"/>
        <v>18429897</v>
      </c>
      <c r="X123">
        <f t="shared" si="8"/>
        <v>17512352.5</v>
      </c>
      <c r="Y123">
        <f t="shared" si="9"/>
        <v>-25350984.25</v>
      </c>
      <c r="Z123">
        <f t="shared" si="10"/>
        <v>44698425.75</v>
      </c>
      <c r="AA123" t="str">
        <f t="shared" si="11"/>
        <v>Normal</v>
      </c>
      <c r="AE123" s="2"/>
      <c r="AF123" s="2"/>
    </row>
    <row r="124" spans="1:32" x14ac:dyDescent="0.35">
      <c r="A124">
        <v>123</v>
      </c>
      <c r="B124" s="1">
        <v>43436</v>
      </c>
      <c r="C124" s="9" t="s">
        <v>305</v>
      </c>
      <c r="D124" s="9" t="s">
        <v>4975</v>
      </c>
      <c r="E124" s="9" t="s">
        <v>5780</v>
      </c>
      <c r="F124" s="9" t="s">
        <v>151</v>
      </c>
      <c r="G124" s="9" t="s">
        <v>304</v>
      </c>
      <c r="H124" s="9" t="s">
        <v>29</v>
      </c>
      <c r="I124" s="11">
        <v>572000</v>
      </c>
      <c r="J124" s="11">
        <v>3279055</v>
      </c>
      <c r="K124" s="11">
        <v>15009499</v>
      </c>
      <c r="L124" s="3">
        <v>175</v>
      </c>
      <c r="M124" s="3">
        <v>1167</v>
      </c>
      <c r="N124" s="3">
        <v>1300561</v>
      </c>
      <c r="O124" s="2">
        <v>1.6E-2</v>
      </c>
      <c r="P124" s="2">
        <v>1.139</v>
      </c>
      <c r="Q124" s="2">
        <v>0.19600000000000001</v>
      </c>
      <c r="R124" s="11">
        <v>69084416</v>
      </c>
      <c r="S124" s="11">
        <v>877639</v>
      </c>
      <c r="T124">
        <v>2018</v>
      </c>
      <c r="U124">
        <v>12</v>
      </c>
      <c r="V124">
        <f t="shared" si="6"/>
        <v>938566.75</v>
      </c>
      <c r="W124">
        <f t="shared" si="7"/>
        <v>18429897</v>
      </c>
      <c r="X124">
        <f t="shared" si="8"/>
        <v>17491330.25</v>
      </c>
      <c r="Y124">
        <f t="shared" si="9"/>
        <v>-25298428.625</v>
      </c>
      <c r="Z124">
        <f t="shared" si="10"/>
        <v>44666892.375</v>
      </c>
      <c r="AA124" t="str">
        <f t="shared" si="11"/>
        <v>Normal</v>
      </c>
      <c r="AE124" s="2"/>
      <c r="AF124" s="2"/>
    </row>
    <row r="125" spans="1:32" x14ac:dyDescent="0.35">
      <c r="A125">
        <v>124</v>
      </c>
      <c r="B125" s="1">
        <v>43438</v>
      </c>
      <c r="C125" s="9" t="s">
        <v>306</v>
      </c>
      <c r="D125" s="9" t="s">
        <v>4976</v>
      </c>
      <c r="E125" s="9" t="s">
        <v>1873</v>
      </c>
      <c r="F125" s="9" t="s">
        <v>307</v>
      </c>
      <c r="G125" s="9" t="s">
        <v>308</v>
      </c>
      <c r="H125" s="9" t="s">
        <v>86</v>
      </c>
      <c r="I125" s="11">
        <v>143000</v>
      </c>
      <c r="J125" s="11">
        <v>2366059</v>
      </c>
      <c r="K125" s="11">
        <v>12468216</v>
      </c>
      <c r="L125" s="3">
        <v>444</v>
      </c>
      <c r="M125" s="3">
        <v>1234</v>
      </c>
      <c r="N125" s="3">
        <v>1406449</v>
      </c>
      <c r="O125" s="2">
        <v>2.1000000000000001E-2</v>
      </c>
      <c r="P125" s="2">
        <v>0.98699999999999999</v>
      </c>
      <c r="Q125" s="2">
        <v>0.11</v>
      </c>
      <c r="R125" s="11">
        <v>107714686</v>
      </c>
      <c r="S125" s="11">
        <v>1753802</v>
      </c>
      <c r="T125">
        <v>2018</v>
      </c>
      <c r="U125">
        <v>12</v>
      </c>
      <c r="V125">
        <f t="shared" si="6"/>
        <v>949000</v>
      </c>
      <c r="W125">
        <f t="shared" si="7"/>
        <v>18429897</v>
      </c>
      <c r="X125">
        <f t="shared" si="8"/>
        <v>17480897</v>
      </c>
      <c r="Y125">
        <f t="shared" si="9"/>
        <v>-25272345.5</v>
      </c>
      <c r="Z125">
        <f t="shared" si="10"/>
        <v>44651242.5</v>
      </c>
      <c r="AA125" t="str">
        <f t="shared" si="11"/>
        <v>Normal</v>
      </c>
      <c r="AE125" s="2"/>
      <c r="AF125" s="2"/>
    </row>
    <row r="126" spans="1:32" x14ac:dyDescent="0.35">
      <c r="A126">
        <v>125</v>
      </c>
      <c r="B126" s="1">
        <v>43440</v>
      </c>
      <c r="C126" s="9" t="s">
        <v>309</v>
      </c>
      <c r="D126" s="9" t="s">
        <v>4945</v>
      </c>
      <c r="E126" s="9" t="s">
        <v>1873</v>
      </c>
      <c r="F126" s="9" t="s">
        <v>310</v>
      </c>
      <c r="G126" s="9" t="s">
        <v>311</v>
      </c>
      <c r="H126" s="9" t="s">
        <v>86</v>
      </c>
      <c r="I126" s="11">
        <v>2000000</v>
      </c>
      <c r="J126" s="11">
        <v>4278298</v>
      </c>
      <c r="K126" s="11">
        <v>714441</v>
      </c>
      <c r="L126" s="3">
        <v>239</v>
      </c>
      <c r="M126" s="3">
        <v>1798</v>
      </c>
      <c r="N126" s="3">
        <v>1543820</v>
      </c>
      <c r="O126" s="2">
        <v>1.6E-2</v>
      </c>
      <c r="P126" s="2">
        <v>0.79100000000000004</v>
      </c>
      <c r="Q126" s="2">
        <v>-0.161</v>
      </c>
      <c r="R126" s="11">
        <v>250264963</v>
      </c>
      <c r="S126" s="11">
        <v>1660359</v>
      </c>
      <c r="T126">
        <v>2018</v>
      </c>
      <c r="U126">
        <v>12</v>
      </c>
      <c r="V126">
        <f t="shared" si="6"/>
        <v>959500</v>
      </c>
      <c r="W126">
        <f t="shared" si="7"/>
        <v>18429897</v>
      </c>
      <c r="X126">
        <f t="shared" si="8"/>
        <v>17470397</v>
      </c>
      <c r="Y126">
        <f t="shared" si="9"/>
        <v>-25246095.5</v>
      </c>
      <c r="Z126">
        <f t="shared" si="10"/>
        <v>44635492.5</v>
      </c>
      <c r="AA126" t="str">
        <f t="shared" si="11"/>
        <v>Normal</v>
      </c>
      <c r="AE126" s="2"/>
      <c r="AF126" s="2"/>
    </row>
    <row r="127" spans="1:32" x14ac:dyDescent="0.35">
      <c r="A127">
        <v>126</v>
      </c>
      <c r="B127" s="1">
        <v>43440</v>
      </c>
      <c r="C127" s="9" t="s">
        <v>312</v>
      </c>
      <c r="D127" s="9" t="s">
        <v>4977</v>
      </c>
      <c r="E127" s="9" t="s">
        <v>5781</v>
      </c>
      <c r="F127" s="9" t="s">
        <v>151</v>
      </c>
      <c r="G127" s="9" t="s">
        <v>313</v>
      </c>
      <c r="H127" s="9" t="s">
        <v>37</v>
      </c>
      <c r="I127" s="11">
        <v>3500000</v>
      </c>
      <c r="J127" s="11">
        <v>2834875</v>
      </c>
      <c r="K127" s="11">
        <v>11714449</v>
      </c>
      <c r="L127" s="3">
        <v>12</v>
      </c>
      <c r="M127" s="3">
        <v>1875</v>
      </c>
      <c r="N127" s="3">
        <v>1351369</v>
      </c>
      <c r="O127" s="2">
        <v>1.6E-2</v>
      </c>
      <c r="P127" s="2">
        <v>0.502</v>
      </c>
      <c r="Q127" s="2">
        <v>-1.2E-2</v>
      </c>
      <c r="R127" s="11">
        <v>358163022</v>
      </c>
      <c r="S127" s="11">
        <v>1875678</v>
      </c>
      <c r="T127">
        <v>2018</v>
      </c>
      <c r="U127">
        <v>12</v>
      </c>
      <c r="V127">
        <f t="shared" si="6"/>
        <v>956000</v>
      </c>
      <c r="W127">
        <f t="shared" si="7"/>
        <v>18429897</v>
      </c>
      <c r="X127">
        <f t="shared" si="8"/>
        <v>17473897</v>
      </c>
      <c r="Y127">
        <f t="shared" si="9"/>
        <v>-25254845.5</v>
      </c>
      <c r="Z127">
        <f t="shared" si="10"/>
        <v>44640742.5</v>
      </c>
      <c r="AA127" t="str">
        <f t="shared" si="11"/>
        <v>Normal</v>
      </c>
      <c r="AE127" s="2"/>
      <c r="AF127" s="2"/>
    </row>
    <row r="128" spans="1:32" x14ac:dyDescent="0.35">
      <c r="A128">
        <v>127</v>
      </c>
      <c r="B128" s="1">
        <v>43405</v>
      </c>
      <c r="C128" s="9" t="s">
        <v>314</v>
      </c>
      <c r="D128" s="9" t="s">
        <v>4939</v>
      </c>
      <c r="E128" s="9" t="s">
        <v>5782</v>
      </c>
      <c r="F128" s="9" t="s">
        <v>15</v>
      </c>
      <c r="G128" s="9" t="s">
        <v>315</v>
      </c>
      <c r="H128" s="9" t="s">
        <v>275</v>
      </c>
      <c r="I128" s="11">
        <v>138995</v>
      </c>
      <c r="J128" s="11">
        <v>414403</v>
      </c>
      <c r="K128" s="11">
        <v>2677260</v>
      </c>
      <c r="L128" s="3">
        <v>424</v>
      </c>
      <c r="M128" s="3">
        <v>65</v>
      </c>
      <c r="N128" s="3">
        <v>1255210</v>
      </c>
      <c r="O128" s="2">
        <v>-1.2E-2</v>
      </c>
      <c r="P128" s="2">
        <v>0.23300000000000001</v>
      </c>
      <c r="Q128" s="2">
        <v>0.10300000000000001</v>
      </c>
      <c r="R128" s="11">
        <v>332266621</v>
      </c>
      <c r="S128" s="11">
        <v>1363041</v>
      </c>
      <c r="T128">
        <v>2018</v>
      </c>
      <c r="U128">
        <v>11</v>
      </c>
      <c r="V128">
        <f t="shared" si="6"/>
        <v>952500</v>
      </c>
      <c r="W128">
        <f t="shared" si="7"/>
        <v>18429897</v>
      </c>
      <c r="X128">
        <f t="shared" si="8"/>
        <v>17477397</v>
      </c>
      <c r="Y128">
        <f t="shared" si="9"/>
        <v>-25263595.5</v>
      </c>
      <c r="Z128">
        <f t="shared" si="10"/>
        <v>44645992.5</v>
      </c>
      <c r="AA128" t="str">
        <f t="shared" si="11"/>
        <v>Normal</v>
      </c>
      <c r="AE128" s="2"/>
      <c r="AF128" s="2"/>
    </row>
    <row r="129" spans="1:32" x14ac:dyDescent="0.35">
      <c r="A129">
        <v>128</v>
      </c>
      <c r="B129" s="1">
        <v>43407</v>
      </c>
      <c r="C129" s="9" t="s">
        <v>316</v>
      </c>
      <c r="D129" s="9" t="s">
        <v>4978</v>
      </c>
      <c r="E129" s="9" t="s">
        <v>5783</v>
      </c>
      <c r="F129" s="9" t="s">
        <v>35</v>
      </c>
      <c r="G129" s="9" t="s">
        <v>4825</v>
      </c>
      <c r="H129" s="9" t="s">
        <v>45</v>
      </c>
      <c r="I129" s="11">
        <v>27799000</v>
      </c>
      <c r="J129" s="11">
        <v>3829694</v>
      </c>
      <c r="K129" s="11">
        <v>12103415</v>
      </c>
      <c r="L129" s="3">
        <v>329</v>
      </c>
      <c r="M129" s="3">
        <v>809</v>
      </c>
      <c r="N129" s="3">
        <v>365293</v>
      </c>
      <c r="O129" s="2">
        <v>-0.17399999999999999</v>
      </c>
      <c r="P129" s="2">
        <v>0.93700000000000006</v>
      </c>
      <c r="Q129" s="2">
        <v>2.2000000000000002E-2</v>
      </c>
      <c r="R129" s="11">
        <v>382593282</v>
      </c>
      <c r="S129" s="11">
        <v>963863</v>
      </c>
      <c r="T129">
        <v>2018</v>
      </c>
      <c r="U129">
        <v>11</v>
      </c>
      <c r="V129">
        <f t="shared" si="6"/>
        <v>963000</v>
      </c>
      <c r="W129">
        <f t="shared" si="7"/>
        <v>18429897</v>
      </c>
      <c r="X129">
        <f t="shared" si="8"/>
        <v>17466897</v>
      </c>
      <c r="Y129">
        <f t="shared" si="9"/>
        <v>-25237345.5</v>
      </c>
      <c r="Z129">
        <f t="shared" si="10"/>
        <v>44630242.5</v>
      </c>
      <c r="AA129" t="str">
        <f t="shared" si="11"/>
        <v>Normal</v>
      </c>
      <c r="AE129" s="2"/>
      <c r="AF129" s="2"/>
    </row>
    <row r="130" spans="1:32" x14ac:dyDescent="0.35">
      <c r="A130">
        <v>129</v>
      </c>
      <c r="B130" s="1">
        <v>43410</v>
      </c>
      <c r="C130" s="9" t="s">
        <v>148</v>
      </c>
      <c r="D130" s="9" t="s">
        <v>4925</v>
      </c>
      <c r="E130" s="9" t="s">
        <v>5729</v>
      </c>
      <c r="F130" s="9" t="s">
        <v>15</v>
      </c>
      <c r="G130" s="9" t="s">
        <v>317</v>
      </c>
      <c r="H130" s="9" t="s">
        <v>21</v>
      </c>
      <c r="I130" s="11">
        <v>50000000</v>
      </c>
      <c r="J130" s="11">
        <v>2881511</v>
      </c>
      <c r="K130" s="11">
        <v>14057842</v>
      </c>
      <c r="L130" s="3">
        <v>455</v>
      </c>
      <c r="M130" s="3">
        <v>2421</v>
      </c>
      <c r="N130" s="3">
        <v>1466229</v>
      </c>
      <c r="O130" s="2">
        <v>3.1E-2</v>
      </c>
      <c r="P130" s="2">
        <v>1.1559999999999999E-2</v>
      </c>
      <c r="Q130" s="2">
        <v>0.57399999999999995</v>
      </c>
      <c r="R130" s="11">
        <v>398102937</v>
      </c>
      <c r="S130" s="11">
        <v>626913</v>
      </c>
      <c r="T130">
        <v>2018</v>
      </c>
      <c r="U130">
        <v>11</v>
      </c>
      <c r="V130">
        <f t="shared" ref="V130:V193" si="12">_xlfn.PERCENTILE.INC(I130:I3173,0.25)</f>
        <v>959500</v>
      </c>
      <c r="W130">
        <f t="shared" ref="W130:W193" si="13">_xlfn.PERCENTILE.INC(I130:I3173,0.75)</f>
        <v>18429897</v>
      </c>
      <c r="X130">
        <f t="shared" ref="X130:X193" si="14">W130-V130</f>
        <v>17470397</v>
      </c>
      <c r="Y130">
        <f t="shared" ref="Y130:Y193" si="15">V130-1.5*X130</f>
        <v>-25246095.5</v>
      </c>
      <c r="Z130">
        <f t="shared" ref="Z130:Z193" si="16">W130+1.5*X130</f>
        <v>44635492.5</v>
      </c>
      <c r="AA130" t="str">
        <f t="shared" ref="AA130:AA193" si="17">IF(OR(I130&lt;$Y$2, I130&gt;$Z$2), "Outlier", "Normal")</f>
        <v>Outlier</v>
      </c>
      <c r="AE130" s="2"/>
      <c r="AF130" s="2"/>
    </row>
    <row r="131" spans="1:32" x14ac:dyDescent="0.35">
      <c r="A131">
        <v>130</v>
      </c>
      <c r="B131" s="1">
        <v>43412</v>
      </c>
      <c r="C131" s="9" t="s">
        <v>318</v>
      </c>
      <c r="D131" s="9" t="s">
        <v>4935</v>
      </c>
      <c r="E131" s="9" t="s">
        <v>5784</v>
      </c>
      <c r="F131" s="9" t="s">
        <v>15</v>
      </c>
      <c r="G131" s="9" t="s">
        <v>193</v>
      </c>
      <c r="H131" s="9" t="s">
        <v>37</v>
      </c>
      <c r="I131" s="11">
        <v>500000</v>
      </c>
      <c r="J131" s="11">
        <v>3180897</v>
      </c>
      <c r="K131" s="11">
        <v>10949054</v>
      </c>
      <c r="L131" s="3">
        <v>13</v>
      </c>
      <c r="M131" s="3">
        <v>4836</v>
      </c>
      <c r="N131" s="3">
        <v>974054</v>
      </c>
      <c r="O131" s="2">
        <v>0.18899999999999997</v>
      </c>
      <c r="P131" s="2">
        <v>0.50800000000000001</v>
      </c>
      <c r="Q131" s="2">
        <v>0.159</v>
      </c>
      <c r="R131" s="11">
        <v>148356168</v>
      </c>
      <c r="S131" s="11">
        <v>1176123</v>
      </c>
      <c r="T131">
        <v>2018</v>
      </c>
      <c r="U131">
        <v>11</v>
      </c>
      <c r="V131">
        <f t="shared" si="12"/>
        <v>956000</v>
      </c>
      <c r="W131">
        <f t="shared" si="13"/>
        <v>18429897</v>
      </c>
      <c r="X131">
        <f t="shared" si="14"/>
        <v>17473897</v>
      </c>
      <c r="Y131">
        <f t="shared" si="15"/>
        <v>-25254845.5</v>
      </c>
      <c r="Z131">
        <f t="shared" si="16"/>
        <v>44640742.5</v>
      </c>
      <c r="AA131" t="str">
        <f t="shared" si="17"/>
        <v>Normal</v>
      </c>
      <c r="AE131" s="2"/>
      <c r="AF131" s="2"/>
    </row>
    <row r="132" spans="1:32" x14ac:dyDescent="0.35">
      <c r="A132">
        <v>131</v>
      </c>
      <c r="B132" s="1">
        <v>43412</v>
      </c>
      <c r="C132" s="9" t="s">
        <v>319</v>
      </c>
      <c r="D132" s="9" t="s">
        <v>4979</v>
      </c>
      <c r="E132" s="9" t="s">
        <v>5785</v>
      </c>
      <c r="F132" s="9" t="s">
        <v>294</v>
      </c>
      <c r="G132" s="9" t="s">
        <v>320</v>
      </c>
      <c r="H132" s="9" t="s">
        <v>293</v>
      </c>
      <c r="I132" s="11">
        <v>1000000</v>
      </c>
      <c r="J132" s="11">
        <v>2835559</v>
      </c>
      <c r="K132" s="11">
        <v>6237975</v>
      </c>
      <c r="L132" s="3">
        <v>77</v>
      </c>
      <c r="M132" s="3">
        <v>685</v>
      </c>
      <c r="N132" s="3">
        <v>311422</v>
      </c>
      <c r="O132" s="2">
        <v>3.7000000000000005E-2</v>
      </c>
      <c r="P132" s="2">
        <v>0.23600000000000002</v>
      </c>
      <c r="Q132" s="2">
        <v>0.36749999999999999</v>
      </c>
      <c r="R132" s="11">
        <v>436788045</v>
      </c>
      <c r="S132" s="11">
        <v>1008262</v>
      </c>
      <c r="T132">
        <v>2018</v>
      </c>
      <c r="U132">
        <v>11</v>
      </c>
      <c r="V132">
        <f t="shared" si="12"/>
        <v>964750</v>
      </c>
      <c r="W132">
        <f t="shared" si="13"/>
        <v>18429897</v>
      </c>
      <c r="X132">
        <f t="shared" si="14"/>
        <v>17465147</v>
      </c>
      <c r="Y132">
        <f t="shared" si="15"/>
        <v>-25232970.5</v>
      </c>
      <c r="Z132">
        <f t="shared" si="16"/>
        <v>44627617.5</v>
      </c>
      <c r="AA132" t="str">
        <f t="shared" si="17"/>
        <v>Normal</v>
      </c>
      <c r="AE132" s="2"/>
      <c r="AF132" s="2"/>
    </row>
    <row r="133" spans="1:32" x14ac:dyDescent="0.35">
      <c r="A133">
        <v>132</v>
      </c>
      <c r="B133" s="1">
        <v>43416</v>
      </c>
      <c r="C133" s="9" t="s">
        <v>245</v>
      </c>
      <c r="D133" s="9" t="s">
        <v>4980</v>
      </c>
      <c r="E133" s="9" t="s">
        <v>5786</v>
      </c>
      <c r="F133" s="9" t="s">
        <v>321</v>
      </c>
      <c r="G133" s="9" t="s">
        <v>322</v>
      </c>
      <c r="H133" s="9" t="s">
        <v>37</v>
      </c>
      <c r="I133" s="11">
        <v>1000000</v>
      </c>
      <c r="J133" s="11">
        <v>2776825</v>
      </c>
      <c r="K133" s="11">
        <v>1281321</v>
      </c>
      <c r="L133" s="3">
        <v>257</v>
      </c>
      <c r="M133" s="3">
        <v>1243</v>
      </c>
      <c r="N133" s="3">
        <v>961515</v>
      </c>
      <c r="O133" s="2">
        <v>0.16300000000000001</v>
      </c>
      <c r="P133" s="2">
        <v>0.33900000000000002</v>
      </c>
      <c r="Q133" s="2">
        <v>0.9</v>
      </c>
      <c r="R133" s="11">
        <v>462364164</v>
      </c>
      <c r="S133" s="11">
        <v>1715133</v>
      </c>
      <c r="T133">
        <v>2018</v>
      </c>
      <c r="U133">
        <v>11</v>
      </c>
      <c r="V133">
        <f t="shared" si="12"/>
        <v>963000</v>
      </c>
      <c r="W133">
        <f t="shared" si="13"/>
        <v>18429897</v>
      </c>
      <c r="X133">
        <f t="shared" si="14"/>
        <v>17466897</v>
      </c>
      <c r="Y133">
        <f t="shared" si="15"/>
        <v>-25237345.5</v>
      </c>
      <c r="Z133">
        <f t="shared" si="16"/>
        <v>44630242.5</v>
      </c>
      <c r="AA133" t="str">
        <f t="shared" si="17"/>
        <v>Normal</v>
      </c>
      <c r="AE133" s="2"/>
      <c r="AF133" s="2"/>
    </row>
    <row r="134" spans="1:32" x14ac:dyDescent="0.35">
      <c r="A134">
        <v>133</v>
      </c>
      <c r="B134" s="1">
        <v>43416</v>
      </c>
      <c r="C134" s="9" t="s">
        <v>323</v>
      </c>
      <c r="D134" s="9" t="s">
        <v>4979</v>
      </c>
      <c r="E134" s="9" t="s">
        <v>5787</v>
      </c>
      <c r="F134" s="9" t="s">
        <v>27</v>
      </c>
      <c r="G134" s="9" t="s">
        <v>324</v>
      </c>
      <c r="H134" s="9" t="s">
        <v>24</v>
      </c>
      <c r="I134" s="11">
        <v>1300000</v>
      </c>
      <c r="J134" s="11">
        <v>471020</v>
      </c>
      <c r="K134" s="11">
        <v>13453941</v>
      </c>
      <c r="L134" s="3">
        <v>94</v>
      </c>
      <c r="M134" s="3">
        <v>4305</v>
      </c>
      <c r="N134" s="3">
        <v>647384</v>
      </c>
      <c r="O134" s="2">
        <v>0.44400000000000001</v>
      </c>
      <c r="P134" s="2">
        <v>0.59299999999999997</v>
      </c>
      <c r="Q134" s="2">
        <v>4.2999999999999997E-2</v>
      </c>
      <c r="R134" s="11">
        <v>344843870</v>
      </c>
      <c r="S134" s="11">
        <v>913818</v>
      </c>
      <c r="T134">
        <v>2018</v>
      </c>
      <c r="U134">
        <v>11</v>
      </c>
      <c r="V134">
        <f t="shared" si="12"/>
        <v>959500</v>
      </c>
      <c r="W134">
        <f t="shared" si="13"/>
        <v>18429897</v>
      </c>
      <c r="X134">
        <f t="shared" si="14"/>
        <v>17470397</v>
      </c>
      <c r="Y134">
        <f t="shared" si="15"/>
        <v>-25246095.5</v>
      </c>
      <c r="Z134">
        <f t="shared" si="16"/>
        <v>44635492.5</v>
      </c>
      <c r="AA134" t="str">
        <f t="shared" si="17"/>
        <v>Normal</v>
      </c>
      <c r="AE134" s="2"/>
      <c r="AF134" s="2"/>
    </row>
    <row r="135" spans="1:32" x14ac:dyDescent="0.35">
      <c r="A135">
        <v>134</v>
      </c>
      <c r="B135" s="1">
        <v>43417</v>
      </c>
      <c r="C135" s="9" t="s">
        <v>325</v>
      </c>
      <c r="D135" s="9" t="s">
        <v>4958</v>
      </c>
      <c r="E135" s="9" t="s">
        <v>5788</v>
      </c>
      <c r="F135" s="9" t="s">
        <v>15</v>
      </c>
      <c r="G135" s="9" t="s">
        <v>326</v>
      </c>
      <c r="H135" s="9" t="s">
        <v>327</v>
      </c>
      <c r="I135" s="11">
        <v>1000000</v>
      </c>
      <c r="J135" s="11">
        <v>2804851</v>
      </c>
      <c r="K135" s="11">
        <v>13996098</v>
      </c>
      <c r="L135" s="3">
        <v>262</v>
      </c>
      <c r="M135" s="3">
        <v>244</v>
      </c>
      <c r="N135" s="3">
        <v>398042</v>
      </c>
      <c r="O135" s="2">
        <v>0.48700000000000004</v>
      </c>
      <c r="P135" s="2">
        <v>1.1890000000000001</v>
      </c>
      <c r="Q135" s="2">
        <v>-5.1999999999999998E-2</v>
      </c>
      <c r="R135" s="11">
        <v>78505938</v>
      </c>
      <c r="S135" s="11">
        <v>1383376</v>
      </c>
      <c r="T135">
        <v>2018</v>
      </c>
      <c r="U135">
        <v>11</v>
      </c>
      <c r="V135">
        <f t="shared" si="12"/>
        <v>956000</v>
      </c>
      <c r="W135">
        <f t="shared" si="13"/>
        <v>18429897</v>
      </c>
      <c r="X135">
        <f t="shared" si="14"/>
        <v>17473897</v>
      </c>
      <c r="Y135">
        <f t="shared" si="15"/>
        <v>-25254845.5</v>
      </c>
      <c r="Z135">
        <f t="shared" si="16"/>
        <v>44640742.5</v>
      </c>
      <c r="AA135" t="str">
        <f t="shared" si="17"/>
        <v>Normal</v>
      </c>
      <c r="AE135" s="2"/>
      <c r="AF135" s="2"/>
    </row>
    <row r="136" spans="1:32" x14ac:dyDescent="0.35">
      <c r="A136">
        <v>135</v>
      </c>
      <c r="B136" s="1">
        <v>43418</v>
      </c>
      <c r="C136" s="9" t="s">
        <v>328</v>
      </c>
      <c r="D136" s="9" t="s">
        <v>4956</v>
      </c>
      <c r="E136" s="9" t="s">
        <v>5789</v>
      </c>
      <c r="F136" s="9" t="s">
        <v>15</v>
      </c>
      <c r="G136" s="9" t="s">
        <v>329</v>
      </c>
      <c r="H136" s="9" t="s">
        <v>275</v>
      </c>
      <c r="I136" s="11">
        <v>500000</v>
      </c>
      <c r="J136" s="11">
        <v>3978664</v>
      </c>
      <c r="K136" s="11">
        <v>9610875</v>
      </c>
      <c r="L136" s="3">
        <v>176</v>
      </c>
      <c r="M136" s="3">
        <v>533</v>
      </c>
      <c r="N136" s="3">
        <v>1122427</v>
      </c>
      <c r="O136" s="2">
        <v>0.106</v>
      </c>
      <c r="P136" s="2">
        <v>0.28499999999999998</v>
      </c>
      <c r="Q136" s="2">
        <v>-0.106</v>
      </c>
      <c r="R136" s="11">
        <v>358459841</v>
      </c>
      <c r="S136" s="11">
        <v>106105</v>
      </c>
      <c r="T136">
        <v>2018</v>
      </c>
      <c r="U136">
        <v>11</v>
      </c>
      <c r="V136">
        <f t="shared" si="12"/>
        <v>952500</v>
      </c>
      <c r="W136">
        <f t="shared" si="13"/>
        <v>18429897</v>
      </c>
      <c r="X136">
        <f t="shared" si="14"/>
        <v>17477397</v>
      </c>
      <c r="Y136">
        <f t="shared" si="15"/>
        <v>-25263595.5</v>
      </c>
      <c r="Z136">
        <f t="shared" si="16"/>
        <v>44645992.5</v>
      </c>
      <c r="AA136" t="str">
        <f t="shared" si="17"/>
        <v>Normal</v>
      </c>
      <c r="AE136" s="2"/>
      <c r="AF136" s="2"/>
    </row>
    <row r="137" spans="1:32" x14ac:dyDescent="0.35">
      <c r="A137">
        <v>136</v>
      </c>
      <c r="B137" s="1">
        <v>43423</v>
      </c>
      <c r="C137" s="9" t="s">
        <v>330</v>
      </c>
      <c r="D137" s="9" t="s">
        <v>4981</v>
      </c>
      <c r="E137" s="9" t="s">
        <v>5790</v>
      </c>
      <c r="F137" s="9" t="s">
        <v>331</v>
      </c>
      <c r="G137" s="9" t="s">
        <v>67</v>
      </c>
      <c r="H137" s="9" t="s">
        <v>24</v>
      </c>
      <c r="I137" s="11">
        <v>200000000</v>
      </c>
      <c r="J137" s="11">
        <v>1533671</v>
      </c>
      <c r="K137" s="11">
        <v>14355102</v>
      </c>
      <c r="L137" s="3">
        <v>109</v>
      </c>
      <c r="M137" s="3">
        <v>4454</v>
      </c>
      <c r="N137" s="3">
        <v>1789501</v>
      </c>
      <c r="O137" s="2">
        <v>0.29599999999999999</v>
      </c>
      <c r="P137" s="2">
        <v>0.51800000000000002</v>
      </c>
      <c r="Q137" s="2">
        <v>0.25</v>
      </c>
      <c r="R137" s="11">
        <v>255753633</v>
      </c>
      <c r="S137" s="11">
        <v>878945</v>
      </c>
      <c r="T137">
        <v>2018</v>
      </c>
      <c r="U137">
        <v>11</v>
      </c>
      <c r="V137">
        <f t="shared" si="12"/>
        <v>963000</v>
      </c>
      <c r="W137">
        <f t="shared" si="13"/>
        <v>18429897</v>
      </c>
      <c r="X137">
        <f t="shared" si="14"/>
        <v>17466897</v>
      </c>
      <c r="Y137">
        <f t="shared" si="15"/>
        <v>-25237345.5</v>
      </c>
      <c r="Z137">
        <f t="shared" si="16"/>
        <v>44630242.5</v>
      </c>
      <c r="AA137" t="str">
        <f t="shared" si="17"/>
        <v>Outlier</v>
      </c>
      <c r="AE137" s="2"/>
      <c r="AF137" s="2"/>
    </row>
    <row r="138" spans="1:32" x14ac:dyDescent="0.35">
      <c r="A138">
        <v>137</v>
      </c>
      <c r="B138" s="1">
        <v>43424</v>
      </c>
      <c r="C138" s="9" t="s">
        <v>332</v>
      </c>
      <c r="D138" s="9" t="s">
        <v>4937</v>
      </c>
      <c r="E138" s="9" t="s">
        <v>5791</v>
      </c>
      <c r="F138" s="9" t="s">
        <v>15</v>
      </c>
      <c r="G138" s="9" t="s">
        <v>333</v>
      </c>
      <c r="H138" s="9" t="s">
        <v>334</v>
      </c>
      <c r="I138" s="11">
        <v>6000000</v>
      </c>
      <c r="J138" s="11">
        <v>3022134</v>
      </c>
      <c r="K138" s="11">
        <v>15604394</v>
      </c>
      <c r="L138" s="3">
        <v>386</v>
      </c>
      <c r="M138" s="3">
        <v>1289</v>
      </c>
      <c r="N138" s="3">
        <v>33193</v>
      </c>
      <c r="O138" s="2">
        <v>8.6999999999999994E-2</v>
      </c>
      <c r="P138" s="2">
        <v>0.752</v>
      </c>
      <c r="Q138" s="2">
        <v>0.48499999999999999</v>
      </c>
      <c r="R138" s="11">
        <v>366401412</v>
      </c>
      <c r="S138" s="11">
        <v>723375</v>
      </c>
      <c r="T138">
        <v>2018</v>
      </c>
      <c r="U138">
        <v>11</v>
      </c>
      <c r="V138">
        <f t="shared" si="12"/>
        <v>959500</v>
      </c>
      <c r="W138">
        <f t="shared" si="13"/>
        <v>18429897</v>
      </c>
      <c r="X138">
        <f t="shared" si="14"/>
        <v>17470397</v>
      </c>
      <c r="Y138">
        <f t="shared" si="15"/>
        <v>-25246095.5</v>
      </c>
      <c r="Z138">
        <f t="shared" si="16"/>
        <v>44635492.5</v>
      </c>
      <c r="AA138" t="str">
        <f t="shared" si="17"/>
        <v>Normal</v>
      </c>
      <c r="AE138" s="2"/>
      <c r="AF138" s="2"/>
    </row>
    <row r="139" spans="1:32" x14ac:dyDescent="0.35">
      <c r="A139">
        <v>138</v>
      </c>
      <c r="B139" s="1">
        <v>43425</v>
      </c>
      <c r="C139" s="9" t="s">
        <v>335</v>
      </c>
      <c r="D139" s="9" t="s">
        <v>4938</v>
      </c>
      <c r="E139" s="9" t="s">
        <v>5792</v>
      </c>
      <c r="F139" s="9" t="s">
        <v>63</v>
      </c>
      <c r="G139" s="9" t="s">
        <v>304</v>
      </c>
      <c r="H139" s="9" t="s">
        <v>86</v>
      </c>
      <c r="I139" s="11">
        <v>278000</v>
      </c>
      <c r="J139" s="11">
        <v>173472</v>
      </c>
      <c r="K139" s="11">
        <v>10298359</v>
      </c>
      <c r="L139" s="3">
        <v>24</v>
      </c>
      <c r="M139" s="3">
        <v>1574</v>
      </c>
      <c r="N139" s="3">
        <v>269915</v>
      </c>
      <c r="O139" s="2">
        <v>2.2000000000000002E-2</v>
      </c>
      <c r="P139" s="2">
        <v>0.312</v>
      </c>
      <c r="Q139" s="2">
        <v>-1.3000000000000001E-2</v>
      </c>
      <c r="R139" s="11">
        <v>23015803</v>
      </c>
      <c r="S139" s="11">
        <v>1288547</v>
      </c>
      <c r="T139">
        <v>2018</v>
      </c>
      <c r="U139">
        <v>11</v>
      </c>
      <c r="V139">
        <f t="shared" si="12"/>
        <v>956000</v>
      </c>
      <c r="W139">
        <f t="shared" si="13"/>
        <v>18429897</v>
      </c>
      <c r="X139">
        <f t="shared" si="14"/>
        <v>17473897</v>
      </c>
      <c r="Y139">
        <f t="shared" si="15"/>
        <v>-25254845.5</v>
      </c>
      <c r="Z139">
        <f t="shared" si="16"/>
        <v>44640742.5</v>
      </c>
      <c r="AA139" t="str">
        <f t="shared" si="17"/>
        <v>Normal</v>
      </c>
      <c r="AE139" s="2"/>
      <c r="AF139" s="2"/>
    </row>
    <row r="140" spans="1:32" x14ac:dyDescent="0.35">
      <c r="A140">
        <v>139</v>
      </c>
      <c r="B140" s="1">
        <v>43426</v>
      </c>
      <c r="C140" s="9" t="s">
        <v>336</v>
      </c>
      <c r="D140" s="9" t="s">
        <v>4982</v>
      </c>
      <c r="E140" s="9" t="s">
        <v>5793</v>
      </c>
      <c r="F140" s="9" t="s">
        <v>31</v>
      </c>
      <c r="G140" s="9" t="s">
        <v>337</v>
      </c>
      <c r="H140" s="9" t="s">
        <v>338</v>
      </c>
      <c r="I140" s="11">
        <v>31000000</v>
      </c>
      <c r="J140" s="11">
        <v>1750546</v>
      </c>
      <c r="K140" s="11">
        <v>1048743</v>
      </c>
      <c r="L140" s="3">
        <v>438</v>
      </c>
      <c r="M140" s="3">
        <v>123</v>
      </c>
      <c r="N140" s="3">
        <v>1824603</v>
      </c>
      <c r="O140" s="2">
        <v>-0.10300000000000001</v>
      </c>
      <c r="P140" s="2">
        <v>0.318</v>
      </c>
      <c r="Q140" s="2">
        <v>0.20699999999999999</v>
      </c>
      <c r="R140" s="11">
        <v>196028230</v>
      </c>
      <c r="S140" s="11">
        <v>252791</v>
      </c>
      <c r="T140">
        <v>2018</v>
      </c>
      <c r="U140">
        <v>11</v>
      </c>
      <c r="V140">
        <f t="shared" si="12"/>
        <v>964750</v>
      </c>
      <c r="W140">
        <f t="shared" si="13"/>
        <v>18429897</v>
      </c>
      <c r="X140">
        <f t="shared" si="14"/>
        <v>17465147</v>
      </c>
      <c r="Y140">
        <f t="shared" si="15"/>
        <v>-25232970.5</v>
      </c>
      <c r="Z140">
        <f t="shared" si="16"/>
        <v>44627617.5</v>
      </c>
      <c r="AA140" t="str">
        <f t="shared" si="17"/>
        <v>Normal</v>
      </c>
      <c r="AE140" s="2"/>
      <c r="AF140" s="2"/>
    </row>
    <row r="141" spans="1:32" x14ac:dyDescent="0.35">
      <c r="A141">
        <v>140</v>
      </c>
      <c r="B141" s="1">
        <v>43426</v>
      </c>
      <c r="C141" s="9" t="s">
        <v>339</v>
      </c>
      <c r="D141" s="9" t="s">
        <v>4983</v>
      </c>
      <c r="E141" s="9" t="s">
        <v>5794</v>
      </c>
      <c r="F141" s="9" t="s">
        <v>151</v>
      </c>
      <c r="G141" s="9" t="s">
        <v>304</v>
      </c>
      <c r="H141" s="9" t="s">
        <v>86</v>
      </c>
      <c r="I141" s="11">
        <v>18429897</v>
      </c>
      <c r="J141" s="11">
        <v>2194852</v>
      </c>
      <c r="K141" s="11">
        <v>17420713</v>
      </c>
      <c r="L141" s="3">
        <v>81</v>
      </c>
      <c r="M141" s="3">
        <v>2061</v>
      </c>
      <c r="N141" s="3">
        <v>1381838</v>
      </c>
      <c r="O141" s="2">
        <v>1.6E-2</v>
      </c>
      <c r="P141" s="2">
        <v>0.26900000000000002</v>
      </c>
      <c r="Q141" s="2">
        <v>-6.6000000000000003E-2</v>
      </c>
      <c r="R141" s="11">
        <v>265209517</v>
      </c>
      <c r="S141" s="11">
        <v>286599</v>
      </c>
      <c r="T141">
        <v>2018</v>
      </c>
      <c r="U141">
        <v>11</v>
      </c>
      <c r="V141">
        <f t="shared" si="12"/>
        <v>963000</v>
      </c>
      <c r="W141">
        <f t="shared" si="13"/>
        <v>18429897</v>
      </c>
      <c r="X141">
        <f t="shared" si="14"/>
        <v>17466897</v>
      </c>
      <c r="Y141">
        <f t="shared" si="15"/>
        <v>-25237345.5</v>
      </c>
      <c r="Z141">
        <f t="shared" si="16"/>
        <v>44630242.5</v>
      </c>
      <c r="AA141" t="str">
        <f t="shared" si="17"/>
        <v>Normal</v>
      </c>
      <c r="AE141" s="2"/>
      <c r="AF141" s="2"/>
    </row>
    <row r="142" spans="1:32" x14ac:dyDescent="0.35">
      <c r="A142">
        <v>141</v>
      </c>
      <c r="B142" s="1">
        <v>43427</v>
      </c>
      <c r="C142" s="9" t="s">
        <v>340</v>
      </c>
      <c r="D142" s="9" t="s">
        <v>4984</v>
      </c>
      <c r="E142" s="9" t="s">
        <v>5795</v>
      </c>
      <c r="F142" s="9" t="s">
        <v>235</v>
      </c>
      <c r="G142" s="9" t="s">
        <v>341</v>
      </c>
      <c r="H142" s="9" t="s">
        <v>37</v>
      </c>
      <c r="I142" s="11">
        <v>3400000</v>
      </c>
      <c r="J142" s="11">
        <v>4914037</v>
      </c>
      <c r="K142" s="11">
        <v>9388065</v>
      </c>
      <c r="L142" s="3">
        <v>292</v>
      </c>
      <c r="M142" s="3">
        <v>4964</v>
      </c>
      <c r="N142" s="3">
        <v>479055</v>
      </c>
      <c r="O142" s="2">
        <v>0.33700000000000002</v>
      </c>
      <c r="P142" s="2">
        <v>0.70299999999999996</v>
      </c>
      <c r="Q142" s="2">
        <v>0.126</v>
      </c>
      <c r="R142" s="11">
        <v>252559052</v>
      </c>
      <c r="S142" s="11">
        <v>349299</v>
      </c>
      <c r="T142">
        <v>2018</v>
      </c>
      <c r="U142">
        <v>11</v>
      </c>
      <c r="V142">
        <f t="shared" si="12"/>
        <v>959500</v>
      </c>
      <c r="W142">
        <f t="shared" si="13"/>
        <v>18429897</v>
      </c>
      <c r="X142">
        <f t="shared" si="14"/>
        <v>17470397</v>
      </c>
      <c r="Y142">
        <f t="shared" si="15"/>
        <v>-25246095.5</v>
      </c>
      <c r="Z142">
        <f t="shared" si="16"/>
        <v>44635492.5</v>
      </c>
      <c r="AA142" t="str">
        <f t="shared" si="17"/>
        <v>Normal</v>
      </c>
      <c r="AE142" s="2"/>
      <c r="AF142" s="2"/>
    </row>
    <row r="143" spans="1:32" x14ac:dyDescent="0.35">
      <c r="A143">
        <v>142</v>
      </c>
      <c r="B143" s="1">
        <v>43428</v>
      </c>
      <c r="C143" s="9" t="s">
        <v>342</v>
      </c>
      <c r="D143" s="9" t="s">
        <v>4936</v>
      </c>
      <c r="E143" s="9" t="s">
        <v>5796</v>
      </c>
      <c r="F143" s="9" t="s">
        <v>4907</v>
      </c>
      <c r="G143" s="9" t="s">
        <v>4826</v>
      </c>
      <c r="H143" s="9" t="s">
        <v>37</v>
      </c>
      <c r="I143" s="11">
        <v>29500000</v>
      </c>
      <c r="J143" s="11">
        <v>1088631</v>
      </c>
      <c r="K143" s="11">
        <v>13481492</v>
      </c>
      <c r="L143" s="3">
        <v>495</v>
      </c>
      <c r="M143" s="3">
        <v>4928</v>
      </c>
      <c r="N143" s="3">
        <v>738434</v>
      </c>
      <c r="O143" s="2">
        <v>-0.13500000000000001</v>
      </c>
      <c r="P143" s="2">
        <v>0.48700000000000004</v>
      </c>
      <c r="Q143" s="2">
        <v>-0.22699999999999998</v>
      </c>
      <c r="R143" s="11">
        <v>305198906</v>
      </c>
      <c r="S143" s="11">
        <v>1132770</v>
      </c>
      <c r="T143">
        <v>2018</v>
      </c>
      <c r="U143">
        <v>11</v>
      </c>
      <c r="V143">
        <f t="shared" si="12"/>
        <v>956000</v>
      </c>
      <c r="W143">
        <f t="shared" si="13"/>
        <v>18429897</v>
      </c>
      <c r="X143">
        <f t="shared" si="14"/>
        <v>17473897</v>
      </c>
      <c r="Y143">
        <f t="shared" si="15"/>
        <v>-25254845.5</v>
      </c>
      <c r="Z143">
        <f t="shared" si="16"/>
        <v>44640742.5</v>
      </c>
      <c r="AA143" t="str">
        <f t="shared" si="17"/>
        <v>Normal</v>
      </c>
      <c r="AE143" s="2"/>
      <c r="AF143" s="2"/>
    </row>
    <row r="144" spans="1:32" x14ac:dyDescent="0.35">
      <c r="A144">
        <v>143</v>
      </c>
      <c r="B144" s="1">
        <v>43429</v>
      </c>
      <c r="C144" s="9" t="s">
        <v>343</v>
      </c>
      <c r="D144" s="9" t="s">
        <v>4933</v>
      </c>
      <c r="E144" s="9" t="s">
        <v>5797</v>
      </c>
      <c r="F144" s="9" t="s">
        <v>344</v>
      </c>
      <c r="G144" s="9" t="s">
        <v>345</v>
      </c>
      <c r="H144" s="9" t="s">
        <v>105</v>
      </c>
      <c r="I144" s="11">
        <v>42000000</v>
      </c>
      <c r="J144" s="11">
        <v>1397210</v>
      </c>
      <c r="K144" s="11">
        <v>18227254</v>
      </c>
      <c r="L144" s="3">
        <v>61</v>
      </c>
      <c r="M144" s="3">
        <v>3225</v>
      </c>
      <c r="N144" s="3">
        <v>177095</v>
      </c>
      <c r="O144" s="2">
        <v>6.3E-2</v>
      </c>
      <c r="P144" s="2">
        <v>0.24</v>
      </c>
      <c r="Q144" s="2">
        <v>-0.113</v>
      </c>
      <c r="R144" s="11">
        <v>293247768</v>
      </c>
      <c r="S144" s="11">
        <v>681098</v>
      </c>
      <c r="T144">
        <v>2018</v>
      </c>
      <c r="U144">
        <v>11</v>
      </c>
      <c r="V144">
        <f t="shared" si="12"/>
        <v>952500</v>
      </c>
      <c r="W144">
        <f t="shared" si="13"/>
        <v>18429897</v>
      </c>
      <c r="X144">
        <f t="shared" si="14"/>
        <v>17477397</v>
      </c>
      <c r="Y144">
        <f t="shared" si="15"/>
        <v>-25263595.5</v>
      </c>
      <c r="Z144">
        <f t="shared" si="16"/>
        <v>44645992.5</v>
      </c>
      <c r="AA144" t="str">
        <f t="shared" si="17"/>
        <v>Normal</v>
      </c>
      <c r="AE144" s="2"/>
      <c r="AF144" s="2"/>
    </row>
    <row r="145" spans="1:32" x14ac:dyDescent="0.35">
      <c r="A145">
        <v>144</v>
      </c>
      <c r="B145" s="1">
        <v>43429</v>
      </c>
      <c r="C145" s="9" t="s">
        <v>346</v>
      </c>
      <c r="D145" s="9" t="s">
        <v>4970</v>
      </c>
      <c r="E145" s="9" t="s">
        <v>5798</v>
      </c>
      <c r="F145" s="9" t="s">
        <v>94</v>
      </c>
      <c r="G145" s="9" t="s">
        <v>347</v>
      </c>
      <c r="H145" s="9" t="s">
        <v>24</v>
      </c>
      <c r="I145" s="11">
        <v>1700000</v>
      </c>
      <c r="J145" s="11">
        <v>2054472</v>
      </c>
      <c r="K145" s="11">
        <v>7317026</v>
      </c>
      <c r="L145" s="3">
        <v>463</v>
      </c>
      <c r="M145" s="3">
        <v>3391</v>
      </c>
      <c r="N145" s="3">
        <v>1687193</v>
      </c>
      <c r="O145" s="2">
        <v>5.2999999999999999E-2</v>
      </c>
      <c r="P145" s="2">
        <v>0.70200000000000007</v>
      </c>
      <c r="Q145" s="2">
        <v>-0.122</v>
      </c>
      <c r="R145" s="11">
        <v>400050426</v>
      </c>
      <c r="S145" s="11">
        <v>173730</v>
      </c>
      <c r="T145">
        <v>2018</v>
      </c>
      <c r="U145">
        <v>11</v>
      </c>
      <c r="V145">
        <f t="shared" si="12"/>
        <v>949000</v>
      </c>
      <c r="W145">
        <f t="shared" si="13"/>
        <v>18429897</v>
      </c>
      <c r="X145">
        <f t="shared" si="14"/>
        <v>17480897</v>
      </c>
      <c r="Y145">
        <f t="shared" si="15"/>
        <v>-25272345.5</v>
      </c>
      <c r="Z145">
        <f t="shared" si="16"/>
        <v>44651242.5</v>
      </c>
      <c r="AA145" t="str">
        <f t="shared" si="17"/>
        <v>Normal</v>
      </c>
      <c r="AE145" s="2"/>
      <c r="AF145" s="2"/>
    </row>
    <row r="146" spans="1:32" x14ac:dyDescent="0.35">
      <c r="A146">
        <v>145</v>
      </c>
      <c r="B146" s="1">
        <v>43374</v>
      </c>
      <c r="C146" s="9" t="s">
        <v>348</v>
      </c>
      <c r="D146" s="9" t="s">
        <v>4985</v>
      </c>
      <c r="E146" s="9" t="s">
        <v>5799</v>
      </c>
      <c r="F146" s="9" t="s">
        <v>94</v>
      </c>
      <c r="G146" s="9" t="s">
        <v>349</v>
      </c>
      <c r="H146" s="9" t="s">
        <v>275</v>
      </c>
      <c r="I146" s="11">
        <v>18429897</v>
      </c>
      <c r="J146" s="11">
        <v>4963474</v>
      </c>
      <c r="K146" s="11">
        <v>12477682</v>
      </c>
      <c r="L146" s="3">
        <v>155</v>
      </c>
      <c r="M146" s="3">
        <v>3235</v>
      </c>
      <c r="N146" s="3">
        <v>1018455</v>
      </c>
      <c r="O146" s="2">
        <v>0.16899999999999998</v>
      </c>
      <c r="P146" s="2">
        <v>0.93</v>
      </c>
      <c r="Q146" s="2">
        <v>6.4000000000000001E-2</v>
      </c>
      <c r="R146" s="11">
        <v>213427735</v>
      </c>
      <c r="S146" s="11">
        <v>1991369</v>
      </c>
      <c r="T146">
        <v>2018</v>
      </c>
      <c r="U146">
        <v>10</v>
      </c>
      <c r="V146">
        <f t="shared" si="12"/>
        <v>945522.25</v>
      </c>
      <c r="W146">
        <f t="shared" si="13"/>
        <v>18429897</v>
      </c>
      <c r="X146">
        <f t="shared" si="14"/>
        <v>17484374.75</v>
      </c>
      <c r="Y146">
        <f t="shared" si="15"/>
        <v>-25281039.875</v>
      </c>
      <c r="Z146">
        <f t="shared" si="16"/>
        <v>44656459.125</v>
      </c>
      <c r="AA146" t="str">
        <f t="shared" si="17"/>
        <v>Normal</v>
      </c>
      <c r="AE146" s="2"/>
      <c r="AF146" s="2"/>
    </row>
    <row r="147" spans="1:32" x14ac:dyDescent="0.35">
      <c r="A147">
        <v>146</v>
      </c>
      <c r="B147" s="1">
        <v>43375</v>
      </c>
      <c r="C147" s="9" t="s">
        <v>350</v>
      </c>
      <c r="D147" s="9" t="s">
        <v>4928</v>
      </c>
      <c r="E147" s="9" t="s">
        <v>5800</v>
      </c>
      <c r="F147" s="9" t="s">
        <v>124</v>
      </c>
      <c r="G147" s="9" t="s">
        <v>351</v>
      </c>
      <c r="H147" s="9" t="s">
        <v>275</v>
      </c>
      <c r="I147" s="11">
        <v>11000000</v>
      </c>
      <c r="J147" s="11">
        <v>4269947</v>
      </c>
      <c r="K147" s="11">
        <v>491917</v>
      </c>
      <c r="L147" s="3">
        <v>371</v>
      </c>
      <c r="M147" s="3">
        <v>2505.5</v>
      </c>
      <c r="N147" s="3">
        <v>464441</v>
      </c>
      <c r="O147" s="2">
        <v>0.17300000000000001</v>
      </c>
      <c r="P147" s="2">
        <v>0.86900000000000011</v>
      </c>
      <c r="Q147" s="2">
        <v>-0.192</v>
      </c>
      <c r="R147" s="11">
        <v>117604655</v>
      </c>
      <c r="S147" s="11">
        <v>1254344</v>
      </c>
      <c r="T147">
        <v>2018</v>
      </c>
      <c r="U147">
        <v>10</v>
      </c>
      <c r="V147">
        <f t="shared" si="12"/>
        <v>942044.5</v>
      </c>
      <c r="W147">
        <f t="shared" si="13"/>
        <v>18429897</v>
      </c>
      <c r="X147">
        <f t="shared" si="14"/>
        <v>17487852.5</v>
      </c>
      <c r="Y147">
        <f t="shared" si="15"/>
        <v>-25289734.25</v>
      </c>
      <c r="Z147">
        <f t="shared" si="16"/>
        <v>44661675.75</v>
      </c>
      <c r="AA147" t="str">
        <f t="shared" si="17"/>
        <v>Normal</v>
      </c>
      <c r="AE147" s="2"/>
      <c r="AF147" s="2"/>
    </row>
    <row r="148" spans="1:32" x14ac:dyDescent="0.35">
      <c r="A148">
        <v>147</v>
      </c>
      <c r="B148" s="1">
        <v>43377</v>
      </c>
      <c r="C148" s="9" t="s">
        <v>352</v>
      </c>
      <c r="D148" s="9" t="s">
        <v>4979</v>
      </c>
      <c r="E148" s="9" t="s">
        <v>5801</v>
      </c>
      <c r="F148" s="9" t="s">
        <v>31</v>
      </c>
      <c r="G148" s="9" t="s">
        <v>353</v>
      </c>
      <c r="H148" s="9" t="s">
        <v>105</v>
      </c>
      <c r="I148" s="11">
        <v>8200000</v>
      </c>
      <c r="J148" s="11">
        <v>192770</v>
      </c>
      <c r="K148" s="11">
        <v>17712478</v>
      </c>
      <c r="L148" s="3">
        <v>429</v>
      </c>
      <c r="M148" s="3">
        <v>2618</v>
      </c>
      <c r="N148" s="3">
        <v>387558</v>
      </c>
      <c r="O148" s="2">
        <v>0.22699999999999998</v>
      </c>
      <c r="P148" s="2">
        <v>0.50800000000000001</v>
      </c>
      <c r="Q148" s="2">
        <v>-0.46</v>
      </c>
      <c r="R148" s="11">
        <v>73053259</v>
      </c>
      <c r="S148" s="11">
        <v>1193901</v>
      </c>
      <c r="T148">
        <v>2018</v>
      </c>
      <c r="U148">
        <v>10</v>
      </c>
      <c r="V148">
        <f t="shared" si="12"/>
        <v>938566.75</v>
      </c>
      <c r="W148">
        <f t="shared" si="13"/>
        <v>18429897</v>
      </c>
      <c r="X148">
        <f t="shared" si="14"/>
        <v>17491330.25</v>
      </c>
      <c r="Y148">
        <f t="shared" si="15"/>
        <v>-25298428.625</v>
      </c>
      <c r="Z148">
        <f t="shared" si="16"/>
        <v>44666892.375</v>
      </c>
      <c r="AA148" t="str">
        <f t="shared" si="17"/>
        <v>Normal</v>
      </c>
      <c r="AE148" s="2"/>
      <c r="AF148" s="2"/>
    </row>
    <row r="149" spans="1:32" x14ac:dyDescent="0.35">
      <c r="A149">
        <v>148</v>
      </c>
      <c r="B149" s="1">
        <v>43378</v>
      </c>
      <c r="C149" s="9" t="s">
        <v>354</v>
      </c>
      <c r="D149" s="9" t="s">
        <v>4968</v>
      </c>
      <c r="E149" s="9" t="s">
        <v>5802</v>
      </c>
      <c r="F149" s="9" t="s">
        <v>19</v>
      </c>
      <c r="G149" s="9" t="s">
        <v>355</v>
      </c>
      <c r="H149" s="9" t="s">
        <v>56</v>
      </c>
      <c r="I149" s="11">
        <v>3000000</v>
      </c>
      <c r="J149" s="11">
        <v>1185018</v>
      </c>
      <c r="K149" s="11">
        <v>1277316</v>
      </c>
      <c r="L149" s="3">
        <v>119</v>
      </c>
      <c r="M149" s="3">
        <v>1068</v>
      </c>
      <c r="N149" s="3">
        <v>1382324</v>
      </c>
      <c r="O149" s="2">
        <v>1.6E-2</v>
      </c>
      <c r="P149" s="2">
        <v>0.75099999999999989</v>
      </c>
      <c r="Q149" s="2">
        <v>-0.24299999999999999</v>
      </c>
      <c r="R149" s="11">
        <v>91590633</v>
      </c>
      <c r="S149" s="11">
        <v>1294464</v>
      </c>
      <c r="T149">
        <v>2018</v>
      </c>
      <c r="U149">
        <v>10</v>
      </c>
      <c r="V149">
        <f t="shared" si="12"/>
        <v>935089</v>
      </c>
      <c r="W149">
        <f t="shared" si="13"/>
        <v>18429897</v>
      </c>
      <c r="X149">
        <f t="shared" si="14"/>
        <v>17494808</v>
      </c>
      <c r="Y149">
        <f t="shared" si="15"/>
        <v>-25307123</v>
      </c>
      <c r="Z149">
        <f t="shared" si="16"/>
        <v>44672109</v>
      </c>
      <c r="AA149" t="str">
        <f t="shared" si="17"/>
        <v>Normal</v>
      </c>
      <c r="AE149" s="2"/>
      <c r="AF149" s="2"/>
    </row>
    <row r="150" spans="1:32" x14ac:dyDescent="0.35">
      <c r="A150">
        <v>149</v>
      </c>
      <c r="B150" s="1">
        <v>43384</v>
      </c>
      <c r="C150" s="9" t="s">
        <v>356</v>
      </c>
      <c r="D150" s="9" t="s">
        <v>4986</v>
      </c>
      <c r="E150" s="9" t="s">
        <v>5803</v>
      </c>
      <c r="F150" s="9" t="s">
        <v>27</v>
      </c>
      <c r="G150" s="9" t="s">
        <v>357</v>
      </c>
      <c r="H150" s="9" t="s">
        <v>29</v>
      </c>
      <c r="I150" s="11">
        <v>4000000</v>
      </c>
      <c r="J150" s="11">
        <v>4111938</v>
      </c>
      <c r="K150" s="11">
        <v>10868356</v>
      </c>
      <c r="L150" s="3">
        <v>177</v>
      </c>
      <c r="M150" s="3">
        <v>4346</v>
      </c>
      <c r="N150" s="3">
        <v>1123913</v>
      </c>
      <c r="O150" s="2">
        <v>-5.4000000000000006E-2</v>
      </c>
      <c r="P150" s="2">
        <v>0.98099999999999998</v>
      </c>
      <c r="Q150" s="2">
        <v>5.5999999999999994E-2</v>
      </c>
      <c r="R150" s="11">
        <v>178765786</v>
      </c>
      <c r="S150" s="11">
        <v>626361</v>
      </c>
      <c r="T150">
        <v>2018</v>
      </c>
      <c r="U150">
        <v>10</v>
      </c>
      <c r="V150">
        <f t="shared" si="12"/>
        <v>926316.75</v>
      </c>
      <c r="W150">
        <f t="shared" si="13"/>
        <v>18429897</v>
      </c>
      <c r="X150">
        <f t="shared" si="14"/>
        <v>17503580.25</v>
      </c>
      <c r="Y150">
        <f t="shared" si="15"/>
        <v>-25329053.625</v>
      </c>
      <c r="Z150">
        <f t="shared" si="16"/>
        <v>44685267.375</v>
      </c>
      <c r="AA150" t="str">
        <f t="shared" si="17"/>
        <v>Normal</v>
      </c>
      <c r="AE150" s="2"/>
      <c r="AF150" s="2"/>
    </row>
    <row r="151" spans="1:32" x14ac:dyDescent="0.35">
      <c r="A151">
        <v>150</v>
      </c>
      <c r="B151" s="1">
        <v>43385</v>
      </c>
      <c r="C151" s="9" t="s">
        <v>245</v>
      </c>
      <c r="D151" s="9" t="s">
        <v>4987</v>
      </c>
      <c r="E151" s="9" t="s">
        <v>5804</v>
      </c>
      <c r="F151" s="9" t="s">
        <v>15</v>
      </c>
      <c r="G151" s="9" t="s">
        <v>23</v>
      </c>
      <c r="H151" s="9" t="s">
        <v>358</v>
      </c>
      <c r="I151" s="11">
        <v>14680000</v>
      </c>
      <c r="J151" s="11">
        <v>310347</v>
      </c>
      <c r="K151" s="11">
        <v>7100785</v>
      </c>
      <c r="L151" s="3">
        <v>431</v>
      </c>
      <c r="M151" s="3">
        <v>4403</v>
      </c>
      <c r="N151" s="3">
        <v>1498049</v>
      </c>
      <c r="O151" s="2">
        <v>-6.5000000000000002E-2</v>
      </c>
      <c r="P151" s="2">
        <v>0.26200000000000001</v>
      </c>
      <c r="Q151" s="2">
        <v>-9.8000000000000004E-2</v>
      </c>
      <c r="R151" s="11">
        <v>478523227</v>
      </c>
      <c r="S151" s="11">
        <v>74911</v>
      </c>
      <c r="T151">
        <v>2018</v>
      </c>
      <c r="U151">
        <v>10</v>
      </c>
      <c r="V151">
        <f t="shared" si="12"/>
        <v>917544.5</v>
      </c>
      <c r="W151">
        <f t="shared" si="13"/>
        <v>18429897</v>
      </c>
      <c r="X151">
        <f t="shared" si="14"/>
        <v>17512352.5</v>
      </c>
      <c r="Y151">
        <f t="shared" si="15"/>
        <v>-25350984.25</v>
      </c>
      <c r="Z151">
        <f t="shared" si="16"/>
        <v>44698425.75</v>
      </c>
      <c r="AA151" t="str">
        <f t="shared" si="17"/>
        <v>Normal</v>
      </c>
      <c r="AE151" s="2"/>
      <c r="AF151" s="2"/>
    </row>
    <row r="152" spans="1:32" x14ac:dyDescent="0.35">
      <c r="A152">
        <v>151</v>
      </c>
      <c r="B152" s="1">
        <v>43385</v>
      </c>
      <c r="C152" s="9" t="s">
        <v>359</v>
      </c>
      <c r="D152" s="9" t="s">
        <v>4987</v>
      </c>
      <c r="E152" s="9" t="s">
        <v>5805</v>
      </c>
      <c r="F152" s="9" t="s">
        <v>15</v>
      </c>
      <c r="G152" s="9" t="s">
        <v>360</v>
      </c>
      <c r="H152" s="9" t="s">
        <v>21</v>
      </c>
      <c r="I152" s="11">
        <v>12000000</v>
      </c>
      <c r="J152" s="11">
        <v>4281240</v>
      </c>
      <c r="K152" s="11">
        <v>812176</v>
      </c>
      <c r="L152" s="3">
        <v>55</v>
      </c>
      <c r="M152" s="3">
        <v>763</v>
      </c>
      <c r="N152" s="3">
        <v>498028</v>
      </c>
      <c r="O152" s="2">
        <v>0.16900000000000001</v>
      </c>
      <c r="P152" s="2">
        <v>0.39100000000000001</v>
      </c>
      <c r="Q152" s="2">
        <v>-4.4999999999999998E-2</v>
      </c>
      <c r="R152" s="11">
        <v>380601006</v>
      </c>
      <c r="S152" s="11">
        <v>337058</v>
      </c>
      <c r="T152">
        <v>2018</v>
      </c>
      <c r="U152">
        <v>10</v>
      </c>
      <c r="V152">
        <f t="shared" si="12"/>
        <v>908772.25</v>
      </c>
      <c r="W152">
        <f t="shared" si="13"/>
        <v>18429897</v>
      </c>
      <c r="X152">
        <f t="shared" si="14"/>
        <v>17521124.75</v>
      </c>
      <c r="Y152">
        <f t="shared" si="15"/>
        <v>-25372914.875</v>
      </c>
      <c r="Z152">
        <f t="shared" si="16"/>
        <v>44711584.125</v>
      </c>
      <c r="AA152" t="str">
        <f t="shared" si="17"/>
        <v>Normal</v>
      </c>
      <c r="AE152" s="2"/>
      <c r="AF152" s="2"/>
    </row>
    <row r="153" spans="1:32" x14ac:dyDescent="0.35">
      <c r="A153">
        <v>152</v>
      </c>
      <c r="B153" s="1">
        <v>43344</v>
      </c>
      <c r="C153" s="9" t="s">
        <v>361</v>
      </c>
      <c r="D153" s="9" t="s">
        <v>4988</v>
      </c>
      <c r="E153" s="9" t="s">
        <v>5806</v>
      </c>
      <c r="F153" s="9" t="s">
        <v>35</v>
      </c>
      <c r="G153" s="9" t="s">
        <v>362</v>
      </c>
      <c r="H153" s="9" t="s">
        <v>105</v>
      </c>
      <c r="I153" s="11">
        <v>35000000</v>
      </c>
      <c r="J153" s="11">
        <v>1421291</v>
      </c>
      <c r="K153" s="11">
        <v>9295895</v>
      </c>
      <c r="L153" s="3">
        <v>58</v>
      </c>
      <c r="M153" s="3">
        <v>518</v>
      </c>
      <c r="N153" s="3">
        <v>1018455</v>
      </c>
      <c r="O153" s="2">
        <v>0.41099999999999998</v>
      </c>
      <c r="P153" s="2">
        <v>0.90300000000000002</v>
      </c>
      <c r="Q153" s="2">
        <v>0.16600000000000001</v>
      </c>
      <c r="R153" s="11">
        <v>69652196</v>
      </c>
      <c r="S153" s="11">
        <v>1627239</v>
      </c>
      <c r="T153">
        <v>2018</v>
      </c>
      <c r="U153">
        <v>9</v>
      </c>
      <c r="V153">
        <f t="shared" si="12"/>
        <v>900000</v>
      </c>
      <c r="W153">
        <f t="shared" si="13"/>
        <v>18429897</v>
      </c>
      <c r="X153">
        <f t="shared" si="14"/>
        <v>17529897</v>
      </c>
      <c r="Y153">
        <f t="shared" si="15"/>
        <v>-25394845.5</v>
      </c>
      <c r="Z153">
        <f t="shared" si="16"/>
        <v>44724742.5</v>
      </c>
      <c r="AA153" t="str">
        <f t="shared" si="17"/>
        <v>Normal</v>
      </c>
      <c r="AE153" s="2"/>
      <c r="AF153" s="2"/>
    </row>
    <row r="154" spans="1:32" x14ac:dyDescent="0.35">
      <c r="A154">
        <v>153</v>
      </c>
      <c r="B154" s="1">
        <v>43346</v>
      </c>
      <c r="C154" s="9" t="s">
        <v>111</v>
      </c>
      <c r="D154" s="9" t="s">
        <v>4989</v>
      </c>
      <c r="E154" s="9" t="s">
        <v>5807</v>
      </c>
      <c r="F154" s="9" t="s">
        <v>15</v>
      </c>
      <c r="G154" s="9" t="s">
        <v>4827</v>
      </c>
      <c r="H154" s="9" t="s">
        <v>105</v>
      </c>
      <c r="I154" s="11">
        <v>200000000</v>
      </c>
      <c r="J154" s="11">
        <v>4589907</v>
      </c>
      <c r="K154" s="11">
        <v>18718312</v>
      </c>
      <c r="L154" s="3">
        <v>154</v>
      </c>
      <c r="M154" s="3">
        <v>3974</v>
      </c>
      <c r="N154" s="3">
        <v>331966</v>
      </c>
      <c r="O154" s="2">
        <v>-0.17199999999999999</v>
      </c>
      <c r="P154" s="2">
        <v>0.53600000000000003</v>
      </c>
      <c r="Q154" s="2">
        <v>-0.105</v>
      </c>
      <c r="R154" s="11">
        <v>307195900</v>
      </c>
      <c r="S154" s="11">
        <v>769121</v>
      </c>
      <c r="T154">
        <v>2018</v>
      </c>
      <c r="U154">
        <v>9</v>
      </c>
      <c r="V154">
        <f t="shared" si="12"/>
        <v>900000</v>
      </c>
      <c r="W154">
        <f t="shared" si="13"/>
        <v>18429897</v>
      </c>
      <c r="X154">
        <f t="shared" si="14"/>
        <v>17529897</v>
      </c>
      <c r="Y154">
        <f t="shared" si="15"/>
        <v>-25394845.5</v>
      </c>
      <c r="Z154">
        <f t="shared" si="16"/>
        <v>44724742.5</v>
      </c>
      <c r="AA154" t="str">
        <f t="shared" si="17"/>
        <v>Outlier</v>
      </c>
      <c r="AE154" s="2"/>
      <c r="AF154" s="2"/>
    </row>
    <row r="155" spans="1:32" x14ac:dyDescent="0.35">
      <c r="A155">
        <v>154</v>
      </c>
      <c r="B155" s="1">
        <v>43346</v>
      </c>
      <c r="C155" s="9" t="s">
        <v>363</v>
      </c>
      <c r="D155" s="9" t="s">
        <v>4988</v>
      </c>
      <c r="E155" s="9" t="s">
        <v>5808</v>
      </c>
      <c r="F155" s="9" t="s">
        <v>15</v>
      </c>
      <c r="G155" s="9" t="s">
        <v>364</v>
      </c>
      <c r="H155" s="9" t="s">
        <v>105</v>
      </c>
      <c r="I155" s="11">
        <v>6390000</v>
      </c>
      <c r="J155" s="11">
        <v>1482096</v>
      </c>
      <c r="K155" s="11">
        <v>10153449</v>
      </c>
      <c r="L155" s="3">
        <v>303</v>
      </c>
      <c r="M155" s="3">
        <v>285</v>
      </c>
      <c r="N155" s="3">
        <v>356770</v>
      </c>
      <c r="O155" s="2">
        <v>0.18600000000000003</v>
      </c>
      <c r="P155" s="2">
        <v>0.439</v>
      </c>
      <c r="Q155" s="2">
        <v>0.08</v>
      </c>
      <c r="R155" s="11">
        <v>274611789</v>
      </c>
      <c r="S155" s="11">
        <v>1960466</v>
      </c>
      <c r="T155">
        <v>2018</v>
      </c>
      <c r="U155">
        <v>9</v>
      </c>
      <c r="V155">
        <f t="shared" si="12"/>
        <v>900000</v>
      </c>
      <c r="W155">
        <f t="shared" si="13"/>
        <v>18429897</v>
      </c>
      <c r="X155">
        <f t="shared" si="14"/>
        <v>17529897</v>
      </c>
      <c r="Y155">
        <f t="shared" si="15"/>
        <v>-25394845.5</v>
      </c>
      <c r="Z155">
        <f t="shared" si="16"/>
        <v>44724742.5</v>
      </c>
      <c r="AA155" t="str">
        <f t="shared" si="17"/>
        <v>Normal</v>
      </c>
      <c r="AE155" s="2"/>
      <c r="AF155" s="2"/>
    </row>
    <row r="156" spans="1:32" x14ac:dyDescent="0.35">
      <c r="A156">
        <v>155</v>
      </c>
      <c r="B156" s="1">
        <v>43347</v>
      </c>
      <c r="C156" s="9" t="s">
        <v>365</v>
      </c>
      <c r="D156" s="9" t="s">
        <v>2539</v>
      </c>
      <c r="E156" s="9" t="s">
        <v>5534</v>
      </c>
      <c r="F156" s="9" t="s">
        <v>94</v>
      </c>
      <c r="G156" s="9" t="s">
        <v>58</v>
      </c>
      <c r="H156" s="9" t="s">
        <v>275</v>
      </c>
      <c r="I156" s="11">
        <v>1000000</v>
      </c>
      <c r="J156" s="11">
        <v>2182897</v>
      </c>
      <c r="K156" s="11">
        <v>5916211</v>
      </c>
      <c r="L156" s="3">
        <v>404</v>
      </c>
      <c r="M156" s="3">
        <v>2505.5</v>
      </c>
      <c r="N156" s="3">
        <v>1470018</v>
      </c>
      <c r="O156" s="2">
        <v>0.08</v>
      </c>
      <c r="P156" s="2">
        <v>0.22699999999999998</v>
      </c>
      <c r="Q156" s="2">
        <v>0.63400000000000001</v>
      </c>
      <c r="R156" s="11">
        <v>110795635</v>
      </c>
      <c r="S156" s="11">
        <v>557695</v>
      </c>
      <c r="T156">
        <v>2018</v>
      </c>
      <c r="U156">
        <v>9</v>
      </c>
      <c r="V156">
        <f t="shared" si="12"/>
        <v>900000</v>
      </c>
      <c r="W156">
        <f t="shared" si="13"/>
        <v>18429897</v>
      </c>
      <c r="X156">
        <f t="shared" si="14"/>
        <v>17529897</v>
      </c>
      <c r="Y156">
        <f t="shared" si="15"/>
        <v>-25394845.5</v>
      </c>
      <c r="Z156">
        <f t="shared" si="16"/>
        <v>44724742.5</v>
      </c>
      <c r="AA156" t="str">
        <f t="shared" si="17"/>
        <v>Normal</v>
      </c>
      <c r="AE156" s="2"/>
      <c r="AF156" s="2"/>
    </row>
    <row r="157" spans="1:32" x14ac:dyDescent="0.35">
      <c r="A157">
        <v>156</v>
      </c>
      <c r="B157" s="1">
        <v>43347</v>
      </c>
      <c r="C157" s="9" t="s">
        <v>366</v>
      </c>
      <c r="D157" s="9" t="s">
        <v>4988</v>
      </c>
      <c r="E157" s="9" t="s">
        <v>5809</v>
      </c>
      <c r="F157" s="9" t="s">
        <v>151</v>
      </c>
      <c r="G157" s="9" t="s">
        <v>367</v>
      </c>
      <c r="H157" s="9" t="s">
        <v>105</v>
      </c>
      <c r="I157" s="11">
        <v>18429897</v>
      </c>
      <c r="J157" s="11">
        <v>3316344</v>
      </c>
      <c r="K157" s="11">
        <v>3867633</v>
      </c>
      <c r="L157" s="3">
        <v>283</v>
      </c>
      <c r="M157" s="3">
        <v>4910</v>
      </c>
      <c r="N157" s="3">
        <v>1129660</v>
      </c>
      <c r="O157" s="2">
        <v>0.29100000000000004</v>
      </c>
      <c r="P157" s="2">
        <v>1.0680000000000001</v>
      </c>
      <c r="Q157" s="2">
        <v>0.5</v>
      </c>
      <c r="R157" s="11">
        <v>370698519</v>
      </c>
      <c r="S157" s="11">
        <v>942072</v>
      </c>
      <c r="T157">
        <v>2018</v>
      </c>
      <c r="U157">
        <v>9</v>
      </c>
      <c r="V157">
        <f t="shared" si="12"/>
        <v>900000</v>
      </c>
      <c r="W157">
        <f t="shared" si="13"/>
        <v>18429897</v>
      </c>
      <c r="X157">
        <f t="shared" si="14"/>
        <v>17529897</v>
      </c>
      <c r="Y157">
        <f t="shared" si="15"/>
        <v>-25394845.5</v>
      </c>
      <c r="Z157">
        <f t="shared" si="16"/>
        <v>44724742.5</v>
      </c>
      <c r="AA157" t="str">
        <f t="shared" si="17"/>
        <v>Normal</v>
      </c>
      <c r="AE157" s="2"/>
      <c r="AF157" s="2"/>
    </row>
    <row r="158" spans="1:32" x14ac:dyDescent="0.35">
      <c r="A158">
        <v>157</v>
      </c>
      <c r="B158" s="1">
        <v>43348</v>
      </c>
      <c r="C158" s="9" t="s">
        <v>368</v>
      </c>
      <c r="D158" s="9" t="s">
        <v>4988</v>
      </c>
      <c r="E158" s="9" t="s">
        <v>5810</v>
      </c>
      <c r="F158" s="9" t="s">
        <v>31</v>
      </c>
      <c r="G158" s="9" t="s">
        <v>369</v>
      </c>
      <c r="H158" s="9" t="s">
        <v>105</v>
      </c>
      <c r="I158" s="11">
        <v>157200000</v>
      </c>
      <c r="J158" s="11">
        <v>648878</v>
      </c>
      <c r="K158" s="11">
        <v>2586946</v>
      </c>
      <c r="L158" s="3">
        <v>249</v>
      </c>
      <c r="M158" s="3">
        <v>2505.5</v>
      </c>
      <c r="N158" s="3">
        <v>776806</v>
      </c>
      <c r="O158" s="2">
        <v>0.24600000000000002</v>
      </c>
      <c r="P158" s="2">
        <v>1.038</v>
      </c>
      <c r="Q158" s="2">
        <v>4.9000000000000002E-2</v>
      </c>
      <c r="R158" s="11">
        <v>5089031</v>
      </c>
      <c r="S158" s="11">
        <v>1747921</v>
      </c>
      <c r="T158">
        <v>2018</v>
      </c>
      <c r="U158">
        <v>9</v>
      </c>
      <c r="V158">
        <f t="shared" si="12"/>
        <v>900000</v>
      </c>
      <c r="W158">
        <f t="shared" si="13"/>
        <v>18429897</v>
      </c>
      <c r="X158">
        <f t="shared" si="14"/>
        <v>17529897</v>
      </c>
      <c r="Y158">
        <f t="shared" si="15"/>
        <v>-25394845.5</v>
      </c>
      <c r="Z158">
        <f t="shared" si="16"/>
        <v>44724742.5</v>
      </c>
      <c r="AA158" t="str">
        <f t="shared" si="17"/>
        <v>Outlier</v>
      </c>
      <c r="AE158" s="2"/>
      <c r="AF158" s="2"/>
    </row>
    <row r="159" spans="1:32" x14ac:dyDescent="0.35">
      <c r="A159">
        <v>158</v>
      </c>
      <c r="B159" s="1">
        <v>43348</v>
      </c>
      <c r="C159" s="9" t="s">
        <v>370</v>
      </c>
      <c r="D159" s="9" t="s">
        <v>4930</v>
      </c>
      <c r="E159" s="9" t="s">
        <v>5811</v>
      </c>
      <c r="F159" s="9" t="s">
        <v>35</v>
      </c>
      <c r="G159" s="9" t="s">
        <v>4828</v>
      </c>
      <c r="H159" s="9" t="s">
        <v>105</v>
      </c>
      <c r="I159" s="11">
        <v>18429897</v>
      </c>
      <c r="J159" s="11">
        <v>2794020</v>
      </c>
      <c r="K159" s="11">
        <v>4681206</v>
      </c>
      <c r="L159" s="3">
        <v>436</v>
      </c>
      <c r="M159" s="3">
        <v>4004</v>
      </c>
      <c r="N159" s="3">
        <v>1472692</v>
      </c>
      <c r="O159" s="2">
        <v>0.13</v>
      </c>
      <c r="P159" s="2">
        <v>0.26</v>
      </c>
      <c r="Q159" s="2">
        <v>0.19500000000000001</v>
      </c>
      <c r="R159" s="11">
        <v>47961822</v>
      </c>
      <c r="S159" s="11">
        <v>1462467</v>
      </c>
      <c r="T159">
        <v>2018</v>
      </c>
      <c r="U159">
        <v>9</v>
      </c>
      <c r="V159">
        <f t="shared" si="12"/>
        <v>900000</v>
      </c>
      <c r="W159">
        <f t="shared" si="13"/>
        <v>18429897</v>
      </c>
      <c r="X159">
        <f t="shared" si="14"/>
        <v>17529897</v>
      </c>
      <c r="Y159">
        <f t="shared" si="15"/>
        <v>-25394845.5</v>
      </c>
      <c r="Z159">
        <f t="shared" si="16"/>
        <v>44724742.5</v>
      </c>
      <c r="AA159" t="str">
        <f t="shared" si="17"/>
        <v>Normal</v>
      </c>
      <c r="AE159" s="2"/>
      <c r="AF159" s="2"/>
    </row>
    <row r="160" spans="1:32" x14ac:dyDescent="0.35">
      <c r="A160">
        <v>159</v>
      </c>
      <c r="B160" s="1">
        <v>43349</v>
      </c>
      <c r="C160" s="9" t="s">
        <v>371</v>
      </c>
      <c r="D160" s="9" t="s">
        <v>4988</v>
      </c>
      <c r="E160" s="9" t="s">
        <v>5812</v>
      </c>
      <c r="F160" s="9" t="s">
        <v>31</v>
      </c>
      <c r="G160" s="9" t="s">
        <v>372</v>
      </c>
      <c r="H160" s="9" t="s">
        <v>105</v>
      </c>
      <c r="I160" s="11">
        <v>100000000</v>
      </c>
      <c r="J160" s="11">
        <v>2534977</v>
      </c>
      <c r="K160" s="11">
        <v>11479497</v>
      </c>
      <c r="L160" s="3">
        <v>89</v>
      </c>
      <c r="M160" s="3">
        <v>706</v>
      </c>
      <c r="N160" s="3">
        <v>1148918</v>
      </c>
      <c r="O160" s="2">
        <v>0.218</v>
      </c>
      <c r="P160" s="2">
        <v>0.504</v>
      </c>
      <c r="Q160" s="2">
        <v>-0.104</v>
      </c>
      <c r="R160" s="11">
        <v>315693025</v>
      </c>
      <c r="S160" s="11">
        <v>1057825</v>
      </c>
      <c r="T160">
        <v>2018</v>
      </c>
      <c r="U160">
        <v>9</v>
      </c>
      <c r="V160">
        <f t="shared" si="12"/>
        <v>900000</v>
      </c>
      <c r="W160">
        <f t="shared" si="13"/>
        <v>18429897</v>
      </c>
      <c r="X160">
        <f t="shared" si="14"/>
        <v>17529897</v>
      </c>
      <c r="Y160">
        <f t="shared" si="15"/>
        <v>-25394845.5</v>
      </c>
      <c r="Z160">
        <f t="shared" si="16"/>
        <v>44724742.5</v>
      </c>
      <c r="AA160" t="str">
        <f t="shared" si="17"/>
        <v>Outlier</v>
      </c>
      <c r="AE160" s="2"/>
      <c r="AF160" s="2"/>
    </row>
    <row r="161" spans="1:32" x14ac:dyDescent="0.35">
      <c r="A161">
        <v>160</v>
      </c>
      <c r="B161" s="1">
        <v>43353</v>
      </c>
      <c r="C161" s="9" t="s">
        <v>22</v>
      </c>
      <c r="D161" s="9" t="s">
        <v>2539</v>
      </c>
      <c r="E161" s="9" t="s">
        <v>5813</v>
      </c>
      <c r="F161" s="9" t="s">
        <v>151</v>
      </c>
      <c r="G161" s="9" t="s">
        <v>373</v>
      </c>
      <c r="H161" s="9" t="s">
        <v>105</v>
      </c>
      <c r="I161" s="11">
        <v>4000000</v>
      </c>
      <c r="J161" s="11">
        <v>3923813</v>
      </c>
      <c r="K161" s="11">
        <v>15632215</v>
      </c>
      <c r="L161" s="3">
        <v>451</v>
      </c>
      <c r="M161" s="3">
        <v>1486</v>
      </c>
      <c r="N161" s="3">
        <v>805857</v>
      </c>
      <c r="O161" s="2">
        <v>-1.2E-2</v>
      </c>
      <c r="P161" s="2">
        <v>0.41499999999999998</v>
      </c>
      <c r="Q161" s="2">
        <v>-4.8000000000000001E-2</v>
      </c>
      <c r="R161" s="11">
        <v>280510673</v>
      </c>
      <c r="S161" s="11">
        <v>1170502</v>
      </c>
      <c r="T161">
        <v>2018</v>
      </c>
      <c r="U161">
        <v>9</v>
      </c>
      <c r="V161">
        <f t="shared" si="12"/>
        <v>900000</v>
      </c>
      <c r="W161">
        <f t="shared" si="13"/>
        <v>18429897</v>
      </c>
      <c r="X161">
        <f t="shared" si="14"/>
        <v>17529897</v>
      </c>
      <c r="Y161">
        <f t="shared" si="15"/>
        <v>-25394845.5</v>
      </c>
      <c r="Z161">
        <f t="shared" si="16"/>
        <v>44724742.5</v>
      </c>
      <c r="AA161" t="str">
        <f t="shared" si="17"/>
        <v>Normal</v>
      </c>
      <c r="AE161" s="2"/>
      <c r="AF161" s="2"/>
    </row>
    <row r="162" spans="1:32" x14ac:dyDescent="0.35">
      <c r="A162">
        <v>161</v>
      </c>
      <c r="B162" s="1">
        <v>43354</v>
      </c>
      <c r="C162" s="9" t="s">
        <v>374</v>
      </c>
      <c r="D162" s="9" t="s">
        <v>4930</v>
      </c>
      <c r="E162" s="9" t="s">
        <v>5814</v>
      </c>
      <c r="F162" s="9" t="s">
        <v>15</v>
      </c>
      <c r="G162" s="9" t="s">
        <v>4829</v>
      </c>
      <c r="H162" s="9" t="s">
        <v>105</v>
      </c>
      <c r="I162" s="11">
        <v>32000000</v>
      </c>
      <c r="J162" s="11">
        <v>1000000000</v>
      </c>
      <c r="K162" s="11">
        <v>13837125</v>
      </c>
      <c r="L162" s="3">
        <v>254</v>
      </c>
      <c r="M162" s="3">
        <v>2758</v>
      </c>
      <c r="N162" s="3">
        <v>432327</v>
      </c>
      <c r="O162" s="2">
        <v>0.28000000000000003</v>
      </c>
      <c r="P162" s="2">
        <v>0.40700000000000003</v>
      </c>
      <c r="Q162" s="2">
        <v>7.5999999999999998E-2</v>
      </c>
      <c r="R162" s="11">
        <v>340251090</v>
      </c>
      <c r="S162" s="11">
        <v>1870108</v>
      </c>
      <c r="T162">
        <v>2018</v>
      </c>
      <c r="U162">
        <v>9</v>
      </c>
      <c r="V162">
        <f t="shared" si="12"/>
        <v>900000</v>
      </c>
      <c r="W162">
        <f t="shared" si="13"/>
        <v>18429897</v>
      </c>
      <c r="X162">
        <f t="shared" si="14"/>
        <v>17529897</v>
      </c>
      <c r="Y162">
        <f t="shared" si="15"/>
        <v>-25394845.5</v>
      </c>
      <c r="Z162">
        <f t="shared" si="16"/>
        <v>44724742.5</v>
      </c>
      <c r="AA162" t="str">
        <f t="shared" si="17"/>
        <v>Normal</v>
      </c>
      <c r="AE162" s="2"/>
      <c r="AF162" s="2"/>
    </row>
    <row r="163" spans="1:32" x14ac:dyDescent="0.35">
      <c r="A163">
        <v>162</v>
      </c>
      <c r="B163" s="1">
        <v>43354</v>
      </c>
      <c r="C163" s="9" t="s">
        <v>375</v>
      </c>
      <c r="D163" s="9" t="s">
        <v>4988</v>
      </c>
      <c r="E163" s="9" t="s">
        <v>5815</v>
      </c>
      <c r="F163" s="9" t="s">
        <v>31</v>
      </c>
      <c r="G163" s="9" t="s">
        <v>376</v>
      </c>
      <c r="H163" s="9" t="s">
        <v>59</v>
      </c>
      <c r="I163" s="11">
        <v>5500000</v>
      </c>
      <c r="J163" s="11">
        <v>3328281</v>
      </c>
      <c r="K163" s="11">
        <v>15448628</v>
      </c>
      <c r="L163" s="3">
        <v>141</v>
      </c>
      <c r="M163" s="3">
        <v>3416</v>
      </c>
      <c r="N163" s="3">
        <v>1434586</v>
      </c>
      <c r="O163" s="2">
        <v>0.39700000000000002</v>
      </c>
      <c r="P163" s="2">
        <v>0.45799999999999996</v>
      </c>
      <c r="Q163" s="2">
        <v>0.14899999999999999</v>
      </c>
      <c r="R163" s="11">
        <v>454300463</v>
      </c>
      <c r="S163" s="11">
        <v>997302</v>
      </c>
      <c r="T163">
        <v>2018</v>
      </c>
      <c r="U163">
        <v>9</v>
      </c>
      <c r="V163">
        <f t="shared" si="12"/>
        <v>900000</v>
      </c>
      <c r="W163">
        <f t="shared" si="13"/>
        <v>18429897</v>
      </c>
      <c r="X163">
        <f t="shared" si="14"/>
        <v>17529897</v>
      </c>
      <c r="Y163">
        <f t="shared" si="15"/>
        <v>-25394845.5</v>
      </c>
      <c r="Z163">
        <f t="shared" si="16"/>
        <v>44724742.5</v>
      </c>
      <c r="AA163" t="str">
        <f t="shared" si="17"/>
        <v>Normal</v>
      </c>
      <c r="AE163" s="2"/>
      <c r="AF163" s="2"/>
    </row>
    <row r="164" spans="1:32" x14ac:dyDescent="0.35">
      <c r="A164">
        <v>163</v>
      </c>
      <c r="B164" s="1">
        <v>43354</v>
      </c>
      <c r="C164" s="9" t="s">
        <v>377</v>
      </c>
      <c r="D164" s="9" t="s">
        <v>4926</v>
      </c>
      <c r="E164" s="9" t="s">
        <v>5816</v>
      </c>
      <c r="F164" s="9" t="s">
        <v>31</v>
      </c>
      <c r="G164" s="9" t="s">
        <v>378</v>
      </c>
      <c r="H164" s="9" t="s">
        <v>105</v>
      </c>
      <c r="I164" s="11">
        <v>5000000</v>
      </c>
      <c r="J164" s="11">
        <v>2057748</v>
      </c>
      <c r="K164" s="11">
        <v>14340464</v>
      </c>
      <c r="L164" s="3">
        <v>477</v>
      </c>
      <c r="M164" s="3">
        <v>496</v>
      </c>
      <c r="N164" s="3">
        <v>1104873</v>
      </c>
      <c r="O164" s="2">
        <v>0.14000000000000001</v>
      </c>
      <c r="P164" s="2">
        <v>0.49700000000000005</v>
      </c>
      <c r="Q164" s="2">
        <v>-0.13300000000000001</v>
      </c>
      <c r="R164" s="11">
        <v>397470257</v>
      </c>
      <c r="S164" s="11">
        <v>657391</v>
      </c>
      <c r="T164">
        <v>2018</v>
      </c>
      <c r="U164">
        <v>9</v>
      </c>
      <c r="V164">
        <f t="shared" si="12"/>
        <v>900000</v>
      </c>
      <c r="W164">
        <f t="shared" si="13"/>
        <v>18429897</v>
      </c>
      <c r="X164">
        <f t="shared" si="14"/>
        <v>17529897</v>
      </c>
      <c r="Y164">
        <f t="shared" si="15"/>
        <v>-25394845.5</v>
      </c>
      <c r="Z164">
        <f t="shared" si="16"/>
        <v>44724742.5</v>
      </c>
      <c r="AA164" t="str">
        <f t="shared" si="17"/>
        <v>Normal</v>
      </c>
      <c r="AE164" s="2"/>
      <c r="AF164" s="2"/>
    </row>
    <row r="165" spans="1:32" x14ac:dyDescent="0.35">
      <c r="A165">
        <v>164</v>
      </c>
      <c r="B165" s="1">
        <v>43355</v>
      </c>
      <c r="C165" s="9" t="s">
        <v>379</v>
      </c>
      <c r="D165" s="9" t="s">
        <v>4926</v>
      </c>
      <c r="E165" s="9" t="s">
        <v>1111</v>
      </c>
      <c r="F165" s="9" t="s">
        <v>31</v>
      </c>
      <c r="G165" s="9" t="s">
        <v>4830</v>
      </c>
      <c r="H165" s="9" t="s">
        <v>105</v>
      </c>
      <c r="I165" s="11">
        <v>30000000</v>
      </c>
      <c r="J165" s="11">
        <v>2043806</v>
      </c>
      <c r="K165" s="11">
        <v>7720485</v>
      </c>
      <c r="L165" s="3">
        <v>324</v>
      </c>
      <c r="M165" s="3">
        <v>590</v>
      </c>
      <c r="N165" s="3">
        <v>1788519</v>
      </c>
      <c r="O165" s="2">
        <v>1.6E-2</v>
      </c>
      <c r="P165" s="2">
        <v>0.90700000000000003</v>
      </c>
      <c r="Q165" s="2">
        <v>0.24</v>
      </c>
      <c r="R165" s="11">
        <v>210204752</v>
      </c>
      <c r="S165" s="11">
        <v>1527711</v>
      </c>
      <c r="T165">
        <v>2018</v>
      </c>
      <c r="U165">
        <v>9</v>
      </c>
      <c r="V165">
        <f t="shared" si="12"/>
        <v>900000</v>
      </c>
      <c r="W165">
        <f t="shared" si="13"/>
        <v>18429897</v>
      </c>
      <c r="X165">
        <f t="shared" si="14"/>
        <v>17529897</v>
      </c>
      <c r="Y165">
        <f t="shared" si="15"/>
        <v>-25394845.5</v>
      </c>
      <c r="Z165">
        <f t="shared" si="16"/>
        <v>44724742.5</v>
      </c>
      <c r="AA165" t="str">
        <f t="shared" si="17"/>
        <v>Normal</v>
      </c>
      <c r="AE165" s="2"/>
      <c r="AF165" s="2"/>
    </row>
    <row r="166" spans="1:32" x14ac:dyDescent="0.35">
      <c r="A166">
        <v>165</v>
      </c>
      <c r="B166" s="1">
        <v>43313</v>
      </c>
      <c r="C166" s="9" t="s">
        <v>380</v>
      </c>
      <c r="D166" s="9" t="s">
        <v>4980</v>
      </c>
      <c r="E166" s="9" t="s">
        <v>5817</v>
      </c>
      <c r="F166" s="9" t="s">
        <v>15</v>
      </c>
      <c r="G166" s="9" t="s">
        <v>381</v>
      </c>
      <c r="H166" s="9" t="s">
        <v>275</v>
      </c>
      <c r="I166" s="11">
        <v>400000</v>
      </c>
      <c r="J166" s="11">
        <v>2101434</v>
      </c>
      <c r="K166" s="11">
        <v>18014875</v>
      </c>
      <c r="L166" s="3">
        <v>218</v>
      </c>
      <c r="M166" s="3">
        <v>1447</v>
      </c>
      <c r="N166" s="3">
        <v>842518</v>
      </c>
      <c r="O166" s="2">
        <v>9.0999999999999998E-2</v>
      </c>
      <c r="P166" s="2">
        <v>0.50800000000000001</v>
      </c>
      <c r="Q166" s="2">
        <v>0.48700000000000004</v>
      </c>
      <c r="R166" s="11">
        <v>130487145</v>
      </c>
      <c r="S166" s="11">
        <v>266133</v>
      </c>
      <c r="T166">
        <v>2018</v>
      </c>
      <c r="U166">
        <v>8</v>
      </c>
      <c r="V166">
        <f t="shared" si="12"/>
        <v>900000</v>
      </c>
      <c r="W166">
        <f t="shared" si="13"/>
        <v>18429897</v>
      </c>
      <c r="X166">
        <f t="shared" si="14"/>
        <v>17529897</v>
      </c>
      <c r="Y166">
        <f t="shared" si="15"/>
        <v>-25394845.5</v>
      </c>
      <c r="Z166">
        <f t="shared" si="16"/>
        <v>44724742.5</v>
      </c>
      <c r="AA166" t="str">
        <f t="shared" si="17"/>
        <v>Normal</v>
      </c>
      <c r="AE166" s="2"/>
      <c r="AF166" s="2"/>
    </row>
    <row r="167" spans="1:32" x14ac:dyDescent="0.35">
      <c r="A167">
        <v>166</v>
      </c>
      <c r="B167" s="1">
        <v>43313</v>
      </c>
      <c r="C167" s="9" t="s">
        <v>382</v>
      </c>
      <c r="D167" s="9" t="s">
        <v>4933</v>
      </c>
      <c r="E167" s="9" t="s">
        <v>5818</v>
      </c>
      <c r="F167" s="9" t="s">
        <v>41</v>
      </c>
      <c r="G167" s="9" t="s">
        <v>383</v>
      </c>
      <c r="H167" s="9" t="s">
        <v>275</v>
      </c>
      <c r="I167" s="11">
        <v>18429897</v>
      </c>
      <c r="J167" s="11">
        <v>4073821</v>
      </c>
      <c r="K167" s="11">
        <v>3530051</v>
      </c>
      <c r="L167" s="3">
        <v>168</v>
      </c>
      <c r="M167" s="3">
        <v>3424</v>
      </c>
      <c r="N167" s="3">
        <v>530949</v>
      </c>
      <c r="O167" s="2">
        <v>0.27800000000000002</v>
      </c>
      <c r="P167" s="2">
        <v>0.245</v>
      </c>
      <c r="Q167" s="2">
        <v>-0.378</v>
      </c>
      <c r="R167" s="11">
        <v>237409212</v>
      </c>
      <c r="S167" s="11">
        <v>91589</v>
      </c>
      <c r="T167">
        <v>2018</v>
      </c>
      <c r="U167">
        <v>8</v>
      </c>
      <c r="V167">
        <f t="shared" si="12"/>
        <v>900000</v>
      </c>
      <c r="W167">
        <f t="shared" si="13"/>
        <v>18429897</v>
      </c>
      <c r="X167">
        <f t="shared" si="14"/>
        <v>17529897</v>
      </c>
      <c r="Y167">
        <f t="shared" si="15"/>
        <v>-25394845.5</v>
      </c>
      <c r="Z167">
        <f t="shared" si="16"/>
        <v>44724742.5</v>
      </c>
      <c r="AA167" t="str">
        <f t="shared" si="17"/>
        <v>Normal</v>
      </c>
      <c r="AE167" s="2"/>
      <c r="AF167" s="2"/>
    </row>
    <row r="168" spans="1:32" x14ac:dyDescent="0.35">
      <c r="A168">
        <v>167</v>
      </c>
      <c r="B168" s="1">
        <v>43314</v>
      </c>
      <c r="C168" s="9" t="s">
        <v>384</v>
      </c>
      <c r="D168" s="9" t="s">
        <v>4988</v>
      </c>
      <c r="E168" s="9" t="s">
        <v>5819</v>
      </c>
      <c r="F168" s="9" t="s">
        <v>124</v>
      </c>
      <c r="G168" s="9" t="s">
        <v>385</v>
      </c>
      <c r="H168" s="9" t="s">
        <v>105</v>
      </c>
      <c r="I168" s="11">
        <v>7000000</v>
      </c>
      <c r="J168" s="11">
        <v>1619654</v>
      </c>
      <c r="K168" s="11">
        <v>14025531</v>
      </c>
      <c r="L168" s="3">
        <v>223</v>
      </c>
      <c r="M168" s="3">
        <v>2048</v>
      </c>
      <c r="N168" s="3">
        <v>102543</v>
      </c>
      <c r="O168" s="2">
        <v>0.11199999999999999</v>
      </c>
      <c r="P168" s="2">
        <v>0.52300000000000002</v>
      </c>
      <c r="Q168" s="2">
        <v>0.19800000000000001</v>
      </c>
      <c r="R168" s="11">
        <v>272064377</v>
      </c>
      <c r="S168" s="11">
        <v>1706842</v>
      </c>
      <c r="T168">
        <v>2018</v>
      </c>
      <c r="U168">
        <v>8</v>
      </c>
      <c r="V168">
        <f t="shared" si="12"/>
        <v>900000</v>
      </c>
      <c r="W168">
        <f t="shared" si="13"/>
        <v>18429897</v>
      </c>
      <c r="X168">
        <f t="shared" si="14"/>
        <v>17529897</v>
      </c>
      <c r="Y168">
        <f t="shared" si="15"/>
        <v>-25394845.5</v>
      </c>
      <c r="Z168">
        <f t="shared" si="16"/>
        <v>44724742.5</v>
      </c>
      <c r="AA168" t="str">
        <f t="shared" si="17"/>
        <v>Normal</v>
      </c>
      <c r="AE168" s="2"/>
      <c r="AF168" s="2"/>
    </row>
    <row r="169" spans="1:32" x14ac:dyDescent="0.35">
      <c r="A169">
        <v>168</v>
      </c>
      <c r="B169" s="1">
        <v>43315</v>
      </c>
      <c r="C169" s="9" t="s">
        <v>386</v>
      </c>
      <c r="D169" s="9" t="s">
        <v>4988</v>
      </c>
      <c r="E169" s="9" t="s">
        <v>5820</v>
      </c>
      <c r="F169" s="9" t="s">
        <v>151</v>
      </c>
      <c r="G169" s="9" t="s">
        <v>387</v>
      </c>
      <c r="H169" s="9" t="s">
        <v>105</v>
      </c>
      <c r="I169" s="11">
        <v>120000</v>
      </c>
      <c r="J169" s="11">
        <v>851525</v>
      </c>
      <c r="K169" s="11">
        <v>2307076</v>
      </c>
      <c r="L169" s="3">
        <v>396</v>
      </c>
      <c r="M169" s="3">
        <v>1413</v>
      </c>
      <c r="N169" s="3">
        <v>541947</v>
      </c>
      <c r="O169" s="2">
        <v>-0.12</v>
      </c>
      <c r="P169" s="2">
        <v>0.86699999999999999</v>
      </c>
      <c r="Q169" s="2">
        <v>7.6999999999999999E-2</v>
      </c>
      <c r="R169" s="11">
        <v>278171388</v>
      </c>
      <c r="S169" s="11">
        <v>1809769</v>
      </c>
      <c r="T169">
        <v>2018</v>
      </c>
      <c r="U169">
        <v>8</v>
      </c>
      <c r="V169">
        <f t="shared" si="12"/>
        <v>900000</v>
      </c>
      <c r="W169">
        <f t="shared" si="13"/>
        <v>18429897</v>
      </c>
      <c r="X169">
        <f t="shared" si="14"/>
        <v>17529897</v>
      </c>
      <c r="Y169">
        <f t="shared" si="15"/>
        <v>-25394845.5</v>
      </c>
      <c r="Z169">
        <f t="shared" si="16"/>
        <v>44724742.5</v>
      </c>
      <c r="AA169" t="str">
        <f t="shared" si="17"/>
        <v>Normal</v>
      </c>
      <c r="AE169" s="2"/>
      <c r="AF169" s="2"/>
    </row>
    <row r="170" spans="1:32" x14ac:dyDescent="0.35">
      <c r="A170">
        <v>169</v>
      </c>
      <c r="B170" s="1">
        <v>43319</v>
      </c>
      <c r="C170" s="9" t="s">
        <v>388</v>
      </c>
      <c r="D170" s="9" t="s">
        <v>4988</v>
      </c>
      <c r="E170" s="9" t="s">
        <v>5821</v>
      </c>
      <c r="F170" s="9" t="s">
        <v>31</v>
      </c>
      <c r="G170" s="9" t="s">
        <v>58</v>
      </c>
      <c r="H170" s="9" t="s">
        <v>275</v>
      </c>
      <c r="I170" s="11">
        <v>1000000</v>
      </c>
      <c r="J170" s="11">
        <v>1684771</v>
      </c>
      <c r="K170" s="11">
        <v>10153449</v>
      </c>
      <c r="L170" s="3">
        <v>80</v>
      </c>
      <c r="M170" s="3">
        <v>828</v>
      </c>
      <c r="N170" s="3">
        <v>1453410</v>
      </c>
      <c r="O170" s="2">
        <v>1.6E-2</v>
      </c>
      <c r="P170" s="2">
        <v>0.50600000000000001</v>
      </c>
      <c r="Q170" s="2">
        <v>2.6000000000000002E-2</v>
      </c>
      <c r="R170" s="11">
        <v>20328653</v>
      </c>
      <c r="S170" s="11">
        <v>1282228</v>
      </c>
      <c r="T170">
        <v>2018</v>
      </c>
      <c r="U170">
        <v>8</v>
      </c>
      <c r="V170">
        <f t="shared" si="12"/>
        <v>900000</v>
      </c>
      <c r="W170">
        <f t="shared" si="13"/>
        <v>18429897</v>
      </c>
      <c r="X170">
        <f t="shared" si="14"/>
        <v>17529897</v>
      </c>
      <c r="Y170">
        <f t="shared" si="15"/>
        <v>-25394845.5</v>
      </c>
      <c r="Z170">
        <f t="shared" si="16"/>
        <v>44724742.5</v>
      </c>
      <c r="AA170" t="str">
        <f t="shared" si="17"/>
        <v>Normal</v>
      </c>
      <c r="AE170" s="2"/>
      <c r="AF170" s="2"/>
    </row>
    <row r="171" spans="1:32" x14ac:dyDescent="0.35">
      <c r="A171">
        <v>170</v>
      </c>
      <c r="B171" s="1">
        <v>43319</v>
      </c>
      <c r="C171" s="9" t="s">
        <v>389</v>
      </c>
      <c r="D171" s="9" t="s">
        <v>4988</v>
      </c>
      <c r="E171" s="9" t="s">
        <v>5822</v>
      </c>
      <c r="F171" s="9" t="s">
        <v>15</v>
      </c>
      <c r="G171" s="9" t="s">
        <v>390</v>
      </c>
      <c r="H171" s="9" t="s">
        <v>105</v>
      </c>
      <c r="I171" s="11">
        <v>35000000</v>
      </c>
      <c r="J171" s="11">
        <v>133106</v>
      </c>
      <c r="K171" s="11">
        <v>1833873</v>
      </c>
      <c r="L171" s="3">
        <v>91</v>
      </c>
      <c r="M171" s="3">
        <v>4843</v>
      </c>
      <c r="N171" s="3">
        <v>573953</v>
      </c>
      <c r="O171" s="2">
        <v>-7.6999999999999999E-2</v>
      </c>
      <c r="P171" s="2">
        <v>0.39100000000000001</v>
      </c>
      <c r="Q171" s="2">
        <v>0.182</v>
      </c>
      <c r="R171" s="11">
        <v>333611581</v>
      </c>
      <c r="S171" s="11">
        <v>404694</v>
      </c>
      <c r="T171">
        <v>2018</v>
      </c>
      <c r="U171">
        <v>8</v>
      </c>
      <c r="V171">
        <f t="shared" si="12"/>
        <v>900000</v>
      </c>
      <c r="W171">
        <f t="shared" si="13"/>
        <v>18429897</v>
      </c>
      <c r="X171">
        <f t="shared" si="14"/>
        <v>17529897</v>
      </c>
      <c r="Y171">
        <f t="shared" si="15"/>
        <v>-25394845.5</v>
      </c>
      <c r="Z171">
        <f t="shared" si="16"/>
        <v>44724742.5</v>
      </c>
      <c r="AA171" t="str">
        <f t="shared" si="17"/>
        <v>Normal</v>
      </c>
      <c r="AE171" s="2"/>
      <c r="AF171" s="2"/>
    </row>
    <row r="172" spans="1:32" x14ac:dyDescent="0.35">
      <c r="A172">
        <v>171</v>
      </c>
      <c r="B172" s="1">
        <v>43319</v>
      </c>
      <c r="C172" s="9" t="s">
        <v>391</v>
      </c>
      <c r="D172" s="9" t="s">
        <v>4988</v>
      </c>
      <c r="E172" s="9" t="s">
        <v>5823</v>
      </c>
      <c r="F172" s="9" t="s">
        <v>151</v>
      </c>
      <c r="G172" s="9" t="s">
        <v>392</v>
      </c>
      <c r="H172" s="9" t="s">
        <v>105</v>
      </c>
      <c r="I172" s="11">
        <v>10000000</v>
      </c>
      <c r="J172" s="11">
        <v>548590</v>
      </c>
      <c r="K172" s="11">
        <v>4402023</v>
      </c>
      <c r="L172" s="3">
        <v>254</v>
      </c>
      <c r="M172" s="3">
        <v>3535</v>
      </c>
      <c r="N172" s="3">
        <v>1104773</v>
      </c>
      <c r="O172" s="2">
        <v>1.6E-2</v>
      </c>
      <c r="P172" s="2">
        <v>0.36799999999999999</v>
      </c>
      <c r="Q172" s="2">
        <v>0.44500000000000001</v>
      </c>
      <c r="R172" s="11">
        <v>446806335</v>
      </c>
      <c r="S172" s="11">
        <v>1385864</v>
      </c>
      <c r="T172">
        <v>2018</v>
      </c>
      <c r="U172">
        <v>8</v>
      </c>
      <c r="V172">
        <f t="shared" si="12"/>
        <v>900000</v>
      </c>
      <c r="W172">
        <f t="shared" si="13"/>
        <v>18429897</v>
      </c>
      <c r="X172">
        <f t="shared" si="14"/>
        <v>17529897</v>
      </c>
      <c r="Y172">
        <f t="shared" si="15"/>
        <v>-25394845.5</v>
      </c>
      <c r="Z172">
        <f t="shared" si="16"/>
        <v>44724742.5</v>
      </c>
      <c r="AA172" t="str">
        <f t="shared" si="17"/>
        <v>Normal</v>
      </c>
      <c r="AE172" s="2"/>
      <c r="AF172" s="2"/>
    </row>
    <row r="173" spans="1:32" x14ac:dyDescent="0.35">
      <c r="A173">
        <v>172</v>
      </c>
      <c r="B173" s="1">
        <v>43320</v>
      </c>
      <c r="C173" s="9" t="s">
        <v>393</v>
      </c>
      <c r="D173" s="9" t="s">
        <v>4988</v>
      </c>
      <c r="E173" s="9" t="s">
        <v>5824</v>
      </c>
      <c r="F173" s="9" t="s">
        <v>15</v>
      </c>
      <c r="G173" s="9" t="s">
        <v>394</v>
      </c>
      <c r="H173" s="9" t="s">
        <v>275</v>
      </c>
      <c r="I173" s="11">
        <v>4000000</v>
      </c>
      <c r="J173" s="11">
        <v>468438</v>
      </c>
      <c r="K173" s="11">
        <v>7886457</v>
      </c>
      <c r="L173" s="3">
        <v>243</v>
      </c>
      <c r="M173" s="3">
        <v>4930</v>
      </c>
      <c r="N173" s="3">
        <v>429755</v>
      </c>
      <c r="O173" s="2">
        <v>-0.253</v>
      </c>
      <c r="P173" s="2">
        <v>0.79799999999999993</v>
      </c>
      <c r="Q173" s="2">
        <v>0.16400000000000001</v>
      </c>
      <c r="R173" s="11">
        <v>452884601</v>
      </c>
      <c r="S173" s="11">
        <v>1896449</v>
      </c>
      <c r="T173">
        <v>2018</v>
      </c>
      <c r="U173">
        <v>8</v>
      </c>
      <c r="V173">
        <f t="shared" si="12"/>
        <v>900000</v>
      </c>
      <c r="W173">
        <f t="shared" si="13"/>
        <v>18429897</v>
      </c>
      <c r="X173">
        <f t="shared" si="14"/>
        <v>17529897</v>
      </c>
      <c r="Y173">
        <f t="shared" si="15"/>
        <v>-25394845.5</v>
      </c>
      <c r="Z173">
        <f t="shared" si="16"/>
        <v>44724742.5</v>
      </c>
      <c r="AA173" t="str">
        <f t="shared" si="17"/>
        <v>Normal</v>
      </c>
      <c r="AE173" s="2"/>
      <c r="AF173" s="2"/>
    </row>
    <row r="174" spans="1:32" x14ac:dyDescent="0.35">
      <c r="A174">
        <v>173</v>
      </c>
      <c r="B174" s="1">
        <v>43320</v>
      </c>
      <c r="C174" s="9" t="s">
        <v>395</v>
      </c>
      <c r="D174" s="9" t="s">
        <v>4988</v>
      </c>
      <c r="E174" s="9" t="s">
        <v>5825</v>
      </c>
      <c r="F174" s="9" t="s">
        <v>15</v>
      </c>
      <c r="G174" s="9" t="s">
        <v>396</v>
      </c>
      <c r="H174" s="9" t="s">
        <v>105</v>
      </c>
      <c r="I174" s="11">
        <v>12200000</v>
      </c>
      <c r="J174" s="11">
        <v>3862331</v>
      </c>
      <c r="K174" s="11">
        <v>13919928</v>
      </c>
      <c r="L174" s="3">
        <v>408</v>
      </c>
      <c r="M174" s="3">
        <v>2500</v>
      </c>
      <c r="N174" s="3">
        <v>1854686</v>
      </c>
      <c r="O174" s="2">
        <v>0.14199999999999999</v>
      </c>
      <c r="P174" s="2">
        <v>0.35100000000000003</v>
      </c>
      <c r="Q174" s="2">
        <v>0.34</v>
      </c>
      <c r="R174" s="11">
        <v>430339412</v>
      </c>
      <c r="S174" s="11">
        <v>317894</v>
      </c>
      <c r="T174">
        <v>2018</v>
      </c>
      <c r="U174">
        <v>8</v>
      </c>
      <c r="V174">
        <f t="shared" si="12"/>
        <v>900000</v>
      </c>
      <c r="W174">
        <f t="shared" si="13"/>
        <v>18429897</v>
      </c>
      <c r="X174">
        <f t="shared" si="14"/>
        <v>17529897</v>
      </c>
      <c r="Y174">
        <f t="shared" si="15"/>
        <v>-25394845.5</v>
      </c>
      <c r="Z174">
        <f t="shared" si="16"/>
        <v>44724742.5</v>
      </c>
      <c r="AA174" t="str">
        <f t="shared" si="17"/>
        <v>Normal</v>
      </c>
      <c r="AE174" s="2"/>
      <c r="AF174" s="2"/>
    </row>
    <row r="175" spans="1:32" x14ac:dyDescent="0.35">
      <c r="A175">
        <v>174</v>
      </c>
      <c r="B175" s="1">
        <v>43320</v>
      </c>
      <c r="C175" s="9" t="s">
        <v>397</v>
      </c>
      <c r="D175" s="9" t="s">
        <v>4988</v>
      </c>
      <c r="E175" s="9" t="s">
        <v>5826</v>
      </c>
      <c r="F175" s="9" t="s">
        <v>15</v>
      </c>
      <c r="G175" s="9" t="s">
        <v>398</v>
      </c>
      <c r="H175" s="9" t="s">
        <v>105</v>
      </c>
      <c r="I175" s="11">
        <v>66000000</v>
      </c>
      <c r="J175" s="11">
        <v>3617349</v>
      </c>
      <c r="K175" s="11">
        <v>1006294</v>
      </c>
      <c r="L175" s="3">
        <v>254</v>
      </c>
      <c r="M175" s="3">
        <v>4102</v>
      </c>
      <c r="N175" s="3">
        <v>1803710</v>
      </c>
      <c r="O175" s="2">
        <v>0.106</v>
      </c>
      <c r="P175" s="2">
        <v>0.29699999999999999</v>
      </c>
      <c r="Q175" s="2">
        <v>0.09</v>
      </c>
      <c r="R175" s="11">
        <v>250264963</v>
      </c>
      <c r="S175" s="11">
        <v>380479</v>
      </c>
      <c r="T175">
        <v>2018</v>
      </c>
      <c r="U175">
        <v>8</v>
      </c>
      <c r="V175">
        <f t="shared" si="12"/>
        <v>900000</v>
      </c>
      <c r="W175">
        <f t="shared" si="13"/>
        <v>18429897</v>
      </c>
      <c r="X175">
        <f t="shared" si="14"/>
        <v>17529897</v>
      </c>
      <c r="Y175">
        <f t="shared" si="15"/>
        <v>-25394845.5</v>
      </c>
      <c r="Z175">
        <f t="shared" si="16"/>
        <v>44724742.5</v>
      </c>
      <c r="AA175" t="str">
        <f t="shared" si="17"/>
        <v>Outlier</v>
      </c>
      <c r="AE175" s="2"/>
      <c r="AF175" s="2"/>
    </row>
    <row r="176" spans="1:32" x14ac:dyDescent="0.35">
      <c r="A176">
        <v>175</v>
      </c>
      <c r="B176" s="1">
        <v>43321</v>
      </c>
      <c r="C176" s="9" t="s">
        <v>399</v>
      </c>
      <c r="D176" s="9" t="s">
        <v>4955</v>
      </c>
      <c r="E176" s="9" t="s">
        <v>5827</v>
      </c>
      <c r="F176" s="9" t="s">
        <v>15</v>
      </c>
      <c r="G176" s="9" t="s">
        <v>400</v>
      </c>
      <c r="H176" s="9" t="s">
        <v>275</v>
      </c>
      <c r="I176" s="11">
        <v>3000000</v>
      </c>
      <c r="J176" s="11">
        <v>3489918</v>
      </c>
      <c r="K176" s="11">
        <v>5221366</v>
      </c>
      <c r="L176" s="3">
        <v>394</v>
      </c>
      <c r="M176" s="3">
        <v>3217</v>
      </c>
      <c r="N176" s="3">
        <v>1615919</v>
      </c>
      <c r="O176" s="2">
        <v>-0.27300000000000002</v>
      </c>
      <c r="P176" s="2">
        <v>0.95</v>
      </c>
      <c r="Q176" s="2">
        <v>0.191</v>
      </c>
      <c r="R176" s="11">
        <v>327145049</v>
      </c>
      <c r="S176" s="11">
        <v>634602</v>
      </c>
      <c r="T176">
        <v>2018</v>
      </c>
      <c r="U176">
        <v>8</v>
      </c>
      <c r="V176">
        <f t="shared" si="12"/>
        <v>900000</v>
      </c>
      <c r="W176">
        <f t="shared" si="13"/>
        <v>18429897</v>
      </c>
      <c r="X176">
        <f t="shared" si="14"/>
        <v>17529897</v>
      </c>
      <c r="Y176">
        <f t="shared" si="15"/>
        <v>-25394845.5</v>
      </c>
      <c r="Z176">
        <f t="shared" si="16"/>
        <v>44724742.5</v>
      </c>
      <c r="AA176" t="str">
        <f t="shared" si="17"/>
        <v>Normal</v>
      </c>
      <c r="AE176" s="2"/>
      <c r="AF176" s="2"/>
    </row>
    <row r="177" spans="1:32" x14ac:dyDescent="0.35">
      <c r="A177">
        <v>176</v>
      </c>
      <c r="B177" s="1">
        <v>43321</v>
      </c>
      <c r="C177" s="9" t="s">
        <v>401</v>
      </c>
      <c r="D177" s="9" t="s">
        <v>4926</v>
      </c>
      <c r="E177" s="9" t="s">
        <v>5828</v>
      </c>
      <c r="F177" s="9" t="s">
        <v>15</v>
      </c>
      <c r="G177" s="9" t="s">
        <v>402</v>
      </c>
      <c r="H177" s="9" t="s">
        <v>275</v>
      </c>
      <c r="I177" s="11">
        <v>1000000</v>
      </c>
      <c r="J177" s="11">
        <v>2320148</v>
      </c>
      <c r="K177" s="11">
        <v>6739337</v>
      </c>
      <c r="L177" s="3">
        <v>454</v>
      </c>
      <c r="M177" s="3">
        <v>2649</v>
      </c>
      <c r="N177" s="3">
        <v>1018455</v>
      </c>
      <c r="O177" s="2">
        <v>0.187</v>
      </c>
      <c r="P177" s="2">
        <v>0.54400000000000004</v>
      </c>
      <c r="Q177" s="2">
        <v>-3.5999999999999997E-2</v>
      </c>
      <c r="R177" s="11">
        <v>260063990</v>
      </c>
      <c r="S177" s="11">
        <v>569864</v>
      </c>
      <c r="T177">
        <v>2018</v>
      </c>
      <c r="U177">
        <v>8</v>
      </c>
      <c r="V177">
        <f t="shared" si="12"/>
        <v>900000</v>
      </c>
      <c r="W177">
        <f t="shared" si="13"/>
        <v>18429897</v>
      </c>
      <c r="X177">
        <f t="shared" si="14"/>
        <v>17529897</v>
      </c>
      <c r="Y177">
        <f t="shared" si="15"/>
        <v>-25394845.5</v>
      </c>
      <c r="Z177">
        <f t="shared" si="16"/>
        <v>44724742.5</v>
      </c>
      <c r="AA177" t="str">
        <f t="shared" si="17"/>
        <v>Normal</v>
      </c>
      <c r="AE177" s="2"/>
      <c r="AF177" s="2"/>
    </row>
    <row r="178" spans="1:32" x14ac:dyDescent="0.35">
      <c r="A178">
        <v>177</v>
      </c>
      <c r="B178" s="1">
        <v>43325</v>
      </c>
      <c r="C178" s="9" t="s">
        <v>403</v>
      </c>
      <c r="D178" s="9" t="s">
        <v>4988</v>
      </c>
      <c r="E178" s="9" t="s">
        <v>5829</v>
      </c>
      <c r="F178" s="9" t="s">
        <v>35</v>
      </c>
      <c r="G178" s="9" t="s">
        <v>404</v>
      </c>
      <c r="H178" s="9" t="s">
        <v>275</v>
      </c>
      <c r="I178" s="11">
        <v>4000000</v>
      </c>
      <c r="J178" s="11">
        <v>3590951</v>
      </c>
      <c r="K178" s="11">
        <v>14647322</v>
      </c>
      <c r="L178" s="3">
        <v>220</v>
      </c>
      <c r="M178" s="3">
        <v>2397</v>
      </c>
      <c r="N178" s="3">
        <v>1142281</v>
      </c>
      <c r="O178" s="2">
        <v>-0.1</v>
      </c>
      <c r="P178" s="2">
        <v>1.095</v>
      </c>
      <c r="Q178" s="2">
        <v>0.109</v>
      </c>
      <c r="R178" s="11">
        <v>148247074</v>
      </c>
      <c r="S178" s="11">
        <v>125717</v>
      </c>
      <c r="T178">
        <v>2018</v>
      </c>
      <c r="U178">
        <v>8</v>
      </c>
      <c r="V178">
        <f t="shared" si="12"/>
        <v>900000</v>
      </c>
      <c r="W178">
        <f t="shared" si="13"/>
        <v>18429897</v>
      </c>
      <c r="X178">
        <f t="shared" si="14"/>
        <v>17529897</v>
      </c>
      <c r="Y178">
        <f t="shared" si="15"/>
        <v>-25394845.5</v>
      </c>
      <c r="Z178">
        <f t="shared" si="16"/>
        <v>44724742.5</v>
      </c>
      <c r="AA178" t="str">
        <f t="shared" si="17"/>
        <v>Normal</v>
      </c>
      <c r="AE178" s="2"/>
      <c r="AF178" s="2"/>
    </row>
    <row r="179" spans="1:32" x14ac:dyDescent="0.35">
      <c r="A179">
        <v>178</v>
      </c>
      <c r="B179" s="1">
        <v>43325</v>
      </c>
      <c r="C179" s="9" t="s">
        <v>405</v>
      </c>
      <c r="D179" s="9" t="s">
        <v>4930</v>
      </c>
      <c r="E179" s="9" t="s">
        <v>5830</v>
      </c>
      <c r="F179" s="9" t="s">
        <v>15</v>
      </c>
      <c r="G179" s="9" t="s">
        <v>406</v>
      </c>
      <c r="H179" s="9" t="s">
        <v>105</v>
      </c>
      <c r="I179" s="11">
        <v>8000000</v>
      </c>
      <c r="J179" s="11">
        <v>823133</v>
      </c>
      <c r="K179" s="11">
        <v>19234511</v>
      </c>
      <c r="L179" s="3">
        <v>480</v>
      </c>
      <c r="M179" s="3">
        <v>2505.5</v>
      </c>
      <c r="N179" s="3">
        <v>16615</v>
      </c>
      <c r="O179" s="2">
        <v>0.13699999999999998</v>
      </c>
      <c r="P179" s="2">
        <v>0.69599999999999995</v>
      </c>
      <c r="Q179" s="2">
        <v>3.2000000000000001E-2</v>
      </c>
      <c r="R179" s="11">
        <v>394151910</v>
      </c>
      <c r="S179" s="11">
        <v>180007</v>
      </c>
      <c r="T179">
        <v>2018</v>
      </c>
      <c r="U179">
        <v>8</v>
      </c>
      <c r="V179">
        <f t="shared" si="12"/>
        <v>900000</v>
      </c>
      <c r="W179">
        <f t="shared" si="13"/>
        <v>18429897</v>
      </c>
      <c r="X179">
        <f t="shared" si="14"/>
        <v>17529897</v>
      </c>
      <c r="Y179">
        <f t="shared" si="15"/>
        <v>-25394845.5</v>
      </c>
      <c r="Z179">
        <f t="shared" si="16"/>
        <v>44724742.5</v>
      </c>
      <c r="AA179" t="str">
        <f t="shared" si="17"/>
        <v>Normal</v>
      </c>
      <c r="AE179" s="2"/>
      <c r="AF179" s="2"/>
    </row>
    <row r="180" spans="1:32" x14ac:dyDescent="0.35">
      <c r="A180">
        <v>179</v>
      </c>
      <c r="B180" s="1">
        <v>43328</v>
      </c>
      <c r="C180" s="9" t="s">
        <v>407</v>
      </c>
      <c r="D180" s="9" t="s">
        <v>4988</v>
      </c>
      <c r="E180" s="9" t="s">
        <v>5830</v>
      </c>
      <c r="F180" s="9" t="s">
        <v>408</v>
      </c>
      <c r="G180" s="9" t="s">
        <v>58</v>
      </c>
      <c r="H180" s="9" t="s">
        <v>275</v>
      </c>
      <c r="I180" s="11">
        <v>114811</v>
      </c>
      <c r="J180" s="11">
        <v>4505095</v>
      </c>
      <c r="K180" s="11">
        <v>12321929</v>
      </c>
      <c r="L180" s="3">
        <v>447</v>
      </c>
      <c r="M180" s="3">
        <v>2091</v>
      </c>
      <c r="N180" s="3">
        <v>86214</v>
      </c>
      <c r="O180" s="2">
        <v>3.7999999999999999E-2</v>
      </c>
      <c r="P180" s="2">
        <v>0.50800000000000001</v>
      </c>
      <c r="Q180" s="2">
        <v>0.127</v>
      </c>
      <c r="R180" s="11">
        <v>400717694</v>
      </c>
      <c r="S180" s="11">
        <v>553378</v>
      </c>
      <c r="T180">
        <v>2018</v>
      </c>
      <c r="U180">
        <v>8</v>
      </c>
      <c r="V180">
        <f t="shared" si="12"/>
        <v>900000</v>
      </c>
      <c r="W180">
        <f t="shared" si="13"/>
        <v>18429897</v>
      </c>
      <c r="X180">
        <f t="shared" si="14"/>
        <v>17529897</v>
      </c>
      <c r="Y180">
        <f t="shared" si="15"/>
        <v>-25394845.5</v>
      </c>
      <c r="Z180">
        <f t="shared" si="16"/>
        <v>44724742.5</v>
      </c>
      <c r="AA180" t="str">
        <f t="shared" si="17"/>
        <v>Normal</v>
      </c>
      <c r="AE180" s="2"/>
      <c r="AF180" s="2"/>
    </row>
    <row r="181" spans="1:32" x14ac:dyDescent="0.35">
      <c r="A181">
        <v>180</v>
      </c>
      <c r="B181" s="1">
        <v>43329</v>
      </c>
      <c r="C181" s="9" t="s">
        <v>409</v>
      </c>
      <c r="D181" s="9" t="s">
        <v>4988</v>
      </c>
      <c r="E181" s="9" t="s">
        <v>5831</v>
      </c>
      <c r="F181" s="9" t="s">
        <v>151</v>
      </c>
      <c r="G181" s="9" t="s">
        <v>410</v>
      </c>
      <c r="H181" s="9" t="s">
        <v>105</v>
      </c>
      <c r="I181" s="11">
        <v>5850000</v>
      </c>
      <c r="J181" s="11">
        <v>2515202</v>
      </c>
      <c r="K181" s="11">
        <v>10199341</v>
      </c>
      <c r="L181" s="3">
        <v>399</v>
      </c>
      <c r="M181" s="3">
        <v>3217</v>
      </c>
      <c r="N181" s="3">
        <v>886956</v>
      </c>
      <c r="O181" s="2">
        <v>-0.17600000000000002</v>
      </c>
      <c r="P181" s="2">
        <v>0.39299999999999996</v>
      </c>
      <c r="Q181" s="2">
        <v>-0.314</v>
      </c>
      <c r="R181" s="11">
        <v>451943265</v>
      </c>
      <c r="S181" s="11">
        <v>513976</v>
      </c>
      <c r="T181">
        <v>2018</v>
      </c>
      <c r="U181">
        <v>8</v>
      </c>
      <c r="V181">
        <f t="shared" si="12"/>
        <v>900000</v>
      </c>
      <c r="W181">
        <f t="shared" si="13"/>
        <v>18429897</v>
      </c>
      <c r="X181">
        <f t="shared" si="14"/>
        <v>17529897</v>
      </c>
      <c r="Y181">
        <f t="shared" si="15"/>
        <v>-25394845.5</v>
      </c>
      <c r="Z181">
        <f t="shared" si="16"/>
        <v>44724742.5</v>
      </c>
      <c r="AA181" t="str">
        <f t="shared" si="17"/>
        <v>Normal</v>
      </c>
      <c r="AE181" s="2"/>
      <c r="AF181" s="2"/>
    </row>
    <row r="182" spans="1:32" x14ac:dyDescent="0.35">
      <c r="A182">
        <v>181</v>
      </c>
      <c r="B182" s="1">
        <v>43332</v>
      </c>
      <c r="C182" s="9" t="s">
        <v>411</v>
      </c>
      <c r="D182" s="9" t="s">
        <v>4933</v>
      </c>
      <c r="E182" s="9" t="s">
        <v>5832</v>
      </c>
      <c r="F182" s="9" t="s">
        <v>15</v>
      </c>
      <c r="G182" s="9" t="s">
        <v>58</v>
      </c>
      <c r="H182" s="9" t="s">
        <v>275</v>
      </c>
      <c r="I182" s="11">
        <v>1000000</v>
      </c>
      <c r="J182" s="11">
        <v>4691495</v>
      </c>
      <c r="K182" s="11">
        <v>6791969</v>
      </c>
      <c r="L182" s="3">
        <v>193</v>
      </c>
      <c r="M182" s="3">
        <v>2487</v>
      </c>
      <c r="N182" s="3">
        <v>1503862</v>
      </c>
      <c r="O182" s="2">
        <v>-8.900000000000001E-2</v>
      </c>
      <c r="P182" s="2">
        <v>1.081</v>
      </c>
      <c r="Q182" s="2">
        <v>-0.17899999999999999</v>
      </c>
      <c r="R182" s="11">
        <v>481592909</v>
      </c>
      <c r="S182" s="11">
        <v>1349102</v>
      </c>
      <c r="T182">
        <v>2018</v>
      </c>
      <c r="U182">
        <v>8</v>
      </c>
      <c r="V182">
        <f t="shared" si="12"/>
        <v>900000</v>
      </c>
      <c r="W182">
        <f t="shared" si="13"/>
        <v>18429897</v>
      </c>
      <c r="X182">
        <f t="shared" si="14"/>
        <v>17529897</v>
      </c>
      <c r="Y182">
        <f t="shared" si="15"/>
        <v>-25394845.5</v>
      </c>
      <c r="Z182">
        <f t="shared" si="16"/>
        <v>44724742.5</v>
      </c>
      <c r="AA182" t="str">
        <f t="shared" si="17"/>
        <v>Normal</v>
      </c>
      <c r="AE182" s="2"/>
      <c r="AF182" s="2"/>
    </row>
    <row r="183" spans="1:32" x14ac:dyDescent="0.35">
      <c r="A183">
        <v>182</v>
      </c>
      <c r="B183" s="1">
        <v>43332</v>
      </c>
      <c r="C183" s="9" t="s">
        <v>412</v>
      </c>
      <c r="D183" s="9" t="s">
        <v>4988</v>
      </c>
      <c r="E183" s="9" t="s">
        <v>5833</v>
      </c>
      <c r="F183" s="9" t="s">
        <v>31</v>
      </c>
      <c r="G183" s="9" t="s">
        <v>143</v>
      </c>
      <c r="H183" s="9" t="s">
        <v>59</v>
      </c>
      <c r="I183" s="11">
        <v>4800000</v>
      </c>
      <c r="J183" s="11">
        <v>778514</v>
      </c>
      <c r="K183" s="11">
        <v>16470628</v>
      </c>
      <c r="L183" s="3">
        <v>153</v>
      </c>
      <c r="M183" s="3">
        <v>4855</v>
      </c>
      <c r="N183" s="3">
        <v>260279</v>
      </c>
      <c r="O183" s="2">
        <v>-7.2999999999999995E-2</v>
      </c>
      <c r="P183" s="2">
        <v>0.32600000000000001</v>
      </c>
      <c r="Q183" s="2">
        <v>0.39700000000000002</v>
      </c>
      <c r="R183" s="11">
        <v>442090476</v>
      </c>
      <c r="S183" s="11">
        <v>1544668</v>
      </c>
      <c r="T183">
        <v>2018</v>
      </c>
      <c r="U183">
        <v>8</v>
      </c>
      <c r="V183">
        <f t="shared" si="12"/>
        <v>900000</v>
      </c>
      <c r="W183">
        <f t="shared" si="13"/>
        <v>18429897</v>
      </c>
      <c r="X183">
        <f t="shared" si="14"/>
        <v>17529897</v>
      </c>
      <c r="Y183">
        <f t="shared" si="15"/>
        <v>-25394845.5</v>
      </c>
      <c r="Z183">
        <f t="shared" si="16"/>
        <v>44724742.5</v>
      </c>
      <c r="AA183" t="str">
        <f t="shared" si="17"/>
        <v>Normal</v>
      </c>
      <c r="AE183" s="2"/>
      <c r="AF183" s="2"/>
    </row>
    <row r="184" spans="1:32" x14ac:dyDescent="0.35">
      <c r="A184">
        <v>183</v>
      </c>
      <c r="B184" s="1">
        <v>43334</v>
      </c>
      <c r="C184" s="9" t="s">
        <v>413</v>
      </c>
      <c r="D184" s="9" t="s">
        <v>4930</v>
      </c>
      <c r="E184" s="9" t="s">
        <v>5834</v>
      </c>
      <c r="F184" s="9" t="s">
        <v>15</v>
      </c>
      <c r="G184" s="9" t="s">
        <v>414</v>
      </c>
      <c r="H184" s="9" t="s">
        <v>105</v>
      </c>
      <c r="I184" s="11">
        <v>6000000</v>
      </c>
      <c r="J184" s="11">
        <v>2496703</v>
      </c>
      <c r="K184" s="11">
        <v>10153449</v>
      </c>
      <c r="L184" s="3">
        <v>432</v>
      </c>
      <c r="M184" s="3">
        <v>4502</v>
      </c>
      <c r="N184" s="3">
        <v>1098133</v>
      </c>
      <c r="O184" s="2">
        <v>0.316</v>
      </c>
      <c r="P184" s="2">
        <v>0.51600000000000001</v>
      </c>
      <c r="Q184" s="2">
        <v>0.44900000000000001</v>
      </c>
      <c r="R184" s="11">
        <v>408205565</v>
      </c>
      <c r="S184" s="11">
        <v>1617295</v>
      </c>
      <c r="T184">
        <v>2018</v>
      </c>
      <c r="U184">
        <v>8</v>
      </c>
      <c r="V184">
        <f t="shared" si="12"/>
        <v>900000</v>
      </c>
      <c r="W184">
        <f t="shared" si="13"/>
        <v>18429897</v>
      </c>
      <c r="X184">
        <f t="shared" si="14"/>
        <v>17529897</v>
      </c>
      <c r="Y184">
        <f t="shared" si="15"/>
        <v>-25394845.5</v>
      </c>
      <c r="Z184">
        <f t="shared" si="16"/>
        <v>44724742.5</v>
      </c>
      <c r="AA184" t="str">
        <f t="shared" si="17"/>
        <v>Normal</v>
      </c>
      <c r="AE184" s="2"/>
      <c r="AF184" s="2"/>
    </row>
    <row r="185" spans="1:32" x14ac:dyDescent="0.35">
      <c r="A185">
        <v>184</v>
      </c>
      <c r="B185" s="1">
        <v>43334</v>
      </c>
      <c r="C185" s="9" t="s">
        <v>415</v>
      </c>
      <c r="D185" s="9" t="s">
        <v>4988</v>
      </c>
      <c r="E185" s="9" t="s">
        <v>5835</v>
      </c>
      <c r="F185" s="9" t="s">
        <v>151</v>
      </c>
      <c r="G185" s="9" t="s">
        <v>416</v>
      </c>
      <c r="H185" s="9" t="s">
        <v>105</v>
      </c>
      <c r="I185" s="11">
        <v>14270000</v>
      </c>
      <c r="J185" s="11">
        <v>3487675</v>
      </c>
      <c r="K185" s="11">
        <v>2672392</v>
      </c>
      <c r="L185" s="3">
        <v>223</v>
      </c>
      <c r="M185" s="3">
        <v>2348</v>
      </c>
      <c r="N185" s="3">
        <v>1909024</v>
      </c>
      <c r="O185" s="2">
        <v>0.28699999999999998</v>
      </c>
      <c r="P185" s="2">
        <v>0.503</v>
      </c>
      <c r="Q185" s="2">
        <v>-0.33300000000000002</v>
      </c>
      <c r="R185" s="11">
        <v>377178597</v>
      </c>
      <c r="S185" s="11">
        <v>1008193.5</v>
      </c>
      <c r="T185">
        <v>2018</v>
      </c>
      <c r="U185">
        <v>8</v>
      </c>
      <c r="V185">
        <f t="shared" si="12"/>
        <v>900000</v>
      </c>
      <c r="W185">
        <f t="shared" si="13"/>
        <v>18429897</v>
      </c>
      <c r="X185">
        <f t="shared" si="14"/>
        <v>17529897</v>
      </c>
      <c r="Y185">
        <f t="shared" si="15"/>
        <v>-25394845.5</v>
      </c>
      <c r="Z185">
        <f t="shared" si="16"/>
        <v>44724742.5</v>
      </c>
      <c r="AA185" t="str">
        <f t="shared" si="17"/>
        <v>Normal</v>
      </c>
      <c r="AE185" s="2"/>
      <c r="AF185" s="2"/>
    </row>
    <row r="186" spans="1:32" x14ac:dyDescent="0.35">
      <c r="A186">
        <v>185</v>
      </c>
      <c r="B186" s="1">
        <v>43338</v>
      </c>
      <c r="C186" s="9" t="s">
        <v>417</v>
      </c>
      <c r="D186" s="9" t="s">
        <v>4988</v>
      </c>
      <c r="E186" s="9" t="s">
        <v>1111</v>
      </c>
      <c r="F186" s="9" t="s">
        <v>15</v>
      </c>
      <c r="G186" s="9" t="s">
        <v>418</v>
      </c>
      <c r="H186" s="9" t="s">
        <v>105</v>
      </c>
      <c r="I186" s="11">
        <v>13400000</v>
      </c>
      <c r="J186" s="11">
        <v>2488216</v>
      </c>
      <c r="K186" s="11">
        <v>4103534</v>
      </c>
      <c r="L186" s="3">
        <v>20</v>
      </c>
      <c r="M186" s="3">
        <v>2010</v>
      </c>
      <c r="N186" s="3">
        <v>1018455</v>
      </c>
      <c r="O186" s="2">
        <v>0.55899999999999994</v>
      </c>
      <c r="P186" s="2">
        <v>1.188E-2</v>
      </c>
      <c r="Q186" s="2">
        <v>-4.2000000000000003E-2</v>
      </c>
      <c r="R186" s="11">
        <v>60141349</v>
      </c>
      <c r="S186" s="11">
        <v>1872181</v>
      </c>
      <c r="T186">
        <v>2018</v>
      </c>
      <c r="U186">
        <v>8</v>
      </c>
      <c r="V186">
        <f t="shared" si="12"/>
        <v>900000</v>
      </c>
      <c r="W186">
        <f t="shared" si="13"/>
        <v>18429897</v>
      </c>
      <c r="X186">
        <f t="shared" si="14"/>
        <v>17529897</v>
      </c>
      <c r="Y186">
        <f t="shared" si="15"/>
        <v>-25394845.5</v>
      </c>
      <c r="Z186">
        <f t="shared" si="16"/>
        <v>44724742.5</v>
      </c>
      <c r="AA186" t="str">
        <f t="shared" si="17"/>
        <v>Normal</v>
      </c>
      <c r="AE186" s="2"/>
      <c r="AF186" s="2"/>
    </row>
    <row r="187" spans="1:32" x14ac:dyDescent="0.35">
      <c r="A187">
        <v>186</v>
      </c>
      <c r="B187" s="1">
        <v>43338</v>
      </c>
      <c r="C187" s="9" t="s">
        <v>419</v>
      </c>
      <c r="D187" s="9" t="s">
        <v>4926</v>
      </c>
      <c r="E187" s="9" t="s">
        <v>5836</v>
      </c>
      <c r="F187" s="9" t="s">
        <v>15</v>
      </c>
      <c r="G187" s="9" t="s">
        <v>420</v>
      </c>
      <c r="H187" s="9" t="s">
        <v>105</v>
      </c>
      <c r="I187" s="11">
        <v>4200000</v>
      </c>
      <c r="J187" s="11">
        <v>2241858</v>
      </c>
      <c r="K187" s="11">
        <v>5434767</v>
      </c>
      <c r="L187" s="3">
        <v>360</v>
      </c>
      <c r="M187" s="3">
        <v>3807</v>
      </c>
      <c r="N187" s="3">
        <v>1103495</v>
      </c>
      <c r="O187" s="2">
        <v>1.8000000000000002E-2</v>
      </c>
      <c r="P187" s="2">
        <v>1.1739999999999999E-2</v>
      </c>
      <c r="Q187" s="2">
        <v>-8.6999999999999994E-2</v>
      </c>
      <c r="R187" s="11">
        <v>166885824</v>
      </c>
      <c r="S187" s="11">
        <v>1501946</v>
      </c>
      <c r="T187">
        <v>2018</v>
      </c>
      <c r="U187">
        <v>8</v>
      </c>
      <c r="V187">
        <f t="shared" si="12"/>
        <v>900000</v>
      </c>
      <c r="W187">
        <f t="shared" si="13"/>
        <v>18429897</v>
      </c>
      <c r="X187">
        <f t="shared" si="14"/>
        <v>17529897</v>
      </c>
      <c r="Y187">
        <f t="shared" si="15"/>
        <v>-25394845.5</v>
      </c>
      <c r="Z187">
        <f t="shared" si="16"/>
        <v>44724742.5</v>
      </c>
      <c r="AA187" t="str">
        <f t="shared" si="17"/>
        <v>Normal</v>
      </c>
      <c r="AE187" s="2"/>
      <c r="AF187" s="2"/>
    </row>
    <row r="188" spans="1:32" x14ac:dyDescent="0.35">
      <c r="A188">
        <v>187</v>
      </c>
      <c r="B188" s="1">
        <v>43339</v>
      </c>
      <c r="C188" s="9" t="s">
        <v>421</v>
      </c>
      <c r="D188" s="9" t="s">
        <v>2539</v>
      </c>
      <c r="E188" s="9" t="s">
        <v>5837</v>
      </c>
      <c r="F188" s="9" t="s">
        <v>94</v>
      </c>
      <c r="G188" s="9" t="s">
        <v>422</v>
      </c>
      <c r="H188" s="9" t="s">
        <v>105</v>
      </c>
      <c r="I188" s="11">
        <v>5000000</v>
      </c>
      <c r="J188" s="11">
        <v>847746</v>
      </c>
      <c r="K188" s="11">
        <v>9285760</v>
      </c>
      <c r="L188" s="3">
        <v>176</v>
      </c>
      <c r="M188" s="3">
        <v>3229</v>
      </c>
      <c r="N188" s="3">
        <v>1155532</v>
      </c>
      <c r="O188" s="2">
        <v>1.0999999999999999E-2</v>
      </c>
      <c r="P188" s="2">
        <v>0.89200000000000002</v>
      </c>
      <c r="Q188" s="2">
        <v>0.16300000000000001</v>
      </c>
      <c r="R188" s="11">
        <v>71768220</v>
      </c>
      <c r="S188" s="11">
        <v>698697</v>
      </c>
      <c r="T188">
        <v>2018</v>
      </c>
      <c r="U188">
        <v>8</v>
      </c>
      <c r="V188">
        <f t="shared" si="12"/>
        <v>900000</v>
      </c>
      <c r="W188">
        <f t="shared" si="13"/>
        <v>18429897</v>
      </c>
      <c r="X188">
        <f t="shared" si="14"/>
        <v>17529897</v>
      </c>
      <c r="Y188">
        <f t="shared" si="15"/>
        <v>-25394845.5</v>
      </c>
      <c r="Z188">
        <f t="shared" si="16"/>
        <v>44724742.5</v>
      </c>
      <c r="AA188" t="str">
        <f t="shared" si="17"/>
        <v>Normal</v>
      </c>
      <c r="AE188" s="2"/>
      <c r="AF188" s="2"/>
    </row>
    <row r="189" spans="1:32" x14ac:dyDescent="0.35">
      <c r="A189">
        <v>188</v>
      </c>
      <c r="B189" s="1">
        <v>43340</v>
      </c>
      <c r="C189" s="9" t="s">
        <v>423</v>
      </c>
      <c r="D189" s="9" t="s">
        <v>4990</v>
      </c>
      <c r="E189" s="9" t="s">
        <v>5838</v>
      </c>
      <c r="F189" s="9" t="s">
        <v>15</v>
      </c>
      <c r="G189" s="9" t="s">
        <v>424</v>
      </c>
      <c r="H189" s="9" t="s">
        <v>105</v>
      </c>
      <c r="I189" s="11">
        <v>3000000</v>
      </c>
      <c r="J189" s="11">
        <v>2531926</v>
      </c>
      <c r="K189" s="11">
        <v>18936274</v>
      </c>
      <c r="L189" s="3">
        <v>468</v>
      </c>
      <c r="M189" s="3">
        <v>1197</v>
      </c>
      <c r="N189" s="3">
        <v>125263</v>
      </c>
      <c r="O189" s="2">
        <v>0.14699999999999999</v>
      </c>
      <c r="P189" s="2">
        <v>0.436</v>
      </c>
      <c r="Q189" s="2">
        <v>7.9000000000000001E-2</v>
      </c>
      <c r="R189" s="11">
        <v>183460260</v>
      </c>
      <c r="S189" s="11">
        <v>472072</v>
      </c>
      <c r="T189">
        <v>2018</v>
      </c>
      <c r="U189">
        <v>8</v>
      </c>
      <c r="V189">
        <f t="shared" si="12"/>
        <v>900000</v>
      </c>
      <c r="W189">
        <f t="shared" si="13"/>
        <v>18429897</v>
      </c>
      <c r="X189">
        <f t="shared" si="14"/>
        <v>17529897</v>
      </c>
      <c r="Y189">
        <f t="shared" si="15"/>
        <v>-25394845.5</v>
      </c>
      <c r="Z189">
        <f t="shared" si="16"/>
        <v>44724742.5</v>
      </c>
      <c r="AA189" t="str">
        <f t="shared" si="17"/>
        <v>Normal</v>
      </c>
      <c r="AE189" s="2"/>
      <c r="AF189" s="2"/>
    </row>
    <row r="190" spans="1:32" x14ac:dyDescent="0.35">
      <c r="A190">
        <v>189</v>
      </c>
      <c r="B190" s="1">
        <v>43342</v>
      </c>
      <c r="C190" s="9" t="s">
        <v>425</v>
      </c>
      <c r="D190" s="9" t="s">
        <v>4933</v>
      </c>
      <c r="E190" s="9" t="s">
        <v>5839</v>
      </c>
      <c r="F190" s="9" t="s">
        <v>31</v>
      </c>
      <c r="G190" s="9" t="s">
        <v>58</v>
      </c>
      <c r="H190" s="9" t="s">
        <v>105</v>
      </c>
      <c r="I190" s="11">
        <v>200000000</v>
      </c>
      <c r="J190" s="11">
        <v>1209056</v>
      </c>
      <c r="K190" s="11">
        <v>13042843</v>
      </c>
      <c r="L190" s="3">
        <v>428</v>
      </c>
      <c r="M190" s="3">
        <v>4178</v>
      </c>
      <c r="N190" s="3">
        <v>4154</v>
      </c>
      <c r="O190" s="2">
        <v>4.9000000000000002E-2</v>
      </c>
      <c r="P190" s="2">
        <v>0.379</v>
      </c>
      <c r="Q190" s="2">
        <v>0.27</v>
      </c>
      <c r="R190" s="11">
        <v>441218121</v>
      </c>
      <c r="S190" s="11">
        <v>527209</v>
      </c>
      <c r="T190">
        <v>2018</v>
      </c>
      <c r="U190">
        <v>8</v>
      </c>
      <c r="V190">
        <f t="shared" si="12"/>
        <v>897500</v>
      </c>
      <c r="W190">
        <f t="shared" si="13"/>
        <v>18429897</v>
      </c>
      <c r="X190">
        <f t="shared" si="14"/>
        <v>17532397</v>
      </c>
      <c r="Y190">
        <f t="shared" si="15"/>
        <v>-25401095.5</v>
      </c>
      <c r="Z190">
        <f t="shared" si="16"/>
        <v>44728492.5</v>
      </c>
      <c r="AA190" t="str">
        <f t="shared" si="17"/>
        <v>Outlier</v>
      </c>
      <c r="AE190" s="2"/>
      <c r="AF190" s="2"/>
    </row>
    <row r="191" spans="1:32" x14ac:dyDescent="0.35">
      <c r="A191">
        <v>190</v>
      </c>
      <c r="B191" s="1">
        <v>43282</v>
      </c>
      <c r="C191" s="9" t="s">
        <v>426</v>
      </c>
      <c r="D191" s="9" t="s">
        <v>4930</v>
      </c>
      <c r="E191" s="9" t="s">
        <v>5840</v>
      </c>
      <c r="F191" s="9" t="s">
        <v>151</v>
      </c>
      <c r="G191" s="9" t="s">
        <v>387</v>
      </c>
      <c r="H191" s="9" t="s">
        <v>275</v>
      </c>
      <c r="I191" s="11">
        <v>18429897</v>
      </c>
      <c r="J191" s="11">
        <v>1521530</v>
      </c>
      <c r="K191" s="11">
        <v>7732682</v>
      </c>
      <c r="L191" s="3">
        <v>56</v>
      </c>
      <c r="M191" s="3">
        <v>3427</v>
      </c>
      <c r="N191" s="3">
        <v>631749</v>
      </c>
      <c r="O191" s="2">
        <v>3.0000000000000001E-3</v>
      </c>
      <c r="P191" s="2">
        <v>0.26</v>
      </c>
      <c r="Q191" s="2">
        <v>-0.23800000000000002</v>
      </c>
      <c r="R191" s="11">
        <v>354866650</v>
      </c>
      <c r="S191" s="11">
        <v>1438254</v>
      </c>
      <c r="T191">
        <v>2018</v>
      </c>
      <c r="U191">
        <v>7</v>
      </c>
      <c r="V191">
        <f t="shared" si="12"/>
        <v>895000</v>
      </c>
      <c r="W191">
        <f t="shared" si="13"/>
        <v>18429897</v>
      </c>
      <c r="X191">
        <f t="shared" si="14"/>
        <v>17534897</v>
      </c>
      <c r="Y191">
        <f t="shared" si="15"/>
        <v>-25407345.5</v>
      </c>
      <c r="Z191">
        <f t="shared" si="16"/>
        <v>44732242.5</v>
      </c>
      <c r="AA191" t="str">
        <f t="shared" si="17"/>
        <v>Normal</v>
      </c>
      <c r="AE191" s="2"/>
      <c r="AF191" s="2"/>
    </row>
    <row r="192" spans="1:32" x14ac:dyDescent="0.35">
      <c r="A192">
        <v>191</v>
      </c>
      <c r="B192" s="1">
        <v>43283</v>
      </c>
      <c r="C192" s="9" t="s">
        <v>427</v>
      </c>
      <c r="D192" s="9" t="s">
        <v>4988</v>
      </c>
      <c r="E192" s="9" t="s">
        <v>5584</v>
      </c>
      <c r="F192" s="9" t="s">
        <v>151</v>
      </c>
      <c r="G192" s="9" t="s">
        <v>428</v>
      </c>
      <c r="H192" s="9" t="s">
        <v>275</v>
      </c>
      <c r="I192" s="11">
        <v>1000000</v>
      </c>
      <c r="J192" s="11">
        <v>3424829</v>
      </c>
      <c r="K192" s="11">
        <v>4309244</v>
      </c>
      <c r="L192" s="3">
        <v>451</v>
      </c>
      <c r="M192" s="3">
        <v>3124</v>
      </c>
      <c r="N192" s="3">
        <v>1629842</v>
      </c>
      <c r="O192" s="2">
        <v>0.13100000000000001</v>
      </c>
      <c r="P192" s="2">
        <v>0.26100000000000001</v>
      </c>
      <c r="Q192" s="2">
        <v>0.187</v>
      </c>
      <c r="R192" s="11">
        <v>406500420</v>
      </c>
      <c r="S192" s="11">
        <v>1702883</v>
      </c>
      <c r="T192">
        <v>2018</v>
      </c>
      <c r="U192">
        <v>7</v>
      </c>
      <c r="V192">
        <f t="shared" si="12"/>
        <v>892500</v>
      </c>
      <c r="W192">
        <f t="shared" si="13"/>
        <v>18429897</v>
      </c>
      <c r="X192">
        <f t="shared" si="14"/>
        <v>17537397</v>
      </c>
      <c r="Y192">
        <f t="shared" si="15"/>
        <v>-25413595.5</v>
      </c>
      <c r="Z192">
        <f t="shared" si="16"/>
        <v>44735992.5</v>
      </c>
      <c r="AA192" t="str">
        <f t="shared" si="17"/>
        <v>Normal</v>
      </c>
      <c r="AE192" s="2"/>
      <c r="AF192" s="2"/>
    </row>
    <row r="193" spans="1:32" x14ac:dyDescent="0.35">
      <c r="A193">
        <v>192</v>
      </c>
      <c r="B193" s="1">
        <v>43285</v>
      </c>
      <c r="C193" s="9" t="s">
        <v>429</v>
      </c>
      <c r="D193" s="9" t="s">
        <v>4990</v>
      </c>
      <c r="E193" s="9" t="s">
        <v>5841</v>
      </c>
      <c r="F193" s="9" t="s">
        <v>41</v>
      </c>
      <c r="G193" s="9" t="s">
        <v>430</v>
      </c>
      <c r="H193" s="9" t="s">
        <v>105</v>
      </c>
      <c r="I193" s="11">
        <v>4000000</v>
      </c>
      <c r="J193" s="11">
        <v>3158807</v>
      </c>
      <c r="K193" s="11">
        <v>13003281</v>
      </c>
      <c r="L193" s="3">
        <v>475</v>
      </c>
      <c r="M193" s="3">
        <v>3921</v>
      </c>
      <c r="N193" s="3">
        <v>11956</v>
      </c>
      <c r="O193" s="2">
        <v>0.26100000000000001</v>
      </c>
      <c r="P193" s="2">
        <v>1.141</v>
      </c>
      <c r="Q193" s="2">
        <v>1.7000000000000001E-2</v>
      </c>
      <c r="R193" s="11">
        <v>417743517</v>
      </c>
      <c r="S193" s="11">
        <v>1008193.5</v>
      </c>
      <c r="T193">
        <v>2018</v>
      </c>
      <c r="U193">
        <v>7</v>
      </c>
      <c r="V193">
        <f t="shared" si="12"/>
        <v>890000</v>
      </c>
      <c r="W193">
        <f t="shared" si="13"/>
        <v>18429897</v>
      </c>
      <c r="X193">
        <f t="shared" si="14"/>
        <v>17539897</v>
      </c>
      <c r="Y193">
        <f t="shared" si="15"/>
        <v>-25419845.5</v>
      </c>
      <c r="Z193">
        <f t="shared" si="16"/>
        <v>44739742.5</v>
      </c>
      <c r="AA193" t="str">
        <f t="shared" si="17"/>
        <v>Normal</v>
      </c>
      <c r="AE193" s="2"/>
      <c r="AF193" s="2"/>
    </row>
    <row r="194" spans="1:32" x14ac:dyDescent="0.35">
      <c r="A194">
        <v>193</v>
      </c>
      <c r="B194" s="1">
        <v>43023</v>
      </c>
      <c r="C194" s="9" t="s">
        <v>431</v>
      </c>
      <c r="D194" s="9" t="s">
        <v>4988</v>
      </c>
      <c r="E194" s="9" t="s">
        <v>5842</v>
      </c>
      <c r="F194" s="9" t="s">
        <v>31</v>
      </c>
      <c r="G194" s="9" t="s">
        <v>432</v>
      </c>
      <c r="H194" s="9" t="s">
        <v>105</v>
      </c>
      <c r="I194" s="11">
        <v>6250000</v>
      </c>
      <c r="J194" s="11">
        <v>3043838</v>
      </c>
      <c r="K194" s="11">
        <v>5137404</v>
      </c>
      <c r="L194" s="3">
        <v>254</v>
      </c>
      <c r="M194" s="3">
        <v>1169</v>
      </c>
      <c r="N194" s="3">
        <v>1598567</v>
      </c>
      <c r="O194" s="2">
        <v>-0.30199999999999999</v>
      </c>
      <c r="P194" s="2">
        <v>0.80400000000000005</v>
      </c>
      <c r="Q194" s="2">
        <v>-8.4000000000000005E-2</v>
      </c>
      <c r="R194" s="11">
        <v>403180291</v>
      </c>
      <c r="S194" s="11">
        <v>725362</v>
      </c>
      <c r="T194">
        <v>2017</v>
      </c>
      <c r="U194">
        <v>10</v>
      </c>
      <c r="V194">
        <f t="shared" ref="V194:V257" si="18">_xlfn.PERCENTILE.INC(I194:I3237,0.25)</f>
        <v>885500</v>
      </c>
      <c r="W194">
        <f t="shared" ref="W194:W257" si="19">_xlfn.PERCENTILE.INC(I194:I3237,0.75)</f>
        <v>18429897</v>
      </c>
      <c r="X194">
        <f t="shared" ref="X194:X257" si="20">W194-V194</f>
        <v>17544397</v>
      </c>
      <c r="Y194">
        <f t="shared" ref="Y194:Y257" si="21">V194-1.5*X194</f>
        <v>-25431095.5</v>
      </c>
      <c r="Z194">
        <f t="shared" ref="Z194:Z257" si="22">W194+1.5*X194</f>
        <v>44746492.5</v>
      </c>
      <c r="AA194" t="str">
        <f t="shared" ref="AA194:AA257" si="23">IF(OR(I194&lt;$Y$2, I194&gt;$Z$2), "Outlier", "Normal")</f>
        <v>Normal</v>
      </c>
      <c r="AE194" s="2"/>
      <c r="AF194" s="2"/>
    </row>
    <row r="195" spans="1:32" x14ac:dyDescent="0.35">
      <c r="A195">
        <v>194</v>
      </c>
      <c r="B195" s="1">
        <v>43287</v>
      </c>
      <c r="C195" s="9" t="s">
        <v>433</v>
      </c>
      <c r="D195" s="9" t="s">
        <v>4988</v>
      </c>
      <c r="E195" s="9" t="s">
        <v>5843</v>
      </c>
      <c r="F195" s="9" t="s">
        <v>151</v>
      </c>
      <c r="G195" s="9" t="s">
        <v>434</v>
      </c>
      <c r="H195" s="9" t="s">
        <v>105</v>
      </c>
      <c r="I195" s="11">
        <v>27700000</v>
      </c>
      <c r="J195" s="11">
        <v>1821826</v>
      </c>
      <c r="K195" s="11">
        <v>19524922</v>
      </c>
      <c r="L195" s="3">
        <v>141</v>
      </c>
      <c r="M195" s="3">
        <v>4009</v>
      </c>
      <c r="N195" s="3">
        <v>515073</v>
      </c>
      <c r="O195" s="2">
        <v>6.0000000000000001E-3</v>
      </c>
      <c r="P195" s="2">
        <v>0.39800000000000002</v>
      </c>
      <c r="Q195" s="2">
        <v>0.21</v>
      </c>
      <c r="R195" s="11">
        <v>6415871</v>
      </c>
      <c r="S195" s="11">
        <v>936255</v>
      </c>
      <c r="T195">
        <v>2018</v>
      </c>
      <c r="U195">
        <v>7</v>
      </c>
      <c r="V195">
        <f t="shared" si="18"/>
        <v>881000</v>
      </c>
      <c r="W195">
        <f t="shared" si="19"/>
        <v>18429897</v>
      </c>
      <c r="X195">
        <f t="shared" si="20"/>
        <v>17548897</v>
      </c>
      <c r="Y195">
        <f t="shared" si="21"/>
        <v>-25442345.5</v>
      </c>
      <c r="Z195">
        <f t="shared" si="22"/>
        <v>44753242.5</v>
      </c>
      <c r="AA195" t="str">
        <f t="shared" si="23"/>
        <v>Normal</v>
      </c>
      <c r="AE195" s="2"/>
      <c r="AF195" s="2"/>
    </row>
    <row r="196" spans="1:32" x14ac:dyDescent="0.35">
      <c r="A196">
        <v>195</v>
      </c>
      <c r="B196" s="1">
        <v>43290</v>
      </c>
      <c r="C196" s="9" t="s">
        <v>435</v>
      </c>
      <c r="D196" s="9" t="s">
        <v>4988</v>
      </c>
      <c r="E196" s="9" t="s">
        <v>5844</v>
      </c>
      <c r="F196" s="9" t="s">
        <v>15</v>
      </c>
      <c r="G196" s="9" t="s">
        <v>436</v>
      </c>
      <c r="H196" s="9" t="s">
        <v>275</v>
      </c>
      <c r="I196" s="11">
        <v>440000</v>
      </c>
      <c r="J196" s="11">
        <v>4799269</v>
      </c>
      <c r="K196" s="11">
        <v>9606754</v>
      </c>
      <c r="L196" s="3">
        <v>254</v>
      </c>
      <c r="M196" s="3">
        <v>653</v>
      </c>
      <c r="N196" s="3">
        <v>198895</v>
      </c>
      <c r="O196" s="2">
        <v>-0.161</v>
      </c>
      <c r="P196" s="2">
        <v>0.98099999999999998</v>
      </c>
      <c r="Q196" s="2">
        <v>3.7999999999999999E-2</v>
      </c>
      <c r="R196" s="11">
        <v>473740713</v>
      </c>
      <c r="S196" s="11">
        <v>826485</v>
      </c>
      <c r="T196">
        <v>2018</v>
      </c>
      <c r="U196">
        <v>7</v>
      </c>
      <c r="V196">
        <f t="shared" si="18"/>
        <v>876500</v>
      </c>
      <c r="W196">
        <f t="shared" si="19"/>
        <v>18429897</v>
      </c>
      <c r="X196">
        <f t="shared" si="20"/>
        <v>17553397</v>
      </c>
      <c r="Y196">
        <f t="shared" si="21"/>
        <v>-25453595.5</v>
      </c>
      <c r="Z196">
        <f t="shared" si="22"/>
        <v>44759992.5</v>
      </c>
      <c r="AA196" t="str">
        <f t="shared" si="23"/>
        <v>Normal</v>
      </c>
      <c r="AE196" s="2"/>
      <c r="AF196" s="2"/>
    </row>
    <row r="197" spans="1:32" x14ac:dyDescent="0.35">
      <c r="A197">
        <v>196</v>
      </c>
      <c r="B197" s="1">
        <v>43290</v>
      </c>
      <c r="C197" s="9" t="s">
        <v>437</v>
      </c>
      <c r="D197" s="9" t="s">
        <v>4988</v>
      </c>
      <c r="E197" s="9" t="s">
        <v>5845</v>
      </c>
      <c r="F197" s="9" t="s">
        <v>15</v>
      </c>
      <c r="G197" s="9" t="s">
        <v>438</v>
      </c>
      <c r="H197" s="9" t="s">
        <v>275</v>
      </c>
      <c r="I197" s="11">
        <v>1100000</v>
      </c>
      <c r="J197" s="11">
        <v>456496</v>
      </c>
      <c r="K197" s="11">
        <v>11060676</v>
      </c>
      <c r="L197" s="3">
        <v>434</v>
      </c>
      <c r="M197" s="3">
        <v>3977</v>
      </c>
      <c r="N197" s="3">
        <v>191731</v>
      </c>
      <c r="O197" s="2">
        <v>8.900000000000001E-2</v>
      </c>
      <c r="P197" s="2">
        <v>0.27600000000000002</v>
      </c>
      <c r="Q197" s="2">
        <v>7.4999999999999997E-2</v>
      </c>
      <c r="R197" s="11">
        <v>217086302</v>
      </c>
      <c r="S197" s="11">
        <v>1108436</v>
      </c>
      <c r="T197">
        <v>2018</v>
      </c>
      <c r="U197">
        <v>7</v>
      </c>
      <c r="V197">
        <f t="shared" si="18"/>
        <v>890000</v>
      </c>
      <c r="W197">
        <f t="shared" si="19"/>
        <v>18429897</v>
      </c>
      <c r="X197">
        <f t="shared" si="20"/>
        <v>17539897</v>
      </c>
      <c r="Y197">
        <f t="shared" si="21"/>
        <v>-25419845.5</v>
      </c>
      <c r="Z197">
        <f t="shared" si="22"/>
        <v>44739742.5</v>
      </c>
      <c r="AA197" t="str">
        <f t="shared" si="23"/>
        <v>Normal</v>
      </c>
      <c r="AE197" s="2"/>
      <c r="AF197" s="2"/>
    </row>
    <row r="198" spans="1:32" x14ac:dyDescent="0.35">
      <c r="A198">
        <v>197</v>
      </c>
      <c r="B198" s="1">
        <v>43291</v>
      </c>
      <c r="C198" s="9" t="s">
        <v>439</v>
      </c>
      <c r="D198" s="9" t="s">
        <v>4988</v>
      </c>
      <c r="E198" s="9" t="s">
        <v>5846</v>
      </c>
      <c r="F198" s="9" t="s">
        <v>151</v>
      </c>
      <c r="G198" s="9" t="s">
        <v>440</v>
      </c>
      <c r="H198" s="9" t="s">
        <v>275</v>
      </c>
      <c r="I198" s="11">
        <v>437000</v>
      </c>
      <c r="J198" s="11">
        <v>2531926</v>
      </c>
      <c r="K198" s="11">
        <v>18079603</v>
      </c>
      <c r="L198" s="3">
        <v>408</v>
      </c>
      <c r="M198" s="3">
        <v>2974</v>
      </c>
      <c r="N198" s="3">
        <v>1367678</v>
      </c>
      <c r="O198" s="2">
        <v>0.20699999999999999</v>
      </c>
      <c r="P198" s="2">
        <v>0.72199999999999998</v>
      </c>
      <c r="Q198" s="2">
        <v>0.434</v>
      </c>
      <c r="R198" s="11">
        <v>125761187</v>
      </c>
      <c r="S198" s="11">
        <v>442894</v>
      </c>
      <c r="T198">
        <v>2018</v>
      </c>
      <c r="U198">
        <v>7</v>
      </c>
      <c r="V198">
        <f t="shared" si="18"/>
        <v>885500</v>
      </c>
      <c r="W198">
        <f t="shared" si="19"/>
        <v>18429897</v>
      </c>
      <c r="X198">
        <f t="shared" si="20"/>
        <v>17544397</v>
      </c>
      <c r="Y198">
        <f t="shared" si="21"/>
        <v>-25431095.5</v>
      </c>
      <c r="Z198">
        <f t="shared" si="22"/>
        <v>44746492.5</v>
      </c>
      <c r="AA198" t="str">
        <f t="shared" si="23"/>
        <v>Normal</v>
      </c>
      <c r="AE198" s="2"/>
      <c r="AF198" s="2"/>
    </row>
    <row r="199" spans="1:32" x14ac:dyDescent="0.35">
      <c r="A199">
        <v>198</v>
      </c>
      <c r="B199" s="1">
        <v>43291</v>
      </c>
      <c r="C199" s="9" t="s">
        <v>441</v>
      </c>
      <c r="D199" s="9" t="s">
        <v>2539</v>
      </c>
      <c r="E199" s="9" t="s">
        <v>5847</v>
      </c>
      <c r="F199" s="9" t="s">
        <v>94</v>
      </c>
      <c r="G199" s="9" t="s">
        <v>329</v>
      </c>
      <c r="H199" s="9" t="s">
        <v>275</v>
      </c>
      <c r="I199" s="11">
        <v>18429897</v>
      </c>
      <c r="J199" s="11">
        <v>607669</v>
      </c>
      <c r="K199" s="11">
        <v>6176384</v>
      </c>
      <c r="L199" s="3">
        <v>218</v>
      </c>
      <c r="M199" s="3">
        <v>2930</v>
      </c>
      <c r="N199" s="3">
        <v>89716</v>
      </c>
      <c r="O199" s="2">
        <v>0.34299999999999997</v>
      </c>
      <c r="P199" s="2">
        <v>0.39600000000000002</v>
      </c>
      <c r="Q199" s="2">
        <v>0.11799999999999999</v>
      </c>
      <c r="R199" s="11">
        <v>212034552</v>
      </c>
      <c r="S199" s="11">
        <v>197656</v>
      </c>
      <c r="T199">
        <v>2018</v>
      </c>
      <c r="U199">
        <v>7</v>
      </c>
      <c r="V199">
        <f t="shared" si="18"/>
        <v>895000</v>
      </c>
      <c r="W199">
        <f t="shared" si="19"/>
        <v>18429897</v>
      </c>
      <c r="X199">
        <f t="shared" si="20"/>
        <v>17534897</v>
      </c>
      <c r="Y199">
        <f t="shared" si="21"/>
        <v>-25407345.5</v>
      </c>
      <c r="Z199">
        <f t="shared" si="22"/>
        <v>44732242.5</v>
      </c>
      <c r="AA199" t="str">
        <f t="shared" si="23"/>
        <v>Normal</v>
      </c>
      <c r="AE199" s="2"/>
      <c r="AF199" s="2"/>
    </row>
    <row r="200" spans="1:32" x14ac:dyDescent="0.35">
      <c r="A200">
        <v>199</v>
      </c>
      <c r="B200" s="1">
        <v>43291</v>
      </c>
      <c r="C200" s="9" t="s">
        <v>442</v>
      </c>
      <c r="D200" s="9" t="s">
        <v>4933</v>
      </c>
      <c r="E200" s="9" t="s">
        <v>5848</v>
      </c>
      <c r="F200" s="9" t="s">
        <v>15</v>
      </c>
      <c r="G200" s="9" t="s">
        <v>443</v>
      </c>
      <c r="H200" s="9" t="s">
        <v>105</v>
      </c>
      <c r="I200" s="11">
        <v>5000000</v>
      </c>
      <c r="J200" s="11">
        <v>1707940</v>
      </c>
      <c r="K200" s="11">
        <v>9488906</v>
      </c>
      <c r="L200" s="3">
        <v>355</v>
      </c>
      <c r="M200" s="3">
        <v>3650</v>
      </c>
      <c r="N200" s="3">
        <v>1052248</v>
      </c>
      <c r="O200" s="2">
        <v>3.3000000000000002E-2</v>
      </c>
      <c r="P200" s="2">
        <v>0.64900000000000002</v>
      </c>
      <c r="Q200" s="2">
        <v>0.58599999999999997</v>
      </c>
      <c r="R200" s="11">
        <v>276475472</v>
      </c>
      <c r="S200" s="11">
        <v>115324</v>
      </c>
      <c r="T200">
        <v>2018</v>
      </c>
      <c r="U200">
        <v>7</v>
      </c>
      <c r="V200">
        <f t="shared" si="18"/>
        <v>892500</v>
      </c>
      <c r="W200">
        <f t="shared" si="19"/>
        <v>18429897</v>
      </c>
      <c r="X200">
        <f t="shared" si="20"/>
        <v>17537397</v>
      </c>
      <c r="Y200">
        <f t="shared" si="21"/>
        <v>-25413595.5</v>
      </c>
      <c r="Z200">
        <f t="shared" si="22"/>
        <v>44735992.5</v>
      </c>
      <c r="AA200" t="str">
        <f t="shared" si="23"/>
        <v>Normal</v>
      </c>
      <c r="AE200" s="2"/>
      <c r="AF200" s="2"/>
    </row>
    <row r="201" spans="1:32" x14ac:dyDescent="0.35">
      <c r="A201">
        <v>200</v>
      </c>
      <c r="B201" s="1">
        <v>43291</v>
      </c>
      <c r="C201" s="9" t="s">
        <v>444</v>
      </c>
      <c r="D201" s="9" t="s">
        <v>4988</v>
      </c>
      <c r="E201" s="9" t="s">
        <v>5849</v>
      </c>
      <c r="F201" s="9" t="s">
        <v>31</v>
      </c>
      <c r="G201" s="9" t="s">
        <v>445</v>
      </c>
      <c r="H201" s="9" t="s">
        <v>105</v>
      </c>
      <c r="I201" s="11">
        <v>5000000</v>
      </c>
      <c r="J201" s="11">
        <v>4810250</v>
      </c>
      <c r="K201" s="11">
        <v>10685774</v>
      </c>
      <c r="L201" s="3">
        <v>195</v>
      </c>
      <c r="M201" s="3">
        <v>1588</v>
      </c>
      <c r="N201" s="3">
        <v>1869785</v>
      </c>
      <c r="O201" s="2">
        <v>0.14099999999999999</v>
      </c>
      <c r="P201" s="2">
        <v>0.42899999999999999</v>
      </c>
      <c r="Q201" s="2">
        <v>0.36749999999999999</v>
      </c>
      <c r="R201" s="11">
        <v>347395372</v>
      </c>
      <c r="S201" s="11">
        <v>16865</v>
      </c>
      <c r="T201">
        <v>2018</v>
      </c>
      <c r="U201">
        <v>7</v>
      </c>
      <c r="V201">
        <f t="shared" si="18"/>
        <v>890000</v>
      </c>
      <c r="W201">
        <f t="shared" si="19"/>
        <v>18429897</v>
      </c>
      <c r="X201">
        <f t="shared" si="20"/>
        <v>17539897</v>
      </c>
      <c r="Y201">
        <f t="shared" si="21"/>
        <v>-25419845.5</v>
      </c>
      <c r="Z201">
        <f t="shared" si="22"/>
        <v>44739742.5</v>
      </c>
      <c r="AA201" t="str">
        <f t="shared" si="23"/>
        <v>Normal</v>
      </c>
      <c r="AE201" s="2"/>
      <c r="AF201" s="2"/>
    </row>
    <row r="202" spans="1:32" x14ac:dyDescent="0.35">
      <c r="A202">
        <v>201</v>
      </c>
      <c r="B202" s="1">
        <v>43292</v>
      </c>
      <c r="C202" s="9" t="s">
        <v>446</v>
      </c>
      <c r="D202" s="9" t="s">
        <v>4988</v>
      </c>
      <c r="E202" s="9" t="s">
        <v>5850</v>
      </c>
      <c r="F202" s="9" t="s">
        <v>447</v>
      </c>
      <c r="G202" s="9" t="s">
        <v>448</v>
      </c>
      <c r="H202" s="9" t="s">
        <v>105</v>
      </c>
      <c r="I202" s="11">
        <v>2500000</v>
      </c>
      <c r="J202" s="11">
        <v>1843992</v>
      </c>
      <c r="K202" s="11">
        <v>5494377</v>
      </c>
      <c r="L202" s="3">
        <v>130</v>
      </c>
      <c r="M202" s="3">
        <v>3855</v>
      </c>
      <c r="N202" s="3">
        <v>1179875</v>
      </c>
      <c r="O202" s="2">
        <v>-0.21600000000000003</v>
      </c>
      <c r="P202" s="2">
        <v>0.33700000000000002</v>
      </c>
      <c r="Q202" s="2">
        <v>9.8000000000000004E-2</v>
      </c>
      <c r="R202" s="11">
        <v>209178081</v>
      </c>
      <c r="S202" s="11">
        <v>393095</v>
      </c>
      <c r="T202">
        <v>2018</v>
      </c>
      <c r="U202">
        <v>7</v>
      </c>
      <c r="V202">
        <f t="shared" si="18"/>
        <v>885500</v>
      </c>
      <c r="W202">
        <f t="shared" si="19"/>
        <v>18429897</v>
      </c>
      <c r="X202">
        <f t="shared" si="20"/>
        <v>17544397</v>
      </c>
      <c r="Y202">
        <f t="shared" si="21"/>
        <v>-25431095.5</v>
      </c>
      <c r="Z202">
        <f t="shared" si="22"/>
        <v>44746492.5</v>
      </c>
      <c r="AA202" t="str">
        <f t="shared" si="23"/>
        <v>Normal</v>
      </c>
      <c r="AE202" s="2"/>
      <c r="AF202" s="2"/>
    </row>
    <row r="203" spans="1:32" x14ac:dyDescent="0.35">
      <c r="A203">
        <v>202</v>
      </c>
      <c r="B203" s="1">
        <v>43293</v>
      </c>
      <c r="C203" s="9" t="s">
        <v>449</v>
      </c>
      <c r="D203" s="9" t="s">
        <v>4990</v>
      </c>
      <c r="E203" s="9" t="s">
        <v>5851</v>
      </c>
      <c r="F203" s="9" t="s">
        <v>151</v>
      </c>
      <c r="G203" s="9" t="s">
        <v>450</v>
      </c>
      <c r="H203" s="9" t="s">
        <v>275</v>
      </c>
      <c r="I203" s="11">
        <v>180000</v>
      </c>
      <c r="J203" s="11">
        <v>4544731</v>
      </c>
      <c r="K203" s="11">
        <v>1187280</v>
      </c>
      <c r="L203" s="3">
        <v>338</v>
      </c>
      <c r="M203" s="3">
        <v>176</v>
      </c>
      <c r="N203" s="3">
        <v>668762</v>
      </c>
      <c r="O203" s="2">
        <v>-5.2000000000000005E-2</v>
      </c>
      <c r="P203" s="2">
        <v>1.1270000000000001E-2</v>
      </c>
      <c r="Q203" s="2">
        <v>-0.17799999999999999</v>
      </c>
      <c r="R203" s="11">
        <v>277355396</v>
      </c>
      <c r="S203" s="11">
        <v>1533101</v>
      </c>
      <c r="T203">
        <v>2018</v>
      </c>
      <c r="U203">
        <v>7</v>
      </c>
      <c r="V203">
        <f t="shared" si="18"/>
        <v>881000</v>
      </c>
      <c r="W203">
        <f t="shared" si="19"/>
        <v>18429897</v>
      </c>
      <c r="X203">
        <f t="shared" si="20"/>
        <v>17548897</v>
      </c>
      <c r="Y203">
        <f t="shared" si="21"/>
        <v>-25442345.5</v>
      </c>
      <c r="Z203">
        <f t="shared" si="22"/>
        <v>44753242.5</v>
      </c>
      <c r="AA203" t="str">
        <f t="shared" si="23"/>
        <v>Normal</v>
      </c>
      <c r="AE203" s="2"/>
      <c r="AF203" s="2"/>
    </row>
    <row r="204" spans="1:32" x14ac:dyDescent="0.35">
      <c r="A204">
        <v>203</v>
      </c>
      <c r="B204" s="1">
        <v>43293</v>
      </c>
      <c r="C204" s="9" t="s">
        <v>451</v>
      </c>
      <c r="D204" s="9" t="s">
        <v>2539</v>
      </c>
      <c r="E204" s="9" t="s">
        <v>5852</v>
      </c>
      <c r="F204" s="9" t="s">
        <v>15</v>
      </c>
      <c r="G204" s="9" t="s">
        <v>452</v>
      </c>
      <c r="H204" s="9" t="s">
        <v>275</v>
      </c>
      <c r="I204" s="11">
        <v>500000</v>
      </c>
      <c r="J204" s="11">
        <v>2485426</v>
      </c>
      <c r="K204" s="11">
        <v>5746553</v>
      </c>
      <c r="L204" s="3">
        <v>235</v>
      </c>
      <c r="M204" s="3">
        <v>3484</v>
      </c>
      <c r="N204" s="3">
        <v>1778717</v>
      </c>
      <c r="O204" s="2">
        <v>0.161</v>
      </c>
      <c r="P204" s="2">
        <v>1.1200000000000001</v>
      </c>
      <c r="Q204" s="2">
        <v>-0.13200000000000001</v>
      </c>
      <c r="R204" s="11">
        <v>206338218</v>
      </c>
      <c r="S204" s="11">
        <v>376576</v>
      </c>
      <c r="T204">
        <v>2018</v>
      </c>
      <c r="U204">
        <v>7</v>
      </c>
      <c r="V204">
        <f t="shared" si="18"/>
        <v>892500</v>
      </c>
      <c r="W204">
        <f t="shared" si="19"/>
        <v>18429897</v>
      </c>
      <c r="X204">
        <f t="shared" si="20"/>
        <v>17537397</v>
      </c>
      <c r="Y204">
        <f t="shared" si="21"/>
        <v>-25413595.5</v>
      </c>
      <c r="Z204">
        <f t="shared" si="22"/>
        <v>44735992.5</v>
      </c>
      <c r="AA204" t="str">
        <f t="shared" si="23"/>
        <v>Normal</v>
      </c>
      <c r="AE204" s="2"/>
      <c r="AF204" s="2"/>
    </row>
    <row r="205" spans="1:32" x14ac:dyDescent="0.35">
      <c r="A205">
        <v>204</v>
      </c>
      <c r="B205" s="1">
        <v>43294</v>
      </c>
      <c r="C205" s="9" t="s">
        <v>453</v>
      </c>
      <c r="D205" s="9" t="s">
        <v>2539</v>
      </c>
      <c r="E205" s="9" t="s">
        <v>5853</v>
      </c>
      <c r="F205" s="9" t="s">
        <v>294</v>
      </c>
      <c r="G205" s="9" t="s">
        <v>454</v>
      </c>
      <c r="H205" s="9" t="s">
        <v>275</v>
      </c>
      <c r="I205" s="11">
        <v>175000</v>
      </c>
      <c r="J205" s="11">
        <v>3504541</v>
      </c>
      <c r="K205" s="11">
        <v>2336160</v>
      </c>
      <c r="L205" s="3">
        <v>116</v>
      </c>
      <c r="M205" s="3">
        <v>3982</v>
      </c>
      <c r="N205" s="3">
        <v>145971</v>
      </c>
      <c r="O205" s="2">
        <v>-0.152</v>
      </c>
      <c r="P205" s="2">
        <v>0.69299999999999995</v>
      </c>
      <c r="Q205" s="2">
        <v>-6.4000000000000001E-2</v>
      </c>
      <c r="R205" s="11">
        <v>250264963</v>
      </c>
      <c r="S205" s="11">
        <v>778317</v>
      </c>
      <c r="T205">
        <v>2018</v>
      </c>
      <c r="U205">
        <v>7</v>
      </c>
      <c r="V205">
        <f t="shared" si="18"/>
        <v>900000</v>
      </c>
      <c r="W205">
        <f t="shared" si="19"/>
        <v>18429897</v>
      </c>
      <c r="X205">
        <f t="shared" si="20"/>
        <v>17529897</v>
      </c>
      <c r="Y205">
        <f t="shared" si="21"/>
        <v>-25394845.5</v>
      </c>
      <c r="Z205">
        <f t="shared" si="22"/>
        <v>44724742.5</v>
      </c>
      <c r="AA205" t="str">
        <f t="shared" si="23"/>
        <v>Normal</v>
      </c>
      <c r="AE205" s="2"/>
      <c r="AF205" s="2"/>
    </row>
    <row r="206" spans="1:32" x14ac:dyDescent="0.35">
      <c r="A206">
        <v>205</v>
      </c>
      <c r="B206" s="1">
        <v>43298</v>
      </c>
      <c r="C206" s="9" t="s">
        <v>455</v>
      </c>
      <c r="D206" s="9" t="s">
        <v>4933</v>
      </c>
      <c r="E206" s="9" t="s">
        <v>5854</v>
      </c>
      <c r="F206" s="9" t="s">
        <v>151</v>
      </c>
      <c r="G206" s="9" t="s">
        <v>456</v>
      </c>
      <c r="H206" s="9" t="s">
        <v>105</v>
      </c>
      <c r="I206" s="11">
        <v>29000000</v>
      </c>
      <c r="J206" s="11">
        <v>2531926</v>
      </c>
      <c r="K206" s="11">
        <v>13546034</v>
      </c>
      <c r="L206" s="3">
        <v>332</v>
      </c>
      <c r="M206" s="3">
        <v>67</v>
      </c>
      <c r="N206" s="3">
        <v>499212</v>
      </c>
      <c r="O206" s="2">
        <v>0.36700000000000005</v>
      </c>
      <c r="P206" s="2">
        <v>0.98599999999999999</v>
      </c>
      <c r="Q206" s="2">
        <v>0.33100000000000002</v>
      </c>
      <c r="R206" s="11">
        <v>51371160</v>
      </c>
      <c r="S206" s="11">
        <v>1486655</v>
      </c>
      <c r="T206">
        <v>2018</v>
      </c>
      <c r="U206">
        <v>7</v>
      </c>
      <c r="V206">
        <f t="shared" si="18"/>
        <v>900000</v>
      </c>
      <c r="W206">
        <f t="shared" si="19"/>
        <v>18429897</v>
      </c>
      <c r="X206">
        <f t="shared" si="20"/>
        <v>17529897</v>
      </c>
      <c r="Y206">
        <f t="shared" si="21"/>
        <v>-25394845.5</v>
      </c>
      <c r="Z206">
        <f t="shared" si="22"/>
        <v>44724742.5</v>
      </c>
      <c r="AA206" t="str">
        <f t="shared" si="23"/>
        <v>Normal</v>
      </c>
      <c r="AE206" s="2"/>
      <c r="AF206" s="2"/>
    </row>
    <row r="207" spans="1:32" x14ac:dyDescent="0.35">
      <c r="A207">
        <v>206</v>
      </c>
      <c r="B207" s="1">
        <v>43298</v>
      </c>
      <c r="C207" s="9" t="s">
        <v>150</v>
      </c>
      <c r="D207" s="9" t="s">
        <v>4988</v>
      </c>
      <c r="E207" s="9" t="s">
        <v>5855</v>
      </c>
      <c r="F207" s="9" t="s">
        <v>151</v>
      </c>
      <c r="G207" s="9" t="s">
        <v>457</v>
      </c>
      <c r="H207" s="9" t="s">
        <v>105</v>
      </c>
      <c r="I207" s="11">
        <v>49700000</v>
      </c>
      <c r="J207" s="11">
        <v>1344032</v>
      </c>
      <c r="K207" s="11">
        <v>242704</v>
      </c>
      <c r="L207" s="3">
        <v>164</v>
      </c>
      <c r="M207" s="3">
        <v>3488</v>
      </c>
      <c r="N207" s="3">
        <v>342891</v>
      </c>
      <c r="O207" s="2">
        <v>0.22500000000000001</v>
      </c>
      <c r="P207" s="2">
        <v>0.40200000000000002</v>
      </c>
      <c r="Q207" s="2">
        <v>-2E-3</v>
      </c>
      <c r="R207" s="11">
        <v>350182363</v>
      </c>
      <c r="S207" s="11">
        <v>1999410</v>
      </c>
      <c r="T207">
        <v>2018</v>
      </c>
      <c r="U207">
        <v>7</v>
      </c>
      <c r="V207">
        <f t="shared" si="18"/>
        <v>900000</v>
      </c>
      <c r="W207">
        <f t="shared" si="19"/>
        <v>18429897</v>
      </c>
      <c r="X207">
        <f t="shared" si="20"/>
        <v>17529897</v>
      </c>
      <c r="Y207">
        <f t="shared" si="21"/>
        <v>-25394845.5</v>
      </c>
      <c r="Z207">
        <f t="shared" si="22"/>
        <v>44724742.5</v>
      </c>
      <c r="AA207" t="str">
        <f t="shared" si="23"/>
        <v>Outlier</v>
      </c>
      <c r="AE207" s="2"/>
      <c r="AF207" s="2"/>
    </row>
    <row r="208" spans="1:32" x14ac:dyDescent="0.35">
      <c r="A208">
        <v>207</v>
      </c>
      <c r="B208" s="1">
        <v>43299</v>
      </c>
      <c r="C208" s="9" t="s">
        <v>458</v>
      </c>
      <c r="D208" s="9" t="s">
        <v>4988</v>
      </c>
      <c r="E208" s="9" t="s">
        <v>5856</v>
      </c>
      <c r="F208" s="9" t="s">
        <v>15</v>
      </c>
      <c r="G208" s="9" t="s">
        <v>459</v>
      </c>
      <c r="H208" s="9" t="s">
        <v>275</v>
      </c>
      <c r="I208" s="11">
        <v>1500000</v>
      </c>
      <c r="J208" s="11">
        <v>2531926</v>
      </c>
      <c r="K208" s="11">
        <v>6398233</v>
      </c>
      <c r="L208" s="3">
        <v>295</v>
      </c>
      <c r="M208" s="3">
        <v>3880</v>
      </c>
      <c r="N208" s="3">
        <v>26418</v>
      </c>
      <c r="O208" s="2">
        <v>1.6E-2</v>
      </c>
      <c r="P208" s="2">
        <v>0.59699999999999998</v>
      </c>
      <c r="Q208" s="2">
        <v>-0.185</v>
      </c>
      <c r="R208" s="11">
        <v>250264963</v>
      </c>
      <c r="S208" s="11">
        <v>1282273</v>
      </c>
      <c r="T208">
        <v>2018</v>
      </c>
      <c r="U208">
        <v>7</v>
      </c>
      <c r="V208">
        <f t="shared" si="18"/>
        <v>900000</v>
      </c>
      <c r="W208">
        <f t="shared" si="19"/>
        <v>18429897</v>
      </c>
      <c r="X208">
        <f t="shared" si="20"/>
        <v>17529897</v>
      </c>
      <c r="Y208">
        <f t="shared" si="21"/>
        <v>-25394845.5</v>
      </c>
      <c r="Z208">
        <f t="shared" si="22"/>
        <v>44724742.5</v>
      </c>
      <c r="AA208" t="str">
        <f t="shared" si="23"/>
        <v>Normal</v>
      </c>
      <c r="AE208" s="2"/>
      <c r="AF208" s="2"/>
    </row>
    <row r="209" spans="1:32" x14ac:dyDescent="0.35">
      <c r="A209">
        <v>208</v>
      </c>
      <c r="B209" s="1">
        <v>43300</v>
      </c>
      <c r="C209" s="9" t="s">
        <v>460</v>
      </c>
      <c r="D209" s="9" t="s">
        <v>4988</v>
      </c>
      <c r="E209" s="9" t="s">
        <v>5857</v>
      </c>
      <c r="F209" s="9" t="s">
        <v>31</v>
      </c>
      <c r="G209" s="9" t="s">
        <v>461</v>
      </c>
      <c r="H209" s="9" t="s">
        <v>105</v>
      </c>
      <c r="I209" s="11">
        <v>100000000</v>
      </c>
      <c r="J209" s="11">
        <v>4846498</v>
      </c>
      <c r="K209" s="11">
        <v>17695779</v>
      </c>
      <c r="L209" s="3">
        <v>183</v>
      </c>
      <c r="M209" s="3">
        <v>2634</v>
      </c>
      <c r="N209" s="3">
        <v>1909134</v>
      </c>
      <c r="O209" s="2">
        <v>-0.17600000000000002</v>
      </c>
      <c r="P209" s="2">
        <v>0.42599999999999999</v>
      </c>
      <c r="Q209" s="2">
        <v>0.36749999999999999</v>
      </c>
      <c r="R209" s="11">
        <v>240547481</v>
      </c>
      <c r="S209" s="11">
        <v>251656</v>
      </c>
      <c r="T209">
        <v>2018</v>
      </c>
      <c r="U209">
        <v>7</v>
      </c>
      <c r="V209">
        <f t="shared" si="18"/>
        <v>900000</v>
      </c>
      <c r="W209">
        <f t="shared" si="19"/>
        <v>18429897</v>
      </c>
      <c r="X209">
        <f t="shared" si="20"/>
        <v>17529897</v>
      </c>
      <c r="Y209">
        <f t="shared" si="21"/>
        <v>-25394845.5</v>
      </c>
      <c r="Z209">
        <f t="shared" si="22"/>
        <v>44724742.5</v>
      </c>
      <c r="AA209" t="str">
        <f t="shared" si="23"/>
        <v>Outlier</v>
      </c>
      <c r="AE209" s="2"/>
      <c r="AF209" s="2"/>
    </row>
    <row r="210" spans="1:32" x14ac:dyDescent="0.35">
      <c r="A210">
        <v>209</v>
      </c>
      <c r="B210" s="1">
        <v>43301</v>
      </c>
      <c r="C210" s="9" t="s">
        <v>462</v>
      </c>
      <c r="D210" s="9" t="s">
        <v>4988</v>
      </c>
      <c r="E210" s="9" t="s">
        <v>5858</v>
      </c>
      <c r="F210" s="9" t="s">
        <v>15</v>
      </c>
      <c r="G210" s="9" t="s">
        <v>58</v>
      </c>
      <c r="H210" s="9" t="s">
        <v>275</v>
      </c>
      <c r="I210" s="11">
        <v>1500000</v>
      </c>
      <c r="J210" s="11">
        <v>1332353</v>
      </c>
      <c r="K210" s="11">
        <v>11415472</v>
      </c>
      <c r="L210" s="3">
        <v>443</v>
      </c>
      <c r="M210" s="3">
        <v>3042</v>
      </c>
      <c r="N210" s="3">
        <v>417203</v>
      </c>
      <c r="O210" s="2">
        <v>-2.4E-2</v>
      </c>
      <c r="P210" s="2">
        <v>0.28399999999999997</v>
      </c>
      <c r="Q210" s="2">
        <v>-0.19600000000000001</v>
      </c>
      <c r="R210" s="11">
        <v>193220424</v>
      </c>
      <c r="S210" s="11">
        <v>140436</v>
      </c>
      <c r="T210">
        <v>2018</v>
      </c>
      <c r="U210">
        <v>7</v>
      </c>
      <c r="V210">
        <f t="shared" si="18"/>
        <v>897500</v>
      </c>
      <c r="W210">
        <f t="shared" si="19"/>
        <v>18429897</v>
      </c>
      <c r="X210">
        <f t="shared" si="20"/>
        <v>17532397</v>
      </c>
      <c r="Y210">
        <f t="shared" si="21"/>
        <v>-25401095.5</v>
      </c>
      <c r="Z210">
        <f t="shared" si="22"/>
        <v>44728492.5</v>
      </c>
      <c r="AA210" t="str">
        <f t="shared" si="23"/>
        <v>Normal</v>
      </c>
      <c r="AE210" s="2"/>
      <c r="AF210" s="2"/>
    </row>
    <row r="211" spans="1:32" x14ac:dyDescent="0.35">
      <c r="A211">
        <v>210</v>
      </c>
      <c r="B211" s="1">
        <v>43302</v>
      </c>
      <c r="C211" s="9" t="s">
        <v>463</v>
      </c>
      <c r="D211" s="9" t="s">
        <v>4988</v>
      </c>
      <c r="E211" s="9" t="s">
        <v>5187</v>
      </c>
      <c r="F211" s="9" t="s">
        <v>31</v>
      </c>
      <c r="G211" s="9" t="s">
        <v>464</v>
      </c>
      <c r="H211" s="9" t="s">
        <v>105</v>
      </c>
      <c r="I211" s="11">
        <v>18000000</v>
      </c>
      <c r="J211" s="11">
        <v>3898179</v>
      </c>
      <c r="K211" s="11">
        <v>13458480</v>
      </c>
      <c r="L211" s="3">
        <v>426</v>
      </c>
      <c r="M211" s="3">
        <v>343</v>
      </c>
      <c r="N211" s="3">
        <v>146698</v>
      </c>
      <c r="O211" s="2">
        <v>-0.06</v>
      </c>
      <c r="P211" s="2">
        <v>0.624</v>
      </c>
      <c r="Q211" s="2">
        <v>0.51800000000000002</v>
      </c>
      <c r="R211" s="11">
        <v>119269568</v>
      </c>
      <c r="S211" s="11">
        <v>306627</v>
      </c>
      <c r="T211">
        <v>2018</v>
      </c>
      <c r="U211">
        <v>7</v>
      </c>
      <c r="V211">
        <f t="shared" si="18"/>
        <v>895000</v>
      </c>
      <c r="W211">
        <f t="shared" si="19"/>
        <v>18429897</v>
      </c>
      <c r="X211">
        <f t="shared" si="20"/>
        <v>17534897</v>
      </c>
      <c r="Y211">
        <f t="shared" si="21"/>
        <v>-25407345.5</v>
      </c>
      <c r="Z211">
        <f t="shared" si="22"/>
        <v>44732242.5</v>
      </c>
      <c r="AA211" t="str">
        <f t="shared" si="23"/>
        <v>Normal</v>
      </c>
      <c r="AE211" s="2"/>
      <c r="AF211" s="2"/>
    </row>
    <row r="212" spans="1:32" x14ac:dyDescent="0.35">
      <c r="A212">
        <v>211</v>
      </c>
      <c r="B212" s="1">
        <v>43304</v>
      </c>
      <c r="C212" s="9" t="s">
        <v>465</v>
      </c>
      <c r="D212" s="9" t="s">
        <v>4930</v>
      </c>
      <c r="E212" s="9" t="s">
        <v>5859</v>
      </c>
      <c r="F212" s="9" t="s">
        <v>15</v>
      </c>
      <c r="G212" s="9" t="s">
        <v>58</v>
      </c>
      <c r="H212" s="9" t="s">
        <v>275</v>
      </c>
      <c r="I212" s="11">
        <v>18429897</v>
      </c>
      <c r="J212" s="11">
        <v>1320477</v>
      </c>
      <c r="K212" s="11">
        <v>13403441</v>
      </c>
      <c r="L212" s="3">
        <v>254</v>
      </c>
      <c r="M212" s="3">
        <v>4941</v>
      </c>
      <c r="N212" s="3">
        <v>1018455</v>
      </c>
      <c r="O212" s="2">
        <v>-0.12300000000000001</v>
      </c>
      <c r="P212" s="2">
        <v>0.94499999999999995</v>
      </c>
      <c r="Q212" s="2">
        <v>-0.223</v>
      </c>
      <c r="R212" s="11">
        <v>128849131</v>
      </c>
      <c r="S212" s="11">
        <v>43372</v>
      </c>
      <c r="T212">
        <v>2018</v>
      </c>
      <c r="U212">
        <v>7</v>
      </c>
      <c r="V212">
        <f t="shared" si="18"/>
        <v>892500</v>
      </c>
      <c r="W212">
        <f t="shared" si="19"/>
        <v>18429897</v>
      </c>
      <c r="X212">
        <f t="shared" si="20"/>
        <v>17537397</v>
      </c>
      <c r="Y212">
        <f t="shared" si="21"/>
        <v>-25413595.5</v>
      </c>
      <c r="Z212">
        <f t="shared" si="22"/>
        <v>44735992.5</v>
      </c>
      <c r="AA212" t="str">
        <f t="shared" si="23"/>
        <v>Normal</v>
      </c>
      <c r="AE212" s="2"/>
      <c r="AF212" s="2"/>
    </row>
    <row r="213" spans="1:32" x14ac:dyDescent="0.35">
      <c r="A213">
        <v>212</v>
      </c>
      <c r="B213" s="1">
        <v>43304</v>
      </c>
      <c r="C213" s="9" t="s">
        <v>466</v>
      </c>
      <c r="D213" s="9" t="s">
        <v>4930</v>
      </c>
      <c r="E213" s="9" t="s">
        <v>5860</v>
      </c>
      <c r="F213" s="9" t="s">
        <v>151</v>
      </c>
      <c r="G213" s="9" t="s">
        <v>467</v>
      </c>
      <c r="H213" s="9" t="s">
        <v>275</v>
      </c>
      <c r="I213" s="11">
        <v>280000</v>
      </c>
      <c r="J213" s="11">
        <v>3590113</v>
      </c>
      <c r="K213" s="11">
        <v>6036762</v>
      </c>
      <c r="L213" s="3">
        <v>356</v>
      </c>
      <c r="M213" s="3">
        <v>4835</v>
      </c>
      <c r="N213" s="3">
        <v>1924222</v>
      </c>
      <c r="O213" s="2">
        <v>-0.161</v>
      </c>
      <c r="P213" s="2">
        <v>0.94499999999999995</v>
      </c>
      <c r="Q213" s="2">
        <v>2.7999999999999997E-2</v>
      </c>
      <c r="R213" s="11">
        <v>322318213</v>
      </c>
      <c r="S213" s="11">
        <v>423261</v>
      </c>
      <c r="T213">
        <v>2018</v>
      </c>
      <c r="U213">
        <v>7</v>
      </c>
      <c r="V213">
        <f t="shared" si="18"/>
        <v>890000</v>
      </c>
      <c r="W213">
        <f t="shared" si="19"/>
        <v>18429897</v>
      </c>
      <c r="X213">
        <f t="shared" si="20"/>
        <v>17539897</v>
      </c>
      <c r="Y213">
        <f t="shared" si="21"/>
        <v>-25419845.5</v>
      </c>
      <c r="Z213">
        <f t="shared" si="22"/>
        <v>44739742.5</v>
      </c>
      <c r="AA213" t="str">
        <f t="shared" si="23"/>
        <v>Normal</v>
      </c>
      <c r="AE213" s="2"/>
      <c r="AF213" s="2"/>
    </row>
    <row r="214" spans="1:32" x14ac:dyDescent="0.35">
      <c r="A214">
        <v>213</v>
      </c>
      <c r="B214" s="1">
        <v>43304</v>
      </c>
      <c r="C214" s="9" t="s">
        <v>468</v>
      </c>
      <c r="D214" s="9" t="s">
        <v>4930</v>
      </c>
      <c r="E214" s="9" t="s">
        <v>5861</v>
      </c>
      <c r="F214" s="9" t="s">
        <v>15</v>
      </c>
      <c r="G214" s="9" t="s">
        <v>469</v>
      </c>
      <c r="H214" s="9" t="s">
        <v>275</v>
      </c>
      <c r="I214" s="11">
        <v>436000</v>
      </c>
      <c r="J214" s="11">
        <v>2531926</v>
      </c>
      <c r="K214" s="11">
        <v>12683157</v>
      </c>
      <c r="L214" s="3">
        <v>93</v>
      </c>
      <c r="M214" s="3">
        <v>3834</v>
      </c>
      <c r="N214" s="3">
        <v>422925</v>
      </c>
      <c r="O214" s="2">
        <v>7.3999999999999996E-2</v>
      </c>
      <c r="P214" s="2">
        <v>0.64300000000000002</v>
      </c>
      <c r="Q214" s="2">
        <v>0.58099999999999996</v>
      </c>
      <c r="R214" s="11">
        <v>74979664</v>
      </c>
      <c r="S214" s="11">
        <v>951387</v>
      </c>
      <c r="T214">
        <v>2018</v>
      </c>
      <c r="U214">
        <v>7</v>
      </c>
      <c r="V214">
        <f t="shared" si="18"/>
        <v>897500</v>
      </c>
      <c r="W214">
        <f t="shared" si="19"/>
        <v>18429897</v>
      </c>
      <c r="X214">
        <f t="shared" si="20"/>
        <v>17532397</v>
      </c>
      <c r="Y214">
        <f t="shared" si="21"/>
        <v>-25401095.5</v>
      </c>
      <c r="Z214">
        <f t="shared" si="22"/>
        <v>44728492.5</v>
      </c>
      <c r="AA214" t="str">
        <f t="shared" si="23"/>
        <v>Normal</v>
      </c>
      <c r="AE214" s="2"/>
      <c r="AF214" s="2"/>
    </row>
    <row r="215" spans="1:32" x14ac:dyDescent="0.35">
      <c r="A215">
        <v>214</v>
      </c>
      <c r="B215" s="1">
        <v>43305</v>
      </c>
      <c r="C215" s="9" t="s">
        <v>470</v>
      </c>
      <c r="D215" s="9" t="s">
        <v>4955</v>
      </c>
      <c r="E215" s="9" t="s">
        <v>5862</v>
      </c>
      <c r="F215" s="9" t="s">
        <v>15</v>
      </c>
      <c r="G215" s="9" t="s">
        <v>471</v>
      </c>
      <c r="H215" s="9" t="s">
        <v>275</v>
      </c>
      <c r="I215" s="11">
        <v>180000</v>
      </c>
      <c r="J215" s="11">
        <v>2257820</v>
      </c>
      <c r="K215" s="11">
        <v>4501112</v>
      </c>
      <c r="L215" s="3">
        <v>498</v>
      </c>
      <c r="M215" s="3">
        <v>125</v>
      </c>
      <c r="N215" s="3">
        <v>803667</v>
      </c>
      <c r="O215" s="2">
        <v>0.26600000000000001</v>
      </c>
      <c r="P215" s="2">
        <v>0.64599999999999991</v>
      </c>
      <c r="Q215" s="2">
        <v>1.9E-2</v>
      </c>
      <c r="R215" s="11">
        <v>217083904</v>
      </c>
      <c r="S215" s="11">
        <v>1672761</v>
      </c>
      <c r="T215">
        <v>2018</v>
      </c>
      <c r="U215">
        <v>7</v>
      </c>
      <c r="V215">
        <f t="shared" si="18"/>
        <v>900000</v>
      </c>
      <c r="W215">
        <f t="shared" si="19"/>
        <v>18429897</v>
      </c>
      <c r="X215">
        <f t="shared" si="20"/>
        <v>17529897</v>
      </c>
      <c r="Y215">
        <f t="shared" si="21"/>
        <v>-25394845.5</v>
      </c>
      <c r="Z215">
        <f t="shared" si="22"/>
        <v>44724742.5</v>
      </c>
      <c r="AA215" t="str">
        <f t="shared" si="23"/>
        <v>Normal</v>
      </c>
      <c r="AE215" s="2"/>
      <c r="AF215" s="2"/>
    </row>
    <row r="216" spans="1:32" x14ac:dyDescent="0.35">
      <c r="A216">
        <v>215</v>
      </c>
      <c r="B216" s="1">
        <v>43305</v>
      </c>
      <c r="C216" s="9" t="s">
        <v>472</v>
      </c>
      <c r="D216" s="9" t="s">
        <v>4988</v>
      </c>
      <c r="E216" s="9" t="s">
        <v>5863</v>
      </c>
      <c r="F216" s="9" t="s">
        <v>41</v>
      </c>
      <c r="G216" s="9" t="s">
        <v>473</v>
      </c>
      <c r="H216" s="9" t="s">
        <v>105</v>
      </c>
      <c r="I216" s="11">
        <v>45000000</v>
      </c>
      <c r="J216" s="11">
        <v>3689859</v>
      </c>
      <c r="K216" s="11">
        <v>12746459</v>
      </c>
      <c r="L216" s="3">
        <v>111</v>
      </c>
      <c r="M216" s="3">
        <v>2179</v>
      </c>
      <c r="N216" s="3">
        <v>1349053</v>
      </c>
      <c r="O216" s="2">
        <v>-2.2000000000000002E-2</v>
      </c>
      <c r="P216" s="2">
        <v>0.80299999999999994</v>
      </c>
      <c r="Q216" s="2">
        <v>0.20599999999999999</v>
      </c>
      <c r="R216" s="11">
        <v>323950884</v>
      </c>
      <c r="S216" s="11">
        <v>1138785</v>
      </c>
      <c r="T216">
        <v>2018</v>
      </c>
      <c r="U216">
        <v>7</v>
      </c>
      <c r="V216">
        <f t="shared" si="18"/>
        <v>900000</v>
      </c>
      <c r="W216">
        <f t="shared" si="19"/>
        <v>18429897</v>
      </c>
      <c r="X216">
        <f t="shared" si="20"/>
        <v>17529897</v>
      </c>
      <c r="Y216">
        <f t="shared" si="21"/>
        <v>-25394845.5</v>
      </c>
      <c r="Z216">
        <f t="shared" si="22"/>
        <v>44724742.5</v>
      </c>
      <c r="AA216" t="str">
        <f t="shared" si="23"/>
        <v>Outlier</v>
      </c>
      <c r="AE216" s="2"/>
      <c r="AF216" s="2"/>
    </row>
    <row r="217" spans="1:32" x14ac:dyDescent="0.35">
      <c r="A217">
        <v>216</v>
      </c>
      <c r="B217" s="1">
        <v>43306</v>
      </c>
      <c r="C217" s="9" t="s">
        <v>474</v>
      </c>
      <c r="D217" s="9" t="s">
        <v>4933</v>
      </c>
      <c r="E217" s="9" t="s">
        <v>5696</v>
      </c>
      <c r="F217" s="9" t="s">
        <v>31</v>
      </c>
      <c r="G217" s="9" t="s">
        <v>475</v>
      </c>
      <c r="H217" s="9" t="s">
        <v>105</v>
      </c>
      <c r="I217" s="11">
        <v>17000000</v>
      </c>
      <c r="J217" s="11">
        <v>1375762</v>
      </c>
      <c r="K217" s="11">
        <v>13693224</v>
      </c>
      <c r="L217" s="3">
        <v>434</v>
      </c>
      <c r="M217" s="3">
        <v>4098</v>
      </c>
      <c r="N217" s="3">
        <v>854719</v>
      </c>
      <c r="O217" s="2">
        <v>0.20899999999999999</v>
      </c>
      <c r="P217" s="2">
        <v>1.133</v>
      </c>
      <c r="Q217" s="2">
        <v>7.2999999999999995E-2</v>
      </c>
      <c r="R217" s="11">
        <v>201180884</v>
      </c>
      <c r="S217" s="11">
        <v>1714956</v>
      </c>
      <c r="T217">
        <v>2018</v>
      </c>
      <c r="U217">
        <v>7</v>
      </c>
      <c r="V217">
        <f t="shared" si="18"/>
        <v>900000</v>
      </c>
      <c r="W217">
        <f t="shared" si="19"/>
        <v>18429897</v>
      </c>
      <c r="X217">
        <f t="shared" si="20"/>
        <v>17529897</v>
      </c>
      <c r="Y217">
        <f t="shared" si="21"/>
        <v>-25394845.5</v>
      </c>
      <c r="Z217">
        <f t="shared" si="22"/>
        <v>44724742.5</v>
      </c>
      <c r="AA217" t="str">
        <f t="shared" si="23"/>
        <v>Normal</v>
      </c>
      <c r="AE217" s="2"/>
      <c r="AF217" s="2"/>
    </row>
    <row r="218" spans="1:32" x14ac:dyDescent="0.35">
      <c r="A218">
        <v>217</v>
      </c>
      <c r="B218" s="1">
        <v>43306</v>
      </c>
      <c r="C218" s="9" t="s">
        <v>60</v>
      </c>
      <c r="D218" s="9" t="s">
        <v>4988</v>
      </c>
      <c r="E218" s="9" t="s">
        <v>5864</v>
      </c>
      <c r="F218" s="9" t="s">
        <v>15</v>
      </c>
      <c r="G218" s="9" t="s">
        <v>476</v>
      </c>
      <c r="H218" s="9" t="s">
        <v>275</v>
      </c>
      <c r="I218" s="11">
        <v>1250000</v>
      </c>
      <c r="J218" s="11">
        <v>414682</v>
      </c>
      <c r="K218" s="11">
        <v>17535217</v>
      </c>
      <c r="L218" s="3">
        <v>423</v>
      </c>
      <c r="M218" s="3">
        <v>3396</v>
      </c>
      <c r="N218" s="3">
        <v>1579392</v>
      </c>
      <c r="O218" s="2">
        <v>5.4000000000000006E-2</v>
      </c>
      <c r="P218" s="2">
        <v>0.35</v>
      </c>
      <c r="Q218" s="2">
        <v>0.1</v>
      </c>
      <c r="R218" s="11">
        <v>76041399</v>
      </c>
      <c r="S218" s="11">
        <v>1345877</v>
      </c>
      <c r="T218">
        <v>2018</v>
      </c>
      <c r="U218">
        <v>7</v>
      </c>
      <c r="V218">
        <f t="shared" si="18"/>
        <v>900000</v>
      </c>
      <c r="W218">
        <f t="shared" si="19"/>
        <v>18429897</v>
      </c>
      <c r="X218">
        <f t="shared" si="20"/>
        <v>17529897</v>
      </c>
      <c r="Y218">
        <f t="shared" si="21"/>
        <v>-25394845.5</v>
      </c>
      <c r="Z218">
        <f t="shared" si="22"/>
        <v>44724742.5</v>
      </c>
      <c r="AA218" t="str">
        <f t="shared" si="23"/>
        <v>Normal</v>
      </c>
      <c r="AE218" s="2"/>
      <c r="AF218" s="2"/>
    </row>
    <row r="219" spans="1:32" x14ac:dyDescent="0.35">
      <c r="A219">
        <v>218</v>
      </c>
      <c r="B219" s="1">
        <v>43306</v>
      </c>
      <c r="C219" s="9" t="s">
        <v>477</v>
      </c>
      <c r="D219" s="9" t="s">
        <v>4930</v>
      </c>
      <c r="E219" s="9" t="s">
        <v>5865</v>
      </c>
      <c r="F219" s="9" t="s">
        <v>15</v>
      </c>
      <c r="G219" s="9" t="s">
        <v>478</v>
      </c>
      <c r="H219" s="9" t="s">
        <v>275</v>
      </c>
      <c r="I219" s="11">
        <v>2500000</v>
      </c>
      <c r="J219" s="11">
        <v>2531926</v>
      </c>
      <c r="K219" s="11">
        <v>18398688</v>
      </c>
      <c r="L219" s="3">
        <v>93</v>
      </c>
      <c r="M219" s="3">
        <v>4528</v>
      </c>
      <c r="N219" s="3">
        <v>497429</v>
      </c>
      <c r="O219" s="2">
        <v>0.24199999999999999</v>
      </c>
      <c r="P219" s="2">
        <v>0.60499999999999998</v>
      </c>
      <c r="Q219" s="2">
        <v>-0.105</v>
      </c>
      <c r="R219" s="11">
        <v>398868601</v>
      </c>
      <c r="S219" s="11">
        <v>186462</v>
      </c>
      <c r="T219">
        <v>2018</v>
      </c>
      <c r="U219">
        <v>7</v>
      </c>
      <c r="V219">
        <f t="shared" si="18"/>
        <v>900000</v>
      </c>
      <c r="W219">
        <f t="shared" si="19"/>
        <v>18429897</v>
      </c>
      <c r="X219">
        <f t="shared" si="20"/>
        <v>17529897</v>
      </c>
      <c r="Y219">
        <f t="shared" si="21"/>
        <v>-25394845.5</v>
      </c>
      <c r="Z219">
        <f t="shared" si="22"/>
        <v>44724742.5</v>
      </c>
      <c r="AA219" t="str">
        <f t="shared" si="23"/>
        <v>Normal</v>
      </c>
      <c r="AE219" s="2"/>
      <c r="AF219" s="2"/>
    </row>
    <row r="220" spans="1:32" x14ac:dyDescent="0.35">
      <c r="A220">
        <v>219</v>
      </c>
      <c r="B220" s="1">
        <v>43307</v>
      </c>
      <c r="C220" s="9" t="s">
        <v>479</v>
      </c>
      <c r="D220" s="9" t="s">
        <v>4990</v>
      </c>
      <c r="E220" s="9" t="s">
        <v>5866</v>
      </c>
      <c r="F220" s="9" t="s">
        <v>15</v>
      </c>
      <c r="G220" s="9" t="s">
        <v>480</v>
      </c>
      <c r="H220" s="9" t="s">
        <v>275</v>
      </c>
      <c r="I220" s="11">
        <v>1100000</v>
      </c>
      <c r="J220" s="11">
        <v>2246178</v>
      </c>
      <c r="K220" s="11">
        <v>577233</v>
      </c>
      <c r="L220" s="3">
        <v>9</v>
      </c>
      <c r="M220" s="3">
        <v>3098</v>
      </c>
      <c r="N220" s="3">
        <v>1626439</v>
      </c>
      <c r="O220" s="2">
        <v>1.6E-2</v>
      </c>
      <c r="P220" s="2">
        <v>1.1059999999999999</v>
      </c>
      <c r="Q220" s="2">
        <v>0.21299999999999999</v>
      </c>
      <c r="R220" s="11">
        <v>106403347</v>
      </c>
      <c r="S220" s="11">
        <v>612478</v>
      </c>
      <c r="T220">
        <v>2018</v>
      </c>
      <c r="U220">
        <v>7</v>
      </c>
      <c r="V220">
        <f t="shared" si="18"/>
        <v>900000</v>
      </c>
      <c r="W220">
        <f t="shared" si="19"/>
        <v>18429897</v>
      </c>
      <c r="X220">
        <f t="shared" si="20"/>
        <v>17529897</v>
      </c>
      <c r="Y220">
        <f t="shared" si="21"/>
        <v>-25394845.5</v>
      </c>
      <c r="Z220">
        <f t="shared" si="22"/>
        <v>44724742.5</v>
      </c>
      <c r="AA220" t="str">
        <f t="shared" si="23"/>
        <v>Normal</v>
      </c>
      <c r="AE220" s="2"/>
      <c r="AF220" s="2"/>
    </row>
    <row r="221" spans="1:32" x14ac:dyDescent="0.35">
      <c r="A221">
        <v>220</v>
      </c>
      <c r="B221" s="1">
        <v>43307</v>
      </c>
      <c r="C221" s="9" t="s">
        <v>481</v>
      </c>
      <c r="D221" s="9" t="s">
        <v>4930</v>
      </c>
      <c r="E221" s="9" t="s">
        <v>5867</v>
      </c>
      <c r="F221" s="9" t="s">
        <v>15</v>
      </c>
      <c r="G221" s="9" t="s">
        <v>482</v>
      </c>
      <c r="H221" s="9" t="s">
        <v>105</v>
      </c>
      <c r="I221" s="11">
        <v>18429897</v>
      </c>
      <c r="J221" s="11">
        <v>2531926</v>
      </c>
      <c r="K221" s="11">
        <v>6052867</v>
      </c>
      <c r="L221" s="3">
        <v>369</v>
      </c>
      <c r="M221" s="3">
        <v>3583</v>
      </c>
      <c r="N221" s="3">
        <v>1117202</v>
      </c>
      <c r="O221" s="2">
        <v>0.17600000000000002</v>
      </c>
      <c r="P221" s="2">
        <v>0.74900000000000011</v>
      </c>
      <c r="Q221" s="2">
        <v>0.43200000000000005</v>
      </c>
      <c r="R221" s="11">
        <v>471148278</v>
      </c>
      <c r="S221" s="11">
        <v>963266</v>
      </c>
      <c r="T221">
        <v>2018</v>
      </c>
      <c r="U221">
        <v>7</v>
      </c>
      <c r="V221">
        <f t="shared" si="18"/>
        <v>900000</v>
      </c>
      <c r="W221">
        <f t="shared" si="19"/>
        <v>18429897</v>
      </c>
      <c r="X221">
        <f t="shared" si="20"/>
        <v>17529897</v>
      </c>
      <c r="Y221">
        <f t="shared" si="21"/>
        <v>-25394845.5</v>
      </c>
      <c r="Z221">
        <f t="shared" si="22"/>
        <v>44724742.5</v>
      </c>
      <c r="AA221" t="str">
        <f t="shared" si="23"/>
        <v>Normal</v>
      </c>
      <c r="AE221" s="2"/>
      <c r="AF221" s="2"/>
    </row>
    <row r="222" spans="1:32" x14ac:dyDescent="0.35">
      <c r="A222">
        <v>221</v>
      </c>
      <c r="B222" s="1">
        <v>43307</v>
      </c>
      <c r="C222" s="9" t="s">
        <v>483</v>
      </c>
      <c r="D222" s="9" t="s">
        <v>4926</v>
      </c>
      <c r="E222" s="9" t="s">
        <v>5868</v>
      </c>
      <c r="F222" s="9" t="s">
        <v>124</v>
      </c>
      <c r="G222" s="9" t="s">
        <v>484</v>
      </c>
      <c r="H222" s="9" t="s">
        <v>105</v>
      </c>
      <c r="I222" s="11">
        <v>500000</v>
      </c>
      <c r="J222" s="11">
        <v>655332</v>
      </c>
      <c r="K222" s="11">
        <v>10987580</v>
      </c>
      <c r="L222" s="3">
        <v>435</v>
      </c>
      <c r="M222" s="3">
        <v>1720</v>
      </c>
      <c r="N222" s="3">
        <v>20973</v>
      </c>
      <c r="O222" s="2">
        <v>0.14399999999999999</v>
      </c>
      <c r="P222" s="2">
        <v>0.99299999999999999</v>
      </c>
      <c r="Q222" s="2">
        <v>-0.38600000000000001</v>
      </c>
      <c r="R222" s="11">
        <v>215110474</v>
      </c>
      <c r="S222" s="11">
        <v>1128367</v>
      </c>
      <c r="T222">
        <v>2018</v>
      </c>
      <c r="U222">
        <v>7</v>
      </c>
      <c r="V222">
        <f t="shared" si="18"/>
        <v>897500</v>
      </c>
      <c r="W222">
        <f t="shared" si="19"/>
        <v>18429897</v>
      </c>
      <c r="X222">
        <f t="shared" si="20"/>
        <v>17532397</v>
      </c>
      <c r="Y222">
        <f t="shared" si="21"/>
        <v>-25401095.5</v>
      </c>
      <c r="Z222">
        <f t="shared" si="22"/>
        <v>44728492.5</v>
      </c>
      <c r="AA222" t="str">
        <f t="shared" si="23"/>
        <v>Normal</v>
      </c>
      <c r="AE222" s="2"/>
      <c r="AF222" s="2"/>
    </row>
    <row r="223" spans="1:32" x14ac:dyDescent="0.35">
      <c r="A223">
        <v>222</v>
      </c>
      <c r="B223" s="1">
        <v>43311</v>
      </c>
      <c r="C223" s="9" t="s">
        <v>18</v>
      </c>
      <c r="D223" s="9" t="s">
        <v>4988</v>
      </c>
      <c r="E223" s="9" t="s">
        <v>5869</v>
      </c>
      <c r="F223" s="9" t="s">
        <v>151</v>
      </c>
      <c r="G223" s="9" t="s">
        <v>485</v>
      </c>
      <c r="H223" s="9" t="s">
        <v>105</v>
      </c>
      <c r="I223" s="11">
        <v>11000000</v>
      </c>
      <c r="J223" s="11">
        <v>2289765</v>
      </c>
      <c r="K223" s="11">
        <v>6499026</v>
      </c>
      <c r="L223" s="3">
        <v>359</v>
      </c>
      <c r="M223" s="3">
        <v>4073</v>
      </c>
      <c r="N223" s="3">
        <v>1241264</v>
      </c>
      <c r="O223" s="2">
        <v>0.39200000000000002</v>
      </c>
      <c r="P223" s="2">
        <v>0.66299999999999992</v>
      </c>
      <c r="Q223" s="2">
        <v>-0.13100000000000001</v>
      </c>
      <c r="R223" s="11">
        <v>259631072</v>
      </c>
      <c r="S223" s="11">
        <v>1529232</v>
      </c>
      <c r="T223">
        <v>2018</v>
      </c>
      <c r="U223">
        <v>7</v>
      </c>
      <c r="V223">
        <f t="shared" si="18"/>
        <v>900000</v>
      </c>
      <c r="W223">
        <f t="shared" si="19"/>
        <v>18429897</v>
      </c>
      <c r="X223">
        <f t="shared" si="20"/>
        <v>17529897</v>
      </c>
      <c r="Y223">
        <f t="shared" si="21"/>
        <v>-25394845.5</v>
      </c>
      <c r="Z223">
        <f t="shared" si="22"/>
        <v>44724742.5</v>
      </c>
      <c r="AA223" t="str">
        <f t="shared" si="23"/>
        <v>Normal</v>
      </c>
      <c r="AE223" s="2"/>
      <c r="AF223" s="2"/>
    </row>
    <row r="224" spans="1:32" x14ac:dyDescent="0.35">
      <c r="A224">
        <v>223</v>
      </c>
      <c r="B224" s="1">
        <v>43311</v>
      </c>
      <c r="C224" s="9" t="s">
        <v>486</v>
      </c>
      <c r="D224" s="9" t="s">
        <v>4988</v>
      </c>
      <c r="E224" s="9" t="s">
        <v>5870</v>
      </c>
      <c r="F224" s="9" t="s">
        <v>15</v>
      </c>
      <c r="G224" s="9" t="s">
        <v>487</v>
      </c>
      <c r="H224" s="9" t="s">
        <v>105</v>
      </c>
      <c r="I224" s="11">
        <v>120000000</v>
      </c>
      <c r="J224" s="11">
        <v>3526079</v>
      </c>
      <c r="K224" s="11">
        <v>12409705</v>
      </c>
      <c r="L224" s="3">
        <v>254</v>
      </c>
      <c r="M224" s="3">
        <v>2690</v>
      </c>
      <c r="N224" s="3">
        <v>18903</v>
      </c>
      <c r="O224" s="2">
        <v>0.23199999999999998</v>
      </c>
      <c r="P224" s="2">
        <v>1.121</v>
      </c>
      <c r="Q224" s="2">
        <v>-3.7999999999999999E-2</v>
      </c>
      <c r="R224" s="11">
        <v>129646818</v>
      </c>
      <c r="S224" s="11">
        <v>1214609</v>
      </c>
      <c r="T224">
        <v>2018</v>
      </c>
      <c r="U224">
        <v>7</v>
      </c>
      <c r="V224">
        <f t="shared" si="18"/>
        <v>900000</v>
      </c>
      <c r="W224">
        <f t="shared" si="19"/>
        <v>18429897</v>
      </c>
      <c r="X224">
        <f t="shared" si="20"/>
        <v>17529897</v>
      </c>
      <c r="Y224">
        <f t="shared" si="21"/>
        <v>-25394845.5</v>
      </c>
      <c r="Z224">
        <f t="shared" si="22"/>
        <v>44724742.5</v>
      </c>
      <c r="AA224" t="str">
        <f t="shared" si="23"/>
        <v>Outlier</v>
      </c>
      <c r="AE224" s="2"/>
      <c r="AF224" s="2"/>
    </row>
    <row r="225" spans="1:32" x14ac:dyDescent="0.35">
      <c r="A225">
        <v>224</v>
      </c>
      <c r="B225" s="1">
        <v>43312</v>
      </c>
      <c r="C225" s="9" t="s">
        <v>488</v>
      </c>
      <c r="D225" s="9" t="s">
        <v>4926</v>
      </c>
      <c r="E225" s="9" t="s">
        <v>5871</v>
      </c>
      <c r="F225" s="9" t="s">
        <v>35</v>
      </c>
      <c r="G225" s="9" t="s">
        <v>489</v>
      </c>
      <c r="H225" s="9" t="s">
        <v>105</v>
      </c>
      <c r="I225" s="11">
        <v>100000000</v>
      </c>
      <c r="J225" s="11">
        <v>1027769</v>
      </c>
      <c r="K225" s="11">
        <v>17099390</v>
      </c>
      <c r="L225" s="3">
        <v>324</v>
      </c>
      <c r="M225" s="3">
        <v>4010</v>
      </c>
      <c r="N225" s="3">
        <v>1018455</v>
      </c>
      <c r="O225" s="2">
        <v>0.17100000000000001</v>
      </c>
      <c r="P225" s="2">
        <v>1.0900000000000001</v>
      </c>
      <c r="Q225" s="2">
        <v>-0.122</v>
      </c>
      <c r="R225" s="11">
        <v>476869106</v>
      </c>
      <c r="S225" s="11">
        <v>1008193.5</v>
      </c>
      <c r="T225">
        <v>2018</v>
      </c>
      <c r="U225">
        <v>7</v>
      </c>
      <c r="V225">
        <f t="shared" si="18"/>
        <v>900000</v>
      </c>
      <c r="W225">
        <f t="shared" si="19"/>
        <v>18429897</v>
      </c>
      <c r="X225">
        <f t="shared" si="20"/>
        <v>17529897</v>
      </c>
      <c r="Y225">
        <f t="shared" si="21"/>
        <v>-25394845.5</v>
      </c>
      <c r="Z225">
        <f t="shared" si="22"/>
        <v>44724742.5</v>
      </c>
      <c r="AA225" t="str">
        <f t="shared" si="23"/>
        <v>Outlier</v>
      </c>
      <c r="AE225" s="2"/>
      <c r="AF225" s="2"/>
    </row>
    <row r="226" spans="1:32" x14ac:dyDescent="0.35">
      <c r="A226">
        <v>225</v>
      </c>
      <c r="B226" s="1">
        <v>43312</v>
      </c>
      <c r="C226" s="9" t="s">
        <v>490</v>
      </c>
      <c r="D226" s="9" t="s">
        <v>2539</v>
      </c>
      <c r="E226" s="9" t="s">
        <v>5872</v>
      </c>
      <c r="F226" s="9" t="s">
        <v>124</v>
      </c>
      <c r="G226" s="9" t="s">
        <v>491</v>
      </c>
      <c r="H226" s="9" t="s">
        <v>275</v>
      </c>
      <c r="I226" s="11">
        <v>5000000</v>
      </c>
      <c r="J226" s="11">
        <v>3613649</v>
      </c>
      <c r="K226" s="11">
        <v>5234868</v>
      </c>
      <c r="L226" s="3">
        <v>198</v>
      </c>
      <c r="M226" s="3">
        <v>1061</v>
      </c>
      <c r="N226" s="3">
        <v>1978021</v>
      </c>
      <c r="O226" s="2">
        <v>-0.17399999999999999</v>
      </c>
      <c r="P226" s="2">
        <v>0.64599999999999991</v>
      </c>
      <c r="Q226" s="2">
        <v>0.26100000000000001</v>
      </c>
      <c r="R226" s="11">
        <v>303978046</v>
      </c>
      <c r="S226" s="11">
        <v>71101</v>
      </c>
      <c r="T226">
        <v>2018</v>
      </c>
      <c r="U226">
        <v>7</v>
      </c>
      <c r="V226">
        <f t="shared" si="18"/>
        <v>897500</v>
      </c>
      <c r="W226">
        <f t="shared" si="19"/>
        <v>18429897</v>
      </c>
      <c r="X226">
        <f t="shared" si="20"/>
        <v>17532397</v>
      </c>
      <c r="Y226">
        <f t="shared" si="21"/>
        <v>-25401095.5</v>
      </c>
      <c r="Z226">
        <f t="shared" si="22"/>
        <v>44728492.5</v>
      </c>
      <c r="AA226" t="str">
        <f t="shared" si="23"/>
        <v>Normal</v>
      </c>
      <c r="AE226" s="2"/>
      <c r="AF226" s="2"/>
    </row>
    <row r="227" spans="1:32" x14ac:dyDescent="0.35">
      <c r="A227">
        <v>226</v>
      </c>
      <c r="B227" s="1">
        <v>43252</v>
      </c>
      <c r="C227" s="9" t="s">
        <v>492</v>
      </c>
      <c r="D227" s="9" t="s">
        <v>4933</v>
      </c>
      <c r="E227" s="9" t="s">
        <v>5873</v>
      </c>
      <c r="F227" s="9" t="s">
        <v>151</v>
      </c>
      <c r="G227" s="9" t="s">
        <v>493</v>
      </c>
      <c r="H227" s="9" t="s">
        <v>105</v>
      </c>
      <c r="I227" s="11">
        <v>10000000</v>
      </c>
      <c r="J227" s="11">
        <v>1543663</v>
      </c>
      <c r="K227" s="11">
        <v>17878178</v>
      </c>
      <c r="L227" s="3">
        <v>458</v>
      </c>
      <c r="M227" s="3">
        <v>1377</v>
      </c>
      <c r="N227" s="3">
        <v>308596</v>
      </c>
      <c r="O227" s="2">
        <v>1.6E-2</v>
      </c>
      <c r="P227" s="2">
        <v>0.20499999999999999</v>
      </c>
      <c r="Q227" s="2">
        <v>-5.0999999999999997E-2</v>
      </c>
      <c r="R227" s="11">
        <v>399865440</v>
      </c>
      <c r="S227" s="11">
        <v>701032</v>
      </c>
      <c r="T227">
        <v>2018</v>
      </c>
      <c r="U227">
        <v>6</v>
      </c>
      <c r="V227">
        <f t="shared" si="18"/>
        <v>895000</v>
      </c>
      <c r="W227">
        <f t="shared" si="19"/>
        <v>18429897</v>
      </c>
      <c r="X227">
        <f t="shared" si="20"/>
        <v>17534897</v>
      </c>
      <c r="Y227">
        <f t="shared" si="21"/>
        <v>-25407345.5</v>
      </c>
      <c r="Z227">
        <f t="shared" si="22"/>
        <v>44732242.5</v>
      </c>
      <c r="AA227" t="str">
        <f t="shared" si="23"/>
        <v>Normal</v>
      </c>
      <c r="AE227" s="2"/>
      <c r="AF227" s="2"/>
    </row>
    <row r="228" spans="1:32" x14ac:dyDescent="0.35">
      <c r="A228">
        <v>227</v>
      </c>
      <c r="B228" s="1">
        <v>43255</v>
      </c>
      <c r="C228" s="9" t="s">
        <v>494</v>
      </c>
      <c r="D228" s="9" t="s">
        <v>4930</v>
      </c>
      <c r="E228" s="9" t="s">
        <v>5874</v>
      </c>
      <c r="F228" s="9" t="s">
        <v>15</v>
      </c>
      <c r="G228" s="9" t="s">
        <v>495</v>
      </c>
      <c r="H228" s="9" t="s">
        <v>275</v>
      </c>
      <c r="I228" s="11">
        <v>125000</v>
      </c>
      <c r="J228" s="11">
        <v>4047130</v>
      </c>
      <c r="K228" s="11">
        <v>17652147</v>
      </c>
      <c r="L228" s="3">
        <v>401</v>
      </c>
      <c r="M228" s="3">
        <v>484</v>
      </c>
      <c r="N228" s="3">
        <v>1054900</v>
      </c>
      <c r="O228" s="2">
        <v>-0.04</v>
      </c>
      <c r="P228" s="2">
        <v>0.76600000000000001</v>
      </c>
      <c r="Q228" s="2">
        <v>0.12</v>
      </c>
      <c r="R228" s="11">
        <v>212653785</v>
      </c>
      <c r="S228" s="11">
        <v>1981815</v>
      </c>
      <c r="T228">
        <v>2018</v>
      </c>
      <c r="U228">
        <v>6</v>
      </c>
      <c r="V228">
        <f t="shared" si="18"/>
        <v>892500</v>
      </c>
      <c r="W228">
        <f t="shared" si="19"/>
        <v>18429897</v>
      </c>
      <c r="X228">
        <f t="shared" si="20"/>
        <v>17537397</v>
      </c>
      <c r="Y228">
        <f t="shared" si="21"/>
        <v>-25413595.5</v>
      </c>
      <c r="Z228">
        <f t="shared" si="22"/>
        <v>44735992.5</v>
      </c>
      <c r="AA228" t="str">
        <f t="shared" si="23"/>
        <v>Normal</v>
      </c>
      <c r="AE228" s="2"/>
      <c r="AF228" s="2"/>
    </row>
    <row r="229" spans="1:32" x14ac:dyDescent="0.35">
      <c r="A229">
        <v>228</v>
      </c>
      <c r="B229" s="1">
        <v>43255</v>
      </c>
      <c r="C229" s="9" t="s">
        <v>496</v>
      </c>
      <c r="D229" s="9" t="s">
        <v>4925</v>
      </c>
      <c r="E229" s="9" t="s">
        <v>5875</v>
      </c>
      <c r="F229" s="9" t="s">
        <v>497</v>
      </c>
      <c r="G229" s="9" t="s">
        <v>498</v>
      </c>
      <c r="H229" s="9" t="s">
        <v>275</v>
      </c>
      <c r="I229" s="11">
        <v>18429897</v>
      </c>
      <c r="J229" s="11">
        <v>2904513</v>
      </c>
      <c r="K229" s="11">
        <v>18289327</v>
      </c>
      <c r="L229" s="3">
        <v>400</v>
      </c>
      <c r="M229" s="3">
        <v>3391</v>
      </c>
      <c r="N229" s="3">
        <v>673417</v>
      </c>
      <c r="O229" s="2">
        <v>-4.3999999999999997E-2</v>
      </c>
      <c r="P229" s="2">
        <v>0.40399999999999997</v>
      </c>
      <c r="Q229" s="2">
        <v>0.47299999999999998</v>
      </c>
      <c r="R229" s="11">
        <v>414110998</v>
      </c>
      <c r="S229" s="11">
        <v>289306</v>
      </c>
      <c r="T229">
        <v>2018</v>
      </c>
      <c r="U229">
        <v>6</v>
      </c>
      <c r="V229">
        <f t="shared" si="18"/>
        <v>900000</v>
      </c>
      <c r="W229">
        <f t="shared" si="19"/>
        <v>18429897</v>
      </c>
      <c r="X229">
        <f t="shared" si="20"/>
        <v>17529897</v>
      </c>
      <c r="Y229">
        <f t="shared" si="21"/>
        <v>-25394845.5</v>
      </c>
      <c r="Z229">
        <f t="shared" si="22"/>
        <v>44724742.5</v>
      </c>
      <c r="AA229" t="str">
        <f t="shared" si="23"/>
        <v>Normal</v>
      </c>
      <c r="AE229" s="2"/>
      <c r="AF229" s="2"/>
    </row>
    <row r="230" spans="1:32" x14ac:dyDescent="0.35">
      <c r="A230">
        <v>229</v>
      </c>
      <c r="B230" s="1">
        <v>43256</v>
      </c>
      <c r="C230" s="9" t="s">
        <v>499</v>
      </c>
      <c r="D230" s="9" t="s">
        <v>4933</v>
      </c>
      <c r="E230" s="9" t="s">
        <v>5876</v>
      </c>
      <c r="F230" s="9" t="s">
        <v>307</v>
      </c>
      <c r="G230" s="9" t="s">
        <v>500</v>
      </c>
      <c r="H230" s="9" t="s">
        <v>275</v>
      </c>
      <c r="I230" s="11">
        <v>18429897</v>
      </c>
      <c r="J230" s="11">
        <v>2743598</v>
      </c>
      <c r="K230" s="11">
        <v>1563364</v>
      </c>
      <c r="L230" s="3">
        <v>206</v>
      </c>
      <c r="M230" s="3">
        <v>3678</v>
      </c>
      <c r="N230" s="3">
        <v>1018455</v>
      </c>
      <c r="O230" s="2">
        <v>0.123</v>
      </c>
      <c r="P230" s="2">
        <v>0.441</v>
      </c>
      <c r="Q230" s="2">
        <v>-0.34899999999999998</v>
      </c>
      <c r="R230" s="11">
        <v>132548399</v>
      </c>
      <c r="S230" s="11">
        <v>1890663</v>
      </c>
      <c r="T230">
        <v>2018</v>
      </c>
      <c r="U230">
        <v>6</v>
      </c>
      <c r="V230">
        <f t="shared" si="18"/>
        <v>897500</v>
      </c>
      <c r="W230">
        <f t="shared" si="19"/>
        <v>18429897</v>
      </c>
      <c r="X230">
        <f t="shared" si="20"/>
        <v>17532397</v>
      </c>
      <c r="Y230">
        <f t="shared" si="21"/>
        <v>-25401095.5</v>
      </c>
      <c r="Z230">
        <f t="shared" si="22"/>
        <v>44728492.5</v>
      </c>
      <c r="AA230" t="str">
        <f t="shared" si="23"/>
        <v>Normal</v>
      </c>
      <c r="AE230" s="2"/>
      <c r="AF230" s="2"/>
    </row>
    <row r="231" spans="1:32" x14ac:dyDescent="0.35">
      <c r="A231">
        <v>230</v>
      </c>
      <c r="B231" s="1">
        <v>43256</v>
      </c>
      <c r="C231" s="9" t="s">
        <v>501</v>
      </c>
      <c r="D231" s="9" t="s">
        <v>2539</v>
      </c>
      <c r="E231" s="9" t="s">
        <v>5877</v>
      </c>
      <c r="F231" s="9" t="s">
        <v>31</v>
      </c>
      <c r="G231" s="9" t="s">
        <v>502</v>
      </c>
      <c r="H231" s="9" t="s">
        <v>275</v>
      </c>
      <c r="I231" s="11">
        <v>18429897</v>
      </c>
      <c r="J231" s="11">
        <v>900328</v>
      </c>
      <c r="K231" s="11">
        <v>5933768</v>
      </c>
      <c r="L231" s="3">
        <v>164</v>
      </c>
      <c r="M231" s="3">
        <v>1454</v>
      </c>
      <c r="N231" s="3">
        <v>1355373</v>
      </c>
      <c r="O231" s="2">
        <v>1.6E-2</v>
      </c>
      <c r="P231" s="2">
        <v>0.63</v>
      </c>
      <c r="Q231" s="2">
        <v>0.17899999999999999</v>
      </c>
      <c r="R231" s="11">
        <v>70067159</v>
      </c>
      <c r="S231" s="11">
        <v>681253</v>
      </c>
      <c r="T231">
        <v>2018</v>
      </c>
      <c r="U231">
        <v>6</v>
      </c>
      <c r="V231">
        <f t="shared" si="18"/>
        <v>895000</v>
      </c>
      <c r="W231">
        <f t="shared" si="19"/>
        <v>18429897</v>
      </c>
      <c r="X231">
        <f t="shared" si="20"/>
        <v>17534897</v>
      </c>
      <c r="Y231">
        <f t="shared" si="21"/>
        <v>-25407345.5</v>
      </c>
      <c r="Z231">
        <f t="shared" si="22"/>
        <v>44732242.5</v>
      </c>
      <c r="AA231" t="str">
        <f t="shared" si="23"/>
        <v>Normal</v>
      </c>
      <c r="AE231" s="2"/>
      <c r="AF231" s="2"/>
    </row>
    <row r="232" spans="1:32" x14ac:dyDescent="0.35">
      <c r="A232">
        <v>231</v>
      </c>
      <c r="B232" s="1">
        <v>43258</v>
      </c>
      <c r="C232" s="9" t="s">
        <v>503</v>
      </c>
      <c r="D232" s="9" t="s">
        <v>4933</v>
      </c>
      <c r="E232" s="9" t="s">
        <v>5696</v>
      </c>
      <c r="F232" s="9" t="s">
        <v>504</v>
      </c>
      <c r="G232" s="9" t="s">
        <v>505</v>
      </c>
      <c r="H232" s="9" t="s">
        <v>105</v>
      </c>
      <c r="I232" s="11">
        <v>23000000</v>
      </c>
      <c r="J232" s="11">
        <v>2326765</v>
      </c>
      <c r="K232" s="11">
        <v>2494220</v>
      </c>
      <c r="L232" s="3">
        <v>412</v>
      </c>
      <c r="M232" s="3">
        <v>1951</v>
      </c>
      <c r="N232" s="3">
        <v>53715</v>
      </c>
      <c r="O232" s="2">
        <v>0.17600000000000002</v>
      </c>
      <c r="P232" s="2">
        <v>0.65</v>
      </c>
      <c r="Q232" s="2">
        <v>6.9000000000000006E-2</v>
      </c>
      <c r="R232" s="11">
        <v>34897683</v>
      </c>
      <c r="S232" s="11">
        <v>758410</v>
      </c>
      <c r="T232">
        <v>2018</v>
      </c>
      <c r="U232">
        <v>6</v>
      </c>
      <c r="V232">
        <f t="shared" si="18"/>
        <v>892500</v>
      </c>
      <c r="W232">
        <f t="shared" si="19"/>
        <v>18429897</v>
      </c>
      <c r="X232">
        <f t="shared" si="20"/>
        <v>17537397</v>
      </c>
      <c r="Y232">
        <f t="shared" si="21"/>
        <v>-25413595.5</v>
      </c>
      <c r="Z232">
        <f t="shared" si="22"/>
        <v>44735992.5</v>
      </c>
      <c r="AA232" t="str">
        <f t="shared" si="23"/>
        <v>Normal</v>
      </c>
      <c r="AE232" s="2"/>
      <c r="AF232" s="2"/>
    </row>
    <row r="233" spans="1:32" x14ac:dyDescent="0.35">
      <c r="A233">
        <v>232</v>
      </c>
      <c r="B233" s="1">
        <v>43258</v>
      </c>
      <c r="C233" s="9" t="s">
        <v>148</v>
      </c>
      <c r="D233" s="9" t="s">
        <v>4988</v>
      </c>
      <c r="E233" s="9" t="s">
        <v>5878</v>
      </c>
      <c r="F233" s="9" t="s">
        <v>15</v>
      </c>
      <c r="G233" s="9" t="s">
        <v>506</v>
      </c>
      <c r="H233" s="9" t="s">
        <v>105</v>
      </c>
      <c r="I233" s="11">
        <v>11500000</v>
      </c>
      <c r="J233" s="11">
        <v>4285939</v>
      </c>
      <c r="K233" s="11">
        <v>1157565</v>
      </c>
      <c r="L233" s="3">
        <v>62</v>
      </c>
      <c r="M233" s="3">
        <v>2868</v>
      </c>
      <c r="N233" s="3">
        <v>48189</v>
      </c>
      <c r="O233" s="2">
        <v>0.37200000000000005</v>
      </c>
      <c r="P233" s="2">
        <v>1.0609999999999999</v>
      </c>
      <c r="Q233" s="2">
        <v>7.0000000000000007E-2</v>
      </c>
      <c r="R233" s="11">
        <v>250264963</v>
      </c>
      <c r="S233" s="11">
        <v>217903</v>
      </c>
      <c r="T233">
        <v>2018</v>
      </c>
      <c r="U233">
        <v>6</v>
      </c>
      <c r="V233">
        <f t="shared" si="18"/>
        <v>890000</v>
      </c>
      <c r="W233">
        <f t="shared" si="19"/>
        <v>18429897</v>
      </c>
      <c r="X233">
        <f t="shared" si="20"/>
        <v>17539897</v>
      </c>
      <c r="Y233">
        <f t="shared" si="21"/>
        <v>-25419845.5</v>
      </c>
      <c r="Z233">
        <f t="shared" si="22"/>
        <v>44739742.5</v>
      </c>
      <c r="AA233" t="str">
        <f t="shared" si="23"/>
        <v>Normal</v>
      </c>
      <c r="AE233" s="2"/>
      <c r="AF233" s="2"/>
    </row>
    <row r="234" spans="1:32" x14ac:dyDescent="0.35">
      <c r="A234">
        <v>233</v>
      </c>
      <c r="B234" s="1">
        <v>43261</v>
      </c>
      <c r="C234" s="9" t="s">
        <v>83</v>
      </c>
      <c r="D234" s="9" t="s">
        <v>4933</v>
      </c>
      <c r="E234" s="9" t="s">
        <v>1111</v>
      </c>
      <c r="F234" s="9" t="s">
        <v>151</v>
      </c>
      <c r="G234" s="9" t="s">
        <v>507</v>
      </c>
      <c r="H234" s="9" t="s">
        <v>105</v>
      </c>
      <c r="I234" s="11">
        <v>21500000</v>
      </c>
      <c r="J234" s="11">
        <v>117229</v>
      </c>
      <c r="K234" s="11">
        <v>8855951</v>
      </c>
      <c r="L234" s="3">
        <v>54</v>
      </c>
      <c r="M234" s="3">
        <v>3790</v>
      </c>
      <c r="N234" s="3">
        <v>1621561</v>
      </c>
      <c r="O234" s="2">
        <v>0.217</v>
      </c>
      <c r="P234" s="2">
        <v>0.23100000000000001</v>
      </c>
      <c r="Q234" s="2">
        <v>-0.126</v>
      </c>
      <c r="R234" s="11">
        <v>264360235</v>
      </c>
      <c r="S234" s="11">
        <v>1191067</v>
      </c>
      <c r="T234">
        <v>2018</v>
      </c>
      <c r="U234">
        <v>6</v>
      </c>
      <c r="V234">
        <f t="shared" si="18"/>
        <v>885500</v>
      </c>
      <c r="W234">
        <f t="shared" si="19"/>
        <v>18429897</v>
      </c>
      <c r="X234">
        <f t="shared" si="20"/>
        <v>17544397</v>
      </c>
      <c r="Y234">
        <f t="shared" si="21"/>
        <v>-25431095.5</v>
      </c>
      <c r="Z234">
        <f t="shared" si="22"/>
        <v>44746492.5</v>
      </c>
      <c r="AA234" t="str">
        <f t="shared" si="23"/>
        <v>Normal</v>
      </c>
      <c r="AE234" s="2"/>
      <c r="AF234" s="2"/>
    </row>
    <row r="235" spans="1:32" x14ac:dyDescent="0.35">
      <c r="A235">
        <v>234</v>
      </c>
      <c r="B235" s="1">
        <v>43262</v>
      </c>
      <c r="C235" s="9" t="s">
        <v>508</v>
      </c>
      <c r="D235" s="9" t="s">
        <v>2539</v>
      </c>
      <c r="E235" s="9" t="s">
        <v>5879</v>
      </c>
      <c r="F235" s="9" t="s">
        <v>124</v>
      </c>
      <c r="G235" s="9" t="s">
        <v>509</v>
      </c>
      <c r="H235" s="9" t="s">
        <v>275</v>
      </c>
      <c r="I235" s="11">
        <v>18429897</v>
      </c>
      <c r="J235" s="11">
        <v>3797427</v>
      </c>
      <c r="K235" s="11">
        <v>1835747</v>
      </c>
      <c r="L235" s="3">
        <v>35</v>
      </c>
      <c r="M235" s="3">
        <v>1549</v>
      </c>
      <c r="N235" s="3">
        <v>564467</v>
      </c>
      <c r="O235" s="2">
        <v>-0.126</v>
      </c>
      <c r="P235" s="2">
        <v>0.495</v>
      </c>
      <c r="Q235" s="2">
        <v>0.5</v>
      </c>
      <c r="R235" s="11">
        <v>128173703</v>
      </c>
      <c r="S235" s="11">
        <v>1008193.5</v>
      </c>
      <c r="T235">
        <v>2018</v>
      </c>
      <c r="U235">
        <v>6</v>
      </c>
      <c r="V235">
        <f t="shared" si="18"/>
        <v>881000</v>
      </c>
      <c r="W235">
        <f t="shared" si="19"/>
        <v>18429897</v>
      </c>
      <c r="X235">
        <f t="shared" si="20"/>
        <v>17548897</v>
      </c>
      <c r="Y235">
        <f t="shared" si="21"/>
        <v>-25442345.5</v>
      </c>
      <c r="Z235">
        <f t="shared" si="22"/>
        <v>44753242.5</v>
      </c>
      <c r="AA235" t="str">
        <f t="shared" si="23"/>
        <v>Normal</v>
      </c>
      <c r="AE235" s="2"/>
      <c r="AF235" s="2"/>
    </row>
    <row r="236" spans="1:32" x14ac:dyDescent="0.35">
      <c r="A236">
        <v>235</v>
      </c>
      <c r="B236" s="1">
        <v>43263</v>
      </c>
      <c r="C236" s="9" t="s">
        <v>510</v>
      </c>
      <c r="D236" s="9" t="s">
        <v>4933</v>
      </c>
      <c r="E236" s="9" t="s">
        <v>5880</v>
      </c>
      <c r="F236" s="9" t="s">
        <v>31</v>
      </c>
      <c r="G236" s="9" t="s">
        <v>510</v>
      </c>
      <c r="H236" s="9" t="s">
        <v>105</v>
      </c>
      <c r="I236" s="11">
        <v>14800000</v>
      </c>
      <c r="J236" s="11">
        <v>2473956</v>
      </c>
      <c r="K236" s="11">
        <v>5985720</v>
      </c>
      <c r="L236" s="3">
        <v>258</v>
      </c>
      <c r="M236" s="3">
        <v>2467</v>
      </c>
      <c r="N236" s="3">
        <v>1809919</v>
      </c>
      <c r="O236" s="2">
        <v>0.161</v>
      </c>
      <c r="P236" s="2">
        <v>0.83200000000000007</v>
      </c>
      <c r="Q236" s="2">
        <v>9.8000000000000004E-2</v>
      </c>
      <c r="R236" s="11">
        <v>207855607</v>
      </c>
      <c r="S236" s="11">
        <v>765236</v>
      </c>
      <c r="T236">
        <v>2018</v>
      </c>
      <c r="U236">
        <v>6</v>
      </c>
      <c r="V236">
        <f t="shared" si="18"/>
        <v>876500</v>
      </c>
      <c r="W236">
        <f t="shared" si="19"/>
        <v>18429897</v>
      </c>
      <c r="X236">
        <f t="shared" si="20"/>
        <v>17553397</v>
      </c>
      <c r="Y236">
        <f t="shared" si="21"/>
        <v>-25453595.5</v>
      </c>
      <c r="Z236">
        <f t="shared" si="22"/>
        <v>44759992.5</v>
      </c>
      <c r="AA236" t="str">
        <f t="shared" si="23"/>
        <v>Normal</v>
      </c>
      <c r="AE236" s="2"/>
      <c r="AF236" s="2"/>
    </row>
    <row r="237" spans="1:32" x14ac:dyDescent="0.35">
      <c r="A237">
        <v>236</v>
      </c>
      <c r="B237" s="1">
        <v>43263</v>
      </c>
      <c r="C237" s="9" t="s">
        <v>511</v>
      </c>
      <c r="D237" s="9" t="s">
        <v>4925</v>
      </c>
      <c r="E237" s="9" t="s">
        <v>5881</v>
      </c>
      <c r="F237" s="9" t="s">
        <v>35</v>
      </c>
      <c r="G237" s="9" t="s">
        <v>512</v>
      </c>
      <c r="H237" s="9" t="s">
        <v>105</v>
      </c>
      <c r="I237" s="11">
        <v>10100000</v>
      </c>
      <c r="J237" s="11">
        <v>3602925</v>
      </c>
      <c r="K237" s="11">
        <v>19629138</v>
      </c>
      <c r="L237" s="3">
        <v>42</v>
      </c>
      <c r="M237" s="3">
        <v>968</v>
      </c>
      <c r="N237" s="3">
        <v>1188540</v>
      </c>
      <c r="O237" s="2">
        <v>0.23699999999999999</v>
      </c>
      <c r="P237" s="2">
        <v>0.82200000000000006</v>
      </c>
      <c r="Q237" s="2">
        <v>5.3999999999999999E-2</v>
      </c>
      <c r="R237" s="11">
        <v>266637606</v>
      </c>
      <c r="S237" s="11">
        <v>1476010</v>
      </c>
      <c r="T237">
        <v>2018</v>
      </c>
      <c r="U237">
        <v>6</v>
      </c>
      <c r="V237">
        <f t="shared" si="18"/>
        <v>872000</v>
      </c>
      <c r="W237">
        <f t="shared" si="19"/>
        <v>18429897</v>
      </c>
      <c r="X237">
        <f t="shared" si="20"/>
        <v>17557897</v>
      </c>
      <c r="Y237">
        <f t="shared" si="21"/>
        <v>-25464845.5</v>
      </c>
      <c r="Z237">
        <f t="shared" si="22"/>
        <v>44766742.5</v>
      </c>
      <c r="AA237" t="str">
        <f t="shared" si="23"/>
        <v>Normal</v>
      </c>
      <c r="AE237" s="2"/>
      <c r="AF237" s="2"/>
    </row>
    <row r="238" spans="1:32" x14ac:dyDescent="0.35">
      <c r="A238">
        <v>237</v>
      </c>
      <c r="B238" s="1">
        <v>43263</v>
      </c>
      <c r="C238" s="9" t="s">
        <v>513</v>
      </c>
      <c r="D238" s="9" t="s">
        <v>4988</v>
      </c>
      <c r="E238" s="9" t="s">
        <v>4036</v>
      </c>
      <c r="F238" s="9" t="s">
        <v>15</v>
      </c>
      <c r="G238" s="9" t="s">
        <v>514</v>
      </c>
      <c r="H238" s="9" t="s">
        <v>275</v>
      </c>
      <c r="I238" s="11">
        <v>3000000</v>
      </c>
      <c r="J238" s="11">
        <v>3323224</v>
      </c>
      <c r="K238" s="11">
        <v>17688946</v>
      </c>
      <c r="L238" s="3">
        <v>293</v>
      </c>
      <c r="M238" s="3">
        <v>4058</v>
      </c>
      <c r="N238" s="3">
        <v>1049032</v>
      </c>
      <c r="O238" s="2">
        <v>0.37200000000000005</v>
      </c>
      <c r="P238" s="2">
        <v>0.51800000000000002</v>
      </c>
      <c r="Q238" s="2">
        <v>0.27399999999999997</v>
      </c>
      <c r="R238" s="11">
        <v>143657424</v>
      </c>
      <c r="S238" s="11">
        <v>1008193.5</v>
      </c>
      <c r="T238">
        <v>2018</v>
      </c>
      <c r="U238">
        <v>6</v>
      </c>
      <c r="V238">
        <f t="shared" si="18"/>
        <v>866500</v>
      </c>
      <c r="W238">
        <f t="shared" si="19"/>
        <v>18429897</v>
      </c>
      <c r="X238">
        <f t="shared" si="20"/>
        <v>17563397</v>
      </c>
      <c r="Y238">
        <f t="shared" si="21"/>
        <v>-25478595.5</v>
      </c>
      <c r="Z238">
        <f t="shared" si="22"/>
        <v>44774992.5</v>
      </c>
      <c r="AA238" t="str">
        <f t="shared" si="23"/>
        <v>Normal</v>
      </c>
      <c r="AE238" s="2"/>
      <c r="AF238" s="2"/>
    </row>
    <row r="239" spans="1:32" x14ac:dyDescent="0.35">
      <c r="A239">
        <v>238</v>
      </c>
      <c r="B239" s="1">
        <v>43264</v>
      </c>
      <c r="C239" s="9" t="s">
        <v>515</v>
      </c>
      <c r="D239" s="9" t="s">
        <v>2539</v>
      </c>
      <c r="E239" s="9" t="s">
        <v>5882</v>
      </c>
      <c r="F239" s="9" t="s">
        <v>151</v>
      </c>
      <c r="G239" s="9" t="s">
        <v>516</v>
      </c>
      <c r="H239" s="9" t="s">
        <v>275</v>
      </c>
      <c r="I239" s="11">
        <v>300000</v>
      </c>
      <c r="J239" s="11">
        <v>2171823</v>
      </c>
      <c r="K239" s="11">
        <v>18748067</v>
      </c>
      <c r="L239" s="3">
        <v>87</v>
      </c>
      <c r="M239" s="3">
        <v>4373</v>
      </c>
      <c r="N239" s="3">
        <v>818472</v>
      </c>
      <c r="O239" s="2">
        <v>8.900000000000001E-2</v>
      </c>
      <c r="P239" s="2">
        <v>0.37799999999999995</v>
      </c>
      <c r="Q239" s="2">
        <v>-0.17300000000000001</v>
      </c>
      <c r="R239" s="11">
        <v>318381403</v>
      </c>
      <c r="S239" s="11">
        <v>1454275</v>
      </c>
      <c r="T239">
        <v>2018</v>
      </c>
      <c r="U239">
        <v>6</v>
      </c>
      <c r="V239">
        <f t="shared" si="18"/>
        <v>861000</v>
      </c>
      <c r="W239">
        <f t="shared" si="19"/>
        <v>18429897</v>
      </c>
      <c r="X239">
        <f t="shared" si="20"/>
        <v>17568897</v>
      </c>
      <c r="Y239">
        <f t="shared" si="21"/>
        <v>-25492345.5</v>
      </c>
      <c r="Z239">
        <f t="shared" si="22"/>
        <v>44783242.5</v>
      </c>
      <c r="AA239" t="str">
        <f t="shared" si="23"/>
        <v>Normal</v>
      </c>
      <c r="AE239" s="2"/>
      <c r="AF239" s="2"/>
    </row>
    <row r="240" spans="1:32" x14ac:dyDescent="0.35">
      <c r="A240">
        <v>239</v>
      </c>
      <c r="B240" s="1">
        <v>43264</v>
      </c>
      <c r="C240" s="9" t="s">
        <v>517</v>
      </c>
      <c r="D240" s="9" t="s">
        <v>4933</v>
      </c>
      <c r="E240" s="9" t="s">
        <v>5883</v>
      </c>
      <c r="F240" s="9" t="s">
        <v>63</v>
      </c>
      <c r="G240" s="9" t="s">
        <v>518</v>
      </c>
      <c r="H240" s="9" t="s">
        <v>275</v>
      </c>
      <c r="I240" s="11">
        <v>450000</v>
      </c>
      <c r="J240" s="11">
        <v>1557162</v>
      </c>
      <c r="K240" s="11">
        <v>829035</v>
      </c>
      <c r="L240" s="3">
        <v>445</v>
      </c>
      <c r="M240" s="3">
        <v>3711</v>
      </c>
      <c r="N240" s="3">
        <v>743490</v>
      </c>
      <c r="O240" s="2">
        <v>9.0999999999999998E-2</v>
      </c>
      <c r="P240" s="2">
        <v>0.47699999999999998</v>
      </c>
      <c r="Q240" s="2">
        <v>-0.249</v>
      </c>
      <c r="R240" s="11">
        <v>194749254</v>
      </c>
      <c r="S240" s="11">
        <v>190042</v>
      </c>
      <c r="T240">
        <v>2018</v>
      </c>
      <c r="U240">
        <v>6</v>
      </c>
      <c r="V240">
        <f t="shared" si="18"/>
        <v>876500</v>
      </c>
      <c r="W240">
        <f t="shared" si="19"/>
        <v>18429897</v>
      </c>
      <c r="X240">
        <f t="shared" si="20"/>
        <v>17553397</v>
      </c>
      <c r="Y240">
        <f t="shared" si="21"/>
        <v>-25453595.5</v>
      </c>
      <c r="Z240">
        <f t="shared" si="22"/>
        <v>44759992.5</v>
      </c>
      <c r="AA240" t="str">
        <f t="shared" si="23"/>
        <v>Normal</v>
      </c>
      <c r="AE240" s="2"/>
      <c r="AF240" s="2"/>
    </row>
    <row r="241" spans="1:32" x14ac:dyDescent="0.35">
      <c r="A241">
        <v>240</v>
      </c>
      <c r="B241" s="1">
        <v>43264</v>
      </c>
      <c r="C241" s="9" t="s">
        <v>519</v>
      </c>
      <c r="D241" s="9" t="s">
        <v>4988</v>
      </c>
      <c r="E241" s="9" t="s">
        <v>5884</v>
      </c>
      <c r="F241" s="9" t="s">
        <v>151</v>
      </c>
      <c r="G241" s="9" t="s">
        <v>520</v>
      </c>
      <c r="H241" s="9" t="s">
        <v>275</v>
      </c>
      <c r="I241" s="11">
        <v>18429897</v>
      </c>
      <c r="J241" s="11">
        <v>3143998</v>
      </c>
      <c r="K241" s="11">
        <v>13252121</v>
      </c>
      <c r="L241" s="3">
        <v>219</v>
      </c>
      <c r="M241" s="3">
        <v>4086</v>
      </c>
      <c r="N241" s="3">
        <v>449996</v>
      </c>
      <c r="O241" s="2">
        <v>0.33600000000000002</v>
      </c>
      <c r="P241" s="2">
        <v>1.0920000000000001</v>
      </c>
      <c r="Q241" s="2">
        <v>-0.40200000000000002</v>
      </c>
      <c r="R241" s="11">
        <v>400865003</v>
      </c>
      <c r="S241" s="11">
        <v>1243826</v>
      </c>
      <c r="T241">
        <v>2018</v>
      </c>
      <c r="U241">
        <v>6</v>
      </c>
      <c r="V241">
        <f t="shared" si="18"/>
        <v>890000</v>
      </c>
      <c r="W241">
        <f t="shared" si="19"/>
        <v>18429897</v>
      </c>
      <c r="X241">
        <f t="shared" si="20"/>
        <v>17539897</v>
      </c>
      <c r="Y241">
        <f t="shared" si="21"/>
        <v>-25419845.5</v>
      </c>
      <c r="Z241">
        <f t="shared" si="22"/>
        <v>44739742.5</v>
      </c>
      <c r="AA241" t="str">
        <f t="shared" si="23"/>
        <v>Normal</v>
      </c>
      <c r="AE241" s="2"/>
      <c r="AF241" s="2"/>
    </row>
    <row r="242" spans="1:32" x14ac:dyDescent="0.35">
      <c r="A242">
        <v>241</v>
      </c>
      <c r="B242" s="1">
        <v>43265</v>
      </c>
      <c r="C242" s="9" t="s">
        <v>521</v>
      </c>
      <c r="D242" s="9" t="s">
        <v>4988</v>
      </c>
      <c r="E242" s="9" t="s">
        <v>5885</v>
      </c>
      <c r="F242" s="9" t="s">
        <v>15</v>
      </c>
      <c r="G242" s="9" t="s">
        <v>522</v>
      </c>
      <c r="H242" s="9" t="s">
        <v>275</v>
      </c>
      <c r="I242" s="11">
        <v>3450000</v>
      </c>
      <c r="J242" s="11">
        <v>718316</v>
      </c>
      <c r="K242" s="11">
        <v>12714221</v>
      </c>
      <c r="L242" s="3">
        <v>51</v>
      </c>
      <c r="M242" s="3">
        <v>3832</v>
      </c>
      <c r="N242" s="3">
        <v>1404742</v>
      </c>
      <c r="O242" s="2">
        <v>1.6E-2</v>
      </c>
      <c r="P242" s="2">
        <v>0.46299999999999997</v>
      </c>
      <c r="Q242" s="2">
        <v>0.13500000000000001</v>
      </c>
      <c r="R242" s="11">
        <v>80745216</v>
      </c>
      <c r="S242" s="11">
        <v>357469</v>
      </c>
      <c r="T242">
        <v>2018</v>
      </c>
      <c r="U242">
        <v>6</v>
      </c>
      <c r="V242">
        <f t="shared" si="18"/>
        <v>885500</v>
      </c>
      <c r="W242">
        <f t="shared" si="19"/>
        <v>18429897</v>
      </c>
      <c r="X242">
        <f t="shared" si="20"/>
        <v>17544397</v>
      </c>
      <c r="Y242">
        <f t="shared" si="21"/>
        <v>-25431095.5</v>
      </c>
      <c r="Z242">
        <f t="shared" si="22"/>
        <v>44746492.5</v>
      </c>
      <c r="AA242" t="str">
        <f t="shared" si="23"/>
        <v>Normal</v>
      </c>
      <c r="AE242" s="2"/>
      <c r="AF242" s="2"/>
    </row>
    <row r="243" spans="1:32" x14ac:dyDescent="0.35">
      <c r="A243">
        <v>242</v>
      </c>
      <c r="B243" s="1">
        <v>43265</v>
      </c>
      <c r="C243" s="9" t="s">
        <v>523</v>
      </c>
      <c r="D243" s="9" t="s">
        <v>4930</v>
      </c>
      <c r="E243" s="9" t="s">
        <v>5886</v>
      </c>
      <c r="F243" s="9" t="s">
        <v>31</v>
      </c>
      <c r="G243" s="9" t="s">
        <v>524</v>
      </c>
      <c r="H243" s="9" t="s">
        <v>105</v>
      </c>
      <c r="I243" s="11">
        <v>4800000</v>
      </c>
      <c r="J243" s="11">
        <v>2928807</v>
      </c>
      <c r="K243" s="11">
        <v>2742009</v>
      </c>
      <c r="L243" s="3">
        <v>254</v>
      </c>
      <c r="M243" s="3">
        <v>4186</v>
      </c>
      <c r="N243" s="3">
        <v>1212324</v>
      </c>
      <c r="O243" s="2">
        <v>-0.2</v>
      </c>
      <c r="P243" s="2">
        <v>0.69200000000000006</v>
      </c>
      <c r="Q243" s="2">
        <v>0.28899999999999998</v>
      </c>
      <c r="R243" s="11">
        <v>301846456</v>
      </c>
      <c r="S243" s="11">
        <v>1846906</v>
      </c>
      <c r="T243">
        <v>2018</v>
      </c>
      <c r="U243">
        <v>6</v>
      </c>
      <c r="V243">
        <f t="shared" si="18"/>
        <v>881000</v>
      </c>
      <c r="W243">
        <f t="shared" si="19"/>
        <v>18429897</v>
      </c>
      <c r="X243">
        <f t="shared" si="20"/>
        <v>17548897</v>
      </c>
      <c r="Y243">
        <f t="shared" si="21"/>
        <v>-25442345.5</v>
      </c>
      <c r="Z243">
        <f t="shared" si="22"/>
        <v>44753242.5</v>
      </c>
      <c r="AA243" t="str">
        <f t="shared" si="23"/>
        <v>Normal</v>
      </c>
      <c r="AE243" s="2"/>
      <c r="AF243" s="2"/>
    </row>
    <row r="244" spans="1:32" x14ac:dyDescent="0.35">
      <c r="A244">
        <v>243</v>
      </c>
      <c r="B244" s="1">
        <v>43269</v>
      </c>
      <c r="C244" s="9" t="s">
        <v>525</v>
      </c>
      <c r="D244" s="9" t="s">
        <v>2539</v>
      </c>
      <c r="E244" s="9" t="s">
        <v>5887</v>
      </c>
      <c r="F244" s="9" t="s">
        <v>526</v>
      </c>
      <c r="G244" s="9" t="s">
        <v>527</v>
      </c>
      <c r="H244" s="9" t="s">
        <v>105</v>
      </c>
      <c r="I244" s="11">
        <v>21000000</v>
      </c>
      <c r="J244" s="11">
        <v>491579</v>
      </c>
      <c r="K244" s="11">
        <v>18133009</v>
      </c>
      <c r="L244" s="3">
        <v>172</v>
      </c>
      <c r="M244" s="3">
        <v>2505.5</v>
      </c>
      <c r="N244" s="3">
        <v>44874</v>
      </c>
      <c r="O244" s="2">
        <v>-0.24299999999999999</v>
      </c>
      <c r="P244" s="2">
        <v>1.1420000000000001</v>
      </c>
      <c r="Q244" s="2">
        <v>-0.193</v>
      </c>
      <c r="R244" s="11">
        <v>156797895</v>
      </c>
      <c r="S244" s="11">
        <v>1456270</v>
      </c>
      <c r="T244">
        <v>2018</v>
      </c>
      <c r="U244">
        <v>6</v>
      </c>
      <c r="V244">
        <f t="shared" si="18"/>
        <v>876500</v>
      </c>
      <c r="W244">
        <f t="shared" si="19"/>
        <v>18429897</v>
      </c>
      <c r="X244">
        <f t="shared" si="20"/>
        <v>17553397</v>
      </c>
      <c r="Y244">
        <f t="shared" si="21"/>
        <v>-25453595.5</v>
      </c>
      <c r="Z244">
        <f t="shared" si="22"/>
        <v>44759992.5</v>
      </c>
      <c r="AA244" t="str">
        <f t="shared" si="23"/>
        <v>Normal</v>
      </c>
      <c r="AE244" s="2"/>
      <c r="AF244" s="2"/>
    </row>
    <row r="245" spans="1:32" x14ac:dyDescent="0.35">
      <c r="A245">
        <v>244</v>
      </c>
      <c r="B245" s="1">
        <v>43269</v>
      </c>
      <c r="C245" s="9" t="s">
        <v>528</v>
      </c>
      <c r="D245" s="9" t="s">
        <v>4990</v>
      </c>
      <c r="E245" s="9" t="s">
        <v>5888</v>
      </c>
      <c r="F245" s="9" t="s">
        <v>529</v>
      </c>
      <c r="G245" s="9" t="s">
        <v>530</v>
      </c>
      <c r="H245" s="9" t="s">
        <v>275</v>
      </c>
      <c r="I245" s="11">
        <v>1700000</v>
      </c>
      <c r="J245" s="11">
        <v>3256236</v>
      </c>
      <c r="K245" s="11">
        <v>8147114</v>
      </c>
      <c r="L245" s="3">
        <v>134</v>
      </c>
      <c r="M245" s="3">
        <v>1067</v>
      </c>
      <c r="N245" s="3">
        <v>647088</v>
      </c>
      <c r="O245" s="2">
        <v>0.48799999999999999</v>
      </c>
      <c r="P245" s="2">
        <v>0.318</v>
      </c>
      <c r="Q245" s="2">
        <v>-0.216</v>
      </c>
      <c r="R245" s="11">
        <v>58510420</v>
      </c>
      <c r="S245" s="11">
        <v>1150856</v>
      </c>
      <c r="T245">
        <v>2018</v>
      </c>
      <c r="U245">
        <v>6</v>
      </c>
      <c r="V245">
        <f t="shared" si="18"/>
        <v>872000</v>
      </c>
      <c r="W245">
        <f t="shared" si="19"/>
        <v>18429897</v>
      </c>
      <c r="X245">
        <f t="shared" si="20"/>
        <v>17557897</v>
      </c>
      <c r="Y245">
        <f t="shared" si="21"/>
        <v>-25464845.5</v>
      </c>
      <c r="Z245">
        <f t="shared" si="22"/>
        <v>44766742.5</v>
      </c>
      <c r="AA245" t="str">
        <f t="shared" si="23"/>
        <v>Normal</v>
      </c>
      <c r="AE245" s="2"/>
      <c r="AF245" s="2"/>
    </row>
    <row r="246" spans="1:32" x14ac:dyDescent="0.35">
      <c r="A246">
        <v>245</v>
      </c>
      <c r="B246" s="1">
        <v>43270</v>
      </c>
      <c r="C246" s="9" t="s">
        <v>531</v>
      </c>
      <c r="D246" s="9" t="s">
        <v>4955</v>
      </c>
      <c r="E246" s="9" t="s">
        <v>5889</v>
      </c>
      <c r="F246" s="9" t="s">
        <v>41</v>
      </c>
      <c r="G246" s="9" t="s">
        <v>532</v>
      </c>
      <c r="H246" s="9" t="s">
        <v>275</v>
      </c>
      <c r="I246" s="11">
        <v>18429897</v>
      </c>
      <c r="J246" s="11">
        <v>3151151</v>
      </c>
      <c r="K246" s="11">
        <v>19535740</v>
      </c>
      <c r="L246" s="3">
        <v>331</v>
      </c>
      <c r="M246" s="3">
        <v>4807</v>
      </c>
      <c r="N246" s="3">
        <v>1797841</v>
      </c>
      <c r="O246" s="2">
        <v>-0.223</v>
      </c>
      <c r="P246" s="2">
        <v>1.0709999999999999E-2</v>
      </c>
      <c r="Q246" s="2">
        <v>0.57200000000000006</v>
      </c>
      <c r="R246" s="11">
        <v>77414974</v>
      </c>
      <c r="S246" s="11">
        <v>497722</v>
      </c>
      <c r="T246">
        <v>2018</v>
      </c>
      <c r="U246">
        <v>6</v>
      </c>
      <c r="V246">
        <f t="shared" si="18"/>
        <v>866500</v>
      </c>
      <c r="W246">
        <f t="shared" si="19"/>
        <v>18429897</v>
      </c>
      <c r="X246">
        <f t="shared" si="20"/>
        <v>17563397</v>
      </c>
      <c r="Y246">
        <f t="shared" si="21"/>
        <v>-25478595.5</v>
      </c>
      <c r="Z246">
        <f t="shared" si="22"/>
        <v>44774992.5</v>
      </c>
      <c r="AA246" t="str">
        <f t="shared" si="23"/>
        <v>Normal</v>
      </c>
      <c r="AE246" s="2"/>
      <c r="AF246" s="2"/>
    </row>
    <row r="247" spans="1:32" x14ac:dyDescent="0.35">
      <c r="A247">
        <v>246</v>
      </c>
      <c r="B247" s="1">
        <v>43270</v>
      </c>
      <c r="C247" s="9" t="s">
        <v>533</v>
      </c>
      <c r="D247" s="9" t="s">
        <v>4988</v>
      </c>
      <c r="E247" s="9" t="s">
        <v>5890</v>
      </c>
      <c r="F247" s="9" t="s">
        <v>15</v>
      </c>
      <c r="G247" s="9" t="s">
        <v>534</v>
      </c>
      <c r="H247" s="9" t="s">
        <v>275</v>
      </c>
      <c r="I247" s="11">
        <v>1100000</v>
      </c>
      <c r="J247" s="11">
        <v>440532</v>
      </c>
      <c r="K247" s="11">
        <v>2368128</v>
      </c>
      <c r="L247" s="3">
        <v>478</v>
      </c>
      <c r="M247" s="3">
        <v>61</v>
      </c>
      <c r="N247" s="3">
        <v>985137</v>
      </c>
      <c r="O247" s="2">
        <v>8.6999999999999994E-2</v>
      </c>
      <c r="P247" s="2">
        <v>0.94299999999999995</v>
      </c>
      <c r="Q247" s="2">
        <v>0.41899999999999998</v>
      </c>
      <c r="R247" s="11">
        <v>395846669</v>
      </c>
      <c r="S247" s="11">
        <v>1981460</v>
      </c>
      <c r="T247">
        <v>2018</v>
      </c>
      <c r="U247">
        <v>6</v>
      </c>
      <c r="V247">
        <f t="shared" si="18"/>
        <v>861000</v>
      </c>
      <c r="W247">
        <f t="shared" si="19"/>
        <v>18429897</v>
      </c>
      <c r="X247">
        <f t="shared" si="20"/>
        <v>17568897</v>
      </c>
      <c r="Y247">
        <f t="shared" si="21"/>
        <v>-25492345.5</v>
      </c>
      <c r="Z247">
        <f t="shared" si="22"/>
        <v>44783242.5</v>
      </c>
      <c r="AA247" t="str">
        <f t="shared" si="23"/>
        <v>Normal</v>
      </c>
      <c r="AE247" s="2"/>
      <c r="AF247" s="2"/>
    </row>
    <row r="248" spans="1:32" x14ac:dyDescent="0.35">
      <c r="A248">
        <v>247</v>
      </c>
      <c r="B248" s="1">
        <v>43271</v>
      </c>
      <c r="C248" s="9" t="s">
        <v>535</v>
      </c>
      <c r="D248" s="9" t="s">
        <v>4933</v>
      </c>
      <c r="E248" s="9" t="s">
        <v>5891</v>
      </c>
      <c r="F248" s="9" t="s">
        <v>31</v>
      </c>
      <c r="G248" s="9" t="s">
        <v>536</v>
      </c>
      <c r="H248" s="9" t="s">
        <v>105</v>
      </c>
      <c r="I248" s="11">
        <v>15000000</v>
      </c>
      <c r="J248" s="11">
        <v>3792289</v>
      </c>
      <c r="K248" s="11">
        <v>13037598</v>
      </c>
      <c r="L248" s="3">
        <v>490</v>
      </c>
      <c r="M248" s="3">
        <v>2056</v>
      </c>
      <c r="N248" s="3">
        <v>512255</v>
      </c>
      <c r="O248" s="2">
        <v>0.29699999999999999</v>
      </c>
      <c r="P248" s="2">
        <v>0.68500000000000005</v>
      </c>
      <c r="Q248" s="2">
        <v>0.433</v>
      </c>
      <c r="R248" s="11">
        <v>434963050</v>
      </c>
      <c r="S248" s="11">
        <v>1973462</v>
      </c>
      <c r="T248">
        <v>2018</v>
      </c>
      <c r="U248">
        <v>6</v>
      </c>
      <c r="V248">
        <f t="shared" si="18"/>
        <v>855500</v>
      </c>
      <c r="W248">
        <f t="shared" si="19"/>
        <v>18429897</v>
      </c>
      <c r="X248">
        <f t="shared" si="20"/>
        <v>17574397</v>
      </c>
      <c r="Y248">
        <f t="shared" si="21"/>
        <v>-25506095.5</v>
      </c>
      <c r="Z248">
        <f t="shared" si="22"/>
        <v>44791492.5</v>
      </c>
      <c r="AA248" t="str">
        <f t="shared" si="23"/>
        <v>Normal</v>
      </c>
      <c r="AE248" s="2"/>
      <c r="AF248" s="2"/>
    </row>
    <row r="249" spans="1:32" x14ac:dyDescent="0.35">
      <c r="A249">
        <v>248</v>
      </c>
      <c r="B249" s="1">
        <v>43273</v>
      </c>
      <c r="C249" s="9" t="s">
        <v>537</v>
      </c>
      <c r="D249" s="9" t="s">
        <v>4988</v>
      </c>
      <c r="E249" s="9" t="s">
        <v>5892</v>
      </c>
      <c r="F249" s="9" t="s">
        <v>15</v>
      </c>
      <c r="G249" s="9" t="s">
        <v>538</v>
      </c>
      <c r="H249" s="9" t="s">
        <v>105</v>
      </c>
      <c r="I249" s="11">
        <v>9100000</v>
      </c>
      <c r="J249" s="11">
        <v>2090720</v>
      </c>
      <c r="K249" s="11">
        <v>2701639</v>
      </c>
      <c r="L249" s="3">
        <v>220</v>
      </c>
      <c r="M249" s="3">
        <v>2505.5</v>
      </c>
      <c r="N249" s="3">
        <v>459203</v>
      </c>
      <c r="O249" s="2">
        <v>-0.23300000000000001</v>
      </c>
      <c r="P249" s="2">
        <v>1.149E-2</v>
      </c>
      <c r="Q249" s="2">
        <v>0.187</v>
      </c>
      <c r="R249" s="11">
        <v>6725962</v>
      </c>
      <c r="S249" s="11">
        <v>1205598</v>
      </c>
      <c r="T249">
        <v>2018</v>
      </c>
      <c r="U249">
        <v>6</v>
      </c>
      <c r="V249">
        <f t="shared" si="18"/>
        <v>850000</v>
      </c>
      <c r="W249">
        <f t="shared" si="19"/>
        <v>18429897</v>
      </c>
      <c r="X249">
        <f t="shared" si="20"/>
        <v>17579897</v>
      </c>
      <c r="Y249">
        <f t="shared" si="21"/>
        <v>-25519845.5</v>
      </c>
      <c r="Z249">
        <f t="shared" si="22"/>
        <v>44799742.5</v>
      </c>
      <c r="AA249" t="str">
        <f t="shared" si="23"/>
        <v>Normal</v>
      </c>
      <c r="AE249" s="2"/>
      <c r="AF249" s="2"/>
    </row>
    <row r="250" spans="1:32" x14ac:dyDescent="0.35">
      <c r="A250">
        <v>249</v>
      </c>
      <c r="B250" s="1">
        <v>43276</v>
      </c>
      <c r="C250" s="9" t="s">
        <v>433</v>
      </c>
      <c r="D250" s="9" t="s">
        <v>4988</v>
      </c>
      <c r="E250" s="9" t="s">
        <v>5843</v>
      </c>
      <c r="F250" s="9" t="s">
        <v>151</v>
      </c>
      <c r="G250" s="9" t="s">
        <v>539</v>
      </c>
      <c r="H250" s="9" t="s">
        <v>105</v>
      </c>
      <c r="I250" s="11">
        <v>200000000</v>
      </c>
      <c r="J250" s="11">
        <v>3938694</v>
      </c>
      <c r="K250" s="11">
        <v>19003466</v>
      </c>
      <c r="L250" s="3">
        <v>424</v>
      </c>
      <c r="M250" s="3">
        <v>3976</v>
      </c>
      <c r="N250" s="3">
        <v>381898</v>
      </c>
      <c r="O250" s="2">
        <v>-9.6000000000000002E-2</v>
      </c>
      <c r="P250" s="2">
        <v>0.27399999999999997</v>
      </c>
      <c r="Q250" s="2">
        <v>0.27600000000000002</v>
      </c>
      <c r="R250" s="11">
        <v>115263615</v>
      </c>
      <c r="S250" s="11">
        <v>1672218</v>
      </c>
      <c r="T250">
        <v>2018</v>
      </c>
      <c r="U250">
        <v>6</v>
      </c>
      <c r="V250">
        <f t="shared" si="18"/>
        <v>843750</v>
      </c>
      <c r="W250">
        <f t="shared" si="19"/>
        <v>18429897</v>
      </c>
      <c r="X250">
        <f t="shared" si="20"/>
        <v>17586147</v>
      </c>
      <c r="Y250">
        <f t="shared" si="21"/>
        <v>-25535470.5</v>
      </c>
      <c r="Z250">
        <f t="shared" si="22"/>
        <v>44809117.5</v>
      </c>
      <c r="AA250" t="str">
        <f t="shared" si="23"/>
        <v>Outlier</v>
      </c>
      <c r="AE250" s="2"/>
      <c r="AF250" s="2"/>
    </row>
    <row r="251" spans="1:32" x14ac:dyDescent="0.35">
      <c r="A251">
        <v>250</v>
      </c>
      <c r="B251" s="1">
        <v>43276</v>
      </c>
      <c r="C251" s="9" t="s">
        <v>540</v>
      </c>
      <c r="D251" s="9" t="s">
        <v>4988</v>
      </c>
      <c r="E251" s="9" t="s">
        <v>5893</v>
      </c>
      <c r="F251" s="9" t="s">
        <v>15</v>
      </c>
      <c r="G251" s="9" t="s">
        <v>541</v>
      </c>
      <c r="H251" s="9" t="s">
        <v>105</v>
      </c>
      <c r="I251" s="11">
        <v>4000000</v>
      </c>
      <c r="J251" s="11">
        <v>2531926</v>
      </c>
      <c r="K251" s="11">
        <v>12191211</v>
      </c>
      <c r="L251" s="3">
        <v>108</v>
      </c>
      <c r="M251" s="3">
        <v>3443</v>
      </c>
      <c r="N251" s="3">
        <v>1722196</v>
      </c>
      <c r="O251" s="2">
        <v>-0.129</v>
      </c>
      <c r="P251" s="2">
        <v>1.0549999999999999</v>
      </c>
      <c r="Q251" s="2">
        <v>2.7999999999999997E-2</v>
      </c>
      <c r="R251" s="11">
        <v>352832733</v>
      </c>
      <c r="S251" s="11">
        <v>1404226</v>
      </c>
      <c r="T251">
        <v>2018</v>
      </c>
      <c r="U251">
        <v>6</v>
      </c>
      <c r="V251">
        <f t="shared" si="18"/>
        <v>837500</v>
      </c>
      <c r="W251">
        <f t="shared" si="19"/>
        <v>18429897</v>
      </c>
      <c r="X251">
        <f t="shared" si="20"/>
        <v>17592397</v>
      </c>
      <c r="Y251">
        <f t="shared" si="21"/>
        <v>-25551095.5</v>
      </c>
      <c r="Z251">
        <f t="shared" si="22"/>
        <v>44818492.5</v>
      </c>
      <c r="AA251" t="str">
        <f t="shared" si="23"/>
        <v>Normal</v>
      </c>
      <c r="AE251" s="2"/>
      <c r="AF251" s="2"/>
    </row>
    <row r="252" spans="1:32" x14ac:dyDescent="0.35">
      <c r="A252">
        <v>251</v>
      </c>
      <c r="B252" s="1">
        <v>43276</v>
      </c>
      <c r="C252" s="9" t="s">
        <v>542</v>
      </c>
      <c r="D252" s="9" t="s">
        <v>4933</v>
      </c>
      <c r="E252" s="9" t="s">
        <v>5894</v>
      </c>
      <c r="F252" s="9" t="s">
        <v>151</v>
      </c>
      <c r="G252" s="9" t="s">
        <v>543</v>
      </c>
      <c r="H252" s="9" t="s">
        <v>275</v>
      </c>
      <c r="I252" s="11">
        <v>1000000</v>
      </c>
      <c r="J252" s="11">
        <v>913693</v>
      </c>
      <c r="K252" s="11">
        <v>1605623</v>
      </c>
      <c r="L252" s="3">
        <v>424</v>
      </c>
      <c r="M252" s="3">
        <v>2473</v>
      </c>
      <c r="N252" s="3">
        <v>621653</v>
      </c>
      <c r="O252" s="2">
        <v>0.48</v>
      </c>
      <c r="P252" s="2">
        <v>0.39800000000000002</v>
      </c>
      <c r="Q252" s="2">
        <v>-0.25600000000000001</v>
      </c>
      <c r="R252" s="11">
        <v>250264963</v>
      </c>
      <c r="S252" s="11">
        <v>1660577</v>
      </c>
      <c r="T252">
        <v>2018</v>
      </c>
      <c r="U252">
        <v>6</v>
      </c>
      <c r="V252">
        <f t="shared" si="18"/>
        <v>831250</v>
      </c>
      <c r="W252">
        <f t="shared" si="19"/>
        <v>18429897</v>
      </c>
      <c r="X252">
        <f t="shared" si="20"/>
        <v>17598647</v>
      </c>
      <c r="Y252">
        <f t="shared" si="21"/>
        <v>-25566720.5</v>
      </c>
      <c r="Z252">
        <f t="shared" si="22"/>
        <v>44827867.5</v>
      </c>
      <c r="AA252" t="str">
        <f t="shared" si="23"/>
        <v>Normal</v>
      </c>
      <c r="AE252" s="2"/>
      <c r="AF252" s="2"/>
    </row>
    <row r="253" spans="1:32" x14ac:dyDescent="0.35">
      <c r="A253">
        <v>252</v>
      </c>
      <c r="B253" s="1">
        <v>43277</v>
      </c>
      <c r="C253" s="9" t="s">
        <v>106</v>
      </c>
      <c r="D253" s="9" t="s">
        <v>4930</v>
      </c>
      <c r="E253" s="9" t="s">
        <v>5895</v>
      </c>
      <c r="F253" s="9" t="s">
        <v>63</v>
      </c>
      <c r="G253" s="9" t="s">
        <v>544</v>
      </c>
      <c r="H253" s="9" t="s">
        <v>105</v>
      </c>
      <c r="I253" s="11">
        <v>8950000</v>
      </c>
      <c r="J253" s="11">
        <v>2480074</v>
      </c>
      <c r="K253" s="11">
        <v>4374965</v>
      </c>
      <c r="L253" s="3">
        <v>471</v>
      </c>
      <c r="M253" s="3">
        <v>4616</v>
      </c>
      <c r="N253" s="3">
        <v>595278</v>
      </c>
      <c r="O253" s="2">
        <v>0.52400000000000002</v>
      </c>
      <c r="P253" s="2">
        <v>0.55400000000000005</v>
      </c>
      <c r="Q253" s="2">
        <v>-0.24299999999999999</v>
      </c>
      <c r="R253" s="11">
        <v>260920699</v>
      </c>
      <c r="S253" s="11">
        <v>271906</v>
      </c>
      <c r="T253">
        <v>2018</v>
      </c>
      <c r="U253">
        <v>6</v>
      </c>
      <c r="V253">
        <f t="shared" si="18"/>
        <v>825000</v>
      </c>
      <c r="W253">
        <f t="shared" si="19"/>
        <v>18429897</v>
      </c>
      <c r="X253">
        <f t="shared" si="20"/>
        <v>17604897</v>
      </c>
      <c r="Y253">
        <f t="shared" si="21"/>
        <v>-25582345.5</v>
      </c>
      <c r="Z253">
        <f t="shared" si="22"/>
        <v>44837242.5</v>
      </c>
      <c r="AA253" t="str">
        <f t="shared" si="23"/>
        <v>Normal</v>
      </c>
      <c r="AE253" s="2"/>
      <c r="AF253" s="2"/>
    </row>
    <row r="254" spans="1:32" x14ac:dyDescent="0.35">
      <c r="A254">
        <v>253</v>
      </c>
      <c r="B254" s="1">
        <v>43277</v>
      </c>
      <c r="C254" s="9" t="s">
        <v>545</v>
      </c>
      <c r="D254" s="9" t="s">
        <v>2539</v>
      </c>
      <c r="E254" s="9" t="s">
        <v>5896</v>
      </c>
      <c r="F254" s="9" t="s">
        <v>15</v>
      </c>
      <c r="G254" s="9" t="s">
        <v>546</v>
      </c>
      <c r="H254" s="9" t="s">
        <v>105</v>
      </c>
      <c r="I254" s="11">
        <v>19000000</v>
      </c>
      <c r="J254" s="11">
        <v>957361</v>
      </c>
      <c r="K254" s="11">
        <v>7249639</v>
      </c>
      <c r="L254" s="3">
        <v>261</v>
      </c>
      <c r="M254" s="3">
        <v>1213</v>
      </c>
      <c r="N254" s="3">
        <v>127548</v>
      </c>
      <c r="O254" s="2">
        <v>-2.7000000000000003E-2</v>
      </c>
      <c r="P254" s="2">
        <v>0.32200000000000001</v>
      </c>
      <c r="Q254" s="2">
        <v>0.10099999999999999</v>
      </c>
      <c r="R254" s="11">
        <v>250264963</v>
      </c>
      <c r="S254" s="11">
        <v>343788</v>
      </c>
      <c r="T254">
        <v>2018</v>
      </c>
      <c r="U254">
        <v>6</v>
      </c>
      <c r="V254">
        <f t="shared" si="18"/>
        <v>825000</v>
      </c>
      <c r="W254">
        <f t="shared" si="19"/>
        <v>18429897</v>
      </c>
      <c r="X254">
        <f t="shared" si="20"/>
        <v>17604897</v>
      </c>
      <c r="Y254">
        <f t="shared" si="21"/>
        <v>-25582345.5</v>
      </c>
      <c r="Z254">
        <f t="shared" si="22"/>
        <v>44837242.5</v>
      </c>
      <c r="AA254" t="str">
        <f t="shared" si="23"/>
        <v>Normal</v>
      </c>
      <c r="AE254" s="2"/>
      <c r="AF254" s="2"/>
    </row>
    <row r="255" spans="1:32" x14ac:dyDescent="0.35">
      <c r="A255">
        <v>254</v>
      </c>
      <c r="B255" s="1">
        <v>43278</v>
      </c>
      <c r="C255" s="9" t="s">
        <v>547</v>
      </c>
      <c r="D255" s="9" t="s">
        <v>4930</v>
      </c>
      <c r="E255" s="9" t="s">
        <v>5897</v>
      </c>
      <c r="F255" s="9" t="s">
        <v>31</v>
      </c>
      <c r="G255" s="9" t="s">
        <v>548</v>
      </c>
      <c r="H255" s="9" t="s">
        <v>105</v>
      </c>
      <c r="I255" s="11">
        <v>4500000</v>
      </c>
      <c r="J255" s="11">
        <v>2531926</v>
      </c>
      <c r="K255" s="11">
        <v>10153449</v>
      </c>
      <c r="L255" s="3">
        <v>263</v>
      </c>
      <c r="M255" s="3">
        <v>753</v>
      </c>
      <c r="N255" s="3">
        <v>1018455</v>
      </c>
      <c r="O255" s="2">
        <v>0.23600000000000002</v>
      </c>
      <c r="P255" s="2">
        <v>0.69499999999999995</v>
      </c>
      <c r="Q255" s="2">
        <v>0.33100000000000002</v>
      </c>
      <c r="R255" s="11">
        <v>247829002</v>
      </c>
      <c r="S255" s="11">
        <v>569093</v>
      </c>
      <c r="T255">
        <v>2018</v>
      </c>
      <c r="U255">
        <v>6</v>
      </c>
      <c r="V255">
        <f t="shared" si="18"/>
        <v>825000</v>
      </c>
      <c r="W255">
        <f t="shared" si="19"/>
        <v>18429897</v>
      </c>
      <c r="X255">
        <f t="shared" si="20"/>
        <v>17604897</v>
      </c>
      <c r="Y255">
        <f t="shared" si="21"/>
        <v>-25582345.5</v>
      </c>
      <c r="Z255">
        <f t="shared" si="22"/>
        <v>44837242.5</v>
      </c>
      <c r="AA255" t="str">
        <f t="shared" si="23"/>
        <v>Normal</v>
      </c>
      <c r="AE255" s="2"/>
      <c r="AF255" s="2"/>
    </row>
    <row r="256" spans="1:32" x14ac:dyDescent="0.35">
      <c r="A256">
        <v>255</v>
      </c>
      <c r="B256" s="1">
        <v>43279</v>
      </c>
      <c r="C256" s="9" t="s">
        <v>549</v>
      </c>
      <c r="D256" s="9" t="s">
        <v>4930</v>
      </c>
      <c r="E256" s="9" t="s">
        <v>5898</v>
      </c>
      <c r="F256" s="9" t="s">
        <v>15</v>
      </c>
      <c r="G256" s="9" t="s">
        <v>550</v>
      </c>
      <c r="H256" s="9" t="s">
        <v>275</v>
      </c>
      <c r="I256" s="11">
        <v>1100000</v>
      </c>
      <c r="J256" s="11">
        <v>3309783</v>
      </c>
      <c r="K256" s="11">
        <v>273422</v>
      </c>
      <c r="L256" s="3">
        <v>284</v>
      </c>
      <c r="M256" s="3">
        <v>3163</v>
      </c>
      <c r="N256" s="3">
        <v>779181</v>
      </c>
      <c r="O256" s="2">
        <v>0.182</v>
      </c>
      <c r="P256" s="2">
        <v>0.36899999999999999</v>
      </c>
      <c r="Q256" s="2">
        <v>5.7999999999999996E-2</v>
      </c>
      <c r="R256" s="11">
        <v>215623645</v>
      </c>
      <c r="S256" s="11">
        <v>407571</v>
      </c>
      <c r="T256">
        <v>2018</v>
      </c>
      <c r="U256">
        <v>6</v>
      </c>
      <c r="V256">
        <f t="shared" si="18"/>
        <v>825000</v>
      </c>
      <c r="W256">
        <f t="shared" si="19"/>
        <v>18429897</v>
      </c>
      <c r="X256">
        <f t="shared" si="20"/>
        <v>17604897</v>
      </c>
      <c r="Y256">
        <f t="shared" si="21"/>
        <v>-25582345.5</v>
      </c>
      <c r="Z256">
        <f t="shared" si="22"/>
        <v>44837242.5</v>
      </c>
      <c r="AA256" t="str">
        <f t="shared" si="23"/>
        <v>Normal</v>
      </c>
      <c r="AE256" s="2"/>
      <c r="AF256" s="2"/>
    </row>
    <row r="257" spans="1:32" x14ac:dyDescent="0.35">
      <c r="A257">
        <v>256</v>
      </c>
      <c r="B257" s="1">
        <v>43279</v>
      </c>
      <c r="C257" s="9" t="s">
        <v>551</v>
      </c>
      <c r="D257" s="9" t="s">
        <v>4955</v>
      </c>
      <c r="E257" s="9" t="s">
        <v>5571</v>
      </c>
      <c r="F257" s="9" t="s">
        <v>15</v>
      </c>
      <c r="G257" s="9" t="s">
        <v>552</v>
      </c>
      <c r="H257" s="9" t="s">
        <v>275</v>
      </c>
      <c r="I257" s="11">
        <v>2000000</v>
      </c>
      <c r="J257" s="11">
        <v>739730</v>
      </c>
      <c r="K257" s="11">
        <v>18517049</v>
      </c>
      <c r="L257" s="3">
        <v>41</v>
      </c>
      <c r="M257" s="3">
        <v>1636</v>
      </c>
      <c r="N257" s="3">
        <v>1409863</v>
      </c>
      <c r="O257" s="2">
        <v>6.4000000000000001E-2</v>
      </c>
      <c r="P257" s="2">
        <v>0.45500000000000002</v>
      </c>
      <c r="Q257" s="2">
        <v>0.252</v>
      </c>
      <c r="R257" s="11">
        <v>372734551</v>
      </c>
      <c r="S257" s="11">
        <v>1436091</v>
      </c>
      <c r="T257">
        <v>2018</v>
      </c>
      <c r="U257">
        <v>6</v>
      </c>
      <c r="V257">
        <f t="shared" si="18"/>
        <v>825000</v>
      </c>
      <c r="W257">
        <f t="shared" si="19"/>
        <v>18429897</v>
      </c>
      <c r="X257">
        <f t="shared" si="20"/>
        <v>17604897</v>
      </c>
      <c r="Y257">
        <f t="shared" si="21"/>
        <v>-25582345.5</v>
      </c>
      <c r="Z257">
        <f t="shared" si="22"/>
        <v>44837242.5</v>
      </c>
      <c r="AA257" t="str">
        <f t="shared" si="23"/>
        <v>Normal</v>
      </c>
      <c r="AE257" s="2"/>
      <c r="AF257" s="2"/>
    </row>
    <row r="258" spans="1:32" x14ac:dyDescent="0.35">
      <c r="A258">
        <v>257</v>
      </c>
      <c r="B258" s="1">
        <v>43280</v>
      </c>
      <c r="C258" s="9" t="s">
        <v>553</v>
      </c>
      <c r="D258" s="9" t="s">
        <v>4930</v>
      </c>
      <c r="E258" s="9" t="s">
        <v>5899</v>
      </c>
      <c r="F258" s="9" t="s">
        <v>554</v>
      </c>
      <c r="G258" s="9" t="s">
        <v>555</v>
      </c>
      <c r="H258" s="9" t="s">
        <v>275</v>
      </c>
      <c r="I258" s="11">
        <v>18429897</v>
      </c>
      <c r="J258" s="11">
        <v>2531926</v>
      </c>
      <c r="K258" s="11">
        <v>19625557</v>
      </c>
      <c r="L258" s="3">
        <v>429</v>
      </c>
      <c r="M258" s="3">
        <v>2372</v>
      </c>
      <c r="N258" s="3">
        <v>1429524</v>
      </c>
      <c r="O258" s="2">
        <v>-0.20499999999999999</v>
      </c>
      <c r="P258" s="2">
        <v>0.50800000000000001</v>
      </c>
      <c r="Q258" s="2">
        <v>7.8E-2</v>
      </c>
      <c r="R258" s="11">
        <v>409985372</v>
      </c>
      <c r="S258" s="11">
        <v>1624821</v>
      </c>
      <c r="T258">
        <v>2018</v>
      </c>
      <c r="U258">
        <v>6</v>
      </c>
      <c r="V258">
        <f t="shared" ref="V258:V321" si="24">_xlfn.PERCENTILE.INC(I258:I3301,0.25)</f>
        <v>818750</v>
      </c>
      <c r="W258">
        <f t="shared" ref="W258:W321" si="25">_xlfn.PERCENTILE.INC(I258:I3301,0.75)</f>
        <v>18429897</v>
      </c>
      <c r="X258">
        <f t="shared" ref="X258:X321" si="26">W258-V258</f>
        <v>17611147</v>
      </c>
      <c r="Y258">
        <f t="shared" ref="Y258:Y321" si="27">V258-1.5*X258</f>
        <v>-25597970.5</v>
      </c>
      <c r="Z258">
        <f t="shared" ref="Z258:Z321" si="28">W258+1.5*X258</f>
        <v>44846617.5</v>
      </c>
      <c r="AA258" t="str">
        <f t="shared" ref="AA258:AA321" si="29">IF(OR(I258&lt;$Y$2, I258&gt;$Z$2), "Outlier", "Normal")</f>
        <v>Normal</v>
      </c>
      <c r="AE258" s="2"/>
      <c r="AF258" s="2"/>
    </row>
    <row r="259" spans="1:32" x14ac:dyDescent="0.35">
      <c r="A259">
        <v>258</v>
      </c>
      <c r="B259" s="1">
        <v>43222</v>
      </c>
      <c r="C259" s="9" t="s">
        <v>556</v>
      </c>
      <c r="D259" s="9" t="s">
        <v>4933</v>
      </c>
      <c r="E259" s="9" t="s">
        <v>1111</v>
      </c>
      <c r="F259" s="9" t="s">
        <v>35</v>
      </c>
      <c r="G259" s="9" t="s">
        <v>557</v>
      </c>
      <c r="H259" s="9" t="s">
        <v>275</v>
      </c>
      <c r="I259" s="11">
        <v>450000</v>
      </c>
      <c r="J259" s="11">
        <v>534946</v>
      </c>
      <c r="K259" s="11">
        <v>10770609</v>
      </c>
      <c r="L259" s="3">
        <v>370</v>
      </c>
      <c r="M259" s="3">
        <v>2311</v>
      </c>
      <c r="N259" s="3">
        <v>700304</v>
      </c>
      <c r="O259" s="2">
        <v>0.58099999999999996</v>
      </c>
      <c r="P259" s="2">
        <v>0.50800000000000001</v>
      </c>
      <c r="Q259" s="2">
        <v>0.17600000000000002</v>
      </c>
      <c r="R259" s="11">
        <v>22541659</v>
      </c>
      <c r="S259" s="11">
        <v>1008193.5</v>
      </c>
      <c r="T259">
        <v>2018</v>
      </c>
      <c r="U259">
        <v>5</v>
      </c>
      <c r="V259">
        <f t="shared" si="24"/>
        <v>812500</v>
      </c>
      <c r="W259">
        <f t="shared" si="25"/>
        <v>18429897</v>
      </c>
      <c r="X259">
        <f t="shared" si="26"/>
        <v>17617397</v>
      </c>
      <c r="Y259">
        <f t="shared" si="27"/>
        <v>-25613595.5</v>
      </c>
      <c r="Z259">
        <f t="shared" si="28"/>
        <v>44855992.5</v>
      </c>
      <c r="AA259" t="str">
        <f t="shared" si="29"/>
        <v>Normal</v>
      </c>
      <c r="AE259" s="2"/>
      <c r="AF259" s="2"/>
    </row>
    <row r="260" spans="1:32" x14ac:dyDescent="0.35">
      <c r="A260">
        <v>259</v>
      </c>
      <c r="B260" s="1">
        <v>43222</v>
      </c>
      <c r="C260" s="9" t="s">
        <v>558</v>
      </c>
      <c r="D260" s="9" t="s">
        <v>4988</v>
      </c>
      <c r="E260" s="9" t="s">
        <v>5900</v>
      </c>
      <c r="F260" s="9" t="s">
        <v>31</v>
      </c>
      <c r="G260" s="9" t="s">
        <v>559</v>
      </c>
      <c r="H260" s="9" t="s">
        <v>105</v>
      </c>
      <c r="I260" s="11">
        <v>22000000</v>
      </c>
      <c r="J260" s="11">
        <v>892422</v>
      </c>
      <c r="K260" s="11">
        <v>18064256</v>
      </c>
      <c r="L260" s="3">
        <v>435</v>
      </c>
      <c r="M260" s="3">
        <v>1357</v>
      </c>
      <c r="N260" s="3">
        <v>996462</v>
      </c>
      <c r="O260" s="2">
        <v>-0.24299999999999999</v>
      </c>
      <c r="P260" s="2">
        <v>0.36399999999999999</v>
      </c>
      <c r="Q260" s="2">
        <v>0.29299999999999998</v>
      </c>
      <c r="R260" s="11">
        <v>469789668</v>
      </c>
      <c r="S260" s="11">
        <v>852756</v>
      </c>
      <c r="T260">
        <v>2018</v>
      </c>
      <c r="U260">
        <v>5</v>
      </c>
      <c r="V260">
        <f t="shared" si="24"/>
        <v>825000</v>
      </c>
      <c r="W260">
        <f t="shared" si="25"/>
        <v>18429897</v>
      </c>
      <c r="X260">
        <f t="shared" si="26"/>
        <v>17604897</v>
      </c>
      <c r="Y260">
        <f t="shared" si="27"/>
        <v>-25582345.5</v>
      </c>
      <c r="Z260">
        <f t="shared" si="28"/>
        <v>44837242.5</v>
      </c>
      <c r="AA260" t="str">
        <f t="shared" si="29"/>
        <v>Normal</v>
      </c>
      <c r="AE260" s="2"/>
      <c r="AF260" s="2"/>
    </row>
    <row r="261" spans="1:32" x14ac:dyDescent="0.35">
      <c r="A261">
        <v>260</v>
      </c>
      <c r="B261" s="1">
        <v>43223</v>
      </c>
      <c r="C261" s="9" t="s">
        <v>560</v>
      </c>
      <c r="D261" s="9" t="s">
        <v>4990</v>
      </c>
      <c r="E261" s="9" t="s">
        <v>4942</v>
      </c>
      <c r="F261" s="9" t="s">
        <v>35</v>
      </c>
      <c r="G261" s="9" t="s">
        <v>561</v>
      </c>
      <c r="H261" s="9" t="s">
        <v>275</v>
      </c>
      <c r="I261" s="11">
        <v>2500000</v>
      </c>
      <c r="J261" s="11">
        <v>2946469</v>
      </c>
      <c r="K261" s="11">
        <v>13138987</v>
      </c>
      <c r="L261" s="3">
        <v>62</v>
      </c>
      <c r="M261" s="3">
        <v>4992</v>
      </c>
      <c r="N261" s="3">
        <v>202780</v>
      </c>
      <c r="O261" s="2">
        <v>0.16200000000000001</v>
      </c>
      <c r="P261" s="2">
        <v>0.88500000000000001</v>
      </c>
      <c r="Q261" s="2">
        <v>0.433</v>
      </c>
      <c r="R261" s="11">
        <v>205616751</v>
      </c>
      <c r="S261" s="11">
        <v>1411845</v>
      </c>
      <c r="T261">
        <v>2018</v>
      </c>
      <c r="U261">
        <v>5</v>
      </c>
      <c r="V261">
        <f t="shared" si="24"/>
        <v>825000</v>
      </c>
      <c r="W261">
        <f t="shared" si="25"/>
        <v>18429897</v>
      </c>
      <c r="X261">
        <f t="shared" si="26"/>
        <v>17604897</v>
      </c>
      <c r="Y261">
        <f t="shared" si="27"/>
        <v>-25582345.5</v>
      </c>
      <c r="Z261">
        <f t="shared" si="28"/>
        <v>44837242.5</v>
      </c>
      <c r="AA261" t="str">
        <f t="shared" si="29"/>
        <v>Normal</v>
      </c>
      <c r="AE261" s="2"/>
      <c r="AF261" s="2"/>
    </row>
    <row r="262" spans="1:32" x14ac:dyDescent="0.35">
      <c r="A262">
        <v>261</v>
      </c>
      <c r="B262" s="1">
        <v>43227</v>
      </c>
      <c r="C262" s="9" t="s">
        <v>562</v>
      </c>
      <c r="D262" s="9" t="s">
        <v>4988</v>
      </c>
      <c r="E262" s="9" t="s">
        <v>5901</v>
      </c>
      <c r="F262" s="9" t="s">
        <v>31</v>
      </c>
      <c r="G262" s="9" t="s">
        <v>58</v>
      </c>
      <c r="H262" s="9" t="s">
        <v>275</v>
      </c>
      <c r="I262" s="11">
        <v>225000</v>
      </c>
      <c r="J262" s="11">
        <v>3971546</v>
      </c>
      <c r="K262" s="11">
        <v>658245</v>
      </c>
      <c r="L262" s="3">
        <v>402</v>
      </c>
      <c r="M262" s="3">
        <v>1943</v>
      </c>
      <c r="N262" s="3">
        <v>1335991</v>
      </c>
      <c r="O262" s="2">
        <v>-0.01</v>
      </c>
      <c r="P262" s="2">
        <v>0.83799999999999997</v>
      </c>
      <c r="Q262" s="2">
        <v>0.17100000000000001</v>
      </c>
      <c r="R262" s="11">
        <v>303461269</v>
      </c>
      <c r="S262" s="11">
        <v>1492518</v>
      </c>
      <c r="T262">
        <v>2018</v>
      </c>
      <c r="U262">
        <v>5</v>
      </c>
      <c r="V262">
        <f t="shared" si="24"/>
        <v>818750</v>
      </c>
      <c r="W262">
        <f t="shared" si="25"/>
        <v>18429897</v>
      </c>
      <c r="X262">
        <f t="shared" si="26"/>
        <v>17611147</v>
      </c>
      <c r="Y262">
        <f t="shared" si="27"/>
        <v>-25597970.5</v>
      </c>
      <c r="Z262">
        <f t="shared" si="28"/>
        <v>44846617.5</v>
      </c>
      <c r="AA262" t="str">
        <f t="shared" si="29"/>
        <v>Normal</v>
      </c>
      <c r="AE262" s="2"/>
      <c r="AF262" s="2"/>
    </row>
    <row r="263" spans="1:32" x14ac:dyDescent="0.35">
      <c r="A263">
        <v>262</v>
      </c>
      <c r="B263" s="1">
        <v>43229</v>
      </c>
      <c r="C263" s="9" t="s">
        <v>563</v>
      </c>
      <c r="D263" s="9" t="s">
        <v>4930</v>
      </c>
      <c r="E263" s="9" t="s">
        <v>5902</v>
      </c>
      <c r="F263" s="9" t="s">
        <v>31</v>
      </c>
      <c r="G263" s="9" t="s">
        <v>564</v>
      </c>
      <c r="H263" s="9" t="s">
        <v>275</v>
      </c>
      <c r="I263" s="11">
        <v>1000000</v>
      </c>
      <c r="J263" s="11">
        <v>869552</v>
      </c>
      <c r="K263" s="11">
        <v>14318436</v>
      </c>
      <c r="L263" s="3">
        <v>184</v>
      </c>
      <c r="M263" s="3">
        <v>3368</v>
      </c>
      <c r="N263" s="3">
        <v>1347679</v>
      </c>
      <c r="O263" s="2">
        <v>0.32200000000000001</v>
      </c>
      <c r="P263" s="2">
        <v>0.86499999999999999</v>
      </c>
      <c r="Q263" s="2">
        <v>0.36749999999999999</v>
      </c>
      <c r="R263" s="11">
        <v>470782358</v>
      </c>
      <c r="S263" s="11">
        <v>176167</v>
      </c>
      <c r="T263">
        <v>2018</v>
      </c>
      <c r="U263">
        <v>5</v>
      </c>
      <c r="V263">
        <f t="shared" si="24"/>
        <v>825000</v>
      </c>
      <c r="W263">
        <f t="shared" si="25"/>
        <v>18429897</v>
      </c>
      <c r="X263">
        <f t="shared" si="26"/>
        <v>17604897</v>
      </c>
      <c r="Y263">
        <f t="shared" si="27"/>
        <v>-25582345.5</v>
      </c>
      <c r="Z263">
        <f t="shared" si="28"/>
        <v>44837242.5</v>
      </c>
      <c r="AA263" t="str">
        <f t="shared" si="29"/>
        <v>Normal</v>
      </c>
      <c r="AE263" s="2"/>
      <c r="AF263" s="2"/>
    </row>
    <row r="264" spans="1:32" x14ac:dyDescent="0.35">
      <c r="A264">
        <v>263</v>
      </c>
      <c r="B264" s="1">
        <v>43231</v>
      </c>
      <c r="C264" s="9" t="s">
        <v>565</v>
      </c>
      <c r="D264" s="9" t="s">
        <v>4988</v>
      </c>
      <c r="E264" s="9" t="s">
        <v>5903</v>
      </c>
      <c r="F264" s="9" t="s">
        <v>41</v>
      </c>
      <c r="G264" s="9" t="s">
        <v>566</v>
      </c>
      <c r="H264" s="9" t="s">
        <v>275</v>
      </c>
      <c r="I264" s="11">
        <v>949000</v>
      </c>
      <c r="J264" s="11">
        <v>1513964</v>
      </c>
      <c r="K264" s="11">
        <v>460839</v>
      </c>
      <c r="L264" s="3">
        <v>410</v>
      </c>
      <c r="M264" s="3">
        <v>841</v>
      </c>
      <c r="N264" s="3">
        <v>427622</v>
      </c>
      <c r="O264" s="2">
        <v>0.28899999999999998</v>
      </c>
      <c r="P264" s="2">
        <v>0.87599999999999989</v>
      </c>
      <c r="Q264" s="2">
        <v>4.2000000000000003E-2</v>
      </c>
      <c r="R264" s="11">
        <v>300851643</v>
      </c>
      <c r="S264" s="11">
        <v>1254595</v>
      </c>
      <c r="T264">
        <v>2018</v>
      </c>
      <c r="U264">
        <v>5</v>
      </c>
      <c r="V264">
        <f t="shared" si="24"/>
        <v>825000</v>
      </c>
      <c r="W264">
        <f t="shared" si="25"/>
        <v>18429897</v>
      </c>
      <c r="X264">
        <f t="shared" si="26"/>
        <v>17604897</v>
      </c>
      <c r="Y264">
        <f t="shared" si="27"/>
        <v>-25582345.5</v>
      </c>
      <c r="Z264">
        <f t="shared" si="28"/>
        <v>44837242.5</v>
      </c>
      <c r="AA264" t="str">
        <f t="shared" si="29"/>
        <v>Normal</v>
      </c>
      <c r="AE264" s="2"/>
      <c r="AF264" s="2"/>
    </row>
    <row r="265" spans="1:32" x14ac:dyDescent="0.35">
      <c r="A265">
        <v>264</v>
      </c>
      <c r="B265" s="1">
        <v>43234</v>
      </c>
      <c r="C265" s="9" t="s">
        <v>368</v>
      </c>
      <c r="D265" s="9" t="s">
        <v>4988</v>
      </c>
      <c r="E265" s="9" t="s">
        <v>5904</v>
      </c>
      <c r="F265" s="9" t="s">
        <v>31</v>
      </c>
      <c r="G265" s="9" t="s">
        <v>567</v>
      </c>
      <c r="H265" s="9" t="s">
        <v>105</v>
      </c>
      <c r="I265" s="11">
        <v>24000000</v>
      </c>
      <c r="J265" s="11">
        <v>4627098</v>
      </c>
      <c r="K265" s="11">
        <v>16348497</v>
      </c>
      <c r="L265" s="3">
        <v>496</v>
      </c>
      <c r="M265" s="3">
        <v>4955</v>
      </c>
      <c r="N265" s="3">
        <v>1018455</v>
      </c>
      <c r="O265" s="2">
        <v>-7.5999999999999998E-2</v>
      </c>
      <c r="P265" s="2">
        <v>0.30299999999999999</v>
      </c>
      <c r="Q265" s="2">
        <v>0.43099999999999999</v>
      </c>
      <c r="R265" s="11">
        <v>7377833</v>
      </c>
      <c r="S265" s="11">
        <v>45668</v>
      </c>
      <c r="T265">
        <v>2018</v>
      </c>
      <c r="U265">
        <v>5</v>
      </c>
      <c r="V265">
        <f t="shared" si="24"/>
        <v>825000</v>
      </c>
      <c r="W265">
        <f t="shared" si="25"/>
        <v>18429897</v>
      </c>
      <c r="X265">
        <f t="shared" si="26"/>
        <v>17604897</v>
      </c>
      <c r="Y265">
        <f t="shared" si="27"/>
        <v>-25582345.5</v>
      </c>
      <c r="Z265">
        <f t="shared" si="28"/>
        <v>44837242.5</v>
      </c>
      <c r="AA265" t="str">
        <f t="shared" si="29"/>
        <v>Normal</v>
      </c>
      <c r="AE265" s="2"/>
      <c r="AF265" s="2"/>
    </row>
    <row r="266" spans="1:32" x14ac:dyDescent="0.35">
      <c r="A266">
        <v>265</v>
      </c>
      <c r="B266" s="1">
        <v>43236</v>
      </c>
      <c r="C266" s="9" t="s">
        <v>568</v>
      </c>
      <c r="D266" s="9" t="s">
        <v>2539</v>
      </c>
      <c r="E266" s="9" t="s">
        <v>5905</v>
      </c>
      <c r="F266" s="9" t="s">
        <v>15</v>
      </c>
      <c r="G266" s="9" t="s">
        <v>569</v>
      </c>
      <c r="H266" s="9" t="s">
        <v>105</v>
      </c>
      <c r="I266" s="11">
        <v>4200000</v>
      </c>
      <c r="J266" s="11">
        <v>2531926</v>
      </c>
      <c r="K266" s="11">
        <v>7402692</v>
      </c>
      <c r="L266" s="3">
        <v>440</v>
      </c>
      <c r="M266" s="3">
        <v>4935</v>
      </c>
      <c r="N266" s="3">
        <v>795841</v>
      </c>
      <c r="O266" s="2">
        <v>-3.7999999999999999E-2</v>
      </c>
      <c r="P266" s="2">
        <v>0.41399999999999998</v>
      </c>
      <c r="Q266" s="2">
        <v>0.246</v>
      </c>
      <c r="R266" s="11">
        <v>114426178</v>
      </c>
      <c r="S266" s="11">
        <v>1741780</v>
      </c>
      <c r="T266">
        <v>2018</v>
      </c>
      <c r="U266">
        <v>5</v>
      </c>
      <c r="V266">
        <f t="shared" si="24"/>
        <v>818750</v>
      </c>
      <c r="W266">
        <f t="shared" si="25"/>
        <v>18429897</v>
      </c>
      <c r="X266">
        <f t="shared" si="26"/>
        <v>17611147</v>
      </c>
      <c r="Y266">
        <f t="shared" si="27"/>
        <v>-25597970.5</v>
      </c>
      <c r="Z266">
        <f t="shared" si="28"/>
        <v>44846617.5</v>
      </c>
      <c r="AA266" t="str">
        <f t="shared" si="29"/>
        <v>Normal</v>
      </c>
      <c r="AE266" s="2"/>
      <c r="AF266" s="2"/>
    </row>
    <row r="267" spans="1:32" x14ac:dyDescent="0.35">
      <c r="A267">
        <v>266</v>
      </c>
      <c r="B267" s="1">
        <v>43241</v>
      </c>
      <c r="C267" s="9" t="s">
        <v>570</v>
      </c>
      <c r="D267" s="9" t="s">
        <v>4930</v>
      </c>
      <c r="E267" s="9" t="s">
        <v>5906</v>
      </c>
      <c r="F267" s="9" t="s">
        <v>15</v>
      </c>
      <c r="G267" s="9" t="s">
        <v>198</v>
      </c>
      <c r="H267" s="9" t="s">
        <v>275</v>
      </c>
      <c r="I267" s="11">
        <v>300000</v>
      </c>
      <c r="J267" s="11">
        <v>2913684</v>
      </c>
      <c r="K267" s="11">
        <v>2911022</v>
      </c>
      <c r="L267" s="3">
        <v>458</v>
      </c>
      <c r="M267" s="3">
        <v>392</v>
      </c>
      <c r="N267" s="3">
        <v>1384647</v>
      </c>
      <c r="O267" s="2">
        <v>-0.19</v>
      </c>
      <c r="P267" s="2">
        <v>0.93700000000000006</v>
      </c>
      <c r="Q267" s="2">
        <v>-0.35799999999999998</v>
      </c>
      <c r="R267" s="11">
        <v>438748648</v>
      </c>
      <c r="S267" s="11">
        <v>83177</v>
      </c>
      <c r="T267">
        <v>2018</v>
      </c>
      <c r="U267">
        <v>5</v>
      </c>
      <c r="V267">
        <f t="shared" si="24"/>
        <v>812500</v>
      </c>
      <c r="W267">
        <f t="shared" si="25"/>
        <v>18429897</v>
      </c>
      <c r="X267">
        <f t="shared" si="26"/>
        <v>17617397</v>
      </c>
      <c r="Y267">
        <f t="shared" si="27"/>
        <v>-25613595.5</v>
      </c>
      <c r="Z267">
        <f t="shared" si="28"/>
        <v>44855992.5</v>
      </c>
      <c r="AA267" t="str">
        <f t="shared" si="29"/>
        <v>Normal</v>
      </c>
      <c r="AE267" s="2"/>
      <c r="AF267" s="2"/>
    </row>
    <row r="268" spans="1:32" x14ac:dyDescent="0.35">
      <c r="A268">
        <v>267</v>
      </c>
      <c r="B268" s="1">
        <v>43241</v>
      </c>
      <c r="C268" s="9" t="s">
        <v>323</v>
      </c>
      <c r="D268" s="9" t="s">
        <v>4930</v>
      </c>
      <c r="E268" s="9" t="s">
        <v>5907</v>
      </c>
      <c r="F268" s="9" t="s">
        <v>151</v>
      </c>
      <c r="G268" s="9" t="s">
        <v>571</v>
      </c>
      <c r="H268" s="9" t="s">
        <v>105</v>
      </c>
      <c r="I268" s="11">
        <v>7000000</v>
      </c>
      <c r="J268" s="11">
        <v>2246249</v>
      </c>
      <c r="K268" s="11">
        <v>5244905</v>
      </c>
      <c r="L268" s="3">
        <v>61</v>
      </c>
      <c r="M268" s="3">
        <v>3233</v>
      </c>
      <c r="N268" s="3">
        <v>1039010</v>
      </c>
      <c r="O268" s="2">
        <v>0.159</v>
      </c>
      <c r="P268" s="2">
        <v>0.68200000000000005</v>
      </c>
      <c r="Q268" s="2">
        <v>0.45299999999999996</v>
      </c>
      <c r="R268" s="11">
        <v>64174201</v>
      </c>
      <c r="S268" s="11">
        <v>1596672</v>
      </c>
      <c r="T268">
        <v>2018</v>
      </c>
      <c r="U268">
        <v>5</v>
      </c>
      <c r="V268">
        <f t="shared" si="24"/>
        <v>825000</v>
      </c>
      <c r="W268">
        <f t="shared" si="25"/>
        <v>18429897</v>
      </c>
      <c r="X268">
        <f t="shared" si="26"/>
        <v>17604897</v>
      </c>
      <c r="Y268">
        <f t="shared" si="27"/>
        <v>-25582345.5</v>
      </c>
      <c r="Z268">
        <f t="shared" si="28"/>
        <v>44837242.5</v>
      </c>
      <c r="AA268" t="str">
        <f t="shared" si="29"/>
        <v>Normal</v>
      </c>
      <c r="AE268" s="2"/>
      <c r="AF268" s="2"/>
    </row>
    <row r="269" spans="1:32" x14ac:dyDescent="0.35">
      <c r="A269">
        <v>268</v>
      </c>
      <c r="B269" s="1">
        <v>43242</v>
      </c>
      <c r="C269" s="9" t="s">
        <v>572</v>
      </c>
      <c r="D269" s="9" t="s">
        <v>4933</v>
      </c>
      <c r="E269" s="9" t="s">
        <v>5908</v>
      </c>
      <c r="F269" s="9" t="s">
        <v>15</v>
      </c>
      <c r="G269" s="9" t="s">
        <v>573</v>
      </c>
      <c r="H269" s="9" t="s">
        <v>275</v>
      </c>
      <c r="I269" s="11">
        <v>500000</v>
      </c>
      <c r="J269" s="11">
        <v>1747411</v>
      </c>
      <c r="K269" s="11">
        <v>13698711</v>
      </c>
      <c r="L269" s="3">
        <v>167</v>
      </c>
      <c r="M269" s="3">
        <v>2993</v>
      </c>
      <c r="N269" s="3">
        <v>123483</v>
      </c>
      <c r="O269" s="2">
        <v>0.26200000000000001</v>
      </c>
      <c r="P269" s="2">
        <v>0.83</v>
      </c>
      <c r="Q269" s="2">
        <v>-0.13</v>
      </c>
      <c r="R269" s="11">
        <v>324451570</v>
      </c>
      <c r="S269" s="11">
        <v>126406</v>
      </c>
      <c r="T269">
        <v>2018</v>
      </c>
      <c r="U269">
        <v>5</v>
      </c>
      <c r="V269">
        <f t="shared" si="24"/>
        <v>825000</v>
      </c>
      <c r="W269">
        <f t="shared" si="25"/>
        <v>18429897</v>
      </c>
      <c r="X269">
        <f t="shared" si="26"/>
        <v>17604897</v>
      </c>
      <c r="Y269">
        <f t="shared" si="27"/>
        <v>-25582345.5</v>
      </c>
      <c r="Z269">
        <f t="shared" si="28"/>
        <v>44837242.5</v>
      </c>
      <c r="AA269" t="str">
        <f t="shared" si="29"/>
        <v>Normal</v>
      </c>
      <c r="AE269" s="2"/>
      <c r="AF269" s="2"/>
    </row>
    <row r="270" spans="1:32" x14ac:dyDescent="0.35">
      <c r="A270">
        <v>269</v>
      </c>
      <c r="B270" s="1">
        <v>43242</v>
      </c>
      <c r="C270" s="9" t="s">
        <v>574</v>
      </c>
      <c r="D270" s="9" t="s">
        <v>4988</v>
      </c>
      <c r="E270" s="9" t="s">
        <v>5901</v>
      </c>
      <c r="F270" s="9" t="s">
        <v>15</v>
      </c>
      <c r="G270" s="9" t="s">
        <v>575</v>
      </c>
      <c r="H270" s="9" t="s">
        <v>275</v>
      </c>
      <c r="I270" s="11">
        <v>735000</v>
      </c>
      <c r="J270" s="11">
        <v>3070010</v>
      </c>
      <c r="K270" s="11">
        <v>16953952</v>
      </c>
      <c r="L270" s="3">
        <v>149</v>
      </c>
      <c r="M270" s="3">
        <v>909</v>
      </c>
      <c r="N270" s="3">
        <v>1145159</v>
      </c>
      <c r="O270" s="2">
        <v>3.2000000000000001E-2</v>
      </c>
      <c r="P270" s="2">
        <v>0.25700000000000001</v>
      </c>
      <c r="Q270" s="2">
        <v>3.7999999999999999E-2</v>
      </c>
      <c r="R270" s="11">
        <v>215403662</v>
      </c>
      <c r="S270" s="11">
        <v>1342644</v>
      </c>
      <c r="T270">
        <v>2018</v>
      </c>
      <c r="U270">
        <v>5</v>
      </c>
      <c r="V270">
        <f t="shared" si="24"/>
        <v>825000</v>
      </c>
      <c r="W270">
        <f t="shared" si="25"/>
        <v>18429897</v>
      </c>
      <c r="X270">
        <f t="shared" si="26"/>
        <v>17604897</v>
      </c>
      <c r="Y270">
        <f t="shared" si="27"/>
        <v>-25582345.5</v>
      </c>
      <c r="Z270">
        <f t="shared" si="28"/>
        <v>44837242.5</v>
      </c>
      <c r="AA270" t="str">
        <f t="shared" si="29"/>
        <v>Normal</v>
      </c>
      <c r="AE270" s="2"/>
      <c r="AF270" s="2"/>
    </row>
    <row r="271" spans="1:32" x14ac:dyDescent="0.35">
      <c r="A271">
        <v>270</v>
      </c>
      <c r="B271" s="1">
        <v>43243</v>
      </c>
      <c r="C271" s="9" t="s">
        <v>576</v>
      </c>
      <c r="D271" s="9" t="s">
        <v>4925</v>
      </c>
      <c r="E271" s="9" t="s">
        <v>5909</v>
      </c>
      <c r="F271" s="9" t="s">
        <v>15</v>
      </c>
      <c r="G271" s="9" t="s">
        <v>577</v>
      </c>
      <c r="H271" s="9" t="s">
        <v>275</v>
      </c>
      <c r="I271" s="11">
        <v>735000</v>
      </c>
      <c r="J271" s="11">
        <v>2962759</v>
      </c>
      <c r="K271" s="11">
        <v>11457408</v>
      </c>
      <c r="L271" s="3">
        <v>259</v>
      </c>
      <c r="M271" s="3">
        <v>3858</v>
      </c>
      <c r="N271" s="3">
        <v>1414107</v>
      </c>
      <c r="O271" s="2">
        <v>1.6E-2</v>
      </c>
      <c r="P271" s="2">
        <v>0.58599999999999997</v>
      </c>
      <c r="Q271" s="2">
        <v>0.318</v>
      </c>
      <c r="R271" s="11">
        <v>454087989</v>
      </c>
      <c r="S271" s="11">
        <v>160443</v>
      </c>
      <c r="T271">
        <v>2018</v>
      </c>
      <c r="U271">
        <v>5</v>
      </c>
      <c r="V271">
        <f t="shared" si="24"/>
        <v>837500</v>
      </c>
      <c r="W271">
        <f t="shared" si="25"/>
        <v>18429897</v>
      </c>
      <c r="X271">
        <f t="shared" si="26"/>
        <v>17592397</v>
      </c>
      <c r="Y271">
        <f t="shared" si="27"/>
        <v>-25551095.5</v>
      </c>
      <c r="Z271">
        <f t="shared" si="28"/>
        <v>44818492.5</v>
      </c>
      <c r="AA271" t="str">
        <f t="shared" si="29"/>
        <v>Normal</v>
      </c>
      <c r="AE271" s="2"/>
      <c r="AF271" s="2"/>
    </row>
    <row r="272" spans="1:32" x14ac:dyDescent="0.35">
      <c r="A272">
        <v>271</v>
      </c>
      <c r="B272" s="1">
        <v>43243</v>
      </c>
      <c r="C272" s="9" t="s">
        <v>578</v>
      </c>
      <c r="D272" s="9" t="s">
        <v>4933</v>
      </c>
      <c r="E272" s="9" t="s">
        <v>5910</v>
      </c>
      <c r="F272" s="9" t="s">
        <v>554</v>
      </c>
      <c r="G272" s="9" t="s">
        <v>579</v>
      </c>
      <c r="H272" s="9" t="s">
        <v>275</v>
      </c>
      <c r="I272" s="11">
        <v>2000000</v>
      </c>
      <c r="J272" s="11">
        <v>1487870</v>
      </c>
      <c r="K272" s="11">
        <v>3293639</v>
      </c>
      <c r="L272" s="3">
        <v>488</v>
      </c>
      <c r="M272" s="3">
        <v>3834</v>
      </c>
      <c r="N272" s="3">
        <v>372874</v>
      </c>
      <c r="O272" s="2">
        <v>0.502</v>
      </c>
      <c r="P272" s="2">
        <v>0.63800000000000001</v>
      </c>
      <c r="Q272" s="2">
        <v>-8.5999999999999993E-2</v>
      </c>
      <c r="R272" s="11">
        <v>484019755</v>
      </c>
      <c r="S272" s="11">
        <v>1273706</v>
      </c>
      <c r="T272">
        <v>2018</v>
      </c>
      <c r="U272">
        <v>5</v>
      </c>
      <c r="V272">
        <f t="shared" si="24"/>
        <v>855500</v>
      </c>
      <c r="W272">
        <f t="shared" si="25"/>
        <v>18429897</v>
      </c>
      <c r="X272">
        <f t="shared" si="26"/>
        <v>17574397</v>
      </c>
      <c r="Y272">
        <f t="shared" si="27"/>
        <v>-25506095.5</v>
      </c>
      <c r="Z272">
        <f t="shared" si="28"/>
        <v>44791492.5</v>
      </c>
      <c r="AA272" t="str">
        <f t="shared" si="29"/>
        <v>Normal</v>
      </c>
      <c r="AE272" s="2"/>
      <c r="AF272" s="2"/>
    </row>
    <row r="273" spans="1:32" x14ac:dyDescent="0.35">
      <c r="A273">
        <v>272</v>
      </c>
      <c r="B273" s="1">
        <v>43244</v>
      </c>
      <c r="C273" s="9" t="s">
        <v>580</v>
      </c>
      <c r="D273" s="9" t="s">
        <v>4955</v>
      </c>
      <c r="E273" s="9" t="s">
        <v>5911</v>
      </c>
      <c r="F273" s="9" t="s">
        <v>94</v>
      </c>
      <c r="G273" s="9" t="s">
        <v>581</v>
      </c>
      <c r="H273" s="9" t="s">
        <v>275</v>
      </c>
      <c r="I273" s="11">
        <v>2000000</v>
      </c>
      <c r="J273" s="11">
        <v>133563</v>
      </c>
      <c r="K273" s="11">
        <v>18013070</v>
      </c>
      <c r="L273" s="3">
        <v>344</v>
      </c>
      <c r="M273" s="3">
        <v>4228</v>
      </c>
      <c r="N273" s="3">
        <v>889298</v>
      </c>
      <c r="O273" s="2">
        <v>0.307</v>
      </c>
      <c r="P273" s="2">
        <v>0.89200000000000002</v>
      </c>
      <c r="Q273" s="2">
        <v>8.199999999999999E-2</v>
      </c>
      <c r="R273" s="11">
        <v>23440621</v>
      </c>
      <c r="S273" s="11">
        <v>1008193.5</v>
      </c>
      <c r="T273">
        <v>2018</v>
      </c>
      <c r="U273">
        <v>5</v>
      </c>
      <c r="V273">
        <f t="shared" si="24"/>
        <v>850000</v>
      </c>
      <c r="W273">
        <f t="shared" si="25"/>
        <v>18429897</v>
      </c>
      <c r="X273">
        <f t="shared" si="26"/>
        <v>17579897</v>
      </c>
      <c r="Y273">
        <f t="shared" si="27"/>
        <v>-25519845.5</v>
      </c>
      <c r="Z273">
        <f t="shared" si="28"/>
        <v>44799742.5</v>
      </c>
      <c r="AA273" t="str">
        <f t="shared" si="29"/>
        <v>Normal</v>
      </c>
      <c r="AE273" s="2"/>
      <c r="AF273" s="2"/>
    </row>
    <row r="274" spans="1:32" x14ac:dyDescent="0.35">
      <c r="A274">
        <v>273</v>
      </c>
      <c r="B274" s="1">
        <v>43244</v>
      </c>
      <c r="C274" s="9" t="s">
        <v>582</v>
      </c>
      <c r="D274" s="9" t="s">
        <v>4991</v>
      </c>
      <c r="E274" s="9" t="s">
        <v>5912</v>
      </c>
      <c r="F274" s="9" t="s">
        <v>94</v>
      </c>
      <c r="G274" s="9" t="s">
        <v>583</v>
      </c>
      <c r="H274" s="9" t="s">
        <v>275</v>
      </c>
      <c r="I274" s="11">
        <v>293000</v>
      </c>
      <c r="J274" s="11">
        <v>774461</v>
      </c>
      <c r="K274" s="11">
        <v>15833924</v>
      </c>
      <c r="L274" s="3">
        <v>274</v>
      </c>
      <c r="M274" s="3">
        <v>3029</v>
      </c>
      <c r="N274" s="3">
        <v>1615357</v>
      </c>
      <c r="O274" s="2">
        <v>0.39</v>
      </c>
      <c r="P274" s="2">
        <v>1.1120000000000001</v>
      </c>
      <c r="Q274" s="2">
        <v>0.26400000000000001</v>
      </c>
      <c r="R274" s="11">
        <v>475860217</v>
      </c>
      <c r="S274" s="11">
        <v>1008193.5</v>
      </c>
      <c r="T274">
        <v>2018</v>
      </c>
      <c r="U274">
        <v>5</v>
      </c>
      <c r="V274">
        <f t="shared" si="24"/>
        <v>843750</v>
      </c>
      <c r="W274">
        <f t="shared" si="25"/>
        <v>18429897</v>
      </c>
      <c r="X274">
        <f t="shared" si="26"/>
        <v>17586147</v>
      </c>
      <c r="Y274">
        <f t="shared" si="27"/>
        <v>-25535470.5</v>
      </c>
      <c r="Z274">
        <f t="shared" si="28"/>
        <v>44809117.5</v>
      </c>
      <c r="AA274" t="str">
        <f t="shared" si="29"/>
        <v>Normal</v>
      </c>
      <c r="AE274" s="2"/>
      <c r="AF274" s="2"/>
    </row>
    <row r="275" spans="1:32" x14ac:dyDescent="0.35">
      <c r="A275">
        <v>274</v>
      </c>
      <c r="B275" s="1">
        <v>43247</v>
      </c>
      <c r="C275" s="9" t="s">
        <v>584</v>
      </c>
      <c r="D275" s="9" t="s">
        <v>4988</v>
      </c>
      <c r="E275" s="9" t="s">
        <v>5913</v>
      </c>
      <c r="F275" s="9" t="s">
        <v>31</v>
      </c>
      <c r="G275" s="9" t="s">
        <v>585</v>
      </c>
      <c r="H275" s="9" t="s">
        <v>275</v>
      </c>
      <c r="I275" s="11">
        <v>12000000</v>
      </c>
      <c r="J275" s="11">
        <v>4793624</v>
      </c>
      <c r="K275" s="11">
        <v>8256417</v>
      </c>
      <c r="L275" s="3">
        <v>403</v>
      </c>
      <c r="M275" s="3">
        <v>3550</v>
      </c>
      <c r="N275" s="3">
        <v>649439</v>
      </c>
      <c r="O275" s="2">
        <v>-0.32800000000000001</v>
      </c>
      <c r="P275" s="2">
        <v>0.77500000000000002</v>
      </c>
      <c r="Q275" s="2">
        <v>-0.106</v>
      </c>
      <c r="R275" s="11">
        <v>478473957</v>
      </c>
      <c r="S275" s="11">
        <v>1960417</v>
      </c>
      <c r="T275">
        <v>2018</v>
      </c>
      <c r="U275">
        <v>5</v>
      </c>
      <c r="V275">
        <f t="shared" si="24"/>
        <v>861000</v>
      </c>
      <c r="W275">
        <f t="shared" si="25"/>
        <v>18429897</v>
      </c>
      <c r="X275">
        <f t="shared" si="26"/>
        <v>17568897</v>
      </c>
      <c r="Y275">
        <f t="shared" si="27"/>
        <v>-25492345.5</v>
      </c>
      <c r="Z275">
        <f t="shared" si="28"/>
        <v>44783242.5</v>
      </c>
      <c r="AA275" t="str">
        <f t="shared" si="29"/>
        <v>Normal</v>
      </c>
      <c r="AE275" s="2"/>
      <c r="AF275" s="2"/>
    </row>
    <row r="276" spans="1:32" x14ac:dyDescent="0.35">
      <c r="A276">
        <v>275</v>
      </c>
      <c r="B276" s="1">
        <v>43248</v>
      </c>
      <c r="C276" s="9" t="s">
        <v>586</v>
      </c>
      <c r="D276" s="9" t="s">
        <v>2539</v>
      </c>
      <c r="E276" s="9" t="s">
        <v>5914</v>
      </c>
      <c r="F276" s="9" t="s">
        <v>31</v>
      </c>
      <c r="G276" s="9" t="s">
        <v>587</v>
      </c>
      <c r="H276" s="9" t="s">
        <v>275</v>
      </c>
      <c r="I276" s="11">
        <v>200000</v>
      </c>
      <c r="J276" s="11">
        <v>2102411</v>
      </c>
      <c r="K276" s="11">
        <v>1000000000</v>
      </c>
      <c r="L276" s="3">
        <v>92</v>
      </c>
      <c r="M276" s="3">
        <v>3626</v>
      </c>
      <c r="N276" s="3">
        <v>180523</v>
      </c>
      <c r="O276" s="2">
        <v>0.22900000000000001</v>
      </c>
      <c r="P276" s="2">
        <v>0.96099999999999997</v>
      </c>
      <c r="Q276" s="2">
        <v>4.0999999999999995E-2</v>
      </c>
      <c r="R276" s="11">
        <v>265922085</v>
      </c>
      <c r="S276" s="11">
        <v>996670</v>
      </c>
      <c r="T276">
        <v>2018</v>
      </c>
      <c r="U276">
        <v>5</v>
      </c>
      <c r="V276">
        <f t="shared" si="24"/>
        <v>855500</v>
      </c>
      <c r="W276">
        <f t="shared" si="25"/>
        <v>18429897</v>
      </c>
      <c r="X276">
        <f t="shared" si="26"/>
        <v>17574397</v>
      </c>
      <c r="Y276">
        <f t="shared" si="27"/>
        <v>-25506095.5</v>
      </c>
      <c r="Z276">
        <f t="shared" si="28"/>
        <v>44791492.5</v>
      </c>
      <c r="AA276" t="str">
        <f t="shared" si="29"/>
        <v>Normal</v>
      </c>
      <c r="AE276" s="2"/>
      <c r="AF276" s="2"/>
    </row>
    <row r="277" spans="1:32" x14ac:dyDescent="0.35">
      <c r="A277">
        <v>276</v>
      </c>
      <c r="B277" s="1">
        <v>43249</v>
      </c>
      <c r="C277" s="9" t="s">
        <v>588</v>
      </c>
      <c r="D277" s="9" t="s">
        <v>4988</v>
      </c>
      <c r="E277" s="9" t="s">
        <v>5913</v>
      </c>
      <c r="F277" s="9" t="s">
        <v>151</v>
      </c>
      <c r="G277" s="9" t="s">
        <v>589</v>
      </c>
      <c r="H277" s="9" t="s">
        <v>275</v>
      </c>
      <c r="I277" s="11">
        <v>1500000</v>
      </c>
      <c r="J277" s="11">
        <v>2421871</v>
      </c>
      <c r="K277" s="11">
        <v>19282219</v>
      </c>
      <c r="L277" s="3">
        <v>331</v>
      </c>
      <c r="M277" s="3">
        <v>3848</v>
      </c>
      <c r="N277" s="3">
        <v>1850623</v>
      </c>
      <c r="O277" s="2">
        <v>0.17</v>
      </c>
      <c r="P277" s="2">
        <v>0.84299999999999997</v>
      </c>
      <c r="Q277" s="2">
        <v>1.2E-2</v>
      </c>
      <c r="R277" s="11">
        <v>482205981</v>
      </c>
      <c r="S277" s="11">
        <v>419382</v>
      </c>
      <c r="T277">
        <v>2018</v>
      </c>
      <c r="U277">
        <v>5</v>
      </c>
      <c r="V277">
        <f t="shared" si="24"/>
        <v>872000</v>
      </c>
      <c r="W277">
        <f t="shared" si="25"/>
        <v>18429897</v>
      </c>
      <c r="X277">
        <f t="shared" si="26"/>
        <v>17557897</v>
      </c>
      <c r="Y277">
        <f t="shared" si="27"/>
        <v>-25464845.5</v>
      </c>
      <c r="Z277">
        <f t="shared" si="28"/>
        <v>44766742.5</v>
      </c>
      <c r="AA277" t="str">
        <f t="shared" si="29"/>
        <v>Normal</v>
      </c>
      <c r="AE277" s="2"/>
      <c r="AF277" s="2"/>
    </row>
    <row r="278" spans="1:32" x14ac:dyDescent="0.35">
      <c r="A278">
        <v>277</v>
      </c>
      <c r="B278" s="1">
        <v>43249</v>
      </c>
      <c r="C278" s="9" t="s">
        <v>590</v>
      </c>
      <c r="D278" s="9" t="s">
        <v>4930</v>
      </c>
      <c r="E278" s="9" t="s">
        <v>5915</v>
      </c>
      <c r="F278" s="9" t="s">
        <v>15</v>
      </c>
      <c r="G278" s="9" t="s">
        <v>591</v>
      </c>
      <c r="H278" s="9" t="s">
        <v>105</v>
      </c>
      <c r="I278" s="11">
        <v>8000000</v>
      </c>
      <c r="J278" s="11">
        <v>2346195</v>
      </c>
      <c r="K278" s="11">
        <v>7610096</v>
      </c>
      <c r="L278" s="3">
        <v>254</v>
      </c>
      <c r="M278" s="3">
        <v>2943</v>
      </c>
      <c r="N278" s="3">
        <v>196664</v>
      </c>
      <c r="O278" s="2">
        <v>-0.13</v>
      </c>
      <c r="P278" s="2">
        <v>1.1100000000000001</v>
      </c>
      <c r="Q278" s="2">
        <v>0.34100000000000003</v>
      </c>
      <c r="R278" s="11">
        <v>250264963</v>
      </c>
      <c r="S278" s="11">
        <v>1048997</v>
      </c>
      <c r="T278">
        <v>2018</v>
      </c>
      <c r="U278">
        <v>5</v>
      </c>
      <c r="V278">
        <f t="shared" si="24"/>
        <v>866500</v>
      </c>
      <c r="W278">
        <f t="shared" si="25"/>
        <v>18429897</v>
      </c>
      <c r="X278">
        <f t="shared" si="26"/>
        <v>17563397</v>
      </c>
      <c r="Y278">
        <f t="shared" si="27"/>
        <v>-25478595.5</v>
      </c>
      <c r="Z278">
        <f t="shared" si="28"/>
        <v>44774992.5</v>
      </c>
      <c r="AA278" t="str">
        <f t="shared" si="29"/>
        <v>Normal</v>
      </c>
      <c r="AE278" s="2"/>
      <c r="AF278" s="2"/>
    </row>
    <row r="279" spans="1:32" x14ac:dyDescent="0.35">
      <c r="A279">
        <v>278</v>
      </c>
      <c r="B279" s="1">
        <v>43250</v>
      </c>
      <c r="C279" s="9" t="s">
        <v>592</v>
      </c>
      <c r="D279" s="9" t="s">
        <v>4988</v>
      </c>
      <c r="E279" s="9" t="s">
        <v>5916</v>
      </c>
      <c r="F279" s="9" t="s">
        <v>15</v>
      </c>
      <c r="G279" s="9" t="s">
        <v>593</v>
      </c>
      <c r="H279" s="9" t="s">
        <v>105</v>
      </c>
      <c r="I279" s="11">
        <v>18429897</v>
      </c>
      <c r="J279" s="11">
        <v>3918021</v>
      </c>
      <c r="K279" s="11">
        <v>612907</v>
      </c>
      <c r="L279" s="3">
        <v>105</v>
      </c>
      <c r="M279" s="3">
        <v>3736</v>
      </c>
      <c r="N279" s="3">
        <v>123014</v>
      </c>
      <c r="O279" s="2">
        <v>-8.8999999999999996E-2</v>
      </c>
      <c r="P279" s="2">
        <v>1.0109999999999999</v>
      </c>
      <c r="Q279" s="2">
        <v>0.49200000000000005</v>
      </c>
      <c r="R279" s="11">
        <v>51768047</v>
      </c>
      <c r="S279" s="11">
        <v>256239</v>
      </c>
      <c r="T279">
        <v>2018</v>
      </c>
      <c r="U279">
        <v>5</v>
      </c>
      <c r="V279">
        <f t="shared" si="24"/>
        <v>861000</v>
      </c>
      <c r="W279">
        <f t="shared" si="25"/>
        <v>18429897</v>
      </c>
      <c r="X279">
        <f t="shared" si="26"/>
        <v>17568897</v>
      </c>
      <c r="Y279">
        <f t="shared" si="27"/>
        <v>-25492345.5</v>
      </c>
      <c r="Z279">
        <f t="shared" si="28"/>
        <v>44783242.5</v>
      </c>
      <c r="AA279" t="str">
        <f t="shared" si="29"/>
        <v>Normal</v>
      </c>
      <c r="AE279" s="2"/>
      <c r="AF279" s="2"/>
    </row>
    <row r="280" spans="1:32" x14ac:dyDescent="0.35">
      <c r="A280">
        <v>279</v>
      </c>
      <c r="B280" s="1">
        <v>43250</v>
      </c>
      <c r="C280" s="9" t="s">
        <v>594</v>
      </c>
      <c r="D280" s="9" t="s">
        <v>4930</v>
      </c>
      <c r="E280" s="9" t="s">
        <v>5917</v>
      </c>
      <c r="F280" s="9" t="s">
        <v>15</v>
      </c>
      <c r="G280" s="9" t="s">
        <v>595</v>
      </c>
      <c r="H280" s="9" t="s">
        <v>105</v>
      </c>
      <c r="I280" s="11">
        <v>14000000</v>
      </c>
      <c r="J280" s="11">
        <v>343483</v>
      </c>
      <c r="K280" s="11">
        <v>2999823</v>
      </c>
      <c r="L280" s="3">
        <v>324</v>
      </c>
      <c r="M280" s="3">
        <v>349</v>
      </c>
      <c r="N280" s="3">
        <v>499476</v>
      </c>
      <c r="O280" s="2">
        <v>7.5999999999999998E-2</v>
      </c>
      <c r="P280" s="2">
        <v>0.44700000000000001</v>
      </c>
      <c r="Q280" s="2">
        <v>-0.17499999999999999</v>
      </c>
      <c r="R280" s="11">
        <v>235777126</v>
      </c>
      <c r="S280" s="11">
        <v>1882564</v>
      </c>
      <c r="T280">
        <v>2018</v>
      </c>
      <c r="U280">
        <v>5</v>
      </c>
      <c r="V280">
        <f t="shared" si="24"/>
        <v>855500</v>
      </c>
      <c r="W280">
        <f t="shared" si="25"/>
        <v>18429897</v>
      </c>
      <c r="X280">
        <f t="shared" si="26"/>
        <v>17574397</v>
      </c>
      <c r="Y280">
        <f t="shared" si="27"/>
        <v>-25506095.5</v>
      </c>
      <c r="Z280">
        <f t="shared" si="28"/>
        <v>44791492.5</v>
      </c>
      <c r="AA280" t="str">
        <f t="shared" si="29"/>
        <v>Normal</v>
      </c>
      <c r="AE280" s="2"/>
      <c r="AF280" s="2"/>
    </row>
    <row r="281" spans="1:32" x14ac:dyDescent="0.35">
      <c r="A281">
        <v>280</v>
      </c>
      <c r="B281" s="1">
        <v>43251</v>
      </c>
      <c r="C281" s="9" t="s">
        <v>596</v>
      </c>
      <c r="D281" s="9" t="s">
        <v>4988</v>
      </c>
      <c r="E281" s="9" t="s">
        <v>5918</v>
      </c>
      <c r="F281" s="9" t="s">
        <v>124</v>
      </c>
      <c r="G281" s="9" t="s">
        <v>597</v>
      </c>
      <c r="H281" s="9" t="s">
        <v>275</v>
      </c>
      <c r="I281" s="11">
        <v>1300000</v>
      </c>
      <c r="J281" s="11">
        <v>431995</v>
      </c>
      <c r="K281" s="11">
        <v>12046308</v>
      </c>
      <c r="L281" s="3">
        <v>421</v>
      </c>
      <c r="M281" s="3">
        <v>3107</v>
      </c>
      <c r="N281" s="3">
        <v>1502937</v>
      </c>
      <c r="O281" s="2">
        <v>-0.14800000000000002</v>
      </c>
      <c r="P281" s="2">
        <v>0.42200000000000004</v>
      </c>
      <c r="Q281" s="2">
        <v>0.11900000000000001</v>
      </c>
      <c r="R281" s="11">
        <v>122532698</v>
      </c>
      <c r="S281" s="11">
        <v>80493</v>
      </c>
      <c r="T281">
        <v>2018</v>
      </c>
      <c r="U281">
        <v>5</v>
      </c>
      <c r="V281">
        <f t="shared" si="24"/>
        <v>850000</v>
      </c>
      <c r="W281">
        <f t="shared" si="25"/>
        <v>18429897</v>
      </c>
      <c r="X281">
        <f t="shared" si="26"/>
        <v>17579897</v>
      </c>
      <c r="Y281">
        <f t="shared" si="27"/>
        <v>-25519845.5</v>
      </c>
      <c r="Z281">
        <f t="shared" si="28"/>
        <v>44799742.5</v>
      </c>
      <c r="AA281" t="str">
        <f t="shared" si="29"/>
        <v>Normal</v>
      </c>
      <c r="AE281" s="2"/>
      <c r="AF281" s="2"/>
    </row>
    <row r="282" spans="1:32" x14ac:dyDescent="0.35">
      <c r="A282">
        <v>281</v>
      </c>
      <c r="B282" s="1">
        <v>43192</v>
      </c>
      <c r="C282" s="9" t="s">
        <v>598</v>
      </c>
      <c r="D282" s="9" t="s">
        <v>4988</v>
      </c>
      <c r="E282" s="9" t="s">
        <v>5919</v>
      </c>
      <c r="F282" s="9" t="s">
        <v>31</v>
      </c>
      <c r="G282" s="9" t="s">
        <v>599</v>
      </c>
      <c r="H282" s="9" t="s">
        <v>105</v>
      </c>
      <c r="I282" s="11">
        <v>2000000</v>
      </c>
      <c r="J282" s="11">
        <v>1393719</v>
      </c>
      <c r="K282" s="11">
        <v>19954056</v>
      </c>
      <c r="L282" s="3">
        <v>254</v>
      </c>
      <c r="M282" s="3">
        <v>1056</v>
      </c>
      <c r="N282" s="3">
        <v>1018455</v>
      </c>
      <c r="O282" s="2">
        <v>-0.04</v>
      </c>
      <c r="P282" s="2">
        <v>1.1120000000000001E-2</v>
      </c>
      <c r="Q282" s="2">
        <v>-3.1E-2</v>
      </c>
      <c r="R282" s="11">
        <v>461592843</v>
      </c>
      <c r="S282" s="11">
        <v>1589751</v>
      </c>
      <c r="T282">
        <v>2018</v>
      </c>
      <c r="U282">
        <v>4</v>
      </c>
      <c r="V282">
        <f t="shared" si="24"/>
        <v>843750</v>
      </c>
      <c r="W282">
        <f t="shared" si="25"/>
        <v>18429897</v>
      </c>
      <c r="X282">
        <f t="shared" si="26"/>
        <v>17586147</v>
      </c>
      <c r="Y282">
        <f t="shared" si="27"/>
        <v>-25535470.5</v>
      </c>
      <c r="Z282">
        <f t="shared" si="28"/>
        <v>44809117.5</v>
      </c>
      <c r="AA282" t="str">
        <f t="shared" si="29"/>
        <v>Normal</v>
      </c>
      <c r="AE282" s="2"/>
      <c r="AF282" s="2"/>
    </row>
    <row r="283" spans="1:32" x14ac:dyDescent="0.35">
      <c r="A283">
        <v>282</v>
      </c>
      <c r="B283" s="1">
        <v>43192</v>
      </c>
      <c r="C283" s="9" t="s">
        <v>600</v>
      </c>
      <c r="D283" s="9" t="s">
        <v>4930</v>
      </c>
      <c r="E283" s="9" t="s">
        <v>5920</v>
      </c>
      <c r="F283" s="9" t="s">
        <v>601</v>
      </c>
      <c r="G283" s="9" t="s">
        <v>602</v>
      </c>
      <c r="H283" s="9" t="s">
        <v>275</v>
      </c>
      <c r="I283" s="11">
        <v>307600</v>
      </c>
      <c r="J283" s="11">
        <v>2443558</v>
      </c>
      <c r="K283" s="11">
        <v>14824049</v>
      </c>
      <c r="L283" s="3">
        <v>422</v>
      </c>
      <c r="M283" s="3">
        <v>2064</v>
      </c>
      <c r="N283" s="3">
        <v>470528</v>
      </c>
      <c r="O283" s="2">
        <v>2.7999999999999997E-2</v>
      </c>
      <c r="P283" s="2">
        <v>0.79700000000000004</v>
      </c>
      <c r="Q283" s="2">
        <v>0.10800000000000001</v>
      </c>
      <c r="R283" s="11">
        <v>302914644</v>
      </c>
      <c r="S283" s="11">
        <v>1496960</v>
      </c>
      <c r="T283">
        <v>2018</v>
      </c>
      <c r="U283">
        <v>4</v>
      </c>
      <c r="V283">
        <f t="shared" si="24"/>
        <v>837500</v>
      </c>
      <c r="W283">
        <f t="shared" si="25"/>
        <v>18429897</v>
      </c>
      <c r="X283">
        <f t="shared" si="26"/>
        <v>17592397</v>
      </c>
      <c r="Y283">
        <f t="shared" si="27"/>
        <v>-25551095.5</v>
      </c>
      <c r="Z283">
        <f t="shared" si="28"/>
        <v>44818492.5</v>
      </c>
      <c r="AA283" t="str">
        <f t="shared" si="29"/>
        <v>Normal</v>
      </c>
      <c r="AE283" s="2"/>
      <c r="AF283" s="2"/>
    </row>
    <row r="284" spans="1:32" x14ac:dyDescent="0.35">
      <c r="A284">
        <v>283</v>
      </c>
      <c r="B284" s="1">
        <v>43192</v>
      </c>
      <c r="C284" s="9" t="s">
        <v>603</v>
      </c>
      <c r="D284" s="9" t="s">
        <v>4930</v>
      </c>
      <c r="E284" s="9" t="s">
        <v>5921</v>
      </c>
      <c r="F284" s="9" t="s">
        <v>151</v>
      </c>
      <c r="G284" s="9" t="s">
        <v>604</v>
      </c>
      <c r="H284" s="9" t="s">
        <v>275</v>
      </c>
      <c r="I284" s="11">
        <v>18429897</v>
      </c>
      <c r="J284" s="11">
        <v>3362197</v>
      </c>
      <c r="K284" s="11">
        <v>12397923</v>
      </c>
      <c r="L284" s="3">
        <v>407</v>
      </c>
      <c r="M284" s="3">
        <v>2505.5</v>
      </c>
      <c r="N284" s="3">
        <v>154266</v>
      </c>
      <c r="O284" s="2">
        <v>0.23499999999999999</v>
      </c>
      <c r="P284" s="2">
        <v>0.65</v>
      </c>
      <c r="Q284" s="2">
        <v>0.54200000000000004</v>
      </c>
      <c r="R284" s="11">
        <v>219979909</v>
      </c>
      <c r="S284" s="11">
        <v>1008193.5</v>
      </c>
      <c r="T284">
        <v>2018</v>
      </c>
      <c r="U284">
        <v>4</v>
      </c>
      <c r="V284">
        <f t="shared" si="24"/>
        <v>855500</v>
      </c>
      <c r="W284">
        <f t="shared" si="25"/>
        <v>18429897</v>
      </c>
      <c r="X284">
        <f t="shared" si="26"/>
        <v>17574397</v>
      </c>
      <c r="Y284">
        <f t="shared" si="27"/>
        <v>-25506095.5</v>
      </c>
      <c r="Z284">
        <f t="shared" si="28"/>
        <v>44791492.5</v>
      </c>
      <c r="AA284" t="str">
        <f t="shared" si="29"/>
        <v>Normal</v>
      </c>
      <c r="AE284" s="2"/>
      <c r="AF284" s="2"/>
    </row>
    <row r="285" spans="1:32" x14ac:dyDescent="0.35">
      <c r="A285">
        <v>284</v>
      </c>
      <c r="B285" s="1">
        <v>43192</v>
      </c>
      <c r="C285" s="9" t="s">
        <v>411</v>
      </c>
      <c r="D285" s="9" t="s">
        <v>4988</v>
      </c>
      <c r="E285" s="9" t="s">
        <v>5832</v>
      </c>
      <c r="F285" s="9" t="s">
        <v>15</v>
      </c>
      <c r="G285" s="9" t="s">
        <v>58</v>
      </c>
      <c r="H285" s="9" t="s">
        <v>275</v>
      </c>
      <c r="I285" s="11">
        <v>1300000</v>
      </c>
      <c r="J285" s="11">
        <v>2463720</v>
      </c>
      <c r="K285" s="11">
        <v>6527736</v>
      </c>
      <c r="L285" s="3">
        <v>237</v>
      </c>
      <c r="M285" s="3">
        <v>613</v>
      </c>
      <c r="N285" s="3">
        <v>1908565</v>
      </c>
      <c r="O285" s="2">
        <v>-2.1000000000000001E-2</v>
      </c>
      <c r="P285" s="2">
        <v>0.9</v>
      </c>
      <c r="Q285" s="2">
        <v>0.19500000000000001</v>
      </c>
      <c r="R285" s="11">
        <v>22993358</v>
      </c>
      <c r="S285" s="11">
        <v>1561791</v>
      </c>
      <c r="T285">
        <v>2018</v>
      </c>
      <c r="U285">
        <v>4</v>
      </c>
      <c r="V285">
        <f t="shared" si="24"/>
        <v>850000</v>
      </c>
      <c r="W285">
        <f t="shared" si="25"/>
        <v>18429897</v>
      </c>
      <c r="X285">
        <f t="shared" si="26"/>
        <v>17579897</v>
      </c>
      <c r="Y285">
        <f t="shared" si="27"/>
        <v>-25519845.5</v>
      </c>
      <c r="Z285">
        <f t="shared" si="28"/>
        <v>44799742.5</v>
      </c>
      <c r="AA285" t="str">
        <f t="shared" si="29"/>
        <v>Normal</v>
      </c>
      <c r="AE285" s="2"/>
      <c r="AF285" s="2"/>
    </row>
    <row r="286" spans="1:32" x14ac:dyDescent="0.35">
      <c r="A286">
        <v>285</v>
      </c>
      <c r="B286" s="1">
        <v>43194</v>
      </c>
      <c r="C286" s="9" t="s">
        <v>605</v>
      </c>
      <c r="D286" s="9" t="s">
        <v>4933</v>
      </c>
      <c r="E286" s="9" t="s">
        <v>5922</v>
      </c>
      <c r="F286" s="9" t="s">
        <v>15</v>
      </c>
      <c r="G286" s="9" t="s">
        <v>606</v>
      </c>
      <c r="H286" s="9" t="s">
        <v>105</v>
      </c>
      <c r="I286" s="11">
        <v>55000000</v>
      </c>
      <c r="J286" s="11">
        <v>2217017</v>
      </c>
      <c r="K286" s="11">
        <v>8843706</v>
      </c>
      <c r="L286" s="3">
        <v>29</v>
      </c>
      <c r="M286" s="3">
        <v>3784</v>
      </c>
      <c r="N286" s="3">
        <v>15550</v>
      </c>
      <c r="O286" s="2">
        <v>3.1E-2</v>
      </c>
      <c r="P286" s="2">
        <v>0.48200000000000004</v>
      </c>
      <c r="Q286" s="2">
        <v>-4.0999999999999995E-2</v>
      </c>
      <c r="R286" s="11">
        <v>318258103</v>
      </c>
      <c r="S286" s="11">
        <v>1350989</v>
      </c>
      <c r="T286">
        <v>2018</v>
      </c>
      <c r="U286">
        <v>4</v>
      </c>
      <c r="V286">
        <f t="shared" si="24"/>
        <v>843750</v>
      </c>
      <c r="W286">
        <f t="shared" si="25"/>
        <v>18429897</v>
      </c>
      <c r="X286">
        <f t="shared" si="26"/>
        <v>17586147</v>
      </c>
      <c r="Y286">
        <f t="shared" si="27"/>
        <v>-25535470.5</v>
      </c>
      <c r="Z286">
        <f t="shared" si="28"/>
        <v>44809117.5</v>
      </c>
      <c r="AA286" t="str">
        <f t="shared" si="29"/>
        <v>Outlier</v>
      </c>
      <c r="AE286" s="2"/>
      <c r="AF286" s="2"/>
    </row>
    <row r="287" spans="1:32" x14ac:dyDescent="0.35">
      <c r="A287">
        <v>286</v>
      </c>
      <c r="B287" s="1">
        <v>43195</v>
      </c>
      <c r="C287" s="9" t="s">
        <v>607</v>
      </c>
      <c r="D287" s="9" t="s">
        <v>4955</v>
      </c>
      <c r="E287" s="9" t="s">
        <v>5571</v>
      </c>
      <c r="F287" s="9" t="s">
        <v>124</v>
      </c>
      <c r="G287" s="9" t="s">
        <v>608</v>
      </c>
      <c r="H287" s="9" t="s">
        <v>275</v>
      </c>
      <c r="I287" s="11">
        <v>150000</v>
      </c>
      <c r="J287" s="11">
        <v>4690375</v>
      </c>
      <c r="K287" s="11">
        <v>863623</v>
      </c>
      <c r="L287" s="3">
        <v>482</v>
      </c>
      <c r="M287" s="3">
        <v>1334</v>
      </c>
      <c r="N287" s="3">
        <v>1849138</v>
      </c>
      <c r="O287" s="2">
        <v>0.32500000000000001</v>
      </c>
      <c r="P287" s="2">
        <v>1.0090000000000001</v>
      </c>
      <c r="Q287" s="2">
        <v>-0.24199999999999999</v>
      </c>
      <c r="R287" s="11">
        <v>250264963</v>
      </c>
      <c r="S287" s="11">
        <v>413959</v>
      </c>
      <c r="T287">
        <v>2018</v>
      </c>
      <c r="U287">
        <v>4</v>
      </c>
      <c r="V287">
        <f t="shared" si="24"/>
        <v>837500</v>
      </c>
      <c r="W287">
        <f t="shared" si="25"/>
        <v>18429897</v>
      </c>
      <c r="X287">
        <f t="shared" si="26"/>
        <v>17592397</v>
      </c>
      <c r="Y287">
        <f t="shared" si="27"/>
        <v>-25551095.5</v>
      </c>
      <c r="Z287">
        <f t="shared" si="28"/>
        <v>44818492.5</v>
      </c>
      <c r="AA287" t="str">
        <f t="shared" si="29"/>
        <v>Normal</v>
      </c>
      <c r="AE287" s="2"/>
      <c r="AF287" s="2"/>
    </row>
    <row r="288" spans="1:32" x14ac:dyDescent="0.35">
      <c r="A288">
        <v>287</v>
      </c>
      <c r="B288" s="1">
        <v>43195</v>
      </c>
      <c r="C288" s="9" t="s">
        <v>609</v>
      </c>
      <c r="D288" s="9" t="s">
        <v>4955</v>
      </c>
      <c r="E288" s="9" t="s">
        <v>5923</v>
      </c>
      <c r="F288" s="9" t="s">
        <v>15</v>
      </c>
      <c r="G288" s="9" t="s">
        <v>610</v>
      </c>
      <c r="H288" s="9" t="s">
        <v>105</v>
      </c>
      <c r="I288" s="11">
        <v>10000000</v>
      </c>
      <c r="J288" s="11">
        <v>821874</v>
      </c>
      <c r="K288" s="11">
        <v>1000000000</v>
      </c>
      <c r="L288" s="3">
        <v>229</v>
      </c>
      <c r="M288" s="3">
        <v>3781</v>
      </c>
      <c r="N288" s="3">
        <v>944415</v>
      </c>
      <c r="O288" s="2">
        <v>-0.23300000000000001</v>
      </c>
      <c r="P288" s="2">
        <v>0.50800000000000001</v>
      </c>
      <c r="Q288" s="2">
        <v>0.35</v>
      </c>
      <c r="R288" s="11">
        <v>357118657</v>
      </c>
      <c r="S288" s="11">
        <v>756769</v>
      </c>
      <c r="T288">
        <v>2018</v>
      </c>
      <c r="U288">
        <v>4</v>
      </c>
      <c r="V288">
        <f t="shared" si="24"/>
        <v>855500</v>
      </c>
      <c r="W288">
        <f t="shared" si="25"/>
        <v>18429897</v>
      </c>
      <c r="X288">
        <f t="shared" si="26"/>
        <v>17574397</v>
      </c>
      <c r="Y288">
        <f t="shared" si="27"/>
        <v>-25506095.5</v>
      </c>
      <c r="Z288">
        <f t="shared" si="28"/>
        <v>44791492.5</v>
      </c>
      <c r="AA288" t="str">
        <f t="shared" si="29"/>
        <v>Normal</v>
      </c>
      <c r="AE288" s="2"/>
      <c r="AF288" s="2"/>
    </row>
    <row r="289" spans="1:32" x14ac:dyDescent="0.35">
      <c r="A289">
        <v>288</v>
      </c>
      <c r="B289" s="1">
        <v>43199</v>
      </c>
      <c r="C289" s="9" t="s">
        <v>611</v>
      </c>
      <c r="D289" s="9" t="s">
        <v>4933</v>
      </c>
      <c r="E289" s="9" t="s">
        <v>5924</v>
      </c>
      <c r="F289" s="9" t="s">
        <v>35</v>
      </c>
      <c r="G289" s="9" t="s">
        <v>612</v>
      </c>
      <c r="H289" s="9" t="s">
        <v>275</v>
      </c>
      <c r="I289" s="11">
        <v>2800000</v>
      </c>
      <c r="J289" s="11">
        <v>2867205</v>
      </c>
      <c r="K289" s="11">
        <v>12507032</v>
      </c>
      <c r="L289" s="3">
        <v>318</v>
      </c>
      <c r="M289" s="3">
        <v>3844</v>
      </c>
      <c r="N289" s="3">
        <v>388684</v>
      </c>
      <c r="O289" s="2">
        <v>0.16500000000000001</v>
      </c>
      <c r="P289" s="2">
        <v>0.50800000000000001</v>
      </c>
      <c r="Q289" s="2">
        <v>-1.4999999999999999E-2</v>
      </c>
      <c r="R289" s="11">
        <v>7658234</v>
      </c>
      <c r="S289" s="11">
        <v>1121099</v>
      </c>
      <c r="T289">
        <v>2018</v>
      </c>
      <c r="U289">
        <v>4</v>
      </c>
      <c r="V289">
        <f t="shared" si="24"/>
        <v>850000</v>
      </c>
      <c r="W289">
        <f t="shared" si="25"/>
        <v>18429897</v>
      </c>
      <c r="X289">
        <f t="shared" si="26"/>
        <v>17579897</v>
      </c>
      <c r="Y289">
        <f t="shared" si="27"/>
        <v>-25519845.5</v>
      </c>
      <c r="Z289">
        <f t="shared" si="28"/>
        <v>44799742.5</v>
      </c>
      <c r="AA289" t="str">
        <f t="shared" si="29"/>
        <v>Normal</v>
      </c>
      <c r="AE289" s="2"/>
      <c r="AF289" s="2"/>
    </row>
    <row r="290" spans="1:32" x14ac:dyDescent="0.35">
      <c r="A290">
        <v>289</v>
      </c>
      <c r="B290" s="1">
        <v>43199</v>
      </c>
      <c r="C290" s="9" t="s">
        <v>613</v>
      </c>
      <c r="D290" s="9" t="s">
        <v>4988</v>
      </c>
      <c r="E290" s="9" t="s">
        <v>5925</v>
      </c>
      <c r="F290" s="9" t="s">
        <v>31</v>
      </c>
      <c r="G290" s="9" t="s">
        <v>614</v>
      </c>
      <c r="H290" s="9" t="s">
        <v>275</v>
      </c>
      <c r="I290" s="11">
        <v>1000000</v>
      </c>
      <c r="J290" s="11">
        <v>2720378</v>
      </c>
      <c r="K290" s="11">
        <v>18123991</v>
      </c>
      <c r="L290" s="3">
        <v>15</v>
      </c>
      <c r="M290" s="3">
        <v>125</v>
      </c>
      <c r="N290" s="3">
        <v>693379</v>
      </c>
      <c r="O290" s="2">
        <v>0.19800000000000001</v>
      </c>
      <c r="P290" s="2">
        <v>0.84400000000000008</v>
      </c>
      <c r="Q290" s="2">
        <v>-9.4E-2</v>
      </c>
      <c r="R290" s="11">
        <v>197483962</v>
      </c>
      <c r="S290" s="11">
        <v>1850910</v>
      </c>
      <c r="T290">
        <v>2018</v>
      </c>
      <c r="U290">
        <v>4</v>
      </c>
      <c r="V290">
        <f t="shared" si="24"/>
        <v>843750</v>
      </c>
      <c r="W290">
        <f t="shared" si="25"/>
        <v>18429897</v>
      </c>
      <c r="X290">
        <f t="shared" si="26"/>
        <v>17586147</v>
      </c>
      <c r="Y290">
        <f t="shared" si="27"/>
        <v>-25535470.5</v>
      </c>
      <c r="Z290">
        <f t="shared" si="28"/>
        <v>44809117.5</v>
      </c>
      <c r="AA290" t="str">
        <f t="shared" si="29"/>
        <v>Normal</v>
      </c>
      <c r="AE290" s="2"/>
      <c r="AF290" s="2"/>
    </row>
    <row r="291" spans="1:32" x14ac:dyDescent="0.35">
      <c r="A291">
        <v>290</v>
      </c>
      <c r="B291" s="1">
        <v>43199</v>
      </c>
      <c r="C291" s="9" t="s">
        <v>615</v>
      </c>
      <c r="D291" s="9" t="s">
        <v>4930</v>
      </c>
      <c r="E291" s="9" t="s">
        <v>5926</v>
      </c>
      <c r="F291" s="9" t="s">
        <v>31</v>
      </c>
      <c r="G291" s="9" t="s">
        <v>616</v>
      </c>
      <c r="H291" s="9" t="s">
        <v>275</v>
      </c>
      <c r="I291" s="11">
        <v>18429897</v>
      </c>
      <c r="J291" s="11">
        <v>2377977</v>
      </c>
      <c r="K291" s="11">
        <v>18456232</v>
      </c>
      <c r="L291" s="3">
        <v>444</v>
      </c>
      <c r="M291" s="3">
        <v>1207</v>
      </c>
      <c r="N291" s="3">
        <v>620907</v>
      </c>
      <c r="O291" s="2">
        <v>0.20300000000000001</v>
      </c>
      <c r="P291" s="2">
        <v>0.50800000000000001</v>
      </c>
      <c r="Q291" s="2">
        <v>0.17600000000000002</v>
      </c>
      <c r="R291" s="11">
        <v>106010021</v>
      </c>
      <c r="S291" s="11">
        <v>1197242</v>
      </c>
      <c r="T291">
        <v>2018</v>
      </c>
      <c r="U291">
        <v>4</v>
      </c>
      <c r="V291">
        <f t="shared" si="24"/>
        <v>837500</v>
      </c>
      <c r="W291">
        <f t="shared" si="25"/>
        <v>18429897</v>
      </c>
      <c r="X291">
        <f t="shared" si="26"/>
        <v>17592397</v>
      </c>
      <c r="Y291">
        <f t="shared" si="27"/>
        <v>-25551095.5</v>
      </c>
      <c r="Z291">
        <f t="shared" si="28"/>
        <v>44818492.5</v>
      </c>
      <c r="AA291" t="str">
        <f t="shared" si="29"/>
        <v>Normal</v>
      </c>
      <c r="AE291" s="2"/>
      <c r="AF291" s="2"/>
    </row>
    <row r="292" spans="1:32" x14ac:dyDescent="0.35">
      <c r="A292">
        <v>291</v>
      </c>
      <c r="B292" s="1">
        <v>43199</v>
      </c>
      <c r="C292" s="9" t="s">
        <v>617</v>
      </c>
      <c r="D292" s="9" t="s">
        <v>4955</v>
      </c>
      <c r="E292" s="9" t="s">
        <v>5927</v>
      </c>
      <c r="F292" s="9" t="s">
        <v>94</v>
      </c>
      <c r="G292" s="9" t="s">
        <v>58</v>
      </c>
      <c r="H292" s="9" t="s">
        <v>275</v>
      </c>
      <c r="I292" s="11">
        <v>46140</v>
      </c>
      <c r="J292" s="11">
        <v>4041835</v>
      </c>
      <c r="K292" s="11">
        <v>16441716</v>
      </c>
      <c r="L292" s="3">
        <v>444</v>
      </c>
      <c r="M292" s="3">
        <v>4035</v>
      </c>
      <c r="N292" s="3">
        <v>313576</v>
      </c>
      <c r="O292" s="2">
        <v>0.02</v>
      </c>
      <c r="P292" s="2">
        <v>1.165</v>
      </c>
      <c r="Q292" s="2">
        <v>0.245</v>
      </c>
      <c r="R292" s="11">
        <v>132554294</v>
      </c>
      <c r="S292" s="11">
        <v>511376</v>
      </c>
      <c r="T292">
        <v>2018</v>
      </c>
      <c r="U292">
        <v>4</v>
      </c>
      <c r="V292">
        <f t="shared" si="24"/>
        <v>831250</v>
      </c>
      <c r="W292">
        <f t="shared" si="25"/>
        <v>18429897</v>
      </c>
      <c r="X292">
        <f t="shared" si="26"/>
        <v>17598647</v>
      </c>
      <c r="Y292">
        <f t="shared" si="27"/>
        <v>-25566720.5</v>
      </c>
      <c r="Z292">
        <f t="shared" si="28"/>
        <v>44827867.5</v>
      </c>
      <c r="AA292" t="str">
        <f t="shared" si="29"/>
        <v>Normal</v>
      </c>
      <c r="AE292" s="2"/>
      <c r="AF292" s="2"/>
    </row>
    <row r="293" spans="1:32" x14ac:dyDescent="0.35">
      <c r="A293">
        <v>292</v>
      </c>
      <c r="B293" s="1">
        <v>43200</v>
      </c>
      <c r="C293" s="9" t="s">
        <v>618</v>
      </c>
      <c r="D293" s="9" t="s">
        <v>4933</v>
      </c>
      <c r="E293" s="9" t="s">
        <v>5928</v>
      </c>
      <c r="F293" s="9" t="s">
        <v>15</v>
      </c>
      <c r="G293" s="9" t="s">
        <v>619</v>
      </c>
      <c r="H293" s="9" t="s">
        <v>275</v>
      </c>
      <c r="I293" s="11">
        <v>18429897</v>
      </c>
      <c r="J293" s="11">
        <v>1349538</v>
      </c>
      <c r="K293" s="11">
        <v>527815</v>
      </c>
      <c r="L293" s="3">
        <v>464</v>
      </c>
      <c r="M293" s="3">
        <v>1743</v>
      </c>
      <c r="N293" s="3">
        <v>863877</v>
      </c>
      <c r="O293" s="2">
        <v>-9.3000000000000013E-2</v>
      </c>
      <c r="P293" s="2">
        <v>0.60199999999999998</v>
      </c>
      <c r="Q293" s="2">
        <v>8.0000000000000002E-3</v>
      </c>
      <c r="R293" s="11">
        <v>274902733</v>
      </c>
      <c r="S293" s="11">
        <v>701865</v>
      </c>
      <c r="T293">
        <v>2018</v>
      </c>
      <c r="U293">
        <v>4</v>
      </c>
      <c r="V293">
        <f t="shared" si="24"/>
        <v>850000</v>
      </c>
      <c r="W293">
        <f t="shared" si="25"/>
        <v>18429897</v>
      </c>
      <c r="X293">
        <f t="shared" si="26"/>
        <v>17579897</v>
      </c>
      <c r="Y293">
        <f t="shared" si="27"/>
        <v>-25519845.5</v>
      </c>
      <c r="Z293">
        <f t="shared" si="28"/>
        <v>44799742.5</v>
      </c>
      <c r="AA293" t="str">
        <f t="shared" si="29"/>
        <v>Normal</v>
      </c>
      <c r="AE293" s="2"/>
      <c r="AF293" s="2"/>
    </row>
    <row r="294" spans="1:32" x14ac:dyDescent="0.35">
      <c r="A294">
        <v>293</v>
      </c>
      <c r="B294" s="1">
        <v>43200</v>
      </c>
      <c r="C294" s="9" t="s">
        <v>620</v>
      </c>
      <c r="D294" s="9" t="s">
        <v>4988</v>
      </c>
      <c r="E294" s="9" t="s">
        <v>5682</v>
      </c>
      <c r="F294" s="9" t="s">
        <v>151</v>
      </c>
      <c r="G294" s="9" t="s">
        <v>621</v>
      </c>
      <c r="H294" s="9" t="s">
        <v>105</v>
      </c>
      <c r="I294" s="11">
        <v>12000000</v>
      </c>
      <c r="J294" s="11">
        <v>4769788</v>
      </c>
      <c r="K294" s="11">
        <v>16242597</v>
      </c>
      <c r="L294" s="3">
        <v>91</v>
      </c>
      <c r="M294" s="3">
        <v>2223</v>
      </c>
      <c r="N294" s="3">
        <v>1311882</v>
      </c>
      <c r="O294" s="2">
        <v>0.42399999999999999</v>
      </c>
      <c r="P294" s="2">
        <v>0.50800000000000001</v>
      </c>
      <c r="Q294" s="2">
        <v>-0.13600000000000001</v>
      </c>
      <c r="R294" s="11">
        <v>197928025</v>
      </c>
      <c r="S294" s="11">
        <v>642139</v>
      </c>
      <c r="T294">
        <v>2018</v>
      </c>
      <c r="U294">
        <v>4</v>
      </c>
      <c r="V294">
        <f t="shared" si="24"/>
        <v>843750</v>
      </c>
      <c r="W294">
        <f t="shared" si="25"/>
        <v>18429897</v>
      </c>
      <c r="X294">
        <f t="shared" si="26"/>
        <v>17586147</v>
      </c>
      <c r="Y294">
        <f t="shared" si="27"/>
        <v>-25535470.5</v>
      </c>
      <c r="Z294">
        <f t="shared" si="28"/>
        <v>44809117.5</v>
      </c>
      <c r="AA294" t="str">
        <f t="shared" si="29"/>
        <v>Normal</v>
      </c>
      <c r="AE294" s="2"/>
      <c r="AF294" s="2"/>
    </row>
    <row r="295" spans="1:32" x14ac:dyDescent="0.35">
      <c r="A295">
        <v>294</v>
      </c>
      <c r="B295" s="1">
        <v>43202</v>
      </c>
      <c r="C295" s="9" t="s">
        <v>622</v>
      </c>
      <c r="D295" s="9" t="s">
        <v>2539</v>
      </c>
      <c r="E295" s="9" t="s">
        <v>5929</v>
      </c>
      <c r="F295" s="9" t="s">
        <v>94</v>
      </c>
      <c r="G295" s="9" t="s">
        <v>623</v>
      </c>
      <c r="H295" s="9" t="s">
        <v>275</v>
      </c>
      <c r="I295" s="11">
        <v>1000000</v>
      </c>
      <c r="J295" s="11">
        <v>1671213</v>
      </c>
      <c r="K295" s="11">
        <v>4450496</v>
      </c>
      <c r="L295" s="3">
        <v>422</v>
      </c>
      <c r="M295" s="3">
        <v>127</v>
      </c>
      <c r="N295" s="3">
        <v>945265</v>
      </c>
      <c r="O295" s="2">
        <v>-5.0999999999999997E-2</v>
      </c>
      <c r="P295" s="2">
        <v>0.45600000000000002</v>
      </c>
      <c r="Q295" s="2">
        <v>0.442</v>
      </c>
      <c r="R295" s="11">
        <v>175476052</v>
      </c>
      <c r="S295" s="11">
        <v>1008193.5</v>
      </c>
      <c r="T295">
        <v>2018</v>
      </c>
      <c r="U295">
        <v>4</v>
      </c>
      <c r="V295">
        <f t="shared" si="24"/>
        <v>837500</v>
      </c>
      <c r="W295">
        <f t="shared" si="25"/>
        <v>18429897</v>
      </c>
      <c r="X295">
        <f t="shared" si="26"/>
        <v>17592397</v>
      </c>
      <c r="Y295">
        <f t="shared" si="27"/>
        <v>-25551095.5</v>
      </c>
      <c r="Z295">
        <f t="shared" si="28"/>
        <v>44818492.5</v>
      </c>
      <c r="AA295" t="str">
        <f t="shared" si="29"/>
        <v>Normal</v>
      </c>
      <c r="AE295" s="2"/>
      <c r="AF295" s="2"/>
    </row>
    <row r="296" spans="1:32" x14ac:dyDescent="0.35">
      <c r="A296">
        <v>295</v>
      </c>
      <c r="B296" s="1">
        <v>43202</v>
      </c>
      <c r="C296" s="9" t="s">
        <v>83</v>
      </c>
      <c r="D296" s="9" t="s">
        <v>4933</v>
      </c>
      <c r="E296" s="9" t="s">
        <v>1111</v>
      </c>
      <c r="F296" s="9" t="s">
        <v>151</v>
      </c>
      <c r="G296" s="9" t="s">
        <v>624</v>
      </c>
      <c r="H296" s="9" t="s">
        <v>59</v>
      </c>
      <c r="I296" s="11">
        <v>4600000</v>
      </c>
      <c r="J296" s="11">
        <v>2531926</v>
      </c>
      <c r="K296" s="11">
        <v>12362349</v>
      </c>
      <c r="L296" s="3">
        <v>254</v>
      </c>
      <c r="M296" s="3">
        <v>3483</v>
      </c>
      <c r="N296" s="3">
        <v>1282898</v>
      </c>
      <c r="O296" s="2">
        <v>-0.10300000000000001</v>
      </c>
      <c r="P296" s="2">
        <v>0.61699999999999999</v>
      </c>
      <c r="Q296" s="2">
        <v>0.27100000000000002</v>
      </c>
      <c r="R296" s="11">
        <v>106614199</v>
      </c>
      <c r="S296" s="11">
        <v>460928</v>
      </c>
      <c r="T296">
        <v>2018</v>
      </c>
      <c r="U296">
        <v>4</v>
      </c>
      <c r="V296">
        <f t="shared" si="24"/>
        <v>831250</v>
      </c>
      <c r="W296">
        <f t="shared" si="25"/>
        <v>18429897</v>
      </c>
      <c r="X296">
        <f t="shared" si="26"/>
        <v>17598647</v>
      </c>
      <c r="Y296">
        <f t="shared" si="27"/>
        <v>-25566720.5</v>
      </c>
      <c r="Z296">
        <f t="shared" si="28"/>
        <v>44827867.5</v>
      </c>
      <c r="AA296" t="str">
        <f t="shared" si="29"/>
        <v>Normal</v>
      </c>
      <c r="AE296" s="2"/>
      <c r="AF296" s="2"/>
    </row>
    <row r="297" spans="1:32" x14ac:dyDescent="0.35">
      <c r="A297">
        <v>296</v>
      </c>
      <c r="B297" s="1">
        <v>43203</v>
      </c>
      <c r="C297" s="9" t="s">
        <v>625</v>
      </c>
      <c r="D297" s="9" t="s">
        <v>4933</v>
      </c>
      <c r="E297" s="9" t="s">
        <v>1111</v>
      </c>
      <c r="F297" s="9" t="s">
        <v>31</v>
      </c>
      <c r="G297" s="9" t="s">
        <v>626</v>
      </c>
      <c r="H297" s="9" t="s">
        <v>275</v>
      </c>
      <c r="I297" s="11">
        <v>2000000</v>
      </c>
      <c r="J297" s="11">
        <v>2612948</v>
      </c>
      <c r="K297" s="11">
        <v>10153449</v>
      </c>
      <c r="L297" s="3">
        <v>77</v>
      </c>
      <c r="M297" s="3">
        <v>511</v>
      </c>
      <c r="N297" s="3">
        <v>1940423</v>
      </c>
      <c r="O297" s="2">
        <v>0.124</v>
      </c>
      <c r="P297" s="2">
        <v>0.93799999999999994</v>
      </c>
      <c r="Q297" s="2">
        <v>0.34700000000000003</v>
      </c>
      <c r="R297" s="11">
        <v>437580647</v>
      </c>
      <c r="S297" s="11">
        <v>1988332</v>
      </c>
      <c r="T297">
        <v>2018</v>
      </c>
      <c r="U297">
        <v>4</v>
      </c>
      <c r="V297">
        <f t="shared" si="24"/>
        <v>825000</v>
      </c>
      <c r="W297">
        <f t="shared" si="25"/>
        <v>18429897</v>
      </c>
      <c r="X297">
        <f t="shared" si="26"/>
        <v>17604897</v>
      </c>
      <c r="Y297">
        <f t="shared" si="27"/>
        <v>-25582345.5</v>
      </c>
      <c r="Z297">
        <f t="shared" si="28"/>
        <v>44837242.5</v>
      </c>
      <c r="AA297" t="str">
        <f t="shared" si="29"/>
        <v>Normal</v>
      </c>
      <c r="AE297" s="2"/>
      <c r="AF297" s="2"/>
    </row>
    <row r="298" spans="1:32" x14ac:dyDescent="0.35">
      <c r="A298">
        <v>297</v>
      </c>
      <c r="B298" s="1">
        <v>43206</v>
      </c>
      <c r="C298" s="9" t="s">
        <v>627</v>
      </c>
      <c r="D298" s="9" t="s">
        <v>4988</v>
      </c>
      <c r="E298" s="9" t="s">
        <v>5930</v>
      </c>
      <c r="F298" s="9" t="s">
        <v>94</v>
      </c>
      <c r="G298" s="9" t="s">
        <v>628</v>
      </c>
      <c r="H298" s="9" t="s">
        <v>275</v>
      </c>
      <c r="I298" s="11">
        <v>500000</v>
      </c>
      <c r="J298" s="11">
        <v>4251893</v>
      </c>
      <c r="K298" s="11">
        <v>17770335</v>
      </c>
      <c r="L298" s="3">
        <v>254</v>
      </c>
      <c r="M298" s="3">
        <v>1396</v>
      </c>
      <c r="N298" s="3">
        <v>243873</v>
      </c>
      <c r="O298" s="2">
        <v>-2.8000000000000001E-2</v>
      </c>
      <c r="P298" s="2">
        <v>0.89599999999999991</v>
      </c>
      <c r="Q298" s="2">
        <v>0.36749999999999999</v>
      </c>
      <c r="R298" s="11">
        <v>122896190</v>
      </c>
      <c r="S298" s="11">
        <v>1431787</v>
      </c>
      <c r="T298">
        <v>2018</v>
      </c>
      <c r="U298">
        <v>4</v>
      </c>
      <c r="V298">
        <f t="shared" si="24"/>
        <v>825000</v>
      </c>
      <c r="W298">
        <f t="shared" si="25"/>
        <v>18429897</v>
      </c>
      <c r="X298">
        <f t="shared" si="26"/>
        <v>17604897</v>
      </c>
      <c r="Y298">
        <f t="shared" si="27"/>
        <v>-25582345.5</v>
      </c>
      <c r="Z298">
        <f t="shared" si="28"/>
        <v>44837242.5</v>
      </c>
      <c r="AA298" t="str">
        <f t="shared" si="29"/>
        <v>Normal</v>
      </c>
      <c r="AE298" s="2"/>
      <c r="AF298" s="2"/>
    </row>
    <row r="299" spans="1:32" x14ac:dyDescent="0.35">
      <c r="A299">
        <v>298</v>
      </c>
      <c r="B299" s="1">
        <v>43206</v>
      </c>
      <c r="C299" s="9" t="s">
        <v>629</v>
      </c>
      <c r="D299" s="9" t="s">
        <v>2539</v>
      </c>
      <c r="E299" s="9" t="s">
        <v>5931</v>
      </c>
      <c r="F299" s="9" t="s">
        <v>15</v>
      </c>
      <c r="G299" s="9" t="s">
        <v>630</v>
      </c>
      <c r="H299" s="9" t="s">
        <v>275</v>
      </c>
      <c r="I299" s="11">
        <v>18429897</v>
      </c>
      <c r="J299" s="11">
        <v>2205779</v>
      </c>
      <c r="K299" s="11">
        <v>13321776</v>
      </c>
      <c r="L299" s="3">
        <v>240</v>
      </c>
      <c r="M299" s="3">
        <v>2410</v>
      </c>
      <c r="N299" s="3">
        <v>1477757</v>
      </c>
      <c r="O299" s="2">
        <v>0.33</v>
      </c>
      <c r="P299" s="2">
        <v>1.1390000000000001E-2</v>
      </c>
      <c r="Q299" s="2">
        <v>-0.107</v>
      </c>
      <c r="R299" s="11">
        <v>393122652</v>
      </c>
      <c r="S299" s="11">
        <v>456682</v>
      </c>
      <c r="T299">
        <v>2018</v>
      </c>
      <c r="U299">
        <v>4</v>
      </c>
      <c r="V299">
        <f t="shared" si="24"/>
        <v>837500</v>
      </c>
      <c r="W299">
        <f t="shared" si="25"/>
        <v>18429897</v>
      </c>
      <c r="X299">
        <f t="shared" si="26"/>
        <v>17592397</v>
      </c>
      <c r="Y299">
        <f t="shared" si="27"/>
        <v>-25551095.5</v>
      </c>
      <c r="Z299">
        <f t="shared" si="28"/>
        <v>44818492.5</v>
      </c>
      <c r="AA299" t="str">
        <f t="shared" si="29"/>
        <v>Normal</v>
      </c>
      <c r="AE299" s="2"/>
      <c r="AF299" s="2"/>
    </row>
    <row r="300" spans="1:32" x14ac:dyDescent="0.35">
      <c r="A300">
        <v>299</v>
      </c>
      <c r="B300" s="1">
        <v>43208</v>
      </c>
      <c r="C300" s="9" t="s">
        <v>631</v>
      </c>
      <c r="D300" s="9" t="s">
        <v>4988</v>
      </c>
      <c r="E300" s="9" t="s">
        <v>5667</v>
      </c>
      <c r="F300" s="9" t="s">
        <v>31</v>
      </c>
      <c r="G300" s="9" t="s">
        <v>632</v>
      </c>
      <c r="H300" s="9" t="s">
        <v>105</v>
      </c>
      <c r="I300" s="11">
        <v>22000000</v>
      </c>
      <c r="J300" s="11">
        <v>1437103</v>
      </c>
      <c r="K300" s="11">
        <v>6055639</v>
      </c>
      <c r="L300" s="3">
        <v>314</v>
      </c>
      <c r="M300" s="3">
        <v>3859</v>
      </c>
      <c r="N300" s="3">
        <v>459679</v>
      </c>
      <c r="O300" s="2">
        <v>6.7000000000000004E-2</v>
      </c>
      <c r="P300" s="2">
        <v>0.998</v>
      </c>
      <c r="Q300" s="2">
        <v>0.36749999999999999</v>
      </c>
      <c r="R300" s="11">
        <v>480470836</v>
      </c>
      <c r="S300" s="11">
        <v>1177687</v>
      </c>
      <c r="T300">
        <v>2018</v>
      </c>
      <c r="U300">
        <v>4</v>
      </c>
      <c r="V300">
        <f t="shared" si="24"/>
        <v>831250</v>
      </c>
      <c r="W300">
        <f t="shared" si="25"/>
        <v>18429897</v>
      </c>
      <c r="X300">
        <f t="shared" si="26"/>
        <v>17598647</v>
      </c>
      <c r="Y300">
        <f t="shared" si="27"/>
        <v>-25566720.5</v>
      </c>
      <c r="Z300">
        <f t="shared" si="28"/>
        <v>44827867.5</v>
      </c>
      <c r="AA300" t="str">
        <f t="shared" si="29"/>
        <v>Normal</v>
      </c>
      <c r="AE300" s="2"/>
      <c r="AF300" s="2"/>
    </row>
    <row r="301" spans="1:32" x14ac:dyDescent="0.35">
      <c r="A301">
        <v>300</v>
      </c>
      <c r="B301" s="1">
        <v>43209</v>
      </c>
      <c r="C301" s="9" t="s">
        <v>65</v>
      </c>
      <c r="D301" s="9" t="s">
        <v>4988</v>
      </c>
      <c r="E301" s="9" t="s">
        <v>5932</v>
      </c>
      <c r="F301" s="9" t="s">
        <v>66</v>
      </c>
      <c r="G301" s="9" t="s">
        <v>633</v>
      </c>
      <c r="H301" s="9" t="s">
        <v>105</v>
      </c>
      <c r="I301" s="11">
        <v>18429897</v>
      </c>
      <c r="J301" s="11">
        <v>127628</v>
      </c>
      <c r="K301" s="11">
        <v>10465579</v>
      </c>
      <c r="L301" s="3">
        <v>46</v>
      </c>
      <c r="M301" s="3">
        <v>2516</v>
      </c>
      <c r="N301" s="3">
        <v>38149</v>
      </c>
      <c r="O301" s="2">
        <v>0.35600000000000004</v>
      </c>
      <c r="P301" s="2">
        <v>0.52400000000000002</v>
      </c>
      <c r="Q301" s="2">
        <v>-0.28100000000000003</v>
      </c>
      <c r="R301" s="11">
        <v>232662118</v>
      </c>
      <c r="S301" s="11">
        <v>545965</v>
      </c>
      <c r="T301">
        <v>2018</v>
      </c>
      <c r="U301">
        <v>4</v>
      </c>
      <c r="V301">
        <f t="shared" si="24"/>
        <v>825000</v>
      </c>
      <c r="W301">
        <f t="shared" si="25"/>
        <v>18429897</v>
      </c>
      <c r="X301">
        <f t="shared" si="26"/>
        <v>17604897</v>
      </c>
      <c r="Y301">
        <f t="shared" si="27"/>
        <v>-25582345.5</v>
      </c>
      <c r="Z301">
        <f t="shared" si="28"/>
        <v>44837242.5</v>
      </c>
      <c r="AA301" t="str">
        <f t="shared" si="29"/>
        <v>Normal</v>
      </c>
      <c r="AE301" s="2"/>
      <c r="AF301" s="2"/>
    </row>
    <row r="302" spans="1:32" x14ac:dyDescent="0.35">
      <c r="A302">
        <v>301</v>
      </c>
      <c r="B302" s="1">
        <v>43209</v>
      </c>
      <c r="C302" s="9" t="s">
        <v>22</v>
      </c>
      <c r="D302" s="9" t="s">
        <v>2539</v>
      </c>
      <c r="E302" s="9" t="s">
        <v>5933</v>
      </c>
      <c r="F302" s="9" t="s">
        <v>151</v>
      </c>
      <c r="G302" s="9" t="s">
        <v>634</v>
      </c>
      <c r="H302" s="9" t="s">
        <v>105</v>
      </c>
      <c r="I302" s="11">
        <v>18429897</v>
      </c>
      <c r="J302" s="11">
        <v>1831117</v>
      </c>
      <c r="K302" s="11">
        <v>14103752</v>
      </c>
      <c r="L302" s="3">
        <v>283</v>
      </c>
      <c r="M302" s="3">
        <v>4912</v>
      </c>
      <c r="N302" s="3">
        <v>730022</v>
      </c>
      <c r="O302" s="2">
        <v>0.21</v>
      </c>
      <c r="P302" s="2">
        <v>1.0629999999999999E-2</v>
      </c>
      <c r="Q302" s="2">
        <v>1.6E-2</v>
      </c>
      <c r="R302" s="11">
        <v>152820628</v>
      </c>
      <c r="S302" s="11">
        <v>1152233</v>
      </c>
      <c r="T302">
        <v>2018</v>
      </c>
      <c r="U302">
        <v>4</v>
      </c>
      <c r="V302">
        <f t="shared" si="24"/>
        <v>825000</v>
      </c>
      <c r="W302">
        <f t="shared" si="25"/>
        <v>18429897</v>
      </c>
      <c r="X302">
        <f t="shared" si="26"/>
        <v>17604897</v>
      </c>
      <c r="Y302">
        <f t="shared" si="27"/>
        <v>-25582345.5</v>
      </c>
      <c r="Z302">
        <f t="shared" si="28"/>
        <v>44837242.5</v>
      </c>
      <c r="AA302" t="str">
        <f t="shared" si="29"/>
        <v>Normal</v>
      </c>
      <c r="AE302" s="2"/>
      <c r="AF302" s="2"/>
    </row>
    <row r="303" spans="1:32" x14ac:dyDescent="0.35">
      <c r="A303">
        <v>302</v>
      </c>
      <c r="B303" s="1">
        <v>43209</v>
      </c>
      <c r="C303" s="9" t="s">
        <v>635</v>
      </c>
      <c r="D303" s="9" t="s">
        <v>4930</v>
      </c>
      <c r="E303" s="9" t="s">
        <v>5934</v>
      </c>
      <c r="F303" s="9" t="s">
        <v>15</v>
      </c>
      <c r="G303" s="9" t="s">
        <v>636</v>
      </c>
      <c r="H303" s="9" t="s">
        <v>275</v>
      </c>
      <c r="I303" s="11">
        <v>1100000</v>
      </c>
      <c r="J303" s="11">
        <v>4134933</v>
      </c>
      <c r="K303" s="11">
        <v>10332806</v>
      </c>
      <c r="L303" s="3">
        <v>340</v>
      </c>
      <c r="M303" s="3">
        <v>2635</v>
      </c>
      <c r="N303" s="3">
        <v>787091</v>
      </c>
      <c r="O303" s="2">
        <v>4.2000000000000003E-2</v>
      </c>
      <c r="P303" s="2">
        <v>1.121</v>
      </c>
      <c r="Q303" s="2">
        <v>-6.9000000000000006E-2</v>
      </c>
      <c r="R303" s="11">
        <v>115549553</v>
      </c>
      <c r="S303" s="11">
        <v>998687</v>
      </c>
      <c r="T303">
        <v>2018</v>
      </c>
      <c r="U303">
        <v>4</v>
      </c>
      <c r="V303">
        <f t="shared" si="24"/>
        <v>825000</v>
      </c>
      <c r="W303">
        <f t="shared" si="25"/>
        <v>18429897</v>
      </c>
      <c r="X303">
        <f t="shared" si="26"/>
        <v>17604897</v>
      </c>
      <c r="Y303">
        <f t="shared" si="27"/>
        <v>-25582345.5</v>
      </c>
      <c r="Z303">
        <f t="shared" si="28"/>
        <v>44837242.5</v>
      </c>
      <c r="AA303" t="str">
        <f t="shared" si="29"/>
        <v>Normal</v>
      </c>
      <c r="AE303" s="2"/>
      <c r="AF303" s="2"/>
    </row>
    <row r="304" spans="1:32" x14ac:dyDescent="0.35">
      <c r="A304">
        <v>303</v>
      </c>
      <c r="B304" s="1">
        <v>43209</v>
      </c>
      <c r="C304" s="9" t="s">
        <v>637</v>
      </c>
      <c r="D304" s="9" t="s">
        <v>4930</v>
      </c>
      <c r="E304" s="9" t="s">
        <v>5935</v>
      </c>
      <c r="F304" s="9" t="s">
        <v>151</v>
      </c>
      <c r="G304" s="9" t="s">
        <v>638</v>
      </c>
      <c r="H304" s="9" t="s">
        <v>105</v>
      </c>
      <c r="I304" s="11">
        <v>23000000</v>
      </c>
      <c r="J304" s="11">
        <v>69382</v>
      </c>
      <c r="K304" s="11">
        <v>8148510</v>
      </c>
      <c r="L304" s="3">
        <v>359</v>
      </c>
      <c r="M304" s="3">
        <v>1305</v>
      </c>
      <c r="N304" s="3">
        <v>1980080</v>
      </c>
      <c r="O304" s="2">
        <v>0.34299999999999997</v>
      </c>
      <c r="P304" s="2">
        <v>1.1540000000000001</v>
      </c>
      <c r="Q304" s="2">
        <v>8.1000000000000003E-2</v>
      </c>
      <c r="R304" s="11">
        <v>126948235</v>
      </c>
      <c r="S304" s="11">
        <v>1405968</v>
      </c>
      <c r="T304">
        <v>2018</v>
      </c>
      <c r="U304">
        <v>4</v>
      </c>
      <c r="V304">
        <f t="shared" si="24"/>
        <v>825000</v>
      </c>
      <c r="W304">
        <f t="shared" si="25"/>
        <v>18429897</v>
      </c>
      <c r="X304">
        <f t="shared" si="26"/>
        <v>17604897</v>
      </c>
      <c r="Y304">
        <f t="shared" si="27"/>
        <v>-25582345.5</v>
      </c>
      <c r="Z304">
        <f t="shared" si="28"/>
        <v>44837242.5</v>
      </c>
      <c r="AA304" t="str">
        <f t="shared" si="29"/>
        <v>Normal</v>
      </c>
      <c r="AE304" s="2"/>
      <c r="AF304" s="2"/>
    </row>
    <row r="305" spans="1:32" x14ac:dyDescent="0.35">
      <c r="A305">
        <v>304</v>
      </c>
      <c r="B305" s="1">
        <v>43212</v>
      </c>
      <c r="C305" s="9" t="s">
        <v>639</v>
      </c>
      <c r="D305" s="9" t="s">
        <v>2539</v>
      </c>
      <c r="E305" s="9" t="s">
        <v>5936</v>
      </c>
      <c r="F305" s="9" t="s">
        <v>94</v>
      </c>
      <c r="G305" s="9" t="s">
        <v>640</v>
      </c>
      <c r="H305" s="9" t="s">
        <v>105</v>
      </c>
      <c r="I305" s="11">
        <v>18429897</v>
      </c>
      <c r="J305" s="11">
        <v>4482880</v>
      </c>
      <c r="K305" s="11">
        <v>8116568</v>
      </c>
      <c r="L305" s="3">
        <v>385</v>
      </c>
      <c r="M305" s="3">
        <v>994</v>
      </c>
      <c r="N305" s="3">
        <v>688861</v>
      </c>
      <c r="O305" s="2">
        <v>1.6E-2</v>
      </c>
      <c r="P305" s="2">
        <v>1.1000000000000001</v>
      </c>
      <c r="Q305" s="2">
        <v>0.11199999999999999</v>
      </c>
      <c r="R305" s="11">
        <v>207663328</v>
      </c>
      <c r="S305" s="11">
        <v>429911</v>
      </c>
      <c r="T305">
        <v>2018</v>
      </c>
      <c r="U305">
        <v>4</v>
      </c>
      <c r="V305">
        <f t="shared" si="24"/>
        <v>825000</v>
      </c>
      <c r="W305">
        <f t="shared" si="25"/>
        <v>18429897</v>
      </c>
      <c r="X305">
        <f t="shared" si="26"/>
        <v>17604897</v>
      </c>
      <c r="Y305">
        <f t="shared" si="27"/>
        <v>-25582345.5</v>
      </c>
      <c r="Z305">
        <f t="shared" si="28"/>
        <v>44837242.5</v>
      </c>
      <c r="AA305" t="str">
        <f t="shared" si="29"/>
        <v>Normal</v>
      </c>
      <c r="AE305" s="2"/>
      <c r="AF305" s="2"/>
    </row>
    <row r="306" spans="1:32" x14ac:dyDescent="0.35">
      <c r="A306">
        <v>305</v>
      </c>
      <c r="B306" s="1">
        <v>43212</v>
      </c>
      <c r="C306" s="9" t="s">
        <v>641</v>
      </c>
      <c r="D306" s="9" t="s">
        <v>2539</v>
      </c>
      <c r="E306" s="9" t="s">
        <v>5937</v>
      </c>
      <c r="F306" s="9" t="s">
        <v>31</v>
      </c>
      <c r="G306" s="9" t="s">
        <v>642</v>
      </c>
      <c r="H306" s="9" t="s">
        <v>275</v>
      </c>
      <c r="I306" s="11">
        <v>1900000</v>
      </c>
      <c r="J306" s="11">
        <v>2723278</v>
      </c>
      <c r="K306" s="11">
        <v>12039976</v>
      </c>
      <c r="L306" s="3">
        <v>314</v>
      </c>
      <c r="M306" s="3">
        <v>3931</v>
      </c>
      <c r="N306" s="3">
        <v>1537204</v>
      </c>
      <c r="O306" s="2">
        <v>5.6000000000000001E-2</v>
      </c>
      <c r="P306" s="2">
        <v>0.89500000000000002</v>
      </c>
      <c r="Q306" s="2">
        <v>0.123</v>
      </c>
      <c r="R306" s="11">
        <v>308852330</v>
      </c>
      <c r="S306" s="11">
        <v>1658210</v>
      </c>
      <c r="T306">
        <v>2018</v>
      </c>
      <c r="U306">
        <v>4</v>
      </c>
      <c r="V306">
        <f t="shared" si="24"/>
        <v>818750</v>
      </c>
      <c r="W306">
        <f t="shared" si="25"/>
        <v>18429897</v>
      </c>
      <c r="X306">
        <f t="shared" si="26"/>
        <v>17611147</v>
      </c>
      <c r="Y306">
        <f t="shared" si="27"/>
        <v>-25597970.5</v>
      </c>
      <c r="Z306">
        <f t="shared" si="28"/>
        <v>44846617.5</v>
      </c>
      <c r="AA306" t="str">
        <f t="shared" si="29"/>
        <v>Normal</v>
      </c>
      <c r="AE306" s="2"/>
      <c r="AF306" s="2"/>
    </row>
    <row r="307" spans="1:32" x14ac:dyDescent="0.35">
      <c r="A307">
        <v>306</v>
      </c>
      <c r="B307" s="1">
        <v>43212</v>
      </c>
      <c r="C307" s="9" t="s">
        <v>368</v>
      </c>
      <c r="D307" s="9" t="s">
        <v>4988</v>
      </c>
      <c r="E307" s="9" t="s">
        <v>5904</v>
      </c>
      <c r="F307" s="9" t="s">
        <v>31</v>
      </c>
      <c r="G307" s="9" t="s">
        <v>567</v>
      </c>
      <c r="H307" s="9" t="s">
        <v>105</v>
      </c>
      <c r="I307" s="11">
        <v>11000000</v>
      </c>
      <c r="J307" s="11">
        <v>2531926</v>
      </c>
      <c r="K307" s="11">
        <v>812106</v>
      </c>
      <c r="L307" s="3">
        <v>352</v>
      </c>
      <c r="M307" s="3">
        <v>2324</v>
      </c>
      <c r="N307" s="3">
        <v>1018455</v>
      </c>
      <c r="O307" s="2">
        <v>0.22600000000000001</v>
      </c>
      <c r="P307" s="2">
        <v>0.996</v>
      </c>
      <c r="Q307" s="2">
        <v>-4.5999999999999999E-2</v>
      </c>
      <c r="R307" s="11">
        <v>319138784</v>
      </c>
      <c r="S307" s="11">
        <v>1555859</v>
      </c>
      <c r="T307">
        <v>2018</v>
      </c>
      <c r="U307">
        <v>4</v>
      </c>
      <c r="V307">
        <f t="shared" si="24"/>
        <v>812500</v>
      </c>
      <c r="W307">
        <f t="shared" si="25"/>
        <v>18429897</v>
      </c>
      <c r="X307">
        <f t="shared" si="26"/>
        <v>17617397</v>
      </c>
      <c r="Y307">
        <f t="shared" si="27"/>
        <v>-25613595.5</v>
      </c>
      <c r="Z307">
        <f t="shared" si="28"/>
        <v>44855992.5</v>
      </c>
      <c r="AA307" t="str">
        <f t="shared" si="29"/>
        <v>Normal</v>
      </c>
      <c r="AE307" s="2"/>
      <c r="AF307" s="2"/>
    </row>
    <row r="308" spans="1:32" x14ac:dyDescent="0.35">
      <c r="A308">
        <v>307</v>
      </c>
      <c r="B308" s="1">
        <v>43213</v>
      </c>
      <c r="C308" s="9" t="s">
        <v>643</v>
      </c>
      <c r="D308" s="9" t="s">
        <v>4933</v>
      </c>
      <c r="E308" s="9" t="s">
        <v>5938</v>
      </c>
      <c r="F308" s="9" t="s">
        <v>31</v>
      </c>
      <c r="G308" s="9" t="s">
        <v>58</v>
      </c>
      <c r="H308" s="9" t="s">
        <v>275</v>
      </c>
      <c r="I308" s="11">
        <v>150000</v>
      </c>
      <c r="J308" s="11">
        <v>1524853</v>
      </c>
      <c r="K308" s="11">
        <v>19963244</v>
      </c>
      <c r="L308" s="3">
        <v>49</v>
      </c>
      <c r="M308" s="3">
        <v>3044</v>
      </c>
      <c r="N308" s="3">
        <v>674396</v>
      </c>
      <c r="O308" s="2">
        <v>0.16500000000000001</v>
      </c>
      <c r="P308" s="2">
        <v>0.84799999999999998</v>
      </c>
      <c r="Q308" s="2">
        <v>-0.19699999999999998</v>
      </c>
      <c r="R308" s="11">
        <v>250264963</v>
      </c>
      <c r="S308" s="11">
        <v>529384</v>
      </c>
      <c r="T308">
        <v>2018</v>
      </c>
      <c r="U308">
        <v>4</v>
      </c>
      <c r="V308">
        <f t="shared" si="24"/>
        <v>806250</v>
      </c>
      <c r="W308">
        <f t="shared" si="25"/>
        <v>18429897</v>
      </c>
      <c r="X308">
        <f t="shared" si="26"/>
        <v>17623647</v>
      </c>
      <c r="Y308">
        <f t="shared" si="27"/>
        <v>-25629220.5</v>
      </c>
      <c r="Z308">
        <f t="shared" si="28"/>
        <v>44865367.5</v>
      </c>
      <c r="AA308" t="str">
        <f t="shared" si="29"/>
        <v>Normal</v>
      </c>
      <c r="AE308" s="2"/>
      <c r="AF308" s="2"/>
    </row>
    <row r="309" spans="1:32" x14ac:dyDescent="0.35">
      <c r="A309">
        <v>308</v>
      </c>
      <c r="B309" s="1">
        <v>43213</v>
      </c>
      <c r="C309" s="9" t="s">
        <v>644</v>
      </c>
      <c r="D309" s="9" t="s">
        <v>4933</v>
      </c>
      <c r="E309" s="9" t="s">
        <v>1111</v>
      </c>
      <c r="F309" s="9" t="s">
        <v>15</v>
      </c>
      <c r="G309" s="9" t="s">
        <v>645</v>
      </c>
      <c r="H309" s="9" t="s">
        <v>105</v>
      </c>
      <c r="I309" s="11">
        <v>22000000</v>
      </c>
      <c r="J309" s="11">
        <v>2779099</v>
      </c>
      <c r="K309" s="11">
        <v>2131096</v>
      </c>
      <c r="L309" s="3">
        <v>399</v>
      </c>
      <c r="M309" s="3">
        <v>1882</v>
      </c>
      <c r="N309" s="3">
        <v>358159</v>
      </c>
      <c r="O309" s="2">
        <v>1.6E-2</v>
      </c>
      <c r="P309" s="2">
        <v>0.52</v>
      </c>
      <c r="Q309" s="2">
        <v>-0.26100000000000001</v>
      </c>
      <c r="R309" s="11">
        <v>12098117</v>
      </c>
      <c r="S309" s="11">
        <v>1654544</v>
      </c>
      <c r="T309">
        <v>2018</v>
      </c>
      <c r="U309">
        <v>4</v>
      </c>
      <c r="V309">
        <f t="shared" si="24"/>
        <v>825000</v>
      </c>
      <c r="W309">
        <f t="shared" si="25"/>
        <v>18429897</v>
      </c>
      <c r="X309">
        <f t="shared" si="26"/>
        <v>17604897</v>
      </c>
      <c r="Y309">
        <f t="shared" si="27"/>
        <v>-25582345.5</v>
      </c>
      <c r="Z309">
        <f t="shared" si="28"/>
        <v>44837242.5</v>
      </c>
      <c r="AA309" t="str">
        <f t="shared" si="29"/>
        <v>Normal</v>
      </c>
      <c r="AE309" s="2"/>
      <c r="AF309" s="2"/>
    </row>
    <row r="310" spans="1:32" x14ac:dyDescent="0.35">
      <c r="A310">
        <v>309</v>
      </c>
      <c r="B310" s="1">
        <v>43215</v>
      </c>
      <c r="C310" s="9" t="s">
        <v>646</v>
      </c>
      <c r="D310" s="9" t="s">
        <v>4988</v>
      </c>
      <c r="E310" s="9" t="s">
        <v>5682</v>
      </c>
      <c r="F310" s="9" t="s">
        <v>94</v>
      </c>
      <c r="G310" s="9" t="s">
        <v>647</v>
      </c>
      <c r="H310" s="9" t="s">
        <v>275</v>
      </c>
      <c r="I310" s="11">
        <v>246000</v>
      </c>
      <c r="J310" s="11">
        <v>1592147</v>
      </c>
      <c r="K310" s="11">
        <v>19692043</v>
      </c>
      <c r="L310" s="3">
        <v>186</v>
      </c>
      <c r="M310" s="3">
        <v>1401</v>
      </c>
      <c r="N310" s="3">
        <v>1930879</v>
      </c>
      <c r="O310" s="2">
        <v>-0.187</v>
      </c>
      <c r="P310" s="2">
        <v>1.0160000000000001E-2</v>
      </c>
      <c r="Q310" s="2">
        <v>0.14899999999999999</v>
      </c>
      <c r="R310" s="11">
        <v>398506130</v>
      </c>
      <c r="S310" s="11">
        <v>1527949</v>
      </c>
      <c r="T310">
        <v>2018</v>
      </c>
      <c r="U310">
        <v>4</v>
      </c>
      <c r="V310">
        <f t="shared" si="24"/>
        <v>818750</v>
      </c>
      <c r="W310">
        <f t="shared" si="25"/>
        <v>18429897</v>
      </c>
      <c r="X310">
        <f t="shared" si="26"/>
        <v>17611147</v>
      </c>
      <c r="Y310">
        <f t="shared" si="27"/>
        <v>-25597970.5</v>
      </c>
      <c r="Z310">
        <f t="shared" si="28"/>
        <v>44846617.5</v>
      </c>
      <c r="AA310" t="str">
        <f t="shared" si="29"/>
        <v>Normal</v>
      </c>
      <c r="AE310" s="2"/>
      <c r="AF310" s="2"/>
    </row>
    <row r="311" spans="1:32" x14ac:dyDescent="0.35">
      <c r="A311">
        <v>310</v>
      </c>
      <c r="B311" s="1">
        <v>43216</v>
      </c>
      <c r="C311" s="9" t="s">
        <v>648</v>
      </c>
      <c r="D311" s="9" t="s">
        <v>4930</v>
      </c>
      <c r="E311" s="9" t="s">
        <v>5939</v>
      </c>
      <c r="F311" s="9" t="s">
        <v>94</v>
      </c>
      <c r="G311" s="9" t="s">
        <v>649</v>
      </c>
      <c r="H311" s="9" t="s">
        <v>105</v>
      </c>
      <c r="I311" s="11">
        <v>5500000</v>
      </c>
      <c r="J311" s="11">
        <v>560707</v>
      </c>
      <c r="K311" s="11">
        <v>803978</v>
      </c>
      <c r="L311" s="3">
        <v>276</v>
      </c>
      <c r="M311" s="3">
        <v>3019</v>
      </c>
      <c r="N311" s="3">
        <v>916259</v>
      </c>
      <c r="O311" s="2">
        <v>0.11600000000000001</v>
      </c>
      <c r="P311" s="2">
        <v>0.42799999999999999</v>
      </c>
      <c r="Q311" s="2">
        <v>0.13400000000000001</v>
      </c>
      <c r="R311" s="11">
        <v>444668733</v>
      </c>
      <c r="S311" s="11">
        <v>651425</v>
      </c>
      <c r="T311">
        <v>2018</v>
      </c>
      <c r="U311">
        <v>4</v>
      </c>
      <c r="V311">
        <f t="shared" si="24"/>
        <v>825000</v>
      </c>
      <c r="W311">
        <f t="shared" si="25"/>
        <v>18429897</v>
      </c>
      <c r="X311">
        <f t="shared" si="26"/>
        <v>17604897</v>
      </c>
      <c r="Y311">
        <f t="shared" si="27"/>
        <v>-25582345.5</v>
      </c>
      <c r="Z311">
        <f t="shared" si="28"/>
        <v>44837242.5</v>
      </c>
      <c r="AA311" t="str">
        <f t="shared" si="29"/>
        <v>Normal</v>
      </c>
      <c r="AE311" s="2"/>
      <c r="AF311" s="2"/>
    </row>
    <row r="312" spans="1:32" x14ac:dyDescent="0.35">
      <c r="A312">
        <v>311</v>
      </c>
      <c r="B312" s="1">
        <v>43216</v>
      </c>
      <c r="C312" s="9" t="s">
        <v>650</v>
      </c>
      <c r="D312" s="9" t="s">
        <v>4988</v>
      </c>
      <c r="E312" s="9" t="s">
        <v>5940</v>
      </c>
      <c r="F312" s="9" t="s">
        <v>63</v>
      </c>
      <c r="G312" s="9" t="s">
        <v>651</v>
      </c>
      <c r="H312" s="9" t="s">
        <v>105</v>
      </c>
      <c r="I312" s="11">
        <v>18429897</v>
      </c>
      <c r="J312" s="11">
        <v>3336624</v>
      </c>
      <c r="K312" s="11">
        <v>10301118</v>
      </c>
      <c r="L312" s="3">
        <v>275</v>
      </c>
      <c r="M312" s="3">
        <v>1507</v>
      </c>
      <c r="N312" s="3">
        <v>909918</v>
      </c>
      <c r="O312" s="2">
        <v>-2.5000000000000001E-2</v>
      </c>
      <c r="P312" s="2">
        <v>0.63100000000000001</v>
      </c>
      <c r="Q312" s="2">
        <v>-0.248</v>
      </c>
      <c r="R312" s="11">
        <v>44757410</v>
      </c>
      <c r="S312" s="11">
        <v>1047295</v>
      </c>
      <c r="T312">
        <v>2018</v>
      </c>
      <c r="U312">
        <v>4</v>
      </c>
      <c r="V312">
        <f t="shared" si="24"/>
        <v>825000</v>
      </c>
      <c r="W312">
        <f t="shared" si="25"/>
        <v>18429897</v>
      </c>
      <c r="X312">
        <f t="shared" si="26"/>
        <v>17604897</v>
      </c>
      <c r="Y312">
        <f t="shared" si="27"/>
        <v>-25582345.5</v>
      </c>
      <c r="Z312">
        <f t="shared" si="28"/>
        <v>44837242.5</v>
      </c>
      <c r="AA312" t="str">
        <f t="shared" si="29"/>
        <v>Normal</v>
      </c>
      <c r="AE312" s="2"/>
      <c r="AF312" s="2"/>
    </row>
    <row r="313" spans="1:32" x14ac:dyDescent="0.35">
      <c r="A313">
        <v>312</v>
      </c>
      <c r="B313" s="1">
        <v>43217</v>
      </c>
      <c r="C313" s="9" t="s">
        <v>652</v>
      </c>
      <c r="D313" s="9" t="s">
        <v>4988</v>
      </c>
      <c r="E313" s="9" t="s">
        <v>5941</v>
      </c>
      <c r="F313" s="9" t="s">
        <v>151</v>
      </c>
      <c r="G313" s="9" t="s">
        <v>653</v>
      </c>
      <c r="H313" s="9" t="s">
        <v>105</v>
      </c>
      <c r="I313" s="11">
        <v>10000000</v>
      </c>
      <c r="J313" s="11">
        <v>3367755</v>
      </c>
      <c r="K313" s="11">
        <v>8409884</v>
      </c>
      <c r="L313" s="3">
        <v>488</v>
      </c>
      <c r="M313" s="3">
        <v>4999</v>
      </c>
      <c r="N313" s="3">
        <v>1457359</v>
      </c>
      <c r="O313" s="2">
        <v>0.126</v>
      </c>
      <c r="P313" s="2">
        <v>0.54400000000000004</v>
      </c>
      <c r="Q313" s="2">
        <v>0.45700000000000002</v>
      </c>
      <c r="R313" s="11">
        <v>327541901</v>
      </c>
      <c r="S313" s="11">
        <v>13668</v>
      </c>
      <c r="T313">
        <v>2018</v>
      </c>
      <c r="U313">
        <v>4</v>
      </c>
      <c r="V313">
        <f t="shared" si="24"/>
        <v>825000</v>
      </c>
      <c r="W313">
        <f t="shared" si="25"/>
        <v>18429897</v>
      </c>
      <c r="X313">
        <f t="shared" si="26"/>
        <v>17604897</v>
      </c>
      <c r="Y313">
        <f t="shared" si="27"/>
        <v>-25582345.5</v>
      </c>
      <c r="Z313">
        <f t="shared" si="28"/>
        <v>44837242.5</v>
      </c>
      <c r="AA313" t="str">
        <f t="shared" si="29"/>
        <v>Normal</v>
      </c>
      <c r="AE313" s="2"/>
      <c r="AF313" s="2"/>
    </row>
    <row r="314" spans="1:32" x14ac:dyDescent="0.35">
      <c r="A314">
        <v>313</v>
      </c>
      <c r="B314" s="1">
        <v>43219</v>
      </c>
      <c r="C314" s="9" t="s">
        <v>654</v>
      </c>
      <c r="D314" s="9" t="s">
        <v>4988</v>
      </c>
      <c r="E314" s="9" t="s">
        <v>5168</v>
      </c>
      <c r="F314" s="9" t="s">
        <v>31</v>
      </c>
      <c r="G314" s="9" t="s">
        <v>655</v>
      </c>
      <c r="H314" s="9" t="s">
        <v>105</v>
      </c>
      <c r="I314" s="11">
        <v>18429897</v>
      </c>
      <c r="J314" s="11">
        <v>611993</v>
      </c>
      <c r="K314" s="11">
        <v>11519882</v>
      </c>
      <c r="L314" s="3">
        <v>165</v>
      </c>
      <c r="M314" s="3">
        <v>3671</v>
      </c>
      <c r="N314" s="3">
        <v>760725</v>
      </c>
      <c r="O314" s="2">
        <v>3.6000000000000004E-2</v>
      </c>
      <c r="P314" s="2">
        <v>0.37200000000000005</v>
      </c>
      <c r="Q314" s="2">
        <v>0.309</v>
      </c>
      <c r="R314" s="11">
        <v>209714828</v>
      </c>
      <c r="S314" s="11">
        <v>1783420</v>
      </c>
      <c r="T314">
        <v>2018</v>
      </c>
      <c r="U314">
        <v>4</v>
      </c>
      <c r="V314">
        <f t="shared" si="24"/>
        <v>818750</v>
      </c>
      <c r="W314">
        <f t="shared" si="25"/>
        <v>18429897</v>
      </c>
      <c r="X314">
        <f t="shared" si="26"/>
        <v>17611147</v>
      </c>
      <c r="Y314">
        <f t="shared" si="27"/>
        <v>-25597970.5</v>
      </c>
      <c r="Z314">
        <f t="shared" si="28"/>
        <v>44846617.5</v>
      </c>
      <c r="AA314" t="str">
        <f t="shared" si="29"/>
        <v>Normal</v>
      </c>
      <c r="AE314" s="2"/>
      <c r="AF314" s="2"/>
    </row>
    <row r="315" spans="1:32" x14ac:dyDescent="0.35">
      <c r="A315">
        <v>314</v>
      </c>
      <c r="B315" s="1">
        <v>43220</v>
      </c>
      <c r="C315" s="9" t="s">
        <v>656</v>
      </c>
      <c r="D315" s="9" t="s">
        <v>4988</v>
      </c>
      <c r="E315" s="9" t="s">
        <v>5942</v>
      </c>
      <c r="F315" s="9" t="s">
        <v>31</v>
      </c>
      <c r="G315" s="9" t="s">
        <v>657</v>
      </c>
      <c r="H315" s="9" t="s">
        <v>105</v>
      </c>
      <c r="I315" s="11">
        <v>7500000</v>
      </c>
      <c r="J315" s="11">
        <v>1420544</v>
      </c>
      <c r="K315" s="11">
        <v>8728043</v>
      </c>
      <c r="L315" s="3">
        <v>195</v>
      </c>
      <c r="M315" s="3">
        <v>4106</v>
      </c>
      <c r="N315" s="3">
        <v>1082987</v>
      </c>
      <c r="O315" s="2">
        <v>-2.4E-2</v>
      </c>
      <c r="P315" s="2">
        <v>0.99900000000000011</v>
      </c>
      <c r="Q315" s="2">
        <v>-0.155</v>
      </c>
      <c r="R315" s="11">
        <v>481295541</v>
      </c>
      <c r="S315" s="11">
        <v>1376306</v>
      </c>
      <c r="T315">
        <v>2018</v>
      </c>
      <c r="U315">
        <v>4</v>
      </c>
      <c r="V315">
        <f t="shared" si="24"/>
        <v>812500</v>
      </c>
      <c r="W315">
        <f t="shared" si="25"/>
        <v>18429897</v>
      </c>
      <c r="X315">
        <f t="shared" si="26"/>
        <v>17617397</v>
      </c>
      <c r="Y315">
        <f t="shared" si="27"/>
        <v>-25613595.5</v>
      </c>
      <c r="Z315">
        <f t="shared" si="28"/>
        <v>44855992.5</v>
      </c>
      <c r="AA315" t="str">
        <f t="shared" si="29"/>
        <v>Normal</v>
      </c>
      <c r="AE315" s="2"/>
      <c r="AF315" s="2"/>
    </row>
    <row r="316" spans="1:32" x14ac:dyDescent="0.35">
      <c r="A316">
        <v>315</v>
      </c>
      <c r="B316" s="1">
        <v>43220</v>
      </c>
      <c r="C316" s="9" t="s">
        <v>658</v>
      </c>
      <c r="D316" s="9" t="s">
        <v>4933</v>
      </c>
      <c r="E316" s="9" t="s">
        <v>5943</v>
      </c>
      <c r="F316" s="9" t="s">
        <v>19</v>
      </c>
      <c r="G316" s="9" t="s">
        <v>659</v>
      </c>
      <c r="H316" s="9" t="s">
        <v>275</v>
      </c>
      <c r="I316" s="11">
        <v>978000</v>
      </c>
      <c r="J316" s="11">
        <v>1234488</v>
      </c>
      <c r="K316" s="11">
        <v>17956703</v>
      </c>
      <c r="L316" s="3">
        <v>381</v>
      </c>
      <c r="M316" s="3">
        <v>1457</v>
      </c>
      <c r="N316" s="3">
        <v>1888577</v>
      </c>
      <c r="O316" s="2">
        <v>6.6000000000000003E-2</v>
      </c>
      <c r="P316" s="2">
        <v>0.67200000000000004</v>
      </c>
      <c r="Q316" s="2">
        <v>0.16600000000000001</v>
      </c>
      <c r="R316" s="11">
        <v>250264963</v>
      </c>
      <c r="S316" s="11">
        <v>89363</v>
      </c>
      <c r="T316">
        <v>2018</v>
      </c>
      <c r="U316">
        <v>4</v>
      </c>
      <c r="V316">
        <f t="shared" si="24"/>
        <v>806250</v>
      </c>
      <c r="W316">
        <f t="shared" si="25"/>
        <v>18429897</v>
      </c>
      <c r="X316">
        <f t="shared" si="26"/>
        <v>17623647</v>
      </c>
      <c r="Y316">
        <f t="shared" si="27"/>
        <v>-25629220.5</v>
      </c>
      <c r="Z316">
        <f t="shared" si="28"/>
        <v>44865367.5</v>
      </c>
      <c r="AA316" t="str">
        <f t="shared" si="29"/>
        <v>Normal</v>
      </c>
      <c r="AE316" s="2"/>
      <c r="AF316" s="2"/>
    </row>
    <row r="317" spans="1:32" x14ac:dyDescent="0.35">
      <c r="A317">
        <v>316</v>
      </c>
      <c r="B317" s="1">
        <v>43160</v>
      </c>
      <c r="C317" s="9" t="s">
        <v>375</v>
      </c>
      <c r="D317" s="9" t="s">
        <v>4988</v>
      </c>
      <c r="E317" s="9" t="s">
        <v>5941</v>
      </c>
      <c r="F317" s="9" t="s">
        <v>31</v>
      </c>
      <c r="G317" s="9" t="s">
        <v>660</v>
      </c>
      <c r="H317" s="9" t="s">
        <v>105</v>
      </c>
      <c r="I317" s="11">
        <v>18429897</v>
      </c>
      <c r="J317" s="11">
        <v>3303924</v>
      </c>
      <c r="K317" s="11">
        <v>431637</v>
      </c>
      <c r="L317" s="3">
        <v>318</v>
      </c>
      <c r="M317" s="3">
        <v>194</v>
      </c>
      <c r="N317" s="3">
        <v>97298</v>
      </c>
      <c r="O317" s="2">
        <v>0.105</v>
      </c>
      <c r="P317" s="2">
        <v>0.72699999999999998</v>
      </c>
      <c r="Q317" s="2">
        <v>6.6000000000000003E-2</v>
      </c>
      <c r="R317" s="11">
        <v>332274998</v>
      </c>
      <c r="S317" s="11">
        <v>1517835</v>
      </c>
      <c r="T317">
        <v>2018</v>
      </c>
      <c r="U317">
        <v>3</v>
      </c>
      <c r="V317">
        <f t="shared" si="24"/>
        <v>800000</v>
      </c>
      <c r="W317">
        <f t="shared" si="25"/>
        <v>18429897</v>
      </c>
      <c r="X317">
        <f t="shared" si="26"/>
        <v>17629897</v>
      </c>
      <c r="Y317">
        <f t="shared" si="27"/>
        <v>-25644845.5</v>
      </c>
      <c r="Z317">
        <f t="shared" si="28"/>
        <v>44874742.5</v>
      </c>
      <c r="AA317" t="str">
        <f t="shared" si="29"/>
        <v>Normal</v>
      </c>
      <c r="AE317" s="2"/>
      <c r="AF317" s="2"/>
    </row>
    <row r="318" spans="1:32" x14ac:dyDescent="0.35">
      <c r="A318">
        <v>317</v>
      </c>
      <c r="B318" s="1">
        <v>43160</v>
      </c>
      <c r="C318" s="9" t="s">
        <v>661</v>
      </c>
      <c r="D318" s="9" t="s">
        <v>4988</v>
      </c>
      <c r="E318" s="9" t="s">
        <v>5944</v>
      </c>
      <c r="F318" s="9" t="s">
        <v>63</v>
      </c>
      <c r="G318" s="9" t="s">
        <v>662</v>
      </c>
      <c r="H318" s="9" t="s">
        <v>105</v>
      </c>
      <c r="I318" s="11">
        <v>3000000</v>
      </c>
      <c r="J318" s="11">
        <v>3656872</v>
      </c>
      <c r="K318" s="11">
        <v>19714150</v>
      </c>
      <c r="L318" s="3">
        <v>162</v>
      </c>
      <c r="M318" s="3">
        <v>286</v>
      </c>
      <c r="N318" s="3">
        <v>1472377</v>
      </c>
      <c r="O318" s="2">
        <v>0.25900000000000001</v>
      </c>
      <c r="P318" s="2">
        <v>0.70199999999999996</v>
      </c>
      <c r="Q318" s="2">
        <v>0.16600000000000001</v>
      </c>
      <c r="R318" s="11">
        <v>172423165</v>
      </c>
      <c r="S318" s="11">
        <v>476505</v>
      </c>
      <c r="T318">
        <v>2018</v>
      </c>
      <c r="U318">
        <v>3</v>
      </c>
      <c r="V318">
        <f t="shared" si="24"/>
        <v>800000</v>
      </c>
      <c r="W318">
        <f t="shared" si="25"/>
        <v>18429897</v>
      </c>
      <c r="X318">
        <f t="shared" si="26"/>
        <v>17629897</v>
      </c>
      <c r="Y318">
        <f t="shared" si="27"/>
        <v>-25644845.5</v>
      </c>
      <c r="Z318">
        <f t="shared" si="28"/>
        <v>44874742.5</v>
      </c>
      <c r="AA318" t="str">
        <f t="shared" si="29"/>
        <v>Normal</v>
      </c>
      <c r="AE318" s="2"/>
      <c r="AF318" s="2"/>
    </row>
    <row r="319" spans="1:32" x14ac:dyDescent="0.35">
      <c r="A319">
        <v>318</v>
      </c>
      <c r="B319" s="1">
        <v>43160</v>
      </c>
      <c r="C319" s="9" t="s">
        <v>663</v>
      </c>
      <c r="D319" s="9" t="s">
        <v>4925</v>
      </c>
      <c r="E319" s="9" t="s">
        <v>5945</v>
      </c>
      <c r="F319" s="9" t="s">
        <v>15</v>
      </c>
      <c r="G319" s="9" t="s">
        <v>664</v>
      </c>
      <c r="H319" s="9" t="s">
        <v>105</v>
      </c>
      <c r="I319" s="11">
        <v>12000000</v>
      </c>
      <c r="J319" s="11">
        <v>3640433</v>
      </c>
      <c r="K319" s="11">
        <v>13819771</v>
      </c>
      <c r="L319" s="3">
        <v>175</v>
      </c>
      <c r="M319" s="3">
        <v>4301</v>
      </c>
      <c r="N319" s="3">
        <v>793714</v>
      </c>
      <c r="O319" s="2">
        <v>0.20499999999999999</v>
      </c>
      <c r="P319" s="2">
        <v>0.88900000000000001</v>
      </c>
      <c r="Q319" s="2">
        <v>0.14299999999999999</v>
      </c>
      <c r="R319" s="11">
        <v>181673919</v>
      </c>
      <c r="S319" s="11">
        <v>1020177</v>
      </c>
      <c r="T319">
        <v>2018</v>
      </c>
      <c r="U319">
        <v>3</v>
      </c>
      <c r="V319">
        <f t="shared" si="24"/>
        <v>800000</v>
      </c>
      <c r="W319">
        <f t="shared" si="25"/>
        <v>18429897</v>
      </c>
      <c r="X319">
        <f t="shared" si="26"/>
        <v>17629897</v>
      </c>
      <c r="Y319">
        <f t="shared" si="27"/>
        <v>-25644845.5</v>
      </c>
      <c r="Z319">
        <f t="shared" si="28"/>
        <v>44874742.5</v>
      </c>
      <c r="AA319" t="str">
        <f t="shared" si="29"/>
        <v>Normal</v>
      </c>
      <c r="AE319" s="2"/>
      <c r="AF319" s="2"/>
    </row>
    <row r="320" spans="1:32" x14ac:dyDescent="0.35">
      <c r="A320">
        <v>319</v>
      </c>
      <c r="B320" s="1">
        <v>43162</v>
      </c>
      <c r="C320" s="9" t="s">
        <v>255</v>
      </c>
      <c r="D320" s="9" t="s">
        <v>4988</v>
      </c>
      <c r="E320" s="9" t="s">
        <v>5946</v>
      </c>
      <c r="F320" s="9" t="s">
        <v>15</v>
      </c>
      <c r="G320" s="9" t="s">
        <v>665</v>
      </c>
      <c r="H320" s="9" t="s">
        <v>275</v>
      </c>
      <c r="I320" s="11">
        <v>250000</v>
      </c>
      <c r="J320" s="11">
        <v>4695030</v>
      </c>
      <c r="K320" s="11">
        <v>15594295</v>
      </c>
      <c r="L320" s="3">
        <v>254</v>
      </c>
      <c r="M320" s="3">
        <v>4376</v>
      </c>
      <c r="N320" s="3">
        <v>1095733</v>
      </c>
      <c r="O320" s="2">
        <v>1.6E-2</v>
      </c>
      <c r="P320" s="2">
        <v>0.50800000000000001</v>
      </c>
      <c r="Q320" s="2">
        <v>0.26800000000000002</v>
      </c>
      <c r="R320" s="11">
        <v>219309064</v>
      </c>
      <c r="S320" s="11">
        <v>367741</v>
      </c>
      <c r="T320">
        <v>2018</v>
      </c>
      <c r="U320">
        <v>3</v>
      </c>
      <c r="V320">
        <f t="shared" si="24"/>
        <v>800000</v>
      </c>
      <c r="W320">
        <f t="shared" si="25"/>
        <v>18429897</v>
      </c>
      <c r="X320">
        <f t="shared" si="26"/>
        <v>17629897</v>
      </c>
      <c r="Y320">
        <f t="shared" si="27"/>
        <v>-25644845.5</v>
      </c>
      <c r="Z320">
        <f t="shared" si="28"/>
        <v>44874742.5</v>
      </c>
      <c r="AA320" t="str">
        <f t="shared" si="29"/>
        <v>Normal</v>
      </c>
      <c r="AE320" s="2"/>
      <c r="AF320" s="2"/>
    </row>
    <row r="321" spans="1:32" x14ac:dyDescent="0.35">
      <c r="A321">
        <v>320</v>
      </c>
      <c r="B321" s="1">
        <v>43163</v>
      </c>
      <c r="C321" s="9" t="s">
        <v>666</v>
      </c>
      <c r="D321" s="9" t="s">
        <v>4930</v>
      </c>
      <c r="E321" s="9" t="s">
        <v>5903</v>
      </c>
      <c r="F321" s="9" t="s">
        <v>310</v>
      </c>
      <c r="G321" s="9" t="s">
        <v>667</v>
      </c>
      <c r="H321" s="9" t="s">
        <v>275</v>
      </c>
      <c r="I321" s="11">
        <v>1000000</v>
      </c>
      <c r="J321" s="11">
        <v>3847864</v>
      </c>
      <c r="K321" s="11">
        <v>2882136</v>
      </c>
      <c r="L321" s="3">
        <v>418</v>
      </c>
      <c r="M321" s="3">
        <v>3413</v>
      </c>
      <c r="N321" s="3">
        <v>1820294</v>
      </c>
      <c r="O321" s="2">
        <v>0.14799999999999999</v>
      </c>
      <c r="P321" s="2">
        <v>0.70099999999999996</v>
      </c>
      <c r="Q321" s="2">
        <v>0.47</v>
      </c>
      <c r="R321" s="11">
        <v>45437036</v>
      </c>
      <c r="S321" s="11">
        <v>36881</v>
      </c>
      <c r="T321">
        <v>2018</v>
      </c>
      <c r="U321">
        <v>3</v>
      </c>
      <c r="V321">
        <f t="shared" si="24"/>
        <v>800000</v>
      </c>
      <c r="W321">
        <f t="shared" si="25"/>
        <v>18429897</v>
      </c>
      <c r="X321">
        <f t="shared" si="26"/>
        <v>17629897</v>
      </c>
      <c r="Y321">
        <f t="shared" si="27"/>
        <v>-25644845.5</v>
      </c>
      <c r="Z321">
        <f t="shared" si="28"/>
        <v>44874742.5</v>
      </c>
      <c r="AA321" t="str">
        <f t="shared" si="29"/>
        <v>Normal</v>
      </c>
      <c r="AE321" s="2"/>
      <c r="AF321" s="2"/>
    </row>
    <row r="322" spans="1:32" x14ac:dyDescent="0.35">
      <c r="A322">
        <v>321</v>
      </c>
      <c r="B322" s="1">
        <v>43164</v>
      </c>
      <c r="C322" s="9" t="s">
        <v>668</v>
      </c>
      <c r="D322" s="9" t="s">
        <v>2539</v>
      </c>
      <c r="E322" s="9" t="s">
        <v>5947</v>
      </c>
      <c r="F322" s="9" t="s">
        <v>31</v>
      </c>
      <c r="G322" s="9" t="s">
        <v>669</v>
      </c>
      <c r="H322" s="9" t="s">
        <v>105</v>
      </c>
      <c r="I322" s="11">
        <v>2100000</v>
      </c>
      <c r="J322" s="11">
        <v>1616983</v>
      </c>
      <c r="K322" s="11">
        <v>1397170</v>
      </c>
      <c r="L322" s="3">
        <v>77</v>
      </c>
      <c r="M322" s="3">
        <v>2965</v>
      </c>
      <c r="N322" s="3">
        <v>1201433</v>
      </c>
      <c r="O322" s="2">
        <v>-1.4999999999999999E-2</v>
      </c>
      <c r="P322" s="2">
        <v>0.46</v>
      </c>
      <c r="Q322" s="2">
        <v>0.17499999999999999</v>
      </c>
      <c r="R322" s="11">
        <v>3976815</v>
      </c>
      <c r="S322" s="11">
        <v>121287</v>
      </c>
      <c r="T322">
        <v>2018</v>
      </c>
      <c r="U322">
        <v>3</v>
      </c>
      <c r="V322">
        <f t="shared" ref="V322:V385" si="30">_xlfn.PERCENTILE.INC(I322:I3365,0.25)</f>
        <v>800000</v>
      </c>
      <c r="W322">
        <f t="shared" ref="W322:W385" si="31">_xlfn.PERCENTILE.INC(I322:I3365,0.75)</f>
        <v>18429897</v>
      </c>
      <c r="X322">
        <f t="shared" ref="X322:X385" si="32">W322-V322</f>
        <v>17629897</v>
      </c>
      <c r="Y322">
        <f t="shared" ref="Y322:Y385" si="33">V322-1.5*X322</f>
        <v>-25644845.5</v>
      </c>
      <c r="Z322">
        <f t="shared" ref="Z322:Z385" si="34">W322+1.5*X322</f>
        <v>44874742.5</v>
      </c>
      <c r="AA322" t="str">
        <f t="shared" ref="AA322:AA385" si="35">IF(OR(I322&lt;$Y$2, I322&gt;$Z$2), "Outlier", "Normal")</f>
        <v>Normal</v>
      </c>
      <c r="AE322" s="2"/>
      <c r="AF322" s="2"/>
    </row>
    <row r="323" spans="1:32" x14ac:dyDescent="0.35">
      <c r="A323">
        <v>322</v>
      </c>
      <c r="B323" s="1">
        <v>43164</v>
      </c>
      <c r="C323" s="9" t="s">
        <v>670</v>
      </c>
      <c r="D323" s="9" t="s">
        <v>2539</v>
      </c>
      <c r="E323" s="9" t="s">
        <v>5948</v>
      </c>
      <c r="F323" s="9" t="s">
        <v>15</v>
      </c>
      <c r="G323" s="9" t="s">
        <v>671</v>
      </c>
      <c r="H323" s="9" t="s">
        <v>105</v>
      </c>
      <c r="I323" s="11">
        <v>10000000</v>
      </c>
      <c r="J323" s="11">
        <v>556549</v>
      </c>
      <c r="K323" s="11">
        <v>8000776</v>
      </c>
      <c r="L323" s="3">
        <v>202</v>
      </c>
      <c r="M323" s="3">
        <v>1085</v>
      </c>
      <c r="N323" s="3">
        <v>837986</v>
      </c>
      <c r="O323" s="2">
        <v>8.6999999999999994E-2</v>
      </c>
      <c r="P323" s="2">
        <v>1.172E-2</v>
      </c>
      <c r="Q323" s="2">
        <v>0.23300000000000001</v>
      </c>
      <c r="R323" s="11">
        <v>341413513</v>
      </c>
      <c r="S323" s="11">
        <v>57487</v>
      </c>
      <c r="T323">
        <v>2018</v>
      </c>
      <c r="U323">
        <v>3</v>
      </c>
      <c r="V323">
        <f t="shared" si="30"/>
        <v>800000</v>
      </c>
      <c r="W323">
        <f t="shared" si="31"/>
        <v>18429897</v>
      </c>
      <c r="X323">
        <f t="shared" si="32"/>
        <v>17629897</v>
      </c>
      <c r="Y323">
        <f t="shared" si="33"/>
        <v>-25644845.5</v>
      </c>
      <c r="Z323">
        <f t="shared" si="34"/>
        <v>44874742.5</v>
      </c>
      <c r="AA323" t="str">
        <f t="shared" si="35"/>
        <v>Normal</v>
      </c>
      <c r="AE323" s="2"/>
      <c r="AF323" s="2"/>
    </row>
    <row r="324" spans="1:32" x14ac:dyDescent="0.35">
      <c r="A324">
        <v>323</v>
      </c>
      <c r="B324" s="1">
        <v>43164</v>
      </c>
      <c r="C324" s="9" t="s">
        <v>672</v>
      </c>
      <c r="D324" s="9" t="s">
        <v>4988</v>
      </c>
      <c r="E324" s="9" t="s">
        <v>5949</v>
      </c>
      <c r="F324" s="9" t="s">
        <v>294</v>
      </c>
      <c r="G324" s="9" t="s">
        <v>673</v>
      </c>
      <c r="H324" s="9" t="s">
        <v>105</v>
      </c>
      <c r="I324" s="11">
        <v>6000000</v>
      </c>
      <c r="J324" s="11">
        <v>3080921</v>
      </c>
      <c r="K324" s="11">
        <v>6520530</v>
      </c>
      <c r="L324" s="3">
        <v>385</v>
      </c>
      <c r="M324" s="3">
        <v>3804</v>
      </c>
      <c r="N324" s="3">
        <v>1945623</v>
      </c>
      <c r="O324" s="2">
        <v>0.23400000000000001</v>
      </c>
      <c r="P324" s="2">
        <v>0.26</v>
      </c>
      <c r="Q324" s="2">
        <v>0.46600000000000003</v>
      </c>
      <c r="R324" s="11">
        <v>29086010</v>
      </c>
      <c r="S324" s="11">
        <v>1340238</v>
      </c>
      <c r="T324">
        <v>2018</v>
      </c>
      <c r="U324">
        <v>3</v>
      </c>
      <c r="V324">
        <f t="shared" si="30"/>
        <v>800000</v>
      </c>
      <c r="W324">
        <f t="shared" si="31"/>
        <v>18429897</v>
      </c>
      <c r="X324">
        <f t="shared" si="32"/>
        <v>17629897</v>
      </c>
      <c r="Y324">
        <f t="shared" si="33"/>
        <v>-25644845.5</v>
      </c>
      <c r="Z324">
        <f t="shared" si="34"/>
        <v>44874742.5</v>
      </c>
      <c r="AA324" t="str">
        <f t="shared" si="35"/>
        <v>Normal</v>
      </c>
      <c r="AE324" s="2"/>
      <c r="AF324" s="2"/>
    </row>
    <row r="325" spans="1:32" x14ac:dyDescent="0.35">
      <c r="A325">
        <v>324</v>
      </c>
      <c r="B325" s="1">
        <v>43164</v>
      </c>
      <c r="C325" s="9" t="s">
        <v>674</v>
      </c>
      <c r="D325" s="9" t="s">
        <v>4930</v>
      </c>
      <c r="E325" s="9" t="s">
        <v>5950</v>
      </c>
      <c r="F325" s="9" t="s">
        <v>63</v>
      </c>
      <c r="G325" s="9" t="s">
        <v>675</v>
      </c>
      <c r="H325" s="9" t="s">
        <v>105</v>
      </c>
      <c r="I325" s="11">
        <v>5000000</v>
      </c>
      <c r="J325" s="11">
        <v>4581738</v>
      </c>
      <c r="K325" s="11">
        <v>15680855</v>
      </c>
      <c r="L325" s="3">
        <v>63</v>
      </c>
      <c r="M325" s="3">
        <v>2605</v>
      </c>
      <c r="N325" s="3">
        <v>1210627</v>
      </c>
      <c r="O325" s="2">
        <v>0.32100000000000001</v>
      </c>
      <c r="P325" s="2">
        <v>1.1279999999999998E-2</v>
      </c>
      <c r="Q325" s="2">
        <v>-3.4000000000000002E-2</v>
      </c>
      <c r="R325" s="11">
        <v>51941373</v>
      </c>
      <c r="S325" s="11">
        <v>1868269</v>
      </c>
      <c r="T325">
        <v>2018</v>
      </c>
      <c r="U325">
        <v>3</v>
      </c>
      <c r="V325">
        <f t="shared" si="30"/>
        <v>800000</v>
      </c>
      <c r="W325">
        <f t="shared" si="31"/>
        <v>18429897</v>
      </c>
      <c r="X325">
        <f t="shared" si="32"/>
        <v>17629897</v>
      </c>
      <c r="Y325">
        <f t="shared" si="33"/>
        <v>-25644845.5</v>
      </c>
      <c r="Z325">
        <f t="shared" si="34"/>
        <v>44874742.5</v>
      </c>
      <c r="AA325" t="str">
        <f t="shared" si="35"/>
        <v>Normal</v>
      </c>
      <c r="AE325" s="2"/>
      <c r="AF325" s="2"/>
    </row>
    <row r="326" spans="1:32" x14ac:dyDescent="0.35">
      <c r="A326">
        <v>325</v>
      </c>
      <c r="B326" s="1">
        <v>43163</v>
      </c>
      <c r="C326" s="9" t="s">
        <v>676</v>
      </c>
      <c r="D326" s="9" t="s">
        <v>4988</v>
      </c>
      <c r="E326" s="9" t="s">
        <v>5951</v>
      </c>
      <c r="F326" s="9" t="s">
        <v>41</v>
      </c>
      <c r="G326" s="9" t="s">
        <v>227</v>
      </c>
      <c r="H326" s="9" t="s">
        <v>275</v>
      </c>
      <c r="I326" s="11">
        <v>1100000</v>
      </c>
      <c r="J326" s="11">
        <v>4876273</v>
      </c>
      <c r="K326" s="11">
        <v>17941590</v>
      </c>
      <c r="L326" s="3">
        <v>95</v>
      </c>
      <c r="M326" s="3">
        <v>3035</v>
      </c>
      <c r="N326" s="3">
        <v>305887</v>
      </c>
      <c r="O326" s="2">
        <v>0.38800000000000001</v>
      </c>
      <c r="P326" s="2">
        <v>0.26</v>
      </c>
      <c r="Q326" s="2">
        <v>-0.13300000000000001</v>
      </c>
      <c r="R326" s="11">
        <v>231603236</v>
      </c>
      <c r="S326" s="11">
        <v>1008193.5</v>
      </c>
      <c r="T326">
        <v>2018</v>
      </c>
      <c r="U326">
        <v>3</v>
      </c>
      <c r="V326">
        <f t="shared" si="30"/>
        <v>800000</v>
      </c>
      <c r="W326">
        <f t="shared" si="31"/>
        <v>18429897</v>
      </c>
      <c r="X326">
        <f t="shared" si="32"/>
        <v>17629897</v>
      </c>
      <c r="Y326">
        <f t="shared" si="33"/>
        <v>-25644845.5</v>
      </c>
      <c r="Z326">
        <f t="shared" si="34"/>
        <v>44874742.5</v>
      </c>
      <c r="AA326" t="str">
        <f t="shared" si="35"/>
        <v>Normal</v>
      </c>
      <c r="AE326" s="2"/>
      <c r="AF326" s="2"/>
    </row>
    <row r="327" spans="1:32" x14ac:dyDescent="0.35">
      <c r="A327">
        <v>326</v>
      </c>
      <c r="B327" s="1">
        <v>43165</v>
      </c>
      <c r="C327" s="9" t="s">
        <v>677</v>
      </c>
      <c r="D327" s="9" t="s">
        <v>4930</v>
      </c>
      <c r="E327" s="9" t="s">
        <v>5952</v>
      </c>
      <c r="F327" s="9" t="s">
        <v>35</v>
      </c>
      <c r="G327" s="9" t="s">
        <v>678</v>
      </c>
      <c r="H327" s="9" t="s">
        <v>59</v>
      </c>
      <c r="I327" s="11">
        <v>9700000</v>
      </c>
      <c r="J327" s="11">
        <v>1166465</v>
      </c>
      <c r="K327" s="11">
        <v>8606505</v>
      </c>
      <c r="L327" s="3">
        <v>83</v>
      </c>
      <c r="M327" s="3">
        <v>168</v>
      </c>
      <c r="N327" s="3">
        <v>177875</v>
      </c>
      <c r="O327" s="2">
        <v>-8.3000000000000004E-2</v>
      </c>
      <c r="P327" s="2">
        <v>0.309</v>
      </c>
      <c r="Q327" s="2">
        <v>0.26800000000000002</v>
      </c>
      <c r="R327" s="11">
        <v>197053125</v>
      </c>
      <c r="S327" s="11">
        <v>1904107</v>
      </c>
      <c r="T327">
        <v>2018</v>
      </c>
      <c r="U327">
        <v>3</v>
      </c>
      <c r="V327">
        <f t="shared" si="30"/>
        <v>800000</v>
      </c>
      <c r="W327">
        <f t="shared" si="31"/>
        <v>18429897</v>
      </c>
      <c r="X327">
        <f t="shared" si="32"/>
        <v>17629897</v>
      </c>
      <c r="Y327">
        <f t="shared" si="33"/>
        <v>-25644845.5</v>
      </c>
      <c r="Z327">
        <f t="shared" si="34"/>
        <v>44874742.5</v>
      </c>
      <c r="AA327" t="str">
        <f t="shared" si="35"/>
        <v>Normal</v>
      </c>
      <c r="AE327" s="2"/>
      <c r="AF327" s="2"/>
    </row>
    <row r="328" spans="1:32" x14ac:dyDescent="0.35">
      <c r="A328">
        <v>327</v>
      </c>
      <c r="B328" s="1">
        <v>43165</v>
      </c>
      <c r="C328" s="9" t="s">
        <v>631</v>
      </c>
      <c r="D328" s="9" t="s">
        <v>4988</v>
      </c>
      <c r="E328" s="9" t="s">
        <v>5667</v>
      </c>
      <c r="F328" s="9" t="s">
        <v>31</v>
      </c>
      <c r="G328" s="9" t="s">
        <v>679</v>
      </c>
      <c r="H328" s="9" t="s">
        <v>105</v>
      </c>
      <c r="I328" s="11">
        <v>7600000</v>
      </c>
      <c r="J328" s="11">
        <v>1197548</v>
      </c>
      <c r="K328" s="11">
        <v>10153449</v>
      </c>
      <c r="L328" s="3">
        <v>266</v>
      </c>
      <c r="M328" s="3">
        <v>2606</v>
      </c>
      <c r="N328" s="3">
        <v>694316</v>
      </c>
      <c r="O328" s="2">
        <v>0.376</v>
      </c>
      <c r="P328" s="2">
        <v>1.1059999999999999</v>
      </c>
      <c r="Q328" s="2">
        <v>-0.20599999999999999</v>
      </c>
      <c r="R328" s="11">
        <v>40666323</v>
      </c>
      <c r="S328" s="11">
        <v>1056651</v>
      </c>
      <c r="T328">
        <v>2018</v>
      </c>
      <c r="U328">
        <v>3</v>
      </c>
      <c r="V328">
        <f t="shared" si="30"/>
        <v>800000</v>
      </c>
      <c r="W328">
        <f t="shared" si="31"/>
        <v>18429897</v>
      </c>
      <c r="X328">
        <f t="shared" si="32"/>
        <v>17629897</v>
      </c>
      <c r="Y328">
        <f t="shared" si="33"/>
        <v>-25644845.5</v>
      </c>
      <c r="Z328">
        <f t="shared" si="34"/>
        <v>44874742.5</v>
      </c>
      <c r="AA328" t="str">
        <f t="shared" si="35"/>
        <v>Normal</v>
      </c>
      <c r="AE328" s="2"/>
      <c r="AF328" s="2"/>
    </row>
    <row r="329" spans="1:32" x14ac:dyDescent="0.35">
      <c r="A329">
        <v>328</v>
      </c>
      <c r="B329" s="1">
        <v>43167</v>
      </c>
      <c r="C329" s="9" t="s">
        <v>680</v>
      </c>
      <c r="D329" s="9" t="s">
        <v>4988</v>
      </c>
      <c r="E329" s="9" t="s">
        <v>5953</v>
      </c>
      <c r="F329" s="9" t="s">
        <v>31</v>
      </c>
      <c r="G329" s="9" t="s">
        <v>681</v>
      </c>
      <c r="H329" s="9" t="s">
        <v>105</v>
      </c>
      <c r="I329" s="11">
        <v>38400000</v>
      </c>
      <c r="J329" s="11">
        <v>206314</v>
      </c>
      <c r="K329" s="11">
        <v>1285242</v>
      </c>
      <c r="L329" s="3">
        <v>228</v>
      </c>
      <c r="M329" s="3">
        <v>3483</v>
      </c>
      <c r="N329" s="3">
        <v>1436168</v>
      </c>
      <c r="O329" s="2">
        <v>0.111</v>
      </c>
      <c r="P329" s="2">
        <v>0.84799999999999998</v>
      </c>
      <c r="Q329" s="2">
        <v>-0.10199999999999999</v>
      </c>
      <c r="R329" s="11">
        <v>143813485</v>
      </c>
      <c r="S329" s="11">
        <v>701421</v>
      </c>
      <c r="T329">
        <v>2018</v>
      </c>
      <c r="U329">
        <v>3</v>
      </c>
      <c r="V329">
        <f t="shared" si="30"/>
        <v>800000</v>
      </c>
      <c r="W329">
        <f t="shared" si="31"/>
        <v>18429897</v>
      </c>
      <c r="X329">
        <f t="shared" si="32"/>
        <v>17629897</v>
      </c>
      <c r="Y329">
        <f t="shared" si="33"/>
        <v>-25644845.5</v>
      </c>
      <c r="Z329">
        <f t="shared" si="34"/>
        <v>44874742.5</v>
      </c>
      <c r="AA329" t="str">
        <f t="shared" si="35"/>
        <v>Normal</v>
      </c>
      <c r="AE329" s="2"/>
      <c r="AF329" s="2"/>
    </row>
    <row r="330" spans="1:32" x14ac:dyDescent="0.35">
      <c r="A330">
        <v>329</v>
      </c>
      <c r="B330" s="1">
        <v>43167</v>
      </c>
      <c r="C330" s="9" t="s">
        <v>682</v>
      </c>
      <c r="D330" s="9" t="s">
        <v>4988</v>
      </c>
      <c r="E330" s="9" t="s">
        <v>5954</v>
      </c>
      <c r="F330" s="9" t="s">
        <v>151</v>
      </c>
      <c r="G330" s="9" t="s">
        <v>683</v>
      </c>
      <c r="H330" s="9" t="s">
        <v>59</v>
      </c>
      <c r="I330" s="11">
        <v>1000000</v>
      </c>
      <c r="J330" s="11">
        <v>723485</v>
      </c>
      <c r="K330" s="11">
        <v>14870438</v>
      </c>
      <c r="L330" s="3">
        <v>163</v>
      </c>
      <c r="M330" s="3">
        <v>3861</v>
      </c>
      <c r="N330" s="3">
        <v>842090</v>
      </c>
      <c r="O330" s="2">
        <v>-6.5000000000000002E-2</v>
      </c>
      <c r="P330" s="2">
        <v>0.52400000000000002</v>
      </c>
      <c r="Q330" s="2">
        <v>0.47600000000000003</v>
      </c>
      <c r="R330" s="11">
        <v>34588239</v>
      </c>
      <c r="S330" s="11">
        <v>1669308</v>
      </c>
      <c r="T330">
        <v>2018</v>
      </c>
      <c r="U330">
        <v>3</v>
      </c>
      <c r="V330">
        <f t="shared" si="30"/>
        <v>800000</v>
      </c>
      <c r="W330">
        <f t="shared" si="31"/>
        <v>18429897</v>
      </c>
      <c r="X330">
        <f t="shared" si="32"/>
        <v>17629897</v>
      </c>
      <c r="Y330">
        <f t="shared" si="33"/>
        <v>-25644845.5</v>
      </c>
      <c r="Z330">
        <f t="shared" si="34"/>
        <v>44874742.5</v>
      </c>
      <c r="AA330" t="str">
        <f t="shared" si="35"/>
        <v>Normal</v>
      </c>
      <c r="AE330" s="2"/>
      <c r="AF330" s="2"/>
    </row>
    <row r="331" spans="1:32" x14ac:dyDescent="0.35">
      <c r="A331">
        <v>330</v>
      </c>
      <c r="B331" s="1">
        <v>43171</v>
      </c>
      <c r="C331" s="9" t="s">
        <v>97</v>
      </c>
      <c r="D331" s="9" t="s">
        <v>4988</v>
      </c>
      <c r="E331" s="9" t="s">
        <v>5955</v>
      </c>
      <c r="F331" s="9" t="s">
        <v>31</v>
      </c>
      <c r="G331" s="9" t="s">
        <v>684</v>
      </c>
      <c r="H331" s="9" t="s">
        <v>275</v>
      </c>
      <c r="I331" s="11">
        <v>1000000</v>
      </c>
      <c r="J331" s="11">
        <v>2783165</v>
      </c>
      <c r="K331" s="11">
        <v>2076804</v>
      </c>
      <c r="L331" s="3">
        <v>72</v>
      </c>
      <c r="M331" s="3">
        <v>770</v>
      </c>
      <c r="N331" s="3">
        <v>337386</v>
      </c>
      <c r="O331" s="2">
        <v>7.9000000000000001E-2</v>
      </c>
      <c r="P331" s="2">
        <v>0.78799999999999992</v>
      </c>
      <c r="Q331" s="2">
        <v>-0.32900000000000001</v>
      </c>
      <c r="R331" s="11">
        <v>200658226</v>
      </c>
      <c r="S331" s="11">
        <v>434242</v>
      </c>
      <c r="T331">
        <v>2018</v>
      </c>
      <c r="U331">
        <v>3</v>
      </c>
      <c r="V331">
        <f t="shared" si="30"/>
        <v>800000</v>
      </c>
      <c r="W331">
        <f t="shared" si="31"/>
        <v>18429897</v>
      </c>
      <c r="X331">
        <f t="shared" si="32"/>
        <v>17629897</v>
      </c>
      <c r="Y331">
        <f t="shared" si="33"/>
        <v>-25644845.5</v>
      </c>
      <c r="Z331">
        <f t="shared" si="34"/>
        <v>44874742.5</v>
      </c>
      <c r="AA331" t="str">
        <f t="shared" si="35"/>
        <v>Normal</v>
      </c>
      <c r="AE331" s="2"/>
      <c r="AF331" s="2"/>
    </row>
    <row r="332" spans="1:32" x14ac:dyDescent="0.35">
      <c r="A332">
        <v>331</v>
      </c>
      <c r="B332" s="1">
        <v>43172</v>
      </c>
      <c r="C332" s="9" t="s">
        <v>146</v>
      </c>
      <c r="D332" s="9" t="s">
        <v>4930</v>
      </c>
      <c r="E332" s="9" t="s">
        <v>5895</v>
      </c>
      <c r="F332" s="9" t="s">
        <v>31</v>
      </c>
      <c r="G332" s="9" t="s">
        <v>685</v>
      </c>
      <c r="H332" s="9" t="s">
        <v>105</v>
      </c>
      <c r="I332" s="11">
        <v>82000000</v>
      </c>
      <c r="J332" s="11">
        <v>2743080</v>
      </c>
      <c r="K332" s="11">
        <v>13391672</v>
      </c>
      <c r="L332" s="3">
        <v>320</v>
      </c>
      <c r="M332" s="3">
        <v>209</v>
      </c>
      <c r="N332" s="3">
        <v>1969400</v>
      </c>
      <c r="O332" s="2">
        <v>0.36200000000000004</v>
      </c>
      <c r="P332" s="2">
        <v>0.36599999999999999</v>
      </c>
      <c r="Q332" s="2">
        <v>0.17600000000000002</v>
      </c>
      <c r="R332" s="11">
        <v>43563152</v>
      </c>
      <c r="S332" s="11">
        <v>1280433</v>
      </c>
      <c r="T332">
        <v>2018</v>
      </c>
      <c r="U332">
        <v>3</v>
      </c>
      <c r="V332">
        <f t="shared" si="30"/>
        <v>800000</v>
      </c>
      <c r="W332">
        <f t="shared" si="31"/>
        <v>18429897</v>
      </c>
      <c r="X332">
        <f t="shared" si="32"/>
        <v>17629897</v>
      </c>
      <c r="Y332">
        <f t="shared" si="33"/>
        <v>-25644845.5</v>
      </c>
      <c r="Z332">
        <f t="shared" si="34"/>
        <v>44874742.5</v>
      </c>
      <c r="AA332" t="str">
        <f t="shared" si="35"/>
        <v>Outlier</v>
      </c>
      <c r="AE332" s="2"/>
      <c r="AF332" s="2"/>
    </row>
    <row r="333" spans="1:32" x14ac:dyDescent="0.35">
      <c r="A333">
        <v>332</v>
      </c>
      <c r="B333" s="1">
        <v>43173</v>
      </c>
      <c r="C333" s="9" t="s">
        <v>686</v>
      </c>
      <c r="D333" s="9" t="s">
        <v>4988</v>
      </c>
      <c r="E333" s="9" t="s">
        <v>5956</v>
      </c>
      <c r="F333" s="9" t="s">
        <v>124</v>
      </c>
      <c r="G333" s="9" t="s">
        <v>687</v>
      </c>
      <c r="H333" s="9" t="s">
        <v>275</v>
      </c>
      <c r="I333" s="11">
        <v>18429897</v>
      </c>
      <c r="J333" s="11">
        <v>1867192</v>
      </c>
      <c r="K333" s="11">
        <v>7704761</v>
      </c>
      <c r="L333" s="3">
        <v>404</v>
      </c>
      <c r="M333" s="3">
        <v>4285</v>
      </c>
      <c r="N333" s="3">
        <v>396085</v>
      </c>
      <c r="O333" s="2">
        <v>0.21099999999999999</v>
      </c>
      <c r="P333" s="2">
        <v>0.26500000000000001</v>
      </c>
      <c r="Q333" s="2">
        <v>-0.26100000000000001</v>
      </c>
      <c r="R333" s="11">
        <v>203346887</v>
      </c>
      <c r="S333" s="11">
        <v>1008193.5</v>
      </c>
      <c r="T333">
        <v>2018</v>
      </c>
      <c r="U333">
        <v>3</v>
      </c>
      <c r="V333">
        <f t="shared" si="30"/>
        <v>800000</v>
      </c>
      <c r="W333">
        <f t="shared" si="31"/>
        <v>18429897</v>
      </c>
      <c r="X333">
        <f t="shared" si="32"/>
        <v>17629897</v>
      </c>
      <c r="Y333">
        <f t="shared" si="33"/>
        <v>-25644845.5</v>
      </c>
      <c r="Z333">
        <f t="shared" si="34"/>
        <v>44874742.5</v>
      </c>
      <c r="AA333" t="str">
        <f t="shared" si="35"/>
        <v>Normal</v>
      </c>
      <c r="AE333" s="2"/>
      <c r="AF333" s="2"/>
    </row>
    <row r="334" spans="1:32" x14ac:dyDescent="0.35">
      <c r="A334">
        <v>333</v>
      </c>
      <c r="B334" s="1">
        <v>43173</v>
      </c>
      <c r="C334" s="9" t="s">
        <v>211</v>
      </c>
      <c r="D334" s="9" t="s">
        <v>4988</v>
      </c>
      <c r="E334" s="9" t="s">
        <v>1111</v>
      </c>
      <c r="F334" s="9" t="s">
        <v>15</v>
      </c>
      <c r="G334" s="9" t="s">
        <v>688</v>
      </c>
      <c r="H334" s="9" t="s">
        <v>105</v>
      </c>
      <c r="I334" s="11">
        <v>17200000</v>
      </c>
      <c r="J334" s="11">
        <v>1563578</v>
      </c>
      <c r="K334" s="11">
        <v>8363750</v>
      </c>
      <c r="L334" s="3">
        <v>110</v>
      </c>
      <c r="M334" s="3">
        <v>2505.5</v>
      </c>
      <c r="N334" s="3">
        <v>168479</v>
      </c>
      <c r="O334" s="2">
        <v>-0.122</v>
      </c>
      <c r="P334" s="2">
        <v>0.249</v>
      </c>
      <c r="Q334" s="2">
        <v>0.20300000000000001</v>
      </c>
      <c r="R334" s="11">
        <v>42077547</v>
      </c>
      <c r="S334" s="11">
        <v>1008193.5</v>
      </c>
      <c r="T334">
        <v>2018</v>
      </c>
      <c r="U334">
        <v>3</v>
      </c>
      <c r="V334">
        <f t="shared" si="30"/>
        <v>800000</v>
      </c>
      <c r="W334">
        <f t="shared" si="31"/>
        <v>18429897</v>
      </c>
      <c r="X334">
        <f t="shared" si="32"/>
        <v>17629897</v>
      </c>
      <c r="Y334">
        <f t="shared" si="33"/>
        <v>-25644845.5</v>
      </c>
      <c r="Z334">
        <f t="shared" si="34"/>
        <v>44874742.5</v>
      </c>
      <c r="AA334" t="str">
        <f t="shared" si="35"/>
        <v>Normal</v>
      </c>
      <c r="AE334" s="2"/>
      <c r="AF334" s="2"/>
    </row>
    <row r="335" spans="1:32" x14ac:dyDescent="0.35">
      <c r="A335">
        <v>334</v>
      </c>
      <c r="B335" s="1">
        <v>43174</v>
      </c>
      <c r="C335" s="9" t="s">
        <v>171</v>
      </c>
      <c r="D335" s="9" t="s">
        <v>4988</v>
      </c>
      <c r="E335" s="9" t="s">
        <v>5957</v>
      </c>
      <c r="F335" s="9" t="s">
        <v>151</v>
      </c>
      <c r="G335" s="9" t="s">
        <v>689</v>
      </c>
      <c r="H335" s="9" t="s">
        <v>105</v>
      </c>
      <c r="I335" s="11">
        <v>62000000</v>
      </c>
      <c r="J335" s="11">
        <v>4152352</v>
      </c>
      <c r="K335" s="11">
        <v>5599433</v>
      </c>
      <c r="L335" s="3">
        <v>334</v>
      </c>
      <c r="M335" s="3">
        <v>2390</v>
      </c>
      <c r="N335" s="3">
        <v>762546</v>
      </c>
      <c r="O335" s="2">
        <v>-0.121</v>
      </c>
      <c r="P335" s="2">
        <v>0.47</v>
      </c>
      <c r="Q335" s="2">
        <v>0.55799999999999994</v>
      </c>
      <c r="R335" s="11">
        <v>175786126</v>
      </c>
      <c r="S335" s="11">
        <v>517298</v>
      </c>
      <c r="T335">
        <v>2018</v>
      </c>
      <c r="U335">
        <v>3</v>
      </c>
      <c r="V335">
        <f t="shared" si="30"/>
        <v>800000</v>
      </c>
      <c r="W335">
        <f t="shared" si="31"/>
        <v>18429897</v>
      </c>
      <c r="X335">
        <f t="shared" si="32"/>
        <v>17629897</v>
      </c>
      <c r="Y335">
        <f t="shared" si="33"/>
        <v>-25644845.5</v>
      </c>
      <c r="Z335">
        <f t="shared" si="34"/>
        <v>44874742.5</v>
      </c>
      <c r="AA335" t="str">
        <f t="shared" si="35"/>
        <v>Outlier</v>
      </c>
      <c r="AE335" s="2"/>
      <c r="AF335" s="2"/>
    </row>
    <row r="336" spans="1:32" x14ac:dyDescent="0.35">
      <c r="A336">
        <v>335</v>
      </c>
      <c r="B336" s="1">
        <v>43178</v>
      </c>
      <c r="C336" s="9" t="s">
        <v>690</v>
      </c>
      <c r="D336" s="9" t="s">
        <v>4988</v>
      </c>
      <c r="E336" s="9" t="s">
        <v>5958</v>
      </c>
      <c r="F336" s="9" t="s">
        <v>31</v>
      </c>
      <c r="G336" s="9" t="s">
        <v>143</v>
      </c>
      <c r="H336" s="9" t="s">
        <v>59</v>
      </c>
      <c r="I336" s="11">
        <v>1310000</v>
      </c>
      <c r="J336" s="11">
        <v>2310968</v>
      </c>
      <c r="K336" s="11">
        <v>8124502</v>
      </c>
      <c r="L336" s="3">
        <v>398</v>
      </c>
      <c r="M336" s="3">
        <v>3155</v>
      </c>
      <c r="N336" s="3">
        <v>223391</v>
      </c>
      <c r="O336" s="2">
        <v>-0.126</v>
      </c>
      <c r="P336" s="2">
        <v>0.379</v>
      </c>
      <c r="Q336" s="2">
        <v>-0.153</v>
      </c>
      <c r="R336" s="11">
        <v>165114610</v>
      </c>
      <c r="S336" s="11">
        <v>473317</v>
      </c>
      <c r="T336">
        <v>2018</v>
      </c>
      <c r="U336">
        <v>3</v>
      </c>
      <c r="V336">
        <f t="shared" si="30"/>
        <v>800000</v>
      </c>
      <c r="W336">
        <f t="shared" si="31"/>
        <v>18429897</v>
      </c>
      <c r="X336">
        <f t="shared" si="32"/>
        <v>17629897</v>
      </c>
      <c r="Y336">
        <f t="shared" si="33"/>
        <v>-25644845.5</v>
      </c>
      <c r="Z336">
        <f t="shared" si="34"/>
        <v>44874742.5</v>
      </c>
      <c r="AA336" t="str">
        <f t="shared" si="35"/>
        <v>Normal</v>
      </c>
      <c r="AE336" s="2"/>
      <c r="AF336" s="2"/>
    </row>
    <row r="337" spans="1:32" x14ac:dyDescent="0.35">
      <c r="A337">
        <v>336</v>
      </c>
      <c r="B337" s="1">
        <v>43178</v>
      </c>
      <c r="C337" s="9" t="s">
        <v>691</v>
      </c>
      <c r="D337" s="9" t="s">
        <v>2539</v>
      </c>
      <c r="E337" s="9" t="s">
        <v>5959</v>
      </c>
      <c r="F337" s="9" t="s">
        <v>692</v>
      </c>
      <c r="G337" s="9" t="s">
        <v>693</v>
      </c>
      <c r="H337" s="9" t="s">
        <v>275</v>
      </c>
      <c r="I337" s="11">
        <v>500000</v>
      </c>
      <c r="J337" s="11">
        <v>4045092</v>
      </c>
      <c r="K337" s="11">
        <v>17500891</v>
      </c>
      <c r="L337" s="3">
        <v>280</v>
      </c>
      <c r="M337" s="3">
        <v>2482</v>
      </c>
      <c r="N337" s="3">
        <v>1184656</v>
      </c>
      <c r="O337" s="2">
        <v>-2.6000000000000002E-2</v>
      </c>
      <c r="P337" s="2">
        <v>0.60299999999999998</v>
      </c>
      <c r="Q337" s="2">
        <v>-0.42599999999999999</v>
      </c>
      <c r="R337" s="11">
        <v>257138032</v>
      </c>
      <c r="S337" s="11">
        <v>1520738</v>
      </c>
      <c r="T337">
        <v>2018</v>
      </c>
      <c r="U337">
        <v>3</v>
      </c>
      <c r="V337">
        <f t="shared" si="30"/>
        <v>800000</v>
      </c>
      <c r="W337">
        <f t="shared" si="31"/>
        <v>18429897</v>
      </c>
      <c r="X337">
        <f t="shared" si="32"/>
        <v>17629897</v>
      </c>
      <c r="Y337">
        <f t="shared" si="33"/>
        <v>-25644845.5</v>
      </c>
      <c r="Z337">
        <f t="shared" si="34"/>
        <v>44874742.5</v>
      </c>
      <c r="AA337" t="str">
        <f t="shared" si="35"/>
        <v>Normal</v>
      </c>
      <c r="AE337" s="2"/>
      <c r="AF337" s="2"/>
    </row>
    <row r="338" spans="1:32" x14ac:dyDescent="0.35">
      <c r="A338">
        <v>337</v>
      </c>
      <c r="B338" s="1">
        <v>43178</v>
      </c>
      <c r="C338" s="9" t="s">
        <v>694</v>
      </c>
      <c r="D338" s="9" t="s">
        <v>4939</v>
      </c>
      <c r="E338" s="9" t="s">
        <v>5960</v>
      </c>
      <c r="F338" s="9" t="s">
        <v>151</v>
      </c>
      <c r="G338" s="9" t="s">
        <v>695</v>
      </c>
      <c r="H338" s="9" t="s">
        <v>275</v>
      </c>
      <c r="I338" s="11">
        <v>3000000</v>
      </c>
      <c r="J338" s="11">
        <v>4816795</v>
      </c>
      <c r="K338" s="11">
        <v>10153449</v>
      </c>
      <c r="L338" s="3">
        <v>288</v>
      </c>
      <c r="M338" s="3">
        <v>4722</v>
      </c>
      <c r="N338" s="3">
        <v>870797</v>
      </c>
      <c r="O338" s="2">
        <v>0.13500000000000001</v>
      </c>
      <c r="P338" s="2">
        <v>1.077</v>
      </c>
      <c r="Q338" s="2">
        <v>0.18899999999999997</v>
      </c>
      <c r="R338" s="11">
        <v>212236256</v>
      </c>
      <c r="S338" s="11">
        <v>1931426</v>
      </c>
      <c r="T338">
        <v>2018</v>
      </c>
      <c r="U338">
        <v>3</v>
      </c>
      <c r="V338">
        <f t="shared" si="30"/>
        <v>800000</v>
      </c>
      <c r="W338">
        <f t="shared" si="31"/>
        <v>18429897</v>
      </c>
      <c r="X338">
        <f t="shared" si="32"/>
        <v>17629897</v>
      </c>
      <c r="Y338">
        <f t="shared" si="33"/>
        <v>-25644845.5</v>
      </c>
      <c r="Z338">
        <f t="shared" si="34"/>
        <v>44874742.5</v>
      </c>
      <c r="AA338" t="str">
        <f t="shared" si="35"/>
        <v>Normal</v>
      </c>
      <c r="AE338" s="2"/>
      <c r="AF338" s="2"/>
    </row>
    <row r="339" spans="1:32" x14ac:dyDescent="0.35">
      <c r="A339">
        <v>338</v>
      </c>
      <c r="B339" s="1">
        <v>43178</v>
      </c>
      <c r="C339" s="9" t="s">
        <v>696</v>
      </c>
      <c r="D339" s="9" t="s">
        <v>4930</v>
      </c>
      <c r="E339" s="9" t="s">
        <v>5961</v>
      </c>
      <c r="F339" s="9" t="s">
        <v>151</v>
      </c>
      <c r="G339" s="9" t="s">
        <v>697</v>
      </c>
      <c r="H339" s="9" t="s">
        <v>275</v>
      </c>
      <c r="I339" s="11">
        <v>1000000</v>
      </c>
      <c r="J339" s="11">
        <v>1599351</v>
      </c>
      <c r="K339" s="11">
        <v>6872324</v>
      </c>
      <c r="L339" s="3">
        <v>87</v>
      </c>
      <c r="M339" s="3">
        <v>4219</v>
      </c>
      <c r="N339" s="3">
        <v>1853027</v>
      </c>
      <c r="O339" s="2">
        <v>-0.105</v>
      </c>
      <c r="P339" s="2">
        <v>0.57899999999999996</v>
      </c>
      <c r="Q339" s="2">
        <v>-5.7000000000000002E-2</v>
      </c>
      <c r="R339" s="11">
        <v>467828233</v>
      </c>
      <c r="S339" s="11">
        <v>1357638</v>
      </c>
      <c r="T339">
        <v>2018</v>
      </c>
      <c r="U339">
        <v>3</v>
      </c>
      <c r="V339">
        <f t="shared" si="30"/>
        <v>800000</v>
      </c>
      <c r="W339">
        <f t="shared" si="31"/>
        <v>18429897</v>
      </c>
      <c r="X339">
        <f t="shared" si="32"/>
        <v>17629897</v>
      </c>
      <c r="Y339">
        <f t="shared" si="33"/>
        <v>-25644845.5</v>
      </c>
      <c r="Z339">
        <f t="shared" si="34"/>
        <v>44874742.5</v>
      </c>
      <c r="AA339" t="str">
        <f t="shared" si="35"/>
        <v>Normal</v>
      </c>
      <c r="AE339" s="2"/>
      <c r="AF339" s="2"/>
    </row>
    <row r="340" spans="1:32" x14ac:dyDescent="0.35">
      <c r="A340">
        <v>339</v>
      </c>
      <c r="B340" s="1">
        <v>43179</v>
      </c>
      <c r="C340" s="9" t="s">
        <v>698</v>
      </c>
      <c r="D340" s="9" t="s">
        <v>4988</v>
      </c>
      <c r="E340" s="9" t="s">
        <v>5962</v>
      </c>
      <c r="F340" s="9" t="s">
        <v>15</v>
      </c>
      <c r="G340" s="9" t="s">
        <v>699</v>
      </c>
      <c r="H340" s="9" t="s">
        <v>105</v>
      </c>
      <c r="I340" s="11">
        <v>18429897</v>
      </c>
      <c r="J340" s="11">
        <v>1029636</v>
      </c>
      <c r="K340" s="11">
        <v>5946227</v>
      </c>
      <c r="L340" s="3">
        <v>254</v>
      </c>
      <c r="M340" s="3">
        <v>1998</v>
      </c>
      <c r="N340" s="3">
        <v>338570</v>
      </c>
      <c r="O340" s="2">
        <v>1.6E-2</v>
      </c>
      <c r="P340" s="2">
        <v>0.59899999999999998</v>
      </c>
      <c r="Q340" s="2">
        <v>5.4000000000000006E-2</v>
      </c>
      <c r="R340" s="11">
        <v>448480618</v>
      </c>
      <c r="S340" s="11">
        <v>993276</v>
      </c>
      <c r="T340">
        <v>2018</v>
      </c>
      <c r="U340">
        <v>3</v>
      </c>
      <c r="V340">
        <f t="shared" si="30"/>
        <v>800000</v>
      </c>
      <c r="W340">
        <f t="shared" si="31"/>
        <v>18429897</v>
      </c>
      <c r="X340">
        <f t="shared" si="32"/>
        <v>17629897</v>
      </c>
      <c r="Y340">
        <f t="shared" si="33"/>
        <v>-25644845.5</v>
      </c>
      <c r="Z340">
        <f t="shared" si="34"/>
        <v>44874742.5</v>
      </c>
      <c r="AA340" t="str">
        <f t="shared" si="35"/>
        <v>Normal</v>
      </c>
      <c r="AE340" s="2"/>
      <c r="AF340" s="2"/>
    </row>
    <row r="341" spans="1:32" x14ac:dyDescent="0.35">
      <c r="A341">
        <v>340</v>
      </c>
      <c r="B341" s="1">
        <v>43180</v>
      </c>
      <c r="C341" s="9" t="s">
        <v>700</v>
      </c>
      <c r="D341" s="9" t="s">
        <v>4988</v>
      </c>
      <c r="E341" s="9" t="s">
        <v>5963</v>
      </c>
      <c r="F341" s="9" t="s">
        <v>41</v>
      </c>
      <c r="G341" s="9" t="s">
        <v>701</v>
      </c>
      <c r="H341" s="9" t="s">
        <v>275</v>
      </c>
      <c r="I341" s="11">
        <v>18429897</v>
      </c>
      <c r="J341" s="11">
        <v>1000000000</v>
      </c>
      <c r="K341" s="11">
        <v>10231412</v>
      </c>
      <c r="L341" s="3">
        <v>478</v>
      </c>
      <c r="M341" s="3">
        <v>995</v>
      </c>
      <c r="N341" s="3">
        <v>537682</v>
      </c>
      <c r="O341" s="2">
        <v>0.4</v>
      </c>
      <c r="P341" s="2">
        <v>0.32100000000000001</v>
      </c>
      <c r="Q341" s="2">
        <v>0.191</v>
      </c>
      <c r="R341" s="11">
        <v>261645867</v>
      </c>
      <c r="S341" s="11">
        <v>1446857</v>
      </c>
      <c r="T341">
        <v>2018</v>
      </c>
      <c r="U341">
        <v>3</v>
      </c>
      <c r="V341">
        <f t="shared" si="30"/>
        <v>800000</v>
      </c>
      <c r="W341">
        <f t="shared" si="31"/>
        <v>18429897</v>
      </c>
      <c r="X341">
        <f t="shared" si="32"/>
        <v>17629897</v>
      </c>
      <c r="Y341">
        <f t="shared" si="33"/>
        <v>-25644845.5</v>
      </c>
      <c r="Z341">
        <f t="shared" si="34"/>
        <v>44874742.5</v>
      </c>
      <c r="AA341" t="str">
        <f t="shared" si="35"/>
        <v>Normal</v>
      </c>
      <c r="AE341" s="2"/>
      <c r="AF341" s="2"/>
    </row>
    <row r="342" spans="1:32" x14ac:dyDescent="0.35">
      <c r="A342">
        <v>341</v>
      </c>
      <c r="B342" s="1">
        <v>43181</v>
      </c>
      <c r="C342" s="9" t="s">
        <v>702</v>
      </c>
      <c r="D342" s="9" t="s">
        <v>4930</v>
      </c>
      <c r="E342" s="9" t="s">
        <v>5964</v>
      </c>
      <c r="F342" s="9" t="s">
        <v>35</v>
      </c>
      <c r="G342" s="9" t="s">
        <v>703</v>
      </c>
      <c r="H342" s="9" t="s">
        <v>105</v>
      </c>
      <c r="I342" s="11">
        <v>18000000</v>
      </c>
      <c r="J342" s="11">
        <v>3181458</v>
      </c>
      <c r="K342" s="11">
        <v>13728154</v>
      </c>
      <c r="L342" s="3">
        <v>357</v>
      </c>
      <c r="M342" s="3">
        <v>4877</v>
      </c>
      <c r="N342" s="3">
        <v>1369691</v>
      </c>
      <c r="O342" s="2">
        <v>0.44400000000000001</v>
      </c>
      <c r="P342" s="2">
        <v>1.1890000000000001</v>
      </c>
      <c r="Q342" s="2">
        <v>0.24100000000000002</v>
      </c>
      <c r="R342" s="11">
        <v>410193405</v>
      </c>
      <c r="S342" s="11">
        <v>1926349</v>
      </c>
      <c r="T342">
        <v>2018</v>
      </c>
      <c r="U342">
        <v>3</v>
      </c>
      <c r="V342">
        <f t="shared" si="30"/>
        <v>797500</v>
      </c>
      <c r="W342">
        <f t="shared" si="31"/>
        <v>18429897</v>
      </c>
      <c r="X342">
        <f t="shared" si="32"/>
        <v>17632397</v>
      </c>
      <c r="Y342">
        <f t="shared" si="33"/>
        <v>-25651095.5</v>
      </c>
      <c r="Z342">
        <f t="shared" si="34"/>
        <v>44878492.5</v>
      </c>
      <c r="AA342" t="str">
        <f t="shared" si="35"/>
        <v>Normal</v>
      </c>
      <c r="AE342" s="2"/>
      <c r="AF342" s="2"/>
    </row>
    <row r="343" spans="1:32" x14ac:dyDescent="0.35">
      <c r="A343">
        <v>342</v>
      </c>
      <c r="B343" s="1">
        <v>43181</v>
      </c>
      <c r="C343" s="9" t="s">
        <v>704</v>
      </c>
      <c r="D343" s="9" t="s">
        <v>4988</v>
      </c>
      <c r="E343" s="9" t="s">
        <v>5965</v>
      </c>
      <c r="F343" s="9" t="s">
        <v>63</v>
      </c>
      <c r="G343" s="9" t="s">
        <v>705</v>
      </c>
      <c r="H343" s="9" t="s">
        <v>275</v>
      </c>
      <c r="I343" s="11">
        <v>768000</v>
      </c>
      <c r="J343" s="11">
        <v>1468770</v>
      </c>
      <c r="K343" s="11">
        <v>3728636</v>
      </c>
      <c r="L343" s="3">
        <v>451</v>
      </c>
      <c r="M343" s="3">
        <v>3555</v>
      </c>
      <c r="N343" s="3">
        <v>1395881</v>
      </c>
      <c r="O343" s="2">
        <v>0.43</v>
      </c>
      <c r="P343" s="2">
        <v>0.34499999999999997</v>
      </c>
      <c r="Q343" s="2">
        <v>0.24299999999999999</v>
      </c>
      <c r="R343" s="11">
        <v>337441183</v>
      </c>
      <c r="S343" s="11">
        <v>1601563</v>
      </c>
      <c r="T343">
        <v>2018</v>
      </c>
      <c r="U343">
        <v>3</v>
      </c>
      <c r="V343">
        <f t="shared" si="30"/>
        <v>795000</v>
      </c>
      <c r="W343">
        <f t="shared" si="31"/>
        <v>18429897</v>
      </c>
      <c r="X343">
        <f t="shared" si="32"/>
        <v>17634897</v>
      </c>
      <c r="Y343">
        <f t="shared" si="33"/>
        <v>-25657345.5</v>
      </c>
      <c r="Z343">
        <f t="shared" si="34"/>
        <v>44882242.5</v>
      </c>
      <c r="AA343" t="str">
        <f t="shared" si="35"/>
        <v>Normal</v>
      </c>
      <c r="AE343" s="2"/>
      <c r="AF343" s="2"/>
    </row>
    <row r="344" spans="1:32" x14ac:dyDescent="0.35">
      <c r="A344">
        <v>343</v>
      </c>
      <c r="B344" s="1">
        <v>43181</v>
      </c>
      <c r="C344" s="9" t="s">
        <v>706</v>
      </c>
      <c r="D344" s="9" t="s">
        <v>4930</v>
      </c>
      <c r="E344" s="9" t="s">
        <v>5966</v>
      </c>
      <c r="F344" s="9" t="s">
        <v>15</v>
      </c>
      <c r="G344" s="9" t="s">
        <v>130</v>
      </c>
      <c r="H344" s="9" t="s">
        <v>275</v>
      </c>
      <c r="I344" s="11">
        <v>1240000</v>
      </c>
      <c r="J344" s="11">
        <v>3116862</v>
      </c>
      <c r="K344" s="11">
        <v>14551549</v>
      </c>
      <c r="L344" s="3">
        <v>305</v>
      </c>
      <c r="M344" s="3">
        <v>3788</v>
      </c>
      <c r="N344" s="3">
        <v>721418</v>
      </c>
      <c r="O344" s="2">
        <v>-0.23899999999999999</v>
      </c>
      <c r="P344" s="2">
        <v>0.53799999999999992</v>
      </c>
      <c r="Q344" s="2">
        <v>9.3000000000000013E-2</v>
      </c>
      <c r="R344" s="11">
        <v>389856679</v>
      </c>
      <c r="S344" s="11">
        <v>812197</v>
      </c>
      <c r="T344">
        <v>2018</v>
      </c>
      <c r="U344">
        <v>3</v>
      </c>
      <c r="V344">
        <f t="shared" si="30"/>
        <v>800000</v>
      </c>
      <c r="W344">
        <f t="shared" si="31"/>
        <v>18429897</v>
      </c>
      <c r="X344">
        <f t="shared" si="32"/>
        <v>17629897</v>
      </c>
      <c r="Y344">
        <f t="shared" si="33"/>
        <v>-25644845.5</v>
      </c>
      <c r="Z344">
        <f t="shared" si="34"/>
        <v>44874742.5</v>
      </c>
      <c r="AA344" t="str">
        <f t="shared" si="35"/>
        <v>Normal</v>
      </c>
      <c r="AE344" s="2"/>
      <c r="AF344" s="2"/>
    </row>
    <row r="345" spans="1:32" x14ac:dyDescent="0.35">
      <c r="A345">
        <v>344</v>
      </c>
      <c r="B345" s="1">
        <v>43181</v>
      </c>
      <c r="C345" s="9" t="s">
        <v>707</v>
      </c>
      <c r="D345" s="9" t="s">
        <v>4930</v>
      </c>
      <c r="E345" s="9" t="s">
        <v>5967</v>
      </c>
      <c r="F345" s="9" t="s">
        <v>15</v>
      </c>
      <c r="G345" s="9" t="s">
        <v>708</v>
      </c>
      <c r="H345" s="9" t="s">
        <v>275</v>
      </c>
      <c r="I345" s="11">
        <v>18429897</v>
      </c>
      <c r="J345" s="11">
        <v>2584984</v>
      </c>
      <c r="K345" s="11">
        <v>18978929</v>
      </c>
      <c r="L345" s="3">
        <v>332</v>
      </c>
      <c r="M345" s="3">
        <v>2346</v>
      </c>
      <c r="N345" s="3">
        <v>1843602</v>
      </c>
      <c r="O345" s="2">
        <v>0.45500000000000002</v>
      </c>
      <c r="P345" s="2">
        <v>1.1459999999999999</v>
      </c>
      <c r="Q345" s="2">
        <v>0.20899999999999999</v>
      </c>
      <c r="R345" s="11">
        <v>450097138</v>
      </c>
      <c r="S345" s="11">
        <v>1008193.5</v>
      </c>
      <c r="T345">
        <v>2018</v>
      </c>
      <c r="U345">
        <v>3</v>
      </c>
      <c r="V345">
        <f t="shared" si="30"/>
        <v>800000</v>
      </c>
      <c r="W345">
        <f t="shared" si="31"/>
        <v>18429897</v>
      </c>
      <c r="X345">
        <f t="shared" si="32"/>
        <v>17629897</v>
      </c>
      <c r="Y345">
        <f t="shared" si="33"/>
        <v>-25644845.5</v>
      </c>
      <c r="Z345">
        <f t="shared" si="34"/>
        <v>44874742.5</v>
      </c>
      <c r="AA345" t="str">
        <f t="shared" si="35"/>
        <v>Normal</v>
      </c>
      <c r="AE345" s="2"/>
      <c r="AF345" s="2"/>
    </row>
    <row r="346" spans="1:32" x14ac:dyDescent="0.35">
      <c r="A346">
        <v>345</v>
      </c>
      <c r="B346" s="1">
        <v>43185</v>
      </c>
      <c r="C346" s="9" t="s">
        <v>709</v>
      </c>
      <c r="D346" s="9" t="s">
        <v>4988</v>
      </c>
      <c r="E346" s="9" t="s">
        <v>5965</v>
      </c>
      <c r="F346" s="9" t="s">
        <v>94</v>
      </c>
      <c r="G346" s="9" t="s">
        <v>710</v>
      </c>
      <c r="H346" s="9" t="s">
        <v>275</v>
      </c>
      <c r="I346" s="11">
        <v>1000000</v>
      </c>
      <c r="J346" s="11">
        <v>4529550</v>
      </c>
      <c r="K346" s="11">
        <v>16906664</v>
      </c>
      <c r="L346" s="3">
        <v>415</v>
      </c>
      <c r="M346" s="3">
        <v>2505.5</v>
      </c>
      <c r="N346" s="3">
        <v>1692430</v>
      </c>
      <c r="O346" s="2">
        <v>0.13800000000000001</v>
      </c>
      <c r="P346" s="2">
        <v>0.65500000000000003</v>
      </c>
      <c r="Q346" s="2">
        <v>5.2999999999999999E-2</v>
      </c>
      <c r="R346" s="11">
        <v>120205753</v>
      </c>
      <c r="S346" s="11">
        <v>906849</v>
      </c>
      <c r="T346">
        <v>2018</v>
      </c>
      <c r="U346">
        <v>3</v>
      </c>
      <c r="V346">
        <f t="shared" si="30"/>
        <v>797500</v>
      </c>
      <c r="W346">
        <f t="shared" si="31"/>
        <v>18429897</v>
      </c>
      <c r="X346">
        <f t="shared" si="32"/>
        <v>17632397</v>
      </c>
      <c r="Y346">
        <f t="shared" si="33"/>
        <v>-25651095.5</v>
      </c>
      <c r="Z346">
        <f t="shared" si="34"/>
        <v>44878492.5</v>
      </c>
      <c r="AA346" t="str">
        <f t="shared" si="35"/>
        <v>Normal</v>
      </c>
      <c r="AE346" s="2"/>
      <c r="AF346" s="2"/>
    </row>
    <row r="347" spans="1:32" x14ac:dyDescent="0.35">
      <c r="A347">
        <v>346</v>
      </c>
      <c r="B347" s="1">
        <v>43187</v>
      </c>
      <c r="C347" s="9" t="s">
        <v>711</v>
      </c>
      <c r="D347" s="9" t="s">
        <v>4930</v>
      </c>
      <c r="E347" s="9" t="s">
        <v>5968</v>
      </c>
      <c r="F347" s="9" t="s">
        <v>94</v>
      </c>
      <c r="G347" s="9" t="s">
        <v>58</v>
      </c>
      <c r="H347" s="9" t="s">
        <v>105</v>
      </c>
      <c r="I347" s="11">
        <v>250000</v>
      </c>
      <c r="J347" s="11">
        <v>1294706</v>
      </c>
      <c r="K347" s="11">
        <v>11010662</v>
      </c>
      <c r="L347" s="3">
        <v>23</v>
      </c>
      <c r="M347" s="3">
        <v>949</v>
      </c>
      <c r="N347" s="3">
        <v>1223526</v>
      </c>
      <c r="O347" s="2">
        <v>0.13600000000000001</v>
      </c>
      <c r="P347" s="2">
        <v>0.53799999999999992</v>
      </c>
      <c r="Q347" s="2">
        <v>1.8000000000000002E-2</v>
      </c>
      <c r="R347" s="11">
        <v>36434775</v>
      </c>
      <c r="S347" s="11">
        <v>1031935</v>
      </c>
      <c r="T347">
        <v>2018</v>
      </c>
      <c r="U347">
        <v>3</v>
      </c>
      <c r="V347">
        <f t="shared" si="30"/>
        <v>795000</v>
      </c>
      <c r="W347">
        <f t="shared" si="31"/>
        <v>18429897</v>
      </c>
      <c r="X347">
        <f t="shared" si="32"/>
        <v>17634897</v>
      </c>
      <c r="Y347">
        <f t="shared" si="33"/>
        <v>-25657345.5</v>
      </c>
      <c r="Z347">
        <f t="shared" si="34"/>
        <v>44882242.5</v>
      </c>
      <c r="AA347" t="str">
        <f t="shared" si="35"/>
        <v>Normal</v>
      </c>
      <c r="AE347" s="2"/>
      <c r="AF347" s="2"/>
    </row>
    <row r="348" spans="1:32" x14ac:dyDescent="0.35">
      <c r="A348">
        <v>347</v>
      </c>
      <c r="B348" s="1">
        <v>43187</v>
      </c>
      <c r="C348" s="9" t="s">
        <v>712</v>
      </c>
      <c r="D348" s="9" t="s">
        <v>4933</v>
      </c>
      <c r="E348" s="9" t="s">
        <v>5969</v>
      </c>
      <c r="F348" s="9" t="s">
        <v>15</v>
      </c>
      <c r="G348" s="9" t="s">
        <v>713</v>
      </c>
      <c r="H348" s="9" t="s">
        <v>275</v>
      </c>
      <c r="I348" s="11">
        <v>2000000</v>
      </c>
      <c r="J348" s="11">
        <v>4957086</v>
      </c>
      <c r="K348" s="11">
        <v>6465723</v>
      </c>
      <c r="L348" s="3">
        <v>113</v>
      </c>
      <c r="M348" s="3">
        <v>2174</v>
      </c>
      <c r="N348" s="3">
        <v>1497246</v>
      </c>
      <c r="O348" s="2">
        <v>0.32600000000000001</v>
      </c>
      <c r="P348" s="2">
        <v>0.91500000000000004</v>
      </c>
      <c r="Q348" s="2">
        <v>9.6000000000000002E-2</v>
      </c>
      <c r="R348" s="11">
        <v>16320290</v>
      </c>
      <c r="S348" s="11">
        <v>1418578</v>
      </c>
      <c r="T348">
        <v>2018</v>
      </c>
      <c r="U348">
        <v>3</v>
      </c>
      <c r="V348">
        <f t="shared" si="30"/>
        <v>800000</v>
      </c>
      <c r="W348">
        <f t="shared" si="31"/>
        <v>18429897</v>
      </c>
      <c r="X348">
        <f t="shared" si="32"/>
        <v>17629897</v>
      </c>
      <c r="Y348">
        <f t="shared" si="33"/>
        <v>-25644845.5</v>
      </c>
      <c r="Z348">
        <f t="shared" si="34"/>
        <v>44874742.5</v>
      </c>
      <c r="AA348" t="str">
        <f t="shared" si="35"/>
        <v>Normal</v>
      </c>
      <c r="AE348" s="2"/>
      <c r="AF348" s="2"/>
    </row>
    <row r="349" spans="1:32" x14ac:dyDescent="0.35">
      <c r="A349">
        <v>348</v>
      </c>
      <c r="B349" s="1">
        <v>43186</v>
      </c>
      <c r="C349" s="9" t="s">
        <v>714</v>
      </c>
      <c r="D349" s="9" t="s">
        <v>4992</v>
      </c>
      <c r="E349" s="9" t="s">
        <v>5970</v>
      </c>
      <c r="F349" s="9" t="s">
        <v>94</v>
      </c>
      <c r="G349" s="9" t="s">
        <v>715</v>
      </c>
      <c r="H349" s="9" t="s">
        <v>275</v>
      </c>
      <c r="I349" s="11">
        <v>535000</v>
      </c>
      <c r="J349" s="11">
        <v>4681496</v>
      </c>
      <c r="K349" s="11">
        <v>6537567</v>
      </c>
      <c r="L349" s="3">
        <v>105</v>
      </c>
      <c r="M349" s="3">
        <v>2735</v>
      </c>
      <c r="N349" s="3">
        <v>1071614</v>
      </c>
      <c r="O349" s="2">
        <v>0.26100000000000001</v>
      </c>
      <c r="P349" s="2">
        <v>0.23300000000000001</v>
      </c>
      <c r="Q349" s="2">
        <v>0.24399999999999999</v>
      </c>
      <c r="R349" s="11">
        <v>356915451</v>
      </c>
      <c r="S349" s="11">
        <v>441795</v>
      </c>
      <c r="T349">
        <v>2018</v>
      </c>
      <c r="U349">
        <v>3</v>
      </c>
      <c r="V349">
        <f t="shared" si="30"/>
        <v>800000</v>
      </c>
      <c r="W349">
        <f t="shared" si="31"/>
        <v>18429897</v>
      </c>
      <c r="X349">
        <f t="shared" si="32"/>
        <v>17629897</v>
      </c>
      <c r="Y349">
        <f t="shared" si="33"/>
        <v>-25644845.5</v>
      </c>
      <c r="Z349">
        <f t="shared" si="34"/>
        <v>44874742.5</v>
      </c>
      <c r="AA349" t="str">
        <f t="shared" si="35"/>
        <v>Normal</v>
      </c>
      <c r="AE349" s="2"/>
      <c r="AF349" s="2"/>
    </row>
    <row r="350" spans="1:32" x14ac:dyDescent="0.35">
      <c r="A350">
        <v>349</v>
      </c>
      <c r="B350" s="1">
        <v>43186</v>
      </c>
      <c r="C350" s="9" t="s">
        <v>325</v>
      </c>
      <c r="D350" s="9" t="s">
        <v>4930</v>
      </c>
      <c r="E350" s="9" t="s">
        <v>5971</v>
      </c>
      <c r="F350" s="9" t="s">
        <v>15</v>
      </c>
      <c r="G350" s="9" t="s">
        <v>716</v>
      </c>
      <c r="H350" s="9" t="s">
        <v>105</v>
      </c>
      <c r="I350" s="11">
        <v>3000000</v>
      </c>
      <c r="J350" s="11">
        <v>919895</v>
      </c>
      <c r="K350" s="11">
        <v>14863596</v>
      </c>
      <c r="L350" s="3">
        <v>318</v>
      </c>
      <c r="M350" s="3">
        <v>690</v>
      </c>
      <c r="N350" s="3">
        <v>941666</v>
      </c>
      <c r="O350" s="2">
        <v>-0.254</v>
      </c>
      <c r="P350" s="2">
        <v>0.52100000000000002</v>
      </c>
      <c r="Q350" s="2">
        <v>-6.2E-2</v>
      </c>
      <c r="R350" s="11">
        <v>28313662</v>
      </c>
      <c r="S350" s="11">
        <v>1608422</v>
      </c>
      <c r="T350">
        <v>2018</v>
      </c>
      <c r="U350">
        <v>3</v>
      </c>
      <c r="V350">
        <f t="shared" si="30"/>
        <v>800000</v>
      </c>
      <c r="W350">
        <f t="shared" si="31"/>
        <v>18429897</v>
      </c>
      <c r="X350">
        <f t="shared" si="32"/>
        <v>17629897</v>
      </c>
      <c r="Y350">
        <f t="shared" si="33"/>
        <v>-25644845.5</v>
      </c>
      <c r="Z350">
        <f t="shared" si="34"/>
        <v>44874742.5</v>
      </c>
      <c r="AA350" t="str">
        <f t="shared" si="35"/>
        <v>Normal</v>
      </c>
      <c r="AE350" s="2"/>
      <c r="AF350" s="2"/>
    </row>
    <row r="351" spans="1:32" x14ac:dyDescent="0.35">
      <c r="A351">
        <v>350</v>
      </c>
      <c r="B351" s="1">
        <v>43188</v>
      </c>
      <c r="C351" s="9" t="s">
        <v>717</v>
      </c>
      <c r="D351" s="9" t="s">
        <v>4988</v>
      </c>
      <c r="E351" s="9" t="s">
        <v>5972</v>
      </c>
      <c r="F351" s="9" t="s">
        <v>31</v>
      </c>
      <c r="G351" s="9" t="s">
        <v>718</v>
      </c>
      <c r="H351" s="9" t="s">
        <v>275</v>
      </c>
      <c r="I351" s="11">
        <v>18429897</v>
      </c>
      <c r="J351" s="11">
        <v>839746</v>
      </c>
      <c r="K351" s="11">
        <v>9151512</v>
      </c>
      <c r="L351" s="3">
        <v>124</v>
      </c>
      <c r="M351" s="3">
        <v>3195</v>
      </c>
      <c r="N351" s="3">
        <v>1091311</v>
      </c>
      <c r="O351" s="2">
        <v>-0.2</v>
      </c>
      <c r="P351" s="2">
        <v>0.78</v>
      </c>
      <c r="Q351" s="2">
        <v>0.36749999999999999</v>
      </c>
      <c r="R351" s="11">
        <v>439458600</v>
      </c>
      <c r="S351" s="11">
        <v>1021786</v>
      </c>
      <c r="T351">
        <v>2018</v>
      </c>
      <c r="U351">
        <v>3</v>
      </c>
      <c r="V351">
        <f t="shared" si="30"/>
        <v>800000</v>
      </c>
      <c r="W351">
        <f t="shared" si="31"/>
        <v>18429897</v>
      </c>
      <c r="X351">
        <f t="shared" si="32"/>
        <v>17629897</v>
      </c>
      <c r="Y351">
        <f t="shared" si="33"/>
        <v>-25644845.5</v>
      </c>
      <c r="Z351">
        <f t="shared" si="34"/>
        <v>44874742.5</v>
      </c>
      <c r="AA351" t="str">
        <f t="shared" si="35"/>
        <v>Normal</v>
      </c>
      <c r="AE351" s="2"/>
      <c r="AF351" s="2"/>
    </row>
    <row r="352" spans="1:32" x14ac:dyDescent="0.35">
      <c r="A352">
        <v>351</v>
      </c>
      <c r="B352" s="1">
        <v>43132</v>
      </c>
      <c r="C352" s="9" t="s">
        <v>719</v>
      </c>
      <c r="D352" s="9" t="s">
        <v>4988</v>
      </c>
      <c r="E352" s="9" t="s">
        <v>5973</v>
      </c>
      <c r="F352" s="9" t="s">
        <v>15</v>
      </c>
      <c r="G352" s="9" t="s">
        <v>720</v>
      </c>
      <c r="H352" s="9" t="s">
        <v>105</v>
      </c>
      <c r="I352" s="11">
        <v>200000000</v>
      </c>
      <c r="J352" s="11">
        <v>2675121</v>
      </c>
      <c r="K352" s="11">
        <v>2219148</v>
      </c>
      <c r="L352" s="3">
        <v>198</v>
      </c>
      <c r="M352" s="3">
        <v>3095</v>
      </c>
      <c r="N352" s="3">
        <v>1689974</v>
      </c>
      <c r="O352" s="2">
        <v>4.7E-2</v>
      </c>
      <c r="P352" s="2">
        <v>1.1909999999999998</v>
      </c>
      <c r="Q352" s="2">
        <v>-1.4999999999999999E-2</v>
      </c>
      <c r="R352" s="11">
        <v>109922595</v>
      </c>
      <c r="S352" s="11">
        <v>1008193.5</v>
      </c>
      <c r="T352">
        <v>2018</v>
      </c>
      <c r="U352">
        <v>2</v>
      </c>
      <c r="V352">
        <f t="shared" si="30"/>
        <v>800000</v>
      </c>
      <c r="W352">
        <f t="shared" si="31"/>
        <v>18429897</v>
      </c>
      <c r="X352">
        <f t="shared" si="32"/>
        <v>17629897</v>
      </c>
      <c r="Y352">
        <f t="shared" si="33"/>
        <v>-25644845.5</v>
      </c>
      <c r="Z352">
        <f t="shared" si="34"/>
        <v>44874742.5</v>
      </c>
      <c r="AA352" t="str">
        <f t="shared" si="35"/>
        <v>Outlier</v>
      </c>
      <c r="AE352" s="2"/>
      <c r="AF352" s="2"/>
    </row>
    <row r="353" spans="1:32" x14ac:dyDescent="0.35">
      <c r="A353">
        <v>352</v>
      </c>
      <c r="B353" s="1">
        <v>43132</v>
      </c>
      <c r="C353" s="9" t="s">
        <v>38</v>
      </c>
      <c r="D353" s="9" t="s">
        <v>4993</v>
      </c>
      <c r="E353" s="9" t="s">
        <v>5974</v>
      </c>
      <c r="F353" s="9" t="s">
        <v>151</v>
      </c>
      <c r="G353" s="9" t="s">
        <v>39</v>
      </c>
      <c r="H353" s="9" t="s">
        <v>105</v>
      </c>
      <c r="I353" s="11">
        <v>200000000</v>
      </c>
      <c r="J353" s="11">
        <v>243654</v>
      </c>
      <c r="K353" s="11">
        <v>13585184</v>
      </c>
      <c r="L353" s="3">
        <v>249</v>
      </c>
      <c r="M353" s="3">
        <v>4212</v>
      </c>
      <c r="N353" s="3">
        <v>32652</v>
      </c>
      <c r="O353" s="2">
        <v>-0.14599999999999999</v>
      </c>
      <c r="P353" s="2">
        <v>1.1679999999999999</v>
      </c>
      <c r="Q353" s="2">
        <v>-8.4000000000000005E-2</v>
      </c>
      <c r="R353" s="11">
        <v>257747484</v>
      </c>
      <c r="S353" s="11">
        <v>1808466</v>
      </c>
      <c r="T353">
        <v>2018</v>
      </c>
      <c r="U353">
        <v>2</v>
      </c>
      <c r="V353">
        <f t="shared" si="30"/>
        <v>800000</v>
      </c>
      <c r="W353">
        <f t="shared" si="31"/>
        <v>18429897</v>
      </c>
      <c r="X353">
        <f t="shared" si="32"/>
        <v>17629897</v>
      </c>
      <c r="Y353">
        <f t="shared" si="33"/>
        <v>-25644845.5</v>
      </c>
      <c r="Z353">
        <f t="shared" si="34"/>
        <v>44874742.5</v>
      </c>
      <c r="AA353" t="str">
        <f t="shared" si="35"/>
        <v>Outlier</v>
      </c>
      <c r="AE353" s="2"/>
      <c r="AF353" s="2"/>
    </row>
    <row r="354" spans="1:32" x14ac:dyDescent="0.35">
      <c r="A354">
        <v>353</v>
      </c>
      <c r="B354" s="1">
        <v>43136</v>
      </c>
      <c r="C354" s="9" t="s">
        <v>224</v>
      </c>
      <c r="D354" s="9" t="s">
        <v>4994</v>
      </c>
      <c r="E354" s="9" t="s">
        <v>5975</v>
      </c>
      <c r="F354" s="9" t="s">
        <v>15</v>
      </c>
      <c r="G354" s="9" t="s">
        <v>721</v>
      </c>
      <c r="H354" s="9" t="s">
        <v>105</v>
      </c>
      <c r="I354" s="11">
        <v>4300000</v>
      </c>
      <c r="J354" s="11">
        <v>1508013</v>
      </c>
      <c r="K354" s="11">
        <v>2847428</v>
      </c>
      <c r="L354" s="3">
        <v>373</v>
      </c>
      <c r="M354" s="3">
        <v>309</v>
      </c>
      <c r="N354" s="3">
        <v>201727</v>
      </c>
      <c r="O354" s="2">
        <v>0.31900000000000001</v>
      </c>
      <c r="P354" s="2">
        <v>0.82599999999999996</v>
      </c>
      <c r="Q354" s="2">
        <v>0.36299999999999999</v>
      </c>
      <c r="R354" s="11">
        <v>438641136</v>
      </c>
      <c r="S354" s="11">
        <v>1008193.5</v>
      </c>
      <c r="T354">
        <v>2018</v>
      </c>
      <c r="U354">
        <v>2</v>
      </c>
      <c r="V354">
        <f t="shared" si="30"/>
        <v>797500</v>
      </c>
      <c r="W354">
        <f t="shared" si="31"/>
        <v>18429897</v>
      </c>
      <c r="X354">
        <f t="shared" si="32"/>
        <v>17632397</v>
      </c>
      <c r="Y354">
        <f t="shared" si="33"/>
        <v>-25651095.5</v>
      </c>
      <c r="Z354">
        <f t="shared" si="34"/>
        <v>44878492.5</v>
      </c>
      <c r="AA354" t="str">
        <f t="shared" si="35"/>
        <v>Normal</v>
      </c>
      <c r="AE354" s="2"/>
      <c r="AF354" s="2"/>
    </row>
    <row r="355" spans="1:32" x14ac:dyDescent="0.35">
      <c r="A355">
        <v>354</v>
      </c>
      <c r="B355" s="1">
        <v>43136</v>
      </c>
      <c r="C355" s="9" t="s">
        <v>722</v>
      </c>
      <c r="D355" s="9" t="s">
        <v>2539</v>
      </c>
      <c r="E355" s="9" t="s">
        <v>5976</v>
      </c>
      <c r="F355" s="9" t="s">
        <v>66</v>
      </c>
      <c r="G355" s="9" t="s">
        <v>414</v>
      </c>
      <c r="H355" s="9" t="s">
        <v>105</v>
      </c>
      <c r="I355" s="11">
        <v>21000000</v>
      </c>
      <c r="J355" s="11">
        <v>2186783</v>
      </c>
      <c r="K355" s="11">
        <v>19739347</v>
      </c>
      <c r="L355" s="3">
        <v>261</v>
      </c>
      <c r="M355" s="3">
        <v>1167</v>
      </c>
      <c r="N355" s="3">
        <v>949370</v>
      </c>
      <c r="O355" s="2">
        <v>0.40799999999999997</v>
      </c>
      <c r="P355" s="2">
        <v>0.54</v>
      </c>
      <c r="Q355" s="2">
        <v>0.193</v>
      </c>
      <c r="R355" s="11">
        <v>97651199</v>
      </c>
      <c r="S355" s="11">
        <v>1074857</v>
      </c>
      <c r="T355">
        <v>2018</v>
      </c>
      <c r="U355">
        <v>2</v>
      </c>
      <c r="V355">
        <f t="shared" si="30"/>
        <v>795000</v>
      </c>
      <c r="W355">
        <f t="shared" si="31"/>
        <v>18429897</v>
      </c>
      <c r="X355">
        <f t="shared" si="32"/>
        <v>17634897</v>
      </c>
      <c r="Y355">
        <f t="shared" si="33"/>
        <v>-25657345.5</v>
      </c>
      <c r="Z355">
        <f t="shared" si="34"/>
        <v>44882242.5</v>
      </c>
      <c r="AA355" t="str">
        <f t="shared" si="35"/>
        <v>Normal</v>
      </c>
      <c r="AE355" s="2"/>
      <c r="AF355" s="2"/>
    </row>
    <row r="356" spans="1:32" x14ac:dyDescent="0.35">
      <c r="A356">
        <v>355</v>
      </c>
      <c r="B356" s="1">
        <v>43136</v>
      </c>
      <c r="C356" s="9" t="s">
        <v>723</v>
      </c>
      <c r="D356" s="9" t="s">
        <v>4988</v>
      </c>
      <c r="E356" s="9" t="s">
        <v>5977</v>
      </c>
      <c r="F356" s="9" t="s">
        <v>151</v>
      </c>
      <c r="G356" s="9" t="s">
        <v>724</v>
      </c>
      <c r="H356" s="9" t="s">
        <v>105</v>
      </c>
      <c r="I356" s="11">
        <v>2000000</v>
      </c>
      <c r="J356" s="11">
        <v>4847479</v>
      </c>
      <c r="K356" s="11">
        <v>8404987</v>
      </c>
      <c r="L356" s="3">
        <v>17</v>
      </c>
      <c r="M356" s="3">
        <v>2173</v>
      </c>
      <c r="N356" s="3">
        <v>1162239</v>
      </c>
      <c r="O356" s="2">
        <v>0.11800000000000001</v>
      </c>
      <c r="P356" s="2">
        <v>0.75</v>
      </c>
      <c r="Q356" s="2">
        <v>0.36749999999999999</v>
      </c>
      <c r="R356" s="11">
        <v>53157947</v>
      </c>
      <c r="S356" s="11">
        <v>87749</v>
      </c>
      <c r="T356">
        <v>2018</v>
      </c>
      <c r="U356">
        <v>2</v>
      </c>
      <c r="V356">
        <f t="shared" si="30"/>
        <v>792500</v>
      </c>
      <c r="W356">
        <f t="shared" si="31"/>
        <v>18429897</v>
      </c>
      <c r="X356">
        <f t="shared" si="32"/>
        <v>17637397</v>
      </c>
      <c r="Y356">
        <f t="shared" si="33"/>
        <v>-25663595.5</v>
      </c>
      <c r="Z356">
        <f t="shared" si="34"/>
        <v>44885992.5</v>
      </c>
      <c r="AA356" t="str">
        <f t="shared" si="35"/>
        <v>Normal</v>
      </c>
      <c r="AE356" s="2"/>
      <c r="AF356" s="2"/>
    </row>
    <row r="357" spans="1:32" x14ac:dyDescent="0.35">
      <c r="A357">
        <v>356</v>
      </c>
      <c r="B357" s="1">
        <v>43137</v>
      </c>
      <c r="C357" s="9" t="s">
        <v>725</v>
      </c>
      <c r="D357" s="9" t="s">
        <v>4988</v>
      </c>
      <c r="E357" s="9" t="s">
        <v>5978</v>
      </c>
      <c r="F357" s="9" t="s">
        <v>408</v>
      </c>
      <c r="G357" s="9" t="s">
        <v>726</v>
      </c>
      <c r="H357" s="9" t="s">
        <v>86</v>
      </c>
      <c r="I357" s="11">
        <v>18429897</v>
      </c>
      <c r="J357" s="11">
        <v>4962030</v>
      </c>
      <c r="K357" s="11">
        <v>6905751</v>
      </c>
      <c r="L357" s="3">
        <v>344</v>
      </c>
      <c r="M357" s="3">
        <v>4405</v>
      </c>
      <c r="N357" s="3">
        <v>1018455</v>
      </c>
      <c r="O357" s="2">
        <v>0.18</v>
      </c>
      <c r="P357" s="2">
        <v>1.1340000000000001</v>
      </c>
      <c r="Q357" s="2">
        <v>-0.13600000000000001</v>
      </c>
      <c r="R357" s="11">
        <v>193595267</v>
      </c>
      <c r="S357" s="11">
        <v>1174282</v>
      </c>
      <c r="T357">
        <v>2018</v>
      </c>
      <c r="U357">
        <v>2</v>
      </c>
      <c r="V357">
        <f t="shared" si="30"/>
        <v>790000</v>
      </c>
      <c r="W357">
        <f t="shared" si="31"/>
        <v>18429897</v>
      </c>
      <c r="X357">
        <f t="shared" si="32"/>
        <v>17639897</v>
      </c>
      <c r="Y357">
        <f t="shared" si="33"/>
        <v>-25669845.5</v>
      </c>
      <c r="Z357">
        <f t="shared" si="34"/>
        <v>44889742.5</v>
      </c>
      <c r="AA357" t="str">
        <f t="shared" si="35"/>
        <v>Normal</v>
      </c>
      <c r="AE357" s="2"/>
      <c r="AF357" s="2"/>
    </row>
    <row r="358" spans="1:32" x14ac:dyDescent="0.35">
      <c r="A358">
        <v>357</v>
      </c>
      <c r="B358" s="1">
        <v>43137</v>
      </c>
      <c r="C358" s="9" t="s">
        <v>727</v>
      </c>
      <c r="D358" s="9" t="s">
        <v>2539</v>
      </c>
      <c r="E358" s="9" t="s">
        <v>5979</v>
      </c>
      <c r="F358" s="9" t="s">
        <v>15</v>
      </c>
      <c r="G358" s="9" t="s">
        <v>728</v>
      </c>
      <c r="H358" s="9" t="s">
        <v>105</v>
      </c>
      <c r="I358" s="11">
        <v>3100000</v>
      </c>
      <c r="J358" s="11">
        <v>774668</v>
      </c>
      <c r="K358" s="11">
        <v>1198992</v>
      </c>
      <c r="L358" s="3">
        <v>216</v>
      </c>
      <c r="M358" s="3">
        <v>1226</v>
      </c>
      <c r="N358" s="3">
        <v>1018455</v>
      </c>
      <c r="O358" s="2">
        <v>0.11800000000000001</v>
      </c>
      <c r="P358" s="2">
        <v>0.86699999999999999</v>
      </c>
      <c r="Q358" s="2">
        <v>3.7999999999999999E-2</v>
      </c>
      <c r="R358" s="11">
        <v>412792397</v>
      </c>
      <c r="S358" s="11">
        <v>109889</v>
      </c>
      <c r="T358">
        <v>2018</v>
      </c>
      <c r="U358">
        <v>2</v>
      </c>
      <c r="V358">
        <f t="shared" si="30"/>
        <v>788750</v>
      </c>
      <c r="W358">
        <f t="shared" si="31"/>
        <v>18429897</v>
      </c>
      <c r="X358">
        <f t="shared" si="32"/>
        <v>17641147</v>
      </c>
      <c r="Y358">
        <f t="shared" si="33"/>
        <v>-25672970.5</v>
      </c>
      <c r="Z358">
        <f t="shared" si="34"/>
        <v>44891617.5</v>
      </c>
      <c r="AA358" t="str">
        <f t="shared" si="35"/>
        <v>Normal</v>
      </c>
      <c r="AE358" s="2"/>
      <c r="AF358" s="2"/>
    </row>
    <row r="359" spans="1:32" x14ac:dyDescent="0.35">
      <c r="A359">
        <v>358</v>
      </c>
      <c r="B359" s="1">
        <v>43138</v>
      </c>
      <c r="C359" s="9" t="s">
        <v>729</v>
      </c>
      <c r="D359" s="9" t="s">
        <v>4993</v>
      </c>
      <c r="E359" s="9" t="s">
        <v>5584</v>
      </c>
      <c r="F359" s="9" t="s">
        <v>15</v>
      </c>
      <c r="G359" s="9" t="s">
        <v>149</v>
      </c>
      <c r="H359" s="9" t="s">
        <v>105</v>
      </c>
      <c r="I359" s="11">
        <v>100000000</v>
      </c>
      <c r="J359" s="11">
        <v>4460552</v>
      </c>
      <c r="K359" s="11">
        <v>18959196</v>
      </c>
      <c r="L359" s="3">
        <v>61</v>
      </c>
      <c r="M359" s="3">
        <v>4862</v>
      </c>
      <c r="N359" s="3">
        <v>49043</v>
      </c>
      <c r="O359" s="2">
        <v>0.14000000000000001</v>
      </c>
      <c r="P359" s="2">
        <v>0.34899999999999998</v>
      </c>
      <c r="Q359" s="2">
        <v>0.25</v>
      </c>
      <c r="R359" s="11">
        <v>133775397</v>
      </c>
      <c r="S359" s="11">
        <v>1732573</v>
      </c>
      <c r="T359">
        <v>2018</v>
      </c>
      <c r="U359">
        <v>2</v>
      </c>
      <c r="V359">
        <f t="shared" si="30"/>
        <v>787500</v>
      </c>
      <c r="W359">
        <f t="shared" si="31"/>
        <v>18429897</v>
      </c>
      <c r="X359">
        <f t="shared" si="32"/>
        <v>17642397</v>
      </c>
      <c r="Y359">
        <f t="shared" si="33"/>
        <v>-25676095.5</v>
      </c>
      <c r="Z359">
        <f t="shared" si="34"/>
        <v>44893492.5</v>
      </c>
      <c r="AA359" t="str">
        <f t="shared" si="35"/>
        <v>Outlier</v>
      </c>
      <c r="AE359" s="2"/>
      <c r="AF359" s="2"/>
    </row>
    <row r="360" spans="1:32" x14ac:dyDescent="0.35">
      <c r="A360">
        <v>359</v>
      </c>
      <c r="B360" s="1">
        <v>43139</v>
      </c>
      <c r="C360" s="9" t="s">
        <v>730</v>
      </c>
      <c r="D360" s="9" t="s">
        <v>2539</v>
      </c>
      <c r="E360" s="9" t="s">
        <v>5980</v>
      </c>
      <c r="F360" s="9" t="s">
        <v>41</v>
      </c>
      <c r="G360" s="9" t="s">
        <v>731</v>
      </c>
      <c r="H360" s="9" t="s">
        <v>275</v>
      </c>
      <c r="I360" s="11">
        <v>100000000</v>
      </c>
      <c r="J360" s="11">
        <v>472825</v>
      </c>
      <c r="K360" s="11">
        <v>10788625</v>
      </c>
      <c r="L360" s="3">
        <v>327</v>
      </c>
      <c r="M360" s="3">
        <v>4783</v>
      </c>
      <c r="N360" s="3">
        <v>492117</v>
      </c>
      <c r="O360" s="2">
        <v>0.34399999999999997</v>
      </c>
      <c r="P360" s="2">
        <v>1.1719999999999999</v>
      </c>
      <c r="Q360" s="2">
        <v>0.193</v>
      </c>
      <c r="R360" s="11">
        <v>228883067</v>
      </c>
      <c r="S360" s="11">
        <v>238163</v>
      </c>
      <c r="T360">
        <v>2018</v>
      </c>
      <c r="U360">
        <v>2</v>
      </c>
      <c r="V360">
        <f t="shared" si="30"/>
        <v>786250</v>
      </c>
      <c r="W360">
        <f t="shared" si="31"/>
        <v>18429897</v>
      </c>
      <c r="X360">
        <f t="shared" si="32"/>
        <v>17643647</v>
      </c>
      <c r="Y360">
        <f t="shared" si="33"/>
        <v>-25679220.5</v>
      </c>
      <c r="Z360">
        <f t="shared" si="34"/>
        <v>44895367.5</v>
      </c>
      <c r="AA360" t="str">
        <f t="shared" si="35"/>
        <v>Outlier</v>
      </c>
      <c r="AE360" s="2"/>
      <c r="AF360" s="2"/>
    </row>
    <row r="361" spans="1:32" x14ac:dyDescent="0.35">
      <c r="A361">
        <v>360</v>
      </c>
      <c r="B361" s="1">
        <v>43139</v>
      </c>
      <c r="C361" s="9" t="s">
        <v>732</v>
      </c>
      <c r="D361" s="9" t="s">
        <v>4988</v>
      </c>
      <c r="E361" s="9" t="s">
        <v>5981</v>
      </c>
      <c r="F361" s="9" t="s">
        <v>41</v>
      </c>
      <c r="G361" s="9" t="s">
        <v>733</v>
      </c>
      <c r="H361" s="9" t="s">
        <v>105</v>
      </c>
      <c r="I361" s="11">
        <v>50000000</v>
      </c>
      <c r="J361" s="11">
        <v>3748067</v>
      </c>
      <c r="K361" s="11">
        <v>18047726</v>
      </c>
      <c r="L361" s="3">
        <v>138</v>
      </c>
      <c r="M361" s="3">
        <v>519</v>
      </c>
      <c r="N361" s="3">
        <v>919825</v>
      </c>
      <c r="O361" s="2">
        <v>-0.23300000000000001</v>
      </c>
      <c r="P361" s="2">
        <v>1.102E-2</v>
      </c>
      <c r="Q361" s="2">
        <v>0.36749999999999999</v>
      </c>
      <c r="R361" s="11">
        <v>324409035</v>
      </c>
      <c r="S361" s="11">
        <v>1500959</v>
      </c>
      <c r="T361">
        <v>2018</v>
      </c>
      <c r="U361">
        <v>2</v>
      </c>
      <c r="V361">
        <f t="shared" si="30"/>
        <v>785000</v>
      </c>
      <c r="W361">
        <f t="shared" si="31"/>
        <v>18429897</v>
      </c>
      <c r="X361">
        <f t="shared" si="32"/>
        <v>17644897</v>
      </c>
      <c r="Y361">
        <f t="shared" si="33"/>
        <v>-25682345.5</v>
      </c>
      <c r="Z361">
        <f t="shared" si="34"/>
        <v>44897242.5</v>
      </c>
      <c r="AA361" t="str">
        <f t="shared" si="35"/>
        <v>Outlier</v>
      </c>
      <c r="AE361" s="2"/>
      <c r="AF361" s="2"/>
    </row>
    <row r="362" spans="1:32" x14ac:dyDescent="0.35">
      <c r="A362">
        <v>361</v>
      </c>
      <c r="B362" s="1">
        <v>43140</v>
      </c>
      <c r="C362" s="9" t="s">
        <v>332</v>
      </c>
      <c r="D362" s="9" t="s">
        <v>2539</v>
      </c>
      <c r="E362" s="9" t="s">
        <v>5982</v>
      </c>
      <c r="F362" s="9" t="s">
        <v>15</v>
      </c>
      <c r="G362" s="9" t="s">
        <v>734</v>
      </c>
      <c r="H362" s="9" t="s">
        <v>105</v>
      </c>
      <c r="I362" s="11">
        <v>12000000</v>
      </c>
      <c r="J362" s="11">
        <v>4231300</v>
      </c>
      <c r="K362" s="11">
        <v>19122767</v>
      </c>
      <c r="L362" s="3">
        <v>233</v>
      </c>
      <c r="M362" s="3">
        <v>1848</v>
      </c>
      <c r="N362" s="3">
        <v>99337</v>
      </c>
      <c r="O362" s="2">
        <v>0.217</v>
      </c>
      <c r="P362" s="2">
        <v>0.41700000000000004</v>
      </c>
      <c r="Q362" s="2">
        <v>0.155</v>
      </c>
      <c r="R362" s="11">
        <v>322955439</v>
      </c>
      <c r="S362" s="11">
        <v>1132314</v>
      </c>
      <c r="T362">
        <v>2018</v>
      </c>
      <c r="U362">
        <v>2</v>
      </c>
      <c r="V362">
        <f t="shared" si="30"/>
        <v>784500</v>
      </c>
      <c r="W362">
        <f t="shared" si="31"/>
        <v>18429897</v>
      </c>
      <c r="X362">
        <f t="shared" si="32"/>
        <v>17645397</v>
      </c>
      <c r="Y362">
        <f t="shared" si="33"/>
        <v>-25683595.5</v>
      </c>
      <c r="Z362">
        <f t="shared" si="34"/>
        <v>44897992.5</v>
      </c>
      <c r="AA362" t="str">
        <f t="shared" si="35"/>
        <v>Normal</v>
      </c>
      <c r="AE362" s="2"/>
      <c r="AF362" s="2"/>
    </row>
    <row r="363" spans="1:32" x14ac:dyDescent="0.35">
      <c r="A363">
        <v>362</v>
      </c>
      <c r="B363" s="1">
        <v>43140</v>
      </c>
      <c r="C363" s="9" t="s">
        <v>735</v>
      </c>
      <c r="D363" s="9" t="s">
        <v>2539</v>
      </c>
      <c r="E363" s="9" t="s">
        <v>5983</v>
      </c>
      <c r="F363" s="9" t="s">
        <v>504</v>
      </c>
      <c r="G363" s="9" t="s">
        <v>736</v>
      </c>
      <c r="H363" s="9" t="s">
        <v>105</v>
      </c>
      <c r="I363" s="11">
        <v>18429897</v>
      </c>
      <c r="J363" s="11">
        <v>2531926</v>
      </c>
      <c r="K363" s="11">
        <v>1073780</v>
      </c>
      <c r="L363" s="3">
        <v>483</v>
      </c>
      <c r="M363" s="3">
        <v>1331</v>
      </c>
      <c r="N363" s="3">
        <v>1267310</v>
      </c>
      <c r="O363" s="2">
        <v>0.122</v>
      </c>
      <c r="P363" s="2">
        <v>0.85699999999999998</v>
      </c>
      <c r="Q363" s="2">
        <v>-6.6000000000000003E-2</v>
      </c>
      <c r="R363" s="11">
        <v>417751849</v>
      </c>
      <c r="S363" s="11">
        <v>1419110</v>
      </c>
      <c r="T363">
        <v>2018</v>
      </c>
      <c r="U363">
        <v>2</v>
      </c>
      <c r="V363">
        <f t="shared" si="30"/>
        <v>784000</v>
      </c>
      <c r="W363">
        <f t="shared" si="31"/>
        <v>18429897</v>
      </c>
      <c r="X363">
        <f t="shared" si="32"/>
        <v>17645897</v>
      </c>
      <c r="Y363">
        <f t="shared" si="33"/>
        <v>-25684845.5</v>
      </c>
      <c r="Z363">
        <f t="shared" si="34"/>
        <v>44898742.5</v>
      </c>
      <c r="AA363" t="str">
        <f t="shared" si="35"/>
        <v>Normal</v>
      </c>
      <c r="AE363" s="2"/>
      <c r="AF363" s="2"/>
    </row>
    <row r="364" spans="1:32" x14ac:dyDescent="0.35">
      <c r="A364">
        <v>363</v>
      </c>
      <c r="B364" s="1">
        <v>43140</v>
      </c>
      <c r="C364" s="9" t="s">
        <v>737</v>
      </c>
      <c r="D364" s="9" t="s">
        <v>4988</v>
      </c>
      <c r="E364" s="9" t="s">
        <v>5984</v>
      </c>
      <c r="F364" s="9" t="s">
        <v>15</v>
      </c>
      <c r="G364" s="9" t="s">
        <v>738</v>
      </c>
      <c r="H364" s="9" t="s">
        <v>105</v>
      </c>
      <c r="I364" s="11">
        <v>6830000</v>
      </c>
      <c r="J364" s="11">
        <v>1132621</v>
      </c>
      <c r="K364" s="11">
        <v>7677618</v>
      </c>
      <c r="L364" s="3">
        <v>122</v>
      </c>
      <c r="M364" s="3">
        <v>2471</v>
      </c>
      <c r="N364" s="3">
        <v>1070444</v>
      </c>
      <c r="O364" s="2">
        <v>-2.3E-2</v>
      </c>
      <c r="P364" s="2">
        <v>1.0780000000000001</v>
      </c>
      <c r="Q364" s="2">
        <v>-0.9</v>
      </c>
      <c r="R364" s="11">
        <v>250264963</v>
      </c>
      <c r="S364" s="11">
        <v>1277057</v>
      </c>
      <c r="T364">
        <v>2018</v>
      </c>
      <c r="U364">
        <v>2</v>
      </c>
      <c r="V364">
        <f t="shared" si="30"/>
        <v>783500</v>
      </c>
      <c r="W364">
        <f t="shared" si="31"/>
        <v>18429897</v>
      </c>
      <c r="X364">
        <f t="shared" si="32"/>
        <v>17646397</v>
      </c>
      <c r="Y364">
        <f t="shared" si="33"/>
        <v>-25686095.5</v>
      </c>
      <c r="Z364">
        <f t="shared" si="34"/>
        <v>44899492.5</v>
      </c>
      <c r="AA364" t="str">
        <f t="shared" si="35"/>
        <v>Normal</v>
      </c>
      <c r="AE364" s="2"/>
      <c r="AF364" s="2"/>
    </row>
    <row r="365" spans="1:32" x14ac:dyDescent="0.35">
      <c r="A365">
        <v>364</v>
      </c>
      <c r="B365" s="1">
        <v>43140</v>
      </c>
      <c r="C365" s="9" t="s">
        <v>739</v>
      </c>
      <c r="D365" s="9" t="s">
        <v>4930</v>
      </c>
      <c r="E365" s="9" t="s">
        <v>5985</v>
      </c>
      <c r="F365" s="9" t="s">
        <v>31</v>
      </c>
      <c r="G365" s="9" t="s">
        <v>740</v>
      </c>
      <c r="H365" s="9" t="s">
        <v>105</v>
      </c>
      <c r="I365" s="11">
        <v>18429897</v>
      </c>
      <c r="J365" s="11">
        <v>4469364</v>
      </c>
      <c r="K365" s="11">
        <v>16782403</v>
      </c>
      <c r="L365" s="3">
        <v>443</v>
      </c>
      <c r="M365" s="3">
        <v>4625</v>
      </c>
      <c r="N365" s="3">
        <v>1130704</v>
      </c>
      <c r="O365" s="2">
        <v>1.9E-2</v>
      </c>
      <c r="P365" s="2">
        <v>0.50800000000000001</v>
      </c>
      <c r="Q365" s="2">
        <v>-0.114</v>
      </c>
      <c r="R365" s="11">
        <v>485839864</v>
      </c>
      <c r="S365" s="11">
        <v>658051</v>
      </c>
      <c r="T365">
        <v>2018</v>
      </c>
      <c r="U365">
        <v>2</v>
      </c>
      <c r="V365">
        <f t="shared" si="30"/>
        <v>783000</v>
      </c>
      <c r="W365">
        <f t="shared" si="31"/>
        <v>18429897</v>
      </c>
      <c r="X365">
        <f t="shared" si="32"/>
        <v>17646897</v>
      </c>
      <c r="Y365">
        <f t="shared" si="33"/>
        <v>-25687345.5</v>
      </c>
      <c r="Z365">
        <f t="shared" si="34"/>
        <v>44900242.5</v>
      </c>
      <c r="AA365" t="str">
        <f t="shared" si="35"/>
        <v>Normal</v>
      </c>
      <c r="AE365" s="2"/>
      <c r="AF365" s="2"/>
    </row>
    <row r="366" spans="1:32" x14ac:dyDescent="0.35">
      <c r="A366">
        <v>365</v>
      </c>
      <c r="B366" s="1">
        <v>43143</v>
      </c>
      <c r="C366" s="9" t="s">
        <v>741</v>
      </c>
      <c r="D366" s="9" t="s">
        <v>4933</v>
      </c>
      <c r="E366" s="9" t="s">
        <v>1111</v>
      </c>
      <c r="F366" s="9" t="s">
        <v>15</v>
      </c>
      <c r="G366" s="9" t="s">
        <v>742</v>
      </c>
      <c r="H366" s="9" t="s">
        <v>105</v>
      </c>
      <c r="I366" s="11">
        <v>87000000</v>
      </c>
      <c r="J366" s="11">
        <v>597584</v>
      </c>
      <c r="K366" s="11">
        <v>9963822</v>
      </c>
      <c r="L366" s="3">
        <v>234</v>
      </c>
      <c r="M366" s="3">
        <v>1908</v>
      </c>
      <c r="N366" s="3">
        <v>1027402</v>
      </c>
      <c r="O366" s="2">
        <v>0.48599999999999999</v>
      </c>
      <c r="P366" s="2">
        <v>1.1240000000000001</v>
      </c>
      <c r="Q366" s="2">
        <v>-6.2E-2</v>
      </c>
      <c r="R366" s="11">
        <v>488423044</v>
      </c>
      <c r="S366" s="11">
        <v>1008193.5</v>
      </c>
      <c r="T366">
        <v>2018</v>
      </c>
      <c r="U366">
        <v>2</v>
      </c>
      <c r="V366">
        <f t="shared" si="30"/>
        <v>782250</v>
      </c>
      <c r="W366">
        <f t="shared" si="31"/>
        <v>18429897</v>
      </c>
      <c r="X366">
        <f t="shared" si="32"/>
        <v>17647647</v>
      </c>
      <c r="Y366">
        <f t="shared" si="33"/>
        <v>-25689220.5</v>
      </c>
      <c r="Z366">
        <f t="shared" si="34"/>
        <v>44901367.5</v>
      </c>
      <c r="AA366" t="str">
        <f t="shared" si="35"/>
        <v>Outlier</v>
      </c>
      <c r="AE366" s="2"/>
      <c r="AF366" s="2"/>
    </row>
    <row r="367" spans="1:32" x14ac:dyDescent="0.35">
      <c r="A367">
        <v>366</v>
      </c>
      <c r="B367" s="1">
        <v>43143</v>
      </c>
      <c r="C367" s="9" t="s">
        <v>743</v>
      </c>
      <c r="D367" s="9" t="s">
        <v>4988</v>
      </c>
      <c r="E367" s="9" t="s">
        <v>5986</v>
      </c>
      <c r="F367" s="9" t="s">
        <v>151</v>
      </c>
      <c r="G367" s="9" t="s">
        <v>744</v>
      </c>
      <c r="H367" s="9" t="s">
        <v>105</v>
      </c>
      <c r="I367" s="11">
        <v>18429897</v>
      </c>
      <c r="J367" s="11">
        <v>2603914</v>
      </c>
      <c r="K367" s="11">
        <v>10226596</v>
      </c>
      <c r="L367" s="3">
        <v>466</v>
      </c>
      <c r="M367" s="3">
        <v>2505.5</v>
      </c>
      <c r="N367" s="3">
        <v>1382806</v>
      </c>
      <c r="O367" s="2">
        <v>-0.14599999999999999</v>
      </c>
      <c r="P367" s="2">
        <v>0.38</v>
      </c>
      <c r="Q367" s="2">
        <v>0.125</v>
      </c>
      <c r="R367" s="11">
        <v>45318446</v>
      </c>
      <c r="S367" s="11">
        <v>1594800</v>
      </c>
      <c r="T367">
        <v>2018</v>
      </c>
      <c r="U367">
        <v>2</v>
      </c>
      <c r="V367">
        <f t="shared" si="30"/>
        <v>781500</v>
      </c>
      <c r="W367">
        <f t="shared" si="31"/>
        <v>18429897</v>
      </c>
      <c r="X367">
        <f t="shared" si="32"/>
        <v>17648397</v>
      </c>
      <c r="Y367">
        <f t="shared" si="33"/>
        <v>-25691095.5</v>
      </c>
      <c r="Z367">
        <f t="shared" si="34"/>
        <v>44902492.5</v>
      </c>
      <c r="AA367" t="str">
        <f t="shared" si="35"/>
        <v>Normal</v>
      </c>
      <c r="AE367" s="2"/>
      <c r="AF367" s="2"/>
    </row>
    <row r="368" spans="1:32" x14ac:dyDescent="0.35">
      <c r="A368">
        <v>367</v>
      </c>
      <c r="B368" s="1">
        <v>43143</v>
      </c>
      <c r="C368" s="9" t="s">
        <v>745</v>
      </c>
      <c r="D368" s="9" t="s">
        <v>4925</v>
      </c>
      <c r="E368" s="9" t="s">
        <v>5987</v>
      </c>
      <c r="F368" s="9" t="s">
        <v>151</v>
      </c>
      <c r="G368" s="9" t="s">
        <v>683</v>
      </c>
      <c r="H368" s="9" t="s">
        <v>59</v>
      </c>
      <c r="I368" s="11">
        <v>935089</v>
      </c>
      <c r="J368" s="11">
        <v>2358335</v>
      </c>
      <c r="K368" s="11">
        <v>11444909</v>
      </c>
      <c r="L368" s="3">
        <v>425</v>
      </c>
      <c r="M368" s="3">
        <v>729</v>
      </c>
      <c r="N368" s="3">
        <v>1307258</v>
      </c>
      <c r="O368" s="2">
        <v>8.5999999999999993E-2</v>
      </c>
      <c r="P368" s="2">
        <v>0.55700000000000005</v>
      </c>
      <c r="Q368" s="2">
        <v>-1.6E-2</v>
      </c>
      <c r="R368" s="11">
        <v>385205377</v>
      </c>
      <c r="S368" s="11">
        <v>903654</v>
      </c>
      <c r="T368">
        <v>2018</v>
      </c>
      <c r="U368">
        <v>2</v>
      </c>
      <c r="V368">
        <f t="shared" si="30"/>
        <v>780750</v>
      </c>
      <c r="W368">
        <f t="shared" si="31"/>
        <v>18429897</v>
      </c>
      <c r="X368">
        <f t="shared" si="32"/>
        <v>17649147</v>
      </c>
      <c r="Y368">
        <f t="shared" si="33"/>
        <v>-25692970.5</v>
      </c>
      <c r="Z368">
        <f t="shared" si="34"/>
        <v>44903617.5</v>
      </c>
      <c r="AA368" t="str">
        <f t="shared" si="35"/>
        <v>Normal</v>
      </c>
      <c r="AE368" s="2"/>
      <c r="AF368" s="2"/>
    </row>
    <row r="369" spans="1:32" x14ac:dyDescent="0.35">
      <c r="A369">
        <v>368</v>
      </c>
      <c r="B369" s="1">
        <v>43144</v>
      </c>
      <c r="C369" s="9" t="s">
        <v>746</v>
      </c>
      <c r="D369" s="9" t="s">
        <v>4993</v>
      </c>
      <c r="E369" s="9" t="s">
        <v>5584</v>
      </c>
      <c r="F369" s="9" t="s">
        <v>31</v>
      </c>
      <c r="G369" s="9" t="s">
        <v>747</v>
      </c>
      <c r="H369" s="9" t="s">
        <v>275</v>
      </c>
      <c r="I369" s="11">
        <v>311200</v>
      </c>
      <c r="J369" s="11">
        <v>1593326</v>
      </c>
      <c r="K369" s="11">
        <v>14069061</v>
      </c>
      <c r="L369" s="3">
        <v>416</v>
      </c>
      <c r="M369" s="3">
        <v>2872</v>
      </c>
      <c r="N369" s="3">
        <v>1320174</v>
      </c>
      <c r="O369" s="2">
        <v>0.44600000000000001</v>
      </c>
      <c r="P369" s="2">
        <v>1.143</v>
      </c>
      <c r="Q369" s="2">
        <v>0.434</v>
      </c>
      <c r="R369" s="11">
        <v>396444413</v>
      </c>
      <c r="S369" s="11">
        <v>1726918</v>
      </c>
      <c r="T369">
        <v>2018</v>
      </c>
      <c r="U369">
        <v>2</v>
      </c>
      <c r="V369">
        <f t="shared" si="30"/>
        <v>780000</v>
      </c>
      <c r="W369">
        <f t="shared" si="31"/>
        <v>18429897</v>
      </c>
      <c r="X369">
        <f t="shared" si="32"/>
        <v>17649897</v>
      </c>
      <c r="Y369">
        <f t="shared" si="33"/>
        <v>-25694845.5</v>
      </c>
      <c r="Z369">
        <f t="shared" si="34"/>
        <v>44904742.5</v>
      </c>
      <c r="AA369" t="str">
        <f t="shared" si="35"/>
        <v>Normal</v>
      </c>
      <c r="AE369" s="2"/>
      <c r="AF369" s="2"/>
    </row>
    <row r="370" spans="1:32" x14ac:dyDescent="0.35">
      <c r="A370">
        <v>369</v>
      </c>
      <c r="B370" s="1">
        <v>43144</v>
      </c>
      <c r="C370" s="9" t="s">
        <v>748</v>
      </c>
      <c r="D370" s="9" t="s">
        <v>4930</v>
      </c>
      <c r="E370" s="9" t="s">
        <v>5988</v>
      </c>
      <c r="F370" s="9" t="s">
        <v>408</v>
      </c>
      <c r="G370" s="9" t="s">
        <v>749</v>
      </c>
      <c r="H370" s="9" t="s">
        <v>275</v>
      </c>
      <c r="I370" s="11">
        <v>18429897</v>
      </c>
      <c r="J370" s="11">
        <v>130128</v>
      </c>
      <c r="K370" s="11">
        <v>18781197</v>
      </c>
      <c r="L370" s="3">
        <v>107</v>
      </c>
      <c r="M370" s="3">
        <v>1795</v>
      </c>
      <c r="N370" s="3">
        <v>425936</v>
      </c>
      <c r="O370" s="2">
        <v>-0.13400000000000001</v>
      </c>
      <c r="P370" s="2">
        <v>1.1470000000000001E-2</v>
      </c>
      <c r="Q370" s="2">
        <v>0.32</v>
      </c>
      <c r="R370" s="11">
        <v>51981182</v>
      </c>
      <c r="S370" s="11">
        <v>1570086</v>
      </c>
      <c r="T370">
        <v>2018</v>
      </c>
      <c r="U370">
        <v>2</v>
      </c>
      <c r="V370">
        <f t="shared" si="30"/>
        <v>782250</v>
      </c>
      <c r="W370">
        <f t="shared" si="31"/>
        <v>18429897</v>
      </c>
      <c r="X370">
        <f t="shared" si="32"/>
        <v>17647647</v>
      </c>
      <c r="Y370">
        <f t="shared" si="33"/>
        <v>-25689220.5</v>
      </c>
      <c r="Z370">
        <f t="shared" si="34"/>
        <v>44901367.5</v>
      </c>
      <c r="AA370" t="str">
        <f t="shared" si="35"/>
        <v>Normal</v>
      </c>
      <c r="AE370" s="2"/>
      <c r="AF370" s="2"/>
    </row>
    <row r="371" spans="1:32" x14ac:dyDescent="0.35">
      <c r="A371">
        <v>370</v>
      </c>
      <c r="B371" s="1">
        <v>43144</v>
      </c>
      <c r="C371" s="9" t="s">
        <v>750</v>
      </c>
      <c r="D371" s="9" t="s">
        <v>4955</v>
      </c>
      <c r="E371" s="9" t="s">
        <v>5989</v>
      </c>
      <c r="F371" s="9" t="s">
        <v>15</v>
      </c>
      <c r="G371" s="9" t="s">
        <v>751</v>
      </c>
      <c r="H371" s="9" t="s">
        <v>105</v>
      </c>
      <c r="I371" s="11">
        <v>13500000</v>
      </c>
      <c r="J371" s="11">
        <v>3864621</v>
      </c>
      <c r="K371" s="11">
        <v>17749930</v>
      </c>
      <c r="L371" s="3">
        <v>396</v>
      </c>
      <c r="M371" s="3">
        <v>4593</v>
      </c>
      <c r="N371" s="3">
        <v>1374517</v>
      </c>
      <c r="O371" s="2">
        <v>2.9000000000000001E-2</v>
      </c>
      <c r="P371" s="2">
        <v>0.223</v>
      </c>
      <c r="Q371" s="2">
        <v>0.316</v>
      </c>
      <c r="R371" s="11">
        <v>245473303</v>
      </c>
      <c r="S371" s="11">
        <v>708501</v>
      </c>
      <c r="T371">
        <v>2018</v>
      </c>
      <c r="U371">
        <v>2</v>
      </c>
      <c r="V371">
        <f t="shared" si="30"/>
        <v>781500</v>
      </c>
      <c r="W371">
        <f t="shared" si="31"/>
        <v>18429897</v>
      </c>
      <c r="X371">
        <f t="shared" si="32"/>
        <v>17648397</v>
      </c>
      <c r="Y371">
        <f t="shared" si="33"/>
        <v>-25691095.5</v>
      </c>
      <c r="Z371">
        <f t="shared" si="34"/>
        <v>44902492.5</v>
      </c>
      <c r="AA371" t="str">
        <f t="shared" si="35"/>
        <v>Normal</v>
      </c>
      <c r="AE371" s="2"/>
      <c r="AF371" s="2"/>
    </row>
    <row r="372" spans="1:32" x14ac:dyDescent="0.35">
      <c r="A372">
        <v>371</v>
      </c>
      <c r="B372" s="1">
        <v>43145</v>
      </c>
      <c r="C372" s="9" t="s">
        <v>752</v>
      </c>
      <c r="D372" s="9" t="s">
        <v>4955</v>
      </c>
      <c r="E372" s="9" t="s">
        <v>5571</v>
      </c>
      <c r="F372" s="9" t="s">
        <v>35</v>
      </c>
      <c r="G372" s="9" t="s">
        <v>753</v>
      </c>
      <c r="H372" s="9" t="s">
        <v>105</v>
      </c>
      <c r="I372" s="11">
        <v>3000000</v>
      </c>
      <c r="J372" s="11">
        <v>1691206</v>
      </c>
      <c r="K372" s="11">
        <v>12539294</v>
      </c>
      <c r="L372" s="3">
        <v>186</v>
      </c>
      <c r="M372" s="3">
        <v>3906</v>
      </c>
      <c r="N372" s="3">
        <v>359368</v>
      </c>
      <c r="O372" s="2">
        <v>0.128</v>
      </c>
      <c r="P372" s="2">
        <v>0.50800000000000001</v>
      </c>
      <c r="Q372" s="2">
        <v>3.7000000000000005E-2</v>
      </c>
      <c r="R372" s="11">
        <v>427612411</v>
      </c>
      <c r="S372" s="11">
        <v>1230266</v>
      </c>
      <c r="T372">
        <v>2018</v>
      </c>
      <c r="U372">
        <v>2</v>
      </c>
      <c r="V372">
        <f t="shared" si="30"/>
        <v>780750</v>
      </c>
      <c r="W372">
        <f t="shared" si="31"/>
        <v>18429897</v>
      </c>
      <c r="X372">
        <f t="shared" si="32"/>
        <v>17649147</v>
      </c>
      <c r="Y372">
        <f t="shared" si="33"/>
        <v>-25692970.5</v>
      </c>
      <c r="Z372">
        <f t="shared" si="34"/>
        <v>44903617.5</v>
      </c>
      <c r="AA372" t="str">
        <f t="shared" si="35"/>
        <v>Normal</v>
      </c>
      <c r="AE372" s="2"/>
      <c r="AF372" s="2"/>
    </row>
    <row r="373" spans="1:32" x14ac:dyDescent="0.35">
      <c r="A373">
        <v>372</v>
      </c>
      <c r="B373" s="1">
        <v>43145</v>
      </c>
      <c r="C373" s="9" t="s">
        <v>268</v>
      </c>
      <c r="D373" s="9" t="s">
        <v>4955</v>
      </c>
      <c r="E373" s="9" t="s">
        <v>5571</v>
      </c>
      <c r="F373" s="9" t="s">
        <v>31</v>
      </c>
      <c r="G373" s="9" t="s">
        <v>754</v>
      </c>
      <c r="H373" s="9" t="s">
        <v>105</v>
      </c>
      <c r="I373" s="11">
        <v>100000</v>
      </c>
      <c r="J373" s="11">
        <v>3315073</v>
      </c>
      <c r="K373" s="11">
        <v>11581792</v>
      </c>
      <c r="L373" s="3">
        <v>455</v>
      </c>
      <c r="M373" s="3">
        <v>1114</v>
      </c>
      <c r="N373" s="3">
        <v>42945</v>
      </c>
      <c r="O373" s="2">
        <v>0.20300000000000001</v>
      </c>
      <c r="P373" s="2">
        <v>0.89400000000000002</v>
      </c>
      <c r="Q373" s="2">
        <v>0.32799999999999996</v>
      </c>
      <c r="R373" s="11">
        <v>408029455</v>
      </c>
      <c r="S373" s="11">
        <v>385260</v>
      </c>
      <c r="T373">
        <v>2018</v>
      </c>
      <c r="U373">
        <v>2</v>
      </c>
      <c r="V373">
        <f t="shared" si="30"/>
        <v>780000</v>
      </c>
      <c r="W373">
        <f t="shared" si="31"/>
        <v>18429897</v>
      </c>
      <c r="X373">
        <f t="shared" si="32"/>
        <v>17649897</v>
      </c>
      <c r="Y373">
        <f t="shared" si="33"/>
        <v>-25694845.5</v>
      </c>
      <c r="Z373">
        <f t="shared" si="34"/>
        <v>44904742.5</v>
      </c>
      <c r="AA373" t="str">
        <f t="shared" si="35"/>
        <v>Normal</v>
      </c>
      <c r="AE373" s="2"/>
      <c r="AF373" s="2"/>
    </row>
    <row r="374" spans="1:32" x14ac:dyDescent="0.35">
      <c r="A374">
        <v>373</v>
      </c>
      <c r="B374" s="1">
        <v>43145</v>
      </c>
      <c r="C374" s="9" t="s">
        <v>755</v>
      </c>
      <c r="D374" s="9" t="s">
        <v>4955</v>
      </c>
      <c r="E374" s="9" t="s">
        <v>5990</v>
      </c>
      <c r="F374" s="9" t="s">
        <v>31</v>
      </c>
      <c r="G374" s="9" t="s">
        <v>756</v>
      </c>
      <c r="H374" s="9" t="s">
        <v>105</v>
      </c>
      <c r="I374" s="11">
        <v>500000</v>
      </c>
      <c r="J374" s="11">
        <v>2062895</v>
      </c>
      <c r="K374" s="11">
        <v>7283816</v>
      </c>
      <c r="L374" s="3">
        <v>495</v>
      </c>
      <c r="M374" s="3">
        <v>3124</v>
      </c>
      <c r="N374" s="3">
        <v>1955833</v>
      </c>
      <c r="O374" s="2">
        <v>0.104</v>
      </c>
      <c r="P374" s="2">
        <v>1.0720000000000001</v>
      </c>
      <c r="Q374" s="2">
        <v>0.35599999999999998</v>
      </c>
      <c r="R374" s="11">
        <v>331996584</v>
      </c>
      <c r="S374" s="11">
        <v>834037</v>
      </c>
      <c r="T374">
        <v>2018</v>
      </c>
      <c r="U374">
        <v>2</v>
      </c>
      <c r="V374">
        <f t="shared" si="30"/>
        <v>782250</v>
      </c>
      <c r="W374">
        <f t="shared" si="31"/>
        <v>18429897</v>
      </c>
      <c r="X374">
        <f t="shared" si="32"/>
        <v>17647647</v>
      </c>
      <c r="Y374">
        <f t="shared" si="33"/>
        <v>-25689220.5</v>
      </c>
      <c r="Z374">
        <f t="shared" si="34"/>
        <v>44901367.5</v>
      </c>
      <c r="AA374" t="str">
        <f t="shared" si="35"/>
        <v>Normal</v>
      </c>
      <c r="AE374" s="2"/>
      <c r="AF374" s="2"/>
    </row>
    <row r="375" spans="1:32" x14ac:dyDescent="0.35">
      <c r="A375">
        <v>374</v>
      </c>
      <c r="B375" s="1">
        <v>43145</v>
      </c>
      <c r="C375" s="9" t="s">
        <v>757</v>
      </c>
      <c r="D375" s="9" t="s">
        <v>4930</v>
      </c>
      <c r="E375" s="9" t="s">
        <v>758</v>
      </c>
      <c r="F375" s="9" t="s">
        <v>31</v>
      </c>
      <c r="G375" s="9" t="s">
        <v>759</v>
      </c>
      <c r="H375" s="9" t="s">
        <v>105</v>
      </c>
      <c r="I375" s="11">
        <v>5000000</v>
      </c>
      <c r="J375" s="11">
        <v>1880815</v>
      </c>
      <c r="K375" s="11">
        <v>2414909</v>
      </c>
      <c r="L375" s="3">
        <v>307</v>
      </c>
      <c r="M375" s="3">
        <v>1743</v>
      </c>
      <c r="N375" s="3">
        <v>357482</v>
      </c>
      <c r="O375" s="2">
        <v>-5.8999999999999997E-2</v>
      </c>
      <c r="P375" s="2">
        <v>0.66200000000000003</v>
      </c>
      <c r="Q375" s="2">
        <v>0.499</v>
      </c>
      <c r="R375" s="11">
        <v>273052689</v>
      </c>
      <c r="S375" s="11">
        <v>787186</v>
      </c>
      <c r="T375">
        <v>2018</v>
      </c>
      <c r="U375">
        <v>2</v>
      </c>
      <c r="V375">
        <f t="shared" si="30"/>
        <v>784000</v>
      </c>
      <c r="W375">
        <f t="shared" si="31"/>
        <v>18429897</v>
      </c>
      <c r="X375">
        <f t="shared" si="32"/>
        <v>17645897</v>
      </c>
      <c r="Y375">
        <f t="shared" si="33"/>
        <v>-25684845.5</v>
      </c>
      <c r="Z375">
        <f t="shared" si="34"/>
        <v>44898742.5</v>
      </c>
      <c r="AA375" t="str">
        <f t="shared" si="35"/>
        <v>Normal</v>
      </c>
      <c r="AE375" s="2"/>
      <c r="AF375" s="2"/>
    </row>
    <row r="376" spans="1:32" x14ac:dyDescent="0.35">
      <c r="A376">
        <v>375</v>
      </c>
      <c r="B376" s="1">
        <v>43146</v>
      </c>
      <c r="C376" s="9" t="s">
        <v>760</v>
      </c>
      <c r="D376" s="9" t="s">
        <v>4988</v>
      </c>
      <c r="E376" s="9" t="s">
        <v>5991</v>
      </c>
      <c r="F376" s="9" t="s">
        <v>151</v>
      </c>
      <c r="G376" s="9" t="s">
        <v>761</v>
      </c>
      <c r="H376" s="9" t="s">
        <v>275</v>
      </c>
      <c r="I376" s="11">
        <v>148434</v>
      </c>
      <c r="J376" s="11">
        <v>4433753</v>
      </c>
      <c r="K376" s="11">
        <v>14209315</v>
      </c>
      <c r="L376" s="3">
        <v>456</v>
      </c>
      <c r="M376" s="3">
        <v>2215</v>
      </c>
      <c r="N376" s="3">
        <v>227465</v>
      </c>
      <c r="O376" s="2">
        <v>1.6E-2</v>
      </c>
      <c r="P376" s="2">
        <v>1.1819999999999999</v>
      </c>
      <c r="Q376" s="2">
        <v>-3.5000000000000003E-2</v>
      </c>
      <c r="R376" s="11">
        <v>428628309</v>
      </c>
      <c r="S376" s="11">
        <v>1151548</v>
      </c>
      <c r="T376">
        <v>2018</v>
      </c>
      <c r="U376">
        <v>2</v>
      </c>
      <c r="V376">
        <f t="shared" si="30"/>
        <v>783500</v>
      </c>
      <c r="W376">
        <f t="shared" si="31"/>
        <v>18429897</v>
      </c>
      <c r="X376">
        <f t="shared" si="32"/>
        <v>17646397</v>
      </c>
      <c r="Y376">
        <f t="shared" si="33"/>
        <v>-25686095.5</v>
      </c>
      <c r="Z376">
        <f t="shared" si="34"/>
        <v>44899492.5</v>
      </c>
      <c r="AA376" t="str">
        <f t="shared" si="35"/>
        <v>Normal</v>
      </c>
      <c r="AE376" s="2"/>
      <c r="AF376" s="2"/>
    </row>
    <row r="377" spans="1:32" x14ac:dyDescent="0.35">
      <c r="A377">
        <v>376</v>
      </c>
      <c r="B377" s="1">
        <v>43146</v>
      </c>
      <c r="C377" s="9" t="s">
        <v>762</v>
      </c>
      <c r="D377" s="9" t="s">
        <v>4925</v>
      </c>
      <c r="E377" s="9" t="s">
        <v>5992</v>
      </c>
      <c r="F377" s="9" t="s">
        <v>408</v>
      </c>
      <c r="G377" s="9" t="s">
        <v>763</v>
      </c>
      <c r="H377" s="9" t="s">
        <v>105</v>
      </c>
      <c r="I377" s="11">
        <v>6230000</v>
      </c>
      <c r="J377" s="11">
        <v>490444</v>
      </c>
      <c r="K377" s="11">
        <v>151314</v>
      </c>
      <c r="L377" s="3">
        <v>268</v>
      </c>
      <c r="M377" s="3">
        <v>2339</v>
      </c>
      <c r="N377" s="3">
        <v>606348</v>
      </c>
      <c r="O377" s="2">
        <v>0.1</v>
      </c>
      <c r="P377" s="2">
        <v>0.94799999999999995</v>
      </c>
      <c r="Q377" s="2">
        <v>0.10300000000000001</v>
      </c>
      <c r="R377" s="11">
        <v>136703968</v>
      </c>
      <c r="S377" s="11">
        <v>666116</v>
      </c>
      <c r="T377">
        <v>2018</v>
      </c>
      <c r="U377">
        <v>2</v>
      </c>
      <c r="V377">
        <f t="shared" si="30"/>
        <v>785000</v>
      </c>
      <c r="W377">
        <f t="shared" si="31"/>
        <v>18429897</v>
      </c>
      <c r="X377">
        <f t="shared" si="32"/>
        <v>17644897</v>
      </c>
      <c r="Y377">
        <f t="shared" si="33"/>
        <v>-25682345.5</v>
      </c>
      <c r="Z377">
        <f t="shared" si="34"/>
        <v>44897242.5</v>
      </c>
      <c r="AA377" t="str">
        <f t="shared" si="35"/>
        <v>Normal</v>
      </c>
      <c r="AE377" s="2"/>
      <c r="AF377" s="2"/>
    </row>
    <row r="378" spans="1:32" x14ac:dyDescent="0.35">
      <c r="A378">
        <v>377</v>
      </c>
      <c r="B378" s="1">
        <v>43147</v>
      </c>
      <c r="C378" s="9" t="s">
        <v>764</v>
      </c>
      <c r="D378" s="9" t="s">
        <v>4933</v>
      </c>
      <c r="E378" s="9" t="s">
        <v>5993</v>
      </c>
      <c r="F378" s="9" t="s">
        <v>15</v>
      </c>
      <c r="G378" s="9" t="s">
        <v>765</v>
      </c>
      <c r="H378" s="9" t="s">
        <v>275</v>
      </c>
      <c r="I378" s="11">
        <v>250000</v>
      </c>
      <c r="J378" s="11">
        <v>3688354</v>
      </c>
      <c r="K378" s="11">
        <v>10153449</v>
      </c>
      <c r="L378" s="3">
        <v>21</v>
      </c>
      <c r="M378" s="3">
        <v>4111</v>
      </c>
      <c r="N378" s="3">
        <v>1998817</v>
      </c>
      <c r="O378" s="2">
        <v>0.24600000000000002</v>
      </c>
      <c r="P378" s="2">
        <v>0.95899999999999996</v>
      </c>
      <c r="Q378" s="2">
        <v>-8.8000000000000009E-2</v>
      </c>
      <c r="R378" s="11">
        <v>474125426</v>
      </c>
      <c r="S378" s="11">
        <v>437339</v>
      </c>
      <c r="T378">
        <v>2018</v>
      </c>
      <c r="U378">
        <v>2</v>
      </c>
      <c r="V378">
        <f t="shared" si="30"/>
        <v>784500</v>
      </c>
      <c r="W378">
        <f t="shared" si="31"/>
        <v>18429897</v>
      </c>
      <c r="X378">
        <f t="shared" si="32"/>
        <v>17645397</v>
      </c>
      <c r="Y378">
        <f t="shared" si="33"/>
        <v>-25683595.5</v>
      </c>
      <c r="Z378">
        <f t="shared" si="34"/>
        <v>44897992.5</v>
      </c>
      <c r="AA378" t="str">
        <f t="shared" si="35"/>
        <v>Normal</v>
      </c>
      <c r="AE378" s="2"/>
      <c r="AF378" s="2"/>
    </row>
    <row r="379" spans="1:32" x14ac:dyDescent="0.35">
      <c r="A379">
        <v>378</v>
      </c>
      <c r="B379" s="1">
        <v>43147</v>
      </c>
      <c r="C379" s="9" t="s">
        <v>766</v>
      </c>
      <c r="D379" s="9" t="s">
        <v>4933</v>
      </c>
      <c r="E379" s="9" t="s">
        <v>4926</v>
      </c>
      <c r="F379" s="9" t="s">
        <v>31</v>
      </c>
      <c r="G379" s="9" t="s">
        <v>767</v>
      </c>
      <c r="H379" s="9" t="s">
        <v>275</v>
      </c>
      <c r="I379" s="11">
        <v>150000</v>
      </c>
      <c r="J379" s="11">
        <v>3739012</v>
      </c>
      <c r="K379" s="11">
        <v>9988738</v>
      </c>
      <c r="L379" s="3">
        <v>437</v>
      </c>
      <c r="M379" s="3">
        <v>1486</v>
      </c>
      <c r="N379" s="3">
        <v>1728462</v>
      </c>
      <c r="O379" s="2">
        <v>0.30499999999999999</v>
      </c>
      <c r="P379" s="2">
        <v>0.627</v>
      </c>
      <c r="Q379" s="2">
        <v>0.76</v>
      </c>
      <c r="R379" s="11">
        <v>255760710</v>
      </c>
      <c r="S379" s="11">
        <v>748631</v>
      </c>
      <c r="T379">
        <v>2018</v>
      </c>
      <c r="U379">
        <v>2</v>
      </c>
      <c r="V379">
        <f t="shared" si="30"/>
        <v>787500</v>
      </c>
      <c r="W379">
        <f t="shared" si="31"/>
        <v>18429897</v>
      </c>
      <c r="X379">
        <f t="shared" si="32"/>
        <v>17642397</v>
      </c>
      <c r="Y379">
        <f t="shared" si="33"/>
        <v>-25676095.5</v>
      </c>
      <c r="Z379">
        <f t="shared" si="34"/>
        <v>44893492.5</v>
      </c>
      <c r="AA379" t="str">
        <f t="shared" si="35"/>
        <v>Normal</v>
      </c>
      <c r="AE379" s="2"/>
      <c r="AF379" s="2"/>
    </row>
    <row r="380" spans="1:32" x14ac:dyDescent="0.35">
      <c r="A380">
        <v>379</v>
      </c>
      <c r="B380" s="1">
        <v>43150</v>
      </c>
      <c r="C380" s="9" t="s">
        <v>83</v>
      </c>
      <c r="D380" s="9" t="s">
        <v>4933</v>
      </c>
      <c r="E380" s="9" t="s">
        <v>5949</v>
      </c>
      <c r="F380" s="9" t="s">
        <v>151</v>
      </c>
      <c r="G380" s="9" t="s">
        <v>768</v>
      </c>
      <c r="H380" s="9" t="s">
        <v>105</v>
      </c>
      <c r="I380" s="11">
        <v>3800000</v>
      </c>
      <c r="J380" s="11">
        <v>1912357</v>
      </c>
      <c r="K380" s="11">
        <v>15750910</v>
      </c>
      <c r="L380" s="3">
        <v>267</v>
      </c>
      <c r="M380" s="3">
        <v>70</v>
      </c>
      <c r="N380" s="3">
        <v>1439981</v>
      </c>
      <c r="O380" s="2">
        <v>-0.17699999999999999</v>
      </c>
      <c r="P380" s="2">
        <v>0.59199999999999997</v>
      </c>
      <c r="Q380" s="2">
        <v>0.05</v>
      </c>
      <c r="R380" s="11">
        <v>250264963</v>
      </c>
      <c r="S380" s="11">
        <v>1529371</v>
      </c>
      <c r="T380">
        <v>2018</v>
      </c>
      <c r="U380">
        <v>2</v>
      </c>
      <c r="V380">
        <f t="shared" si="30"/>
        <v>792500</v>
      </c>
      <c r="W380">
        <f t="shared" si="31"/>
        <v>18429897</v>
      </c>
      <c r="X380">
        <f t="shared" si="32"/>
        <v>17637397</v>
      </c>
      <c r="Y380">
        <f t="shared" si="33"/>
        <v>-25663595.5</v>
      </c>
      <c r="Z380">
        <f t="shared" si="34"/>
        <v>44885992.5</v>
      </c>
      <c r="AA380" t="str">
        <f t="shared" si="35"/>
        <v>Normal</v>
      </c>
      <c r="AE380" s="2"/>
      <c r="AF380" s="2"/>
    </row>
    <row r="381" spans="1:32" x14ac:dyDescent="0.35">
      <c r="A381">
        <v>380</v>
      </c>
      <c r="B381" s="1">
        <v>43151</v>
      </c>
      <c r="C381" s="9" t="s">
        <v>769</v>
      </c>
      <c r="D381" s="9" t="s">
        <v>4965</v>
      </c>
      <c r="E381" s="9" t="s">
        <v>5903</v>
      </c>
      <c r="F381" s="9" t="s">
        <v>31</v>
      </c>
      <c r="G381" s="9" t="s">
        <v>770</v>
      </c>
      <c r="H381" s="9" t="s">
        <v>275</v>
      </c>
      <c r="I381" s="11">
        <v>500000</v>
      </c>
      <c r="J381" s="11">
        <v>1327053</v>
      </c>
      <c r="K381" s="11">
        <v>10153449</v>
      </c>
      <c r="L381" s="3">
        <v>26</v>
      </c>
      <c r="M381" s="3">
        <v>1004</v>
      </c>
      <c r="N381" s="3">
        <v>376283</v>
      </c>
      <c r="O381" s="2">
        <v>0.32700000000000001</v>
      </c>
      <c r="P381" s="2">
        <v>0.40600000000000003</v>
      </c>
      <c r="Q381" s="2">
        <v>0.41899999999999998</v>
      </c>
      <c r="R381" s="11">
        <v>10815549</v>
      </c>
      <c r="S381" s="11">
        <v>80121</v>
      </c>
      <c r="T381">
        <v>2018</v>
      </c>
      <c r="U381">
        <v>2</v>
      </c>
      <c r="V381">
        <f t="shared" si="30"/>
        <v>790000</v>
      </c>
      <c r="W381">
        <f t="shared" si="31"/>
        <v>18429897</v>
      </c>
      <c r="X381">
        <f t="shared" si="32"/>
        <v>17639897</v>
      </c>
      <c r="Y381">
        <f t="shared" si="33"/>
        <v>-25669845.5</v>
      </c>
      <c r="Z381">
        <f t="shared" si="34"/>
        <v>44889742.5</v>
      </c>
      <c r="AA381" t="str">
        <f t="shared" si="35"/>
        <v>Normal</v>
      </c>
      <c r="AE381" s="2"/>
      <c r="AF381" s="2"/>
    </row>
    <row r="382" spans="1:32" x14ac:dyDescent="0.35">
      <c r="A382">
        <v>381</v>
      </c>
      <c r="B382" s="1">
        <v>43152</v>
      </c>
      <c r="C382" s="9" t="s">
        <v>111</v>
      </c>
      <c r="D382" s="9" t="s">
        <v>4925</v>
      </c>
      <c r="E382" s="9" t="s">
        <v>5986</v>
      </c>
      <c r="F382" s="9" t="s">
        <v>15</v>
      </c>
      <c r="G382" s="9" t="s">
        <v>771</v>
      </c>
      <c r="H382" s="9" t="s">
        <v>105</v>
      </c>
      <c r="I382" s="11">
        <v>50000000</v>
      </c>
      <c r="J382" s="11">
        <v>46429</v>
      </c>
      <c r="K382" s="11">
        <v>11104446</v>
      </c>
      <c r="L382" s="3">
        <v>37</v>
      </c>
      <c r="M382" s="3">
        <v>4141</v>
      </c>
      <c r="N382" s="3">
        <v>1258681</v>
      </c>
      <c r="O382" s="2">
        <v>6.9000000000000006E-2</v>
      </c>
      <c r="P382" s="2">
        <v>0.25800000000000001</v>
      </c>
      <c r="Q382" s="2">
        <v>0.13900000000000001</v>
      </c>
      <c r="R382" s="11">
        <v>240684273</v>
      </c>
      <c r="S382" s="11">
        <v>1088316</v>
      </c>
      <c r="T382">
        <v>2018</v>
      </c>
      <c r="U382">
        <v>2</v>
      </c>
      <c r="V382">
        <f t="shared" si="30"/>
        <v>797500</v>
      </c>
      <c r="W382">
        <f t="shared" si="31"/>
        <v>18429897</v>
      </c>
      <c r="X382">
        <f t="shared" si="32"/>
        <v>17632397</v>
      </c>
      <c r="Y382">
        <f t="shared" si="33"/>
        <v>-25651095.5</v>
      </c>
      <c r="Z382">
        <f t="shared" si="34"/>
        <v>44878492.5</v>
      </c>
      <c r="AA382" t="str">
        <f t="shared" si="35"/>
        <v>Outlier</v>
      </c>
      <c r="AE382" s="2"/>
      <c r="AF382" s="2"/>
    </row>
    <row r="383" spans="1:32" x14ac:dyDescent="0.35">
      <c r="A383">
        <v>382</v>
      </c>
      <c r="B383" s="1">
        <v>43152</v>
      </c>
      <c r="C383" s="9" t="s">
        <v>772</v>
      </c>
      <c r="D383" s="9" t="s">
        <v>4990</v>
      </c>
      <c r="E383" s="9" t="s">
        <v>4942</v>
      </c>
      <c r="F383" s="9" t="s">
        <v>15</v>
      </c>
      <c r="G383" s="9" t="s">
        <v>773</v>
      </c>
      <c r="H383" s="9" t="s">
        <v>105</v>
      </c>
      <c r="I383" s="11">
        <v>20000000</v>
      </c>
      <c r="J383" s="11">
        <v>4685329</v>
      </c>
      <c r="K383" s="11">
        <v>11495175</v>
      </c>
      <c r="L383" s="3">
        <v>363</v>
      </c>
      <c r="M383" s="3">
        <v>1518</v>
      </c>
      <c r="N383" s="3">
        <v>1665689</v>
      </c>
      <c r="O383" s="2">
        <v>0.28499999999999998</v>
      </c>
      <c r="P383" s="2">
        <v>1.101</v>
      </c>
      <c r="Q383" s="2">
        <v>0.32</v>
      </c>
      <c r="R383" s="11">
        <v>243688934</v>
      </c>
      <c r="S383" s="11">
        <v>1125245</v>
      </c>
      <c r="T383">
        <v>2018</v>
      </c>
      <c r="U383">
        <v>2</v>
      </c>
      <c r="V383">
        <f t="shared" si="30"/>
        <v>795000</v>
      </c>
      <c r="W383">
        <f t="shared" si="31"/>
        <v>18429897</v>
      </c>
      <c r="X383">
        <f t="shared" si="32"/>
        <v>17634897</v>
      </c>
      <c r="Y383">
        <f t="shared" si="33"/>
        <v>-25657345.5</v>
      </c>
      <c r="Z383">
        <f t="shared" si="34"/>
        <v>44882242.5</v>
      </c>
      <c r="AA383" t="str">
        <f t="shared" si="35"/>
        <v>Normal</v>
      </c>
      <c r="AE383" s="2"/>
      <c r="AF383" s="2"/>
    </row>
    <row r="384" spans="1:32" x14ac:dyDescent="0.35">
      <c r="A384">
        <v>383</v>
      </c>
      <c r="B384" s="1">
        <v>43152</v>
      </c>
      <c r="C384" s="9" t="s">
        <v>774</v>
      </c>
      <c r="D384" s="9" t="s">
        <v>2539</v>
      </c>
      <c r="E384" s="9" t="s">
        <v>5994</v>
      </c>
      <c r="F384" s="9" t="s">
        <v>151</v>
      </c>
      <c r="G384" s="9" t="s">
        <v>775</v>
      </c>
      <c r="H384" s="9" t="s">
        <v>105</v>
      </c>
      <c r="I384" s="11">
        <v>2100000</v>
      </c>
      <c r="J384" s="11">
        <v>4739702</v>
      </c>
      <c r="K384" s="11">
        <v>9798717</v>
      </c>
      <c r="L384" s="3">
        <v>462</v>
      </c>
      <c r="M384" s="3">
        <v>344</v>
      </c>
      <c r="N384" s="3">
        <v>679633</v>
      </c>
      <c r="O384" s="2">
        <v>0.21899999999999997</v>
      </c>
      <c r="P384" s="2">
        <v>0.79100000000000004</v>
      </c>
      <c r="Q384" s="2">
        <v>9.6000000000000002E-2</v>
      </c>
      <c r="R384" s="11">
        <v>107569549</v>
      </c>
      <c r="S384" s="11">
        <v>1649186</v>
      </c>
      <c r="T384">
        <v>2018</v>
      </c>
      <c r="U384">
        <v>2</v>
      </c>
      <c r="V384">
        <f t="shared" si="30"/>
        <v>792500</v>
      </c>
      <c r="W384">
        <f t="shared" si="31"/>
        <v>18429897</v>
      </c>
      <c r="X384">
        <f t="shared" si="32"/>
        <v>17637397</v>
      </c>
      <c r="Y384">
        <f t="shared" si="33"/>
        <v>-25663595.5</v>
      </c>
      <c r="Z384">
        <f t="shared" si="34"/>
        <v>44885992.5</v>
      </c>
      <c r="AA384" t="str">
        <f t="shared" si="35"/>
        <v>Normal</v>
      </c>
      <c r="AE384" s="2"/>
      <c r="AF384" s="2"/>
    </row>
    <row r="385" spans="1:32" x14ac:dyDescent="0.35">
      <c r="A385">
        <v>384</v>
      </c>
      <c r="B385" s="1">
        <v>43152</v>
      </c>
      <c r="C385" s="9" t="s">
        <v>776</v>
      </c>
      <c r="D385" s="9" t="s">
        <v>4930</v>
      </c>
      <c r="E385" s="9" t="s">
        <v>5995</v>
      </c>
      <c r="F385" s="9" t="s">
        <v>124</v>
      </c>
      <c r="G385" s="9" t="s">
        <v>777</v>
      </c>
      <c r="H385" s="9" t="s">
        <v>105</v>
      </c>
      <c r="I385" s="11">
        <v>18429897</v>
      </c>
      <c r="J385" s="11">
        <v>1220033</v>
      </c>
      <c r="K385" s="11">
        <v>7521488</v>
      </c>
      <c r="L385" s="3">
        <v>350</v>
      </c>
      <c r="M385" s="3">
        <v>2031</v>
      </c>
      <c r="N385" s="3">
        <v>518483</v>
      </c>
      <c r="O385" s="2">
        <v>0.49099999999999999</v>
      </c>
      <c r="P385" s="2">
        <v>0.75800000000000001</v>
      </c>
      <c r="Q385" s="2">
        <v>0.33100000000000002</v>
      </c>
      <c r="R385" s="11">
        <v>185591418</v>
      </c>
      <c r="S385" s="11">
        <v>429885</v>
      </c>
      <c r="T385">
        <v>2018</v>
      </c>
      <c r="U385">
        <v>2</v>
      </c>
      <c r="V385">
        <f t="shared" si="30"/>
        <v>790000</v>
      </c>
      <c r="W385">
        <f t="shared" si="31"/>
        <v>18429897</v>
      </c>
      <c r="X385">
        <f t="shared" si="32"/>
        <v>17639897</v>
      </c>
      <c r="Y385">
        <f t="shared" si="33"/>
        <v>-25669845.5</v>
      </c>
      <c r="Z385">
        <f t="shared" si="34"/>
        <v>44889742.5</v>
      </c>
      <c r="AA385" t="str">
        <f t="shared" si="35"/>
        <v>Normal</v>
      </c>
      <c r="AE385" s="2"/>
      <c r="AF385" s="2"/>
    </row>
    <row r="386" spans="1:32" x14ac:dyDescent="0.35">
      <c r="A386">
        <v>385</v>
      </c>
      <c r="B386" s="1">
        <v>43157</v>
      </c>
      <c r="C386" s="9" t="s">
        <v>778</v>
      </c>
      <c r="D386" s="9" t="s">
        <v>4955</v>
      </c>
      <c r="E386" s="9" t="s">
        <v>4938</v>
      </c>
      <c r="F386" s="9" t="s">
        <v>94</v>
      </c>
      <c r="G386" s="9" t="s">
        <v>779</v>
      </c>
      <c r="H386" s="9" t="s">
        <v>105</v>
      </c>
      <c r="I386" s="11">
        <v>772500</v>
      </c>
      <c r="J386" s="11">
        <v>178917</v>
      </c>
      <c r="K386" s="11">
        <v>1868638</v>
      </c>
      <c r="L386" s="3">
        <v>223</v>
      </c>
      <c r="M386" s="3">
        <v>4357</v>
      </c>
      <c r="N386" s="3">
        <v>1735619</v>
      </c>
      <c r="O386" s="2">
        <v>0.121</v>
      </c>
      <c r="P386" s="2">
        <v>0.53800000000000003</v>
      </c>
      <c r="Q386" s="2">
        <v>0.16900000000000001</v>
      </c>
      <c r="R386" s="11">
        <v>446099637</v>
      </c>
      <c r="S386" s="11">
        <v>740358</v>
      </c>
      <c r="T386">
        <v>2018</v>
      </c>
      <c r="U386">
        <v>2</v>
      </c>
      <c r="V386">
        <f t="shared" ref="V386:V449" si="36">_xlfn.PERCENTILE.INC(I386:I3429,0.25)</f>
        <v>788750</v>
      </c>
      <c r="W386">
        <f t="shared" ref="W386:W449" si="37">_xlfn.PERCENTILE.INC(I386:I3429,0.75)</f>
        <v>18429897</v>
      </c>
      <c r="X386">
        <f t="shared" ref="X386:X449" si="38">W386-V386</f>
        <v>17641147</v>
      </c>
      <c r="Y386">
        <f t="shared" ref="Y386:Y449" si="39">V386-1.5*X386</f>
        <v>-25672970.5</v>
      </c>
      <c r="Z386">
        <f t="shared" ref="Z386:Z449" si="40">W386+1.5*X386</f>
        <v>44891617.5</v>
      </c>
      <c r="AA386" t="str">
        <f t="shared" ref="AA386:AA449" si="41">IF(OR(I386&lt;$Y$2, I386&gt;$Z$2), "Outlier", "Normal")</f>
        <v>Normal</v>
      </c>
      <c r="AE386" s="2"/>
      <c r="AF386" s="2"/>
    </row>
    <row r="387" spans="1:32" x14ac:dyDescent="0.35">
      <c r="A387">
        <v>386</v>
      </c>
      <c r="B387" s="1">
        <v>43157</v>
      </c>
      <c r="C387" s="9" t="s">
        <v>780</v>
      </c>
      <c r="D387" s="9" t="s">
        <v>4930</v>
      </c>
      <c r="E387" s="9" t="s">
        <v>5996</v>
      </c>
      <c r="F387" s="9" t="s">
        <v>35</v>
      </c>
      <c r="G387" s="9" t="s">
        <v>781</v>
      </c>
      <c r="H387" s="9" t="s">
        <v>105</v>
      </c>
      <c r="I387" s="11">
        <v>1040000</v>
      </c>
      <c r="J387" s="11">
        <v>2531926</v>
      </c>
      <c r="K387" s="11">
        <v>715348</v>
      </c>
      <c r="L387" s="3">
        <v>156</v>
      </c>
      <c r="M387" s="3">
        <v>4372</v>
      </c>
      <c r="N387" s="3">
        <v>263043</v>
      </c>
      <c r="O387" s="2">
        <v>3.9E-2</v>
      </c>
      <c r="P387" s="2">
        <v>0.94</v>
      </c>
      <c r="Q387" s="2">
        <v>0.52600000000000002</v>
      </c>
      <c r="R387" s="11">
        <v>63402395</v>
      </c>
      <c r="S387" s="11">
        <v>86358</v>
      </c>
      <c r="T387">
        <v>2018</v>
      </c>
      <c r="U387">
        <v>2</v>
      </c>
      <c r="V387">
        <f t="shared" si="36"/>
        <v>795000</v>
      </c>
      <c r="W387">
        <f t="shared" si="37"/>
        <v>18429897</v>
      </c>
      <c r="X387">
        <f t="shared" si="38"/>
        <v>17634897</v>
      </c>
      <c r="Y387">
        <f t="shared" si="39"/>
        <v>-25657345.5</v>
      </c>
      <c r="Z387">
        <f t="shared" si="40"/>
        <v>44882242.5</v>
      </c>
      <c r="AA387" t="str">
        <f t="shared" si="41"/>
        <v>Normal</v>
      </c>
      <c r="AE387" s="2"/>
      <c r="AF387" s="2"/>
    </row>
    <row r="388" spans="1:32" x14ac:dyDescent="0.35">
      <c r="A388">
        <v>387</v>
      </c>
      <c r="B388" s="1">
        <v>43158</v>
      </c>
      <c r="C388" s="9" t="s">
        <v>782</v>
      </c>
      <c r="D388" s="9" t="s">
        <v>4930</v>
      </c>
      <c r="E388" s="9" t="s">
        <v>5997</v>
      </c>
      <c r="F388" s="9" t="s">
        <v>15</v>
      </c>
      <c r="G388" s="9" t="s">
        <v>783</v>
      </c>
      <c r="H388" s="9" t="s">
        <v>275</v>
      </c>
      <c r="I388" s="11">
        <v>18429897</v>
      </c>
      <c r="J388" s="11">
        <v>356861</v>
      </c>
      <c r="K388" s="11">
        <v>14487857</v>
      </c>
      <c r="L388" s="3">
        <v>212</v>
      </c>
      <c r="M388" s="3">
        <v>4740</v>
      </c>
      <c r="N388" s="3">
        <v>1820132</v>
      </c>
      <c r="O388" s="2">
        <v>1.7000000000000001E-2</v>
      </c>
      <c r="P388" s="2">
        <v>0.60699999999999998</v>
      </c>
      <c r="Q388" s="2">
        <v>0.17699999999999999</v>
      </c>
      <c r="R388" s="11">
        <v>136526084</v>
      </c>
      <c r="S388" s="11">
        <v>390076</v>
      </c>
      <c r="T388">
        <v>2018</v>
      </c>
      <c r="U388">
        <v>2</v>
      </c>
      <c r="V388">
        <f t="shared" si="36"/>
        <v>792500</v>
      </c>
      <c r="W388">
        <f t="shared" si="37"/>
        <v>18429897</v>
      </c>
      <c r="X388">
        <f t="shared" si="38"/>
        <v>17637397</v>
      </c>
      <c r="Y388">
        <f t="shared" si="39"/>
        <v>-25663595.5</v>
      </c>
      <c r="Z388">
        <f t="shared" si="40"/>
        <v>44885992.5</v>
      </c>
      <c r="AA388" t="str">
        <f t="shared" si="41"/>
        <v>Normal</v>
      </c>
      <c r="AE388" s="2"/>
      <c r="AF388" s="2"/>
    </row>
    <row r="389" spans="1:32" x14ac:dyDescent="0.35">
      <c r="A389">
        <v>388</v>
      </c>
      <c r="B389" s="1">
        <v>43158</v>
      </c>
      <c r="C389" s="9" t="s">
        <v>784</v>
      </c>
      <c r="D389" s="9" t="s">
        <v>4930</v>
      </c>
      <c r="E389" s="9" t="s">
        <v>5998</v>
      </c>
      <c r="F389" s="9" t="s">
        <v>31</v>
      </c>
      <c r="G389" s="9" t="s">
        <v>785</v>
      </c>
      <c r="H389" s="9" t="s">
        <v>275</v>
      </c>
      <c r="I389" s="11">
        <v>250000</v>
      </c>
      <c r="J389" s="11">
        <v>4158941</v>
      </c>
      <c r="K389" s="11">
        <v>18308090</v>
      </c>
      <c r="L389" s="3">
        <v>164</v>
      </c>
      <c r="M389" s="3">
        <v>3435</v>
      </c>
      <c r="N389" s="3">
        <v>958146</v>
      </c>
      <c r="O389" s="2">
        <v>-8.6999999999999994E-2</v>
      </c>
      <c r="P389" s="2">
        <v>1.0090000000000001</v>
      </c>
      <c r="Q389" s="2">
        <v>-8.1000000000000003E-2</v>
      </c>
      <c r="R389" s="11">
        <v>309232767</v>
      </c>
      <c r="S389" s="11">
        <v>1475439</v>
      </c>
      <c r="T389">
        <v>2018</v>
      </c>
      <c r="U389">
        <v>2</v>
      </c>
      <c r="V389">
        <f t="shared" si="36"/>
        <v>790000</v>
      </c>
      <c r="W389">
        <f t="shared" si="37"/>
        <v>18429897</v>
      </c>
      <c r="X389">
        <f t="shared" si="38"/>
        <v>17639897</v>
      </c>
      <c r="Y389">
        <f t="shared" si="39"/>
        <v>-25669845.5</v>
      </c>
      <c r="Z389">
        <f t="shared" si="40"/>
        <v>44889742.5</v>
      </c>
      <c r="AA389" t="str">
        <f t="shared" si="41"/>
        <v>Normal</v>
      </c>
      <c r="AE389" s="2"/>
      <c r="AF389" s="2"/>
    </row>
    <row r="390" spans="1:32" x14ac:dyDescent="0.35">
      <c r="A390">
        <v>389</v>
      </c>
      <c r="B390" s="1">
        <v>43159</v>
      </c>
      <c r="C390" s="9" t="s">
        <v>786</v>
      </c>
      <c r="D390" s="9" t="s">
        <v>4930</v>
      </c>
      <c r="E390" s="9" t="s">
        <v>5999</v>
      </c>
      <c r="F390" s="9" t="s">
        <v>151</v>
      </c>
      <c r="G390" s="9" t="s">
        <v>787</v>
      </c>
      <c r="H390" s="9" t="s">
        <v>105</v>
      </c>
      <c r="I390" s="11">
        <v>115000000</v>
      </c>
      <c r="J390" s="11">
        <v>4461719</v>
      </c>
      <c r="K390" s="11">
        <v>10153449</v>
      </c>
      <c r="L390" s="3">
        <v>140</v>
      </c>
      <c r="M390" s="3">
        <v>4104</v>
      </c>
      <c r="N390" s="3">
        <v>1443795</v>
      </c>
      <c r="O390" s="2">
        <v>0.28199999999999997</v>
      </c>
      <c r="P390" s="2">
        <v>0.28000000000000003</v>
      </c>
      <c r="Q390" s="2">
        <v>0.23</v>
      </c>
      <c r="R390" s="11">
        <v>255883726</v>
      </c>
      <c r="S390" s="11">
        <v>973716</v>
      </c>
      <c r="T390">
        <v>2018</v>
      </c>
      <c r="U390">
        <v>2</v>
      </c>
      <c r="V390">
        <f t="shared" si="36"/>
        <v>797500</v>
      </c>
      <c r="W390">
        <f t="shared" si="37"/>
        <v>18429897</v>
      </c>
      <c r="X390">
        <f t="shared" si="38"/>
        <v>17632397</v>
      </c>
      <c r="Y390">
        <f t="shared" si="39"/>
        <v>-25651095.5</v>
      </c>
      <c r="Z390">
        <f t="shared" si="40"/>
        <v>44878492.5</v>
      </c>
      <c r="AA390" t="str">
        <f t="shared" si="41"/>
        <v>Outlier</v>
      </c>
      <c r="AE390" s="2"/>
      <c r="AF390" s="2"/>
    </row>
    <row r="391" spans="1:32" x14ac:dyDescent="0.35">
      <c r="A391">
        <v>390</v>
      </c>
      <c r="B391" s="1">
        <v>43159</v>
      </c>
      <c r="C391" s="9" t="s">
        <v>788</v>
      </c>
      <c r="D391" s="9" t="s">
        <v>4990</v>
      </c>
      <c r="E391" s="9" t="s">
        <v>4942</v>
      </c>
      <c r="F391" s="9" t="s">
        <v>15</v>
      </c>
      <c r="G391" s="9" t="s">
        <v>789</v>
      </c>
      <c r="H391" s="9" t="s">
        <v>275</v>
      </c>
      <c r="I391" s="11">
        <v>1400000</v>
      </c>
      <c r="J391" s="11">
        <v>783355</v>
      </c>
      <c r="K391" s="11">
        <v>6610417</v>
      </c>
      <c r="L391" s="3">
        <v>68</v>
      </c>
      <c r="M391" s="3">
        <v>3876</v>
      </c>
      <c r="N391" s="3">
        <v>744070</v>
      </c>
      <c r="O391" s="2">
        <v>-0.1</v>
      </c>
      <c r="P391" s="2">
        <v>0.44700000000000001</v>
      </c>
      <c r="Q391" s="2">
        <v>0.10199999999999999</v>
      </c>
      <c r="R391" s="11">
        <v>497851216</v>
      </c>
      <c r="S391" s="11">
        <v>1462495</v>
      </c>
      <c r="T391">
        <v>2018</v>
      </c>
      <c r="U391">
        <v>2</v>
      </c>
      <c r="V391">
        <f t="shared" si="36"/>
        <v>795000</v>
      </c>
      <c r="W391">
        <f t="shared" si="37"/>
        <v>18429897</v>
      </c>
      <c r="X391">
        <f t="shared" si="38"/>
        <v>17634897</v>
      </c>
      <c r="Y391">
        <f t="shared" si="39"/>
        <v>-25657345.5</v>
      </c>
      <c r="Z391">
        <f t="shared" si="40"/>
        <v>44882242.5</v>
      </c>
      <c r="AA391" t="str">
        <f t="shared" si="41"/>
        <v>Normal</v>
      </c>
      <c r="AE391" s="2"/>
      <c r="AF391" s="2"/>
    </row>
    <row r="392" spans="1:32" x14ac:dyDescent="0.35">
      <c r="A392">
        <v>391</v>
      </c>
      <c r="B392" s="1">
        <v>43159</v>
      </c>
      <c r="C392" s="9" t="s">
        <v>790</v>
      </c>
      <c r="D392" s="9" t="s">
        <v>2539</v>
      </c>
      <c r="E392" s="9" t="s">
        <v>6000</v>
      </c>
      <c r="F392" s="9" t="s">
        <v>15</v>
      </c>
      <c r="G392" s="9" t="s">
        <v>791</v>
      </c>
      <c r="H392" s="9" t="s">
        <v>275</v>
      </c>
      <c r="I392" s="11">
        <v>18429897</v>
      </c>
      <c r="J392" s="11">
        <v>3738762</v>
      </c>
      <c r="K392" s="11">
        <v>12203294</v>
      </c>
      <c r="L392" s="3">
        <v>286</v>
      </c>
      <c r="M392" s="3">
        <v>146</v>
      </c>
      <c r="N392" s="3">
        <v>1419806</v>
      </c>
      <c r="O392" s="2">
        <v>0.28000000000000003</v>
      </c>
      <c r="P392" s="2">
        <v>0.48299999999999998</v>
      </c>
      <c r="Q392" s="2">
        <v>-0.14699999999999999</v>
      </c>
      <c r="R392" s="11">
        <v>2069420</v>
      </c>
      <c r="S392" s="11">
        <v>988275</v>
      </c>
      <c r="T392">
        <v>2018</v>
      </c>
      <c r="U392">
        <v>2</v>
      </c>
      <c r="V392">
        <f t="shared" si="36"/>
        <v>792500</v>
      </c>
      <c r="W392">
        <f t="shared" si="37"/>
        <v>18429897</v>
      </c>
      <c r="X392">
        <f t="shared" si="38"/>
        <v>17637397</v>
      </c>
      <c r="Y392">
        <f t="shared" si="39"/>
        <v>-25663595.5</v>
      </c>
      <c r="Z392">
        <f t="shared" si="40"/>
        <v>44885992.5</v>
      </c>
      <c r="AA392" t="str">
        <f t="shared" si="41"/>
        <v>Normal</v>
      </c>
      <c r="AE392" s="2"/>
      <c r="AF392" s="2"/>
    </row>
    <row r="393" spans="1:32" x14ac:dyDescent="0.35">
      <c r="A393">
        <v>392</v>
      </c>
      <c r="B393" s="1">
        <v>43102</v>
      </c>
      <c r="C393" s="9" t="s">
        <v>276</v>
      </c>
      <c r="D393" s="9" t="s">
        <v>4930</v>
      </c>
      <c r="E393" s="9" t="s">
        <v>6001</v>
      </c>
      <c r="F393" s="9" t="s">
        <v>31</v>
      </c>
      <c r="G393" s="9" t="s">
        <v>792</v>
      </c>
      <c r="H393" s="9" t="s">
        <v>793</v>
      </c>
      <c r="I393" s="11">
        <v>18429897</v>
      </c>
      <c r="J393" s="11">
        <v>912756</v>
      </c>
      <c r="K393" s="11">
        <v>14125070</v>
      </c>
      <c r="L393" s="3">
        <v>113</v>
      </c>
      <c r="M393" s="3">
        <v>2119</v>
      </c>
      <c r="N393" s="3">
        <v>1849863</v>
      </c>
      <c r="O393" s="2">
        <v>7.4999999999999997E-2</v>
      </c>
      <c r="P393" s="2">
        <v>0.223</v>
      </c>
      <c r="Q393" s="2">
        <v>0.19500000000000001</v>
      </c>
      <c r="R393" s="11">
        <v>133686202</v>
      </c>
      <c r="S393" s="11">
        <v>1445895</v>
      </c>
      <c r="T393">
        <v>2018</v>
      </c>
      <c r="U393">
        <v>1</v>
      </c>
      <c r="V393">
        <f t="shared" si="36"/>
        <v>790000</v>
      </c>
      <c r="W393">
        <f t="shared" si="37"/>
        <v>18429897</v>
      </c>
      <c r="X393">
        <f t="shared" si="38"/>
        <v>17639897</v>
      </c>
      <c r="Y393">
        <f t="shared" si="39"/>
        <v>-25669845.5</v>
      </c>
      <c r="Z393">
        <f t="shared" si="40"/>
        <v>44889742.5</v>
      </c>
      <c r="AA393" t="str">
        <f t="shared" si="41"/>
        <v>Normal</v>
      </c>
      <c r="AE393" s="2"/>
      <c r="AF393" s="2"/>
    </row>
    <row r="394" spans="1:32" x14ac:dyDescent="0.35">
      <c r="A394">
        <v>393</v>
      </c>
      <c r="B394" s="1">
        <v>43104</v>
      </c>
      <c r="C394" s="9" t="s">
        <v>794</v>
      </c>
      <c r="D394" s="9" t="s">
        <v>4933</v>
      </c>
      <c r="E394" s="9" t="s">
        <v>5949</v>
      </c>
      <c r="F394" s="9" t="s">
        <v>41</v>
      </c>
      <c r="G394" s="9" t="s">
        <v>795</v>
      </c>
      <c r="H394" s="9" t="s">
        <v>796</v>
      </c>
      <c r="I394" s="11">
        <v>15700000</v>
      </c>
      <c r="J394" s="11">
        <v>1848700</v>
      </c>
      <c r="K394" s="11">
        <v>14732152</v>
      </c>
      <c r="L394" s="3">
        <v>76</v>
      </c>
      <c r="M394" s="3">
        <v>2654</v>
      </c>
      <c r="N394" s="3">
        <v>986359</v>
      </c>
      <c r="O394" s="2">
        <v>-0.23300000000000001</v>
      </c>
      <c r="P394" s="2">
        <v>0.86299999999999999</v>
      </c>
      <c r="Q394" s="2">
        <v>-5.4000000000000006E-2</v>
      </c>
      <c r="R394" s="11">
        <v>371564379</v>
      </c>
      <c r="S394" s="11">
        <v>644638</v>
      </c>
      <c r="T394">
        <v>2018</v>
      </c>
      <c r="U394">
        <v>1</v>
      </c>
      <c r="V394">
        <f t="shared" si="36"/>
        <v>788750</v>
      </c>
      <c r="W394">
        <f t="shared" si="37"/>
        <v>18429897</v>
      </c>
      <c r="X394">
        <f t="shared" si="38"/>
        <v>17641147</v>
      </c>
      <c r="Y394">
        <f t="shared" si="39"/>
        <v>-25672970.5</v>
      </c>
      <c r="Z394">
        <f t="shared" si="40"/>
        <v>44891617.5</v>
      </c>
      <c r="AA394" t="str">
        <f t="shared" si="41"/>
        <v>Normal</v>
      </c>
      <c r="AE394" s="2"/>
      <c r="AF394" s="2"/>
    </row>
    <row r="395" spans="1:32" x14ac:dyDescent="0.35">
      <c r="A395">
        <v>394</v>
      </c>
      <c r="B395" s="1">
        <v>43105</v>
      </c>
      <c r="C395" s="9" t="s">
        <v>797</v>
      </c>
      <c r="D395" s="9" t="s">
        <v>4925</v>
      </c>
      <c r="E395" s="9" t="s">
        <v>6002</v>
      </c>
      <c r="F395" s="9" t="s">
        <v>15</v>
      </c>
      <c r="G395" s="9" t="s">
        <v>798</v>
      </c>
      <c r="H395" s="9" t="s">
        <v>793</v>
      </c>
      <c r="I395" s="11">
        <v>18429897</v>
      </c>
      <c r="J395" s="11">
        <v>3004926</v>
      </c>
      <c r="K395" s="11">
        <v>13915320</v>
      </c>
      <c r="L395" s="3">
        <v>141</v>
      </c>
      <c r="M395" s="3">
        <v>2345</v>
      </c>
      <c r="N395" s="3">
        <v>424422</v>
      </c>
      <c r="O395" s="2">
        <v>1.6E-2</v>
      </c>
      <c r="P395" s="2">
        <v>0.90200000000000002</v>
      </c>
      <c r="Q395" s="2">
        <v>4.0999999999999995E-2</v>
      </c>
      <c r="R395" s="11">
        <v>78332475</v>
      </c>
      <c r="S395" s="11">
        <v>1172373</v>
      </c>
      <c r="T395">
        <v>2018</v>
      </c>
      <c r="U395">
        <v>1</v>
      </c>
      <c r="V395">
        <f t="shared" si="36"/>
        <v>787500</v>
      </c>
      <c r="W395">
        <f t="shared" si="37"/>
        <v>18429897</v>
      </c>
      <c r="X395">
        <f t="shared" si="38"/>
        <v>17642397</v>
      </c>
      <c r="Y395">
        <f t="shared" si="39"/>
        <v>-25676095.5</v>
      </c>
      <c r="Z395">
        <f t="shared" si="40"/>
        <v>44893492.5</v>
      </c>
      <c r="AA395" t="str">
        <f t="shared" si="41"/>
        <v>Normal</v>
      </c>
      <c r="AE395" s="2"/>
      <c r="AF395" s="2"/>
    </row>
    <row r="396" spans="1:32" x14ac:dyDescent="0.35">
      <c r="A396">
        <v>395</v>
      </c>
      <c r="B396" s="1">
        <v>43108</v>
      </c>
      <c r="C396" s="9" t="s">
        <v>799</v>
      </c>
      <c r="D396" s="9" t="s">
        <v>4925</v>
      </c>
      <c r="E396" s="9" t="s">
        <v>6003</v>
      </c>
      <c r="F396" s="9" t="s">
        <v>15</v>
      </c>
      <c r="G396" s="9" t="s">
        <v>800</v>
      </c>
      <c r="H396" s="9" t="s">
        <v>793</v>
      </c>
      <c r="I396" s="11">
        <v>18429897</v>
      </c>
      <c r="J396" s="11">
        <v>3605235</v>
      </c>
      <c r="K396" s="11">
        <v>1768875</v>
      </c>
      <c r="L396" s="3">
        <v>400</v>
      </c>
      <c r="M396" s="3">
        <v>4152</v>
      </c>
      <c r="N396" s="3">
        <v>155761</v>
      </c>
      <c r="O396" s="2">
        <v>-0.55500000000000005</v>
      </c>
      <c r="P396" s="2">
        <v>0.61299999999999999</v>
      </c>
      <c r="Q396" s="2">
        <v>0.11</v>
      </c>
      <c r="R396" s="11">
        <v>80764771</v>
      </c>
      <c r="S396" s="11">
        <v>1212748</v>
      </c>
      <c r="T396">
        <v>2018</v>
      </c>
      <c r="U396">
        <v>1</v>
      </c>
      <c r="V396">
        <f t="shared" si="36"/>
        <v>786250</v>
      </c>
      <c r="W396">
        <f t="shared" si="37"/>
        <v>18429897</v>
      </c>
      <c r="X396">
        <f t="shared" si="38"/>
        <v>17643647</v>
      </c>
      <c r="Y396">
        <f t="shared" si="39"/>
        <v>-25679220.5</v>
      </c>
      <c r="Z396">
        <f t="shared" si="40"/>
        <v>44895367.5</v>
      </c>
      <c r="AA396" t="str">
        <f t="shared" si="41"/>
        <v>Normal</v>
      </c>
      <c r="AE396" s="2"/>
      <c r="AF396" s="2"/>
    </row>
    <row r="397" spans="1:32" x14ac:dyDescent="0.35">
      <c r="A397">
        <v>396</v>
      </c>
      <c r="B397" s="1">
        <v>43109</v>
      </c>
      <c r="C397" s="9" t="s">
        <v>741</v>
      </c>
      <c r="D397" s="9" t="s">
        <v>4933</v>
      </c>
      <c r="E397" s="9" t="s">
        <v>5949</v>
      </c>
      <c r="F397" s="9" t="s">
        <v>408</v>
      </c>
      <c r="G397" s="9" t="s">
        <v>801</v>
      </c>
      <c r="H397" s="9" t="s">
        <v>59</v>
      </c>
      <c r="I397" s="11">
        <v>4700000</v>
      </c>
      <c r="J397" s="11">
        <v>4375318</v>
      </c>
      <c r="K397" s="11">
        <v>5152274</v>
      </c>
      <c r="L397" s="3">
        <v>288</v>
      </c>
      <c r="M397" s="3">
        <v>4911</v>
      </c>
      <c r="N397" s="3">
        <v>1851388</v>
      </c>
      <c r="O397" s="2">
        <v>0.10400000000000001</v>
      </c>
      <c r="P397" s="2">
        <v>0.995</v>
      </c>
      <c r="Q397" s="2">
        <v>-0.40700000000000003</v>
      </c>
      <c r="R397" s="11">
        <v>129472798</v>
      </c>
      <c r="S397" s="11">
        <v>1316806</v>
      </c>
      <c r="T397">
        <v>2018</v>
      </c>
      <c r="U397">
        <v>1</v>
      </c>
      <c r="V397">
        <f t="shared" si="36"/>
        <v>785000</v>
      </c>
      <c r="W397">
        <f t="shared" si="37"/>
        <v>18429897</v>
      </c>
      <c r="X397">
        <f t="shared" si="38"/>
        <v>17644897</v>
      </c>
      <c r="Y397">
        <f t="shared" si="39"/>
        <v>-25682345.5</v>
      </c>
      <c r="Z397">
        <f t="shared" si="40"/>
        <v>44897242.5</v>
      </c>
      <c r="AA397" t="str">
        <f t="shared" si="41"/>
        <v>Normal</v>
      </c>
      <c r="AE397" s="2"/>
      <c r="AF397" s="2"/>
    </row>
    <row r="398" spans="1:32" x14ac:dyDescent="0.35">
      <c r="A398">
        <v>397</v>
      </c>
      <c r="B398" s="1">
        <v>43109</v>
      </c>
      <c r="C398" s="9" t="s">
        <v>802</v>
      </c>
      <c r="D398" s="9" t="s">
        <v>4995</v>
      </c>
      <c r="E398" s="9" t="s">
        <v>6004</v>
      </c>
      <c r="F398" s="9" t="s">
        <v>31</v>
      </c>
      <c r="G398" s="9" t="s">
        <v>58</v>
      </c>
      <c r="H398" s="9" t="s">
        <v>275</v>
      </c>
      <c r="I398" s="11">
        <v>2500000</v>
      </c>
      <c r="J398" s="11">
        <v>243028</v>
      </c>
      <c r="K398" s="11">
        <v>9437955</v>
      </c>
      <c r="L398" s="3">
        <v>248</v>
      </c>
      <c r="M398" s="3">
        <v>2747</v>
      </c>
      <c r="N398" s="3">
        <v>1998058</v>
      </c>
      <c r="O398" s="2">
        <v>0.16700000000000001</v>
      </c>
      <c r="P398" s="2">
        <v>1.154E-2</v>
      </c>
      <c r="Q398" s="2">
        <v>-0.8</v>
      </c>
      <c r="R398" s="11">
        <v>499388995</v>
      </c>
      <c r="S398" s="11">
        <v>606342</v>
      </c>
      <c r="T398">
        <v>2018</v>
      </c>
      <c r="U398">
        <v>1</v>
      </c>
      <c r="V398">
        <f t="shared" si="36"/>
        <v>784500</v>
      </c>
      <c r="W398">
        <f t="shared" si="37"/>
        <v>18429897</v>
      </c>
      <c r="X398">
        <f t="shared" si="38"/>
        <v>17645397</v>
      </c>
      <c r="Y398">
        <f t="shared" si="39"/>
        <v>-25683595.5</v>
      </c>
      <c r="Z398">
        <f t="shared" si="40"/>
        <v>44897992.5</v>
      </c>
      <c r="AA398" t="str">
        <f t="shared" si="41"/>
        <v>Normal</v>
      </c>
      <c r="AE398" s="2"/>
      <c r="AF398" s="2"/>
    </row>
    <row r="399" spans="1:32" x14ac:dyDescent="0.35">
      <c r="A399">
        <v>398</v>
      </c>
      <c r="B399" s="1">
        <v>43110</v>
      </c>
      <c r="C399" s="9" t="s">
        <v>803</v>
      </c>
      <c r="D399" s="9" t="s">
        <v>4930</v>
      </c>
      <c r="E399" s="9" t="s">
        <v>6005</v>
      </c>
      <c r="F399" s="9" t="s">
        <v>15</v>
      </c>
      <c r="G399" s="9" t="s">
        <v>804</v>
      </c>
      <c r="H399" s="9" t="s">
        <v>105</v>
      </c>
      <c r="I399" s="11">
        <v>1930000</v>
      </c>
      <c r="J399" s="11">
        <v>2531926</v>
      </c>
      <c r="K399" s="11">
        <v>10153449</v>
      </c>
      <c r="L399" s="3">
        <v>298</v>
      </c>
      <c r="M399" s="3">
        <v>526</v>
      </c>
      <c r="N399" s="3">
        <v>1302260</v>
      </c>
      <c r="O399" s="2">
        <v>-0.34100000000000003</v>
      </c>
      <c r="P399" s="2">
        <v>0.93700000000000006</v>
      </c>
      <c r="Q399" s="2">
        <v>0.33100000000000002</v>
      </c>
      <c r="R399" s="11">
        <v>146764255</v>
      </c>
      <c r="S399" s="11">
        <v>637383</v>
      </c>
      <c r="T399">
        <v>2018</v>
      </c>
      <c r="U399">
        <v>1</v>
      </c>
      <c r="V399">
        <f t="shared" si="36"/>
        <v>784000</v>
      </c>
      <c r="W399">
        <f t="shared" si="37"/>
        <v>18429897</v>
      </c>
      <c r="X399">
        <f t="shared" si="38"/>
        <v>17645897</v>
      </c>
      <c r="Y399">
        <f t="shared" si="39"/>
        <v>-25684845.5</v>
      </c>
      <c r="Z399">
        <f t="shared" si="40"/>
        <v>44898742.5</v>
      </c>
      <c r="AA399" t="str">
        <f t="shared" si="41"/>
        <v>Normal</v>
      </c>
      <c r="AE399" s="2"/>
      <c r="AF399" s="2"/>
    </row>
    <row r="400" spans="1:32" x14ac:dyDescent="0.35">
      <c r="A400">
        <v>399</v>
      </c>
      <c r="B400" s="1">
        <v>43110</v>
      </c>
      <c r="C400" s="9" t="s">
        <v>805</v>
      </c>
      <c r="D400" s="9" t="s">
        <v>4925</v>
      </c>
      <c r="E400" s="9" t="s">
        <v>4952</v>
      </c>
      <c r="F400" s="9" t="s">
        <v>94</v>
      </c>
      <c r="G400" s="9" t="s">
        <v>806</v>
      </c>
      <c r="H400" s="9" t="s">
        <v>105</v>
      </c>
      <c r="I400" s="11">
        <v>18840000</v>
      </c>
      <c r="J400" s="11">
        <v>1416932</v>
      </c>
      <c r="K400" s="11">
        <v>6929370</v>
      </c>
      <c r="L400" s="3">
        <v>285</v>
      </c>
      <c r="M400" s="3">
        <v>1831</v>
      </c>
      <c r="N400" s="3">
        <v>31209</v>
      </c>
      <c r="O400" s="2">
        <v>0.20800000000000002</v>
      </c>
      <c r="P400" s="2">
        <v>0.873</v>
      </c>
      <c r="Q400" s="2">
        <v>5.2000000000000005E-2</v>
      </c>
      <c r="R400" s="11">
        <v>420395359</v>
      </c>
      <c r="S400" s="11">
        <v>1189483</v>
      </c>
      <c r="T400">
        <v>2018</v>
      </c>
      <c r="U400">
        <v>1</v>
      </c>
      <c r="V400">
        <f t="shared" si="36"/>
        <v>783500</v>
      </c>
      <c r="W400">
        <f t="shared" si="37"/>
        <v>18429897</v>
      </c>
      <c r="X400">
        <f t="shared" si="38"/>
        <v>17646397</v>
      </c>
      <c r="Y400">
        <f t="shared" si="39"/>
        <v>-25686095.5</v>
      </c>
      <c r="Z400">
        <f t="shared" si="40"/>
        <v>44899492.5</v>
      </c>
      <c r="AA400" t="str">
        <f t="shared" si="41"/>
        <v>Normal</v>
      </c>
      <c r="AE400" s="2"/>
      <c r="AF400" s="2"/>
    </row>
    <row r="401" spans="1:32" x14ac:dyDescent="0.35">
      <c r="A401">
        <v>400</v>
      </c>
      <c r="B401" s="1">
        <v>43110</v>
      </c>
      <c r="C401" s="9" t="s">
        <v>807</v>
      </c>
      <c r="D401" s="9" t="s">
        <v>4933</v>
      </c>
      <c r="E401" s="9" t="s">
        <v>6006</v>
      </c>
      <c r="F401" s="9" t="s">
        <v>35</v>
      </c>
      <c r="G401" s="9" t="s">
        <v>808</v>
      </c>
      <c r="H401" s="9" t="s">
        <v>105</v>
      </c>
      <c r="I401" s="11">
        <v>23500000</v>
      </c>
      <c r="J401" s="11">
        <v>1565411</v>
      </c>
      <c r="K401" s="11">
        <v>7761507</v>
      </c>
      <c r="L401" s="3">
        <v>251</v>
      </c>
      <c r="M401" s="3">
        <v>1028</v>
      </c>
      <c r="N401" s="3">
        <v>1769845</v>
      </c>
      <c r="O401" s="2">
        <v>-1.3999999999999999E-2</v>
      </c>
      <c r="P401" s="2">
        <v>0.65</v>
      </c>
      <c r="Q401" s="2">
        <v>-0.375</v>
      </c>
      <c r="R401" s="11">
        <v>332885964</v>
      </c>
      <c r="S401" s="11">
        <v>1805730</v>
      </c>
      <c r="T401">
        <v>2018</v>
      </c>
      <c r="U401">
        <v>1</v>
      </c>
      <c r="V401">
        <f t="shared" si="36"/>
        <v>783000</v>
      </c>
      <c r="W401">
        <f t="shared" si="37"/>
        <v>18429897</v>
      </c>
      <c r="X401">
        <f t="shared" si="38"/>
        <v>17646897</v>
      </c>
      <c r="Y401">
        <f t="shared" si="39"/>
        <v>-25687345.5</v>
      </c>
      <c r="Z401">
        <f t="shared" si="40"/>
        <v>44900242.5</v>
      </c>
      <c r="AA401" t="str">
        <f t="shared" si="41"/>
        <v>Normal</v>
      </c>
      <c r="AE401" s="2"/>
      <c r="AF401" s="2"/>
    </row>
    <row r="402" spans="1:32" x14ac:dyDescent="0.35">
      <c r="A402">
        <v>401</v>
      </c>
      <c r="B402" s="1">
        <v>43110</v>
      </c>
      <c r="C402" s="9" t="s">
        <v>809</v>
      </c>
      <c r="D402" s="9" t="s">
        <v>4930</v>
      </c>
      <c r="E402" s="9" t="s">
        <v>6007</v>
      </c>
      <c r="F402" s="9" t="s">
        <v>810</v>
      </c>
      <c r="G402" s="9" t="s">
        <v>811</v>
      </c>
      <c r="H402" s="9" t="s">
        <v>105</v>
      </c>
      <c r="I402" s="11">
        <v>36230000</v>
      </c>
      <c r="J402" s="11">
        <v>4990178</v>
      </c>
      <c r="K402" s="11">
        <v>19564137</v>
      </c>
      <c r="L402" s="3">
        <v>421</v>
      </c>
      <c r="M402" s="3">
        <v>2505.5</v>
      </c>
      <c r="N402" s="3">
        <v>990845</v>
      </c>
      <c r="O402" s="2">
        <v>7.0000000000000007E-2</v>
      </c>
      <c r="P402" s="2">
        <v>0.753</v>
      </c>
      <c r="Q402" s="2">
        <v>0.08</v>
      </c>
      <c r="R402" s="11">
        <v>136818385</v>
      </c>
      <c r="S402" s="11">
        <v>1069606</v>
      </c>
      <c r="T402">
        <v>2018</v>
      </c>
      <c r="U402">
        <v>1</v>
      </c>
      <c r="V402">
        <f t="shared" si="36"/>
        <v>782250</v>
      </c>
      <c r="W402">
        <f t="shared" si="37"/>
        <v>18429897</v>
      </c>
      <c r="X402">
        <f t="shared" si="38"/>
        <v>17647647</v>
      </c>
      <c r="Y402">
        <f t="shared" si="39"/>
        <v>-25689220.5</v>
      </c>
      <c r="Z402">
        <f t="shared" si="40"/>
        <v>44901367.5</v>
      </c>
      <c r="AA402" t="str">
        <f t="shared" si="41"/>
        <v>Normal</v>
      </c>
      <c r="AE402" s="2"/>
      <c r="AF402" s="2"/>
    </row>
    <row r="403" spans="1:32" x14ac:dyDescent="0.35">
      <c r="A403">
        <v>402</v>
      </c>
      <c r="B403" s="1">
        <v>43112</v>
      </c>
      <c r="C403" s="9" t="s">
        <v>812</v>
      </c>
      <c r="D403" s="9" t="s">
        <v>4930</v>
      </c>
      <c r="E403" s="9" t="s">
        <v>6008</v>
      </c>
      <c r="F403" s="9" t="s">
        <v>19</v>
      </c>
      <c r="G403" s="9" t="s">
        <v>813</v>
      </c>
      <c r="H403" s="9" t="s">
        <v>793</v>
      </c>
      <c r="I403" s="11">
        <v>80000</v>
      </c>
      <c r="J403" s="11">
        <v>3891476</v>
      </c>
      <c r="K403" s="11">
        <v>6410907</v>
      </c>
      <c r="L403" s="3">
        <v>366</v>
      </c>
      <c r="M403" s="3">
        <v>1209</v>
      </c>
      <c r="N403" s="3">
        <v>467668</v>
      </c>
      <c r="O403" s="2">
        <v>1.6E-2</v>
      </c>
      <c r="P403" s="2">
        <v>0.48799999999999999</v>
      </c>
      <c r="Q403" s="2">
        <v>0.221</v>
      </c>
      <c r="R403" s="11">
        <v>479992294</v>
      </c>
      <c r="S403" s="11">
        <v>883958</v>
      </c>
      <c r="T403">
        <v>2018</v>
      </c>
      <c r="U403">
        <v>1</v>
      </c>
      <c r="V403">
        <f t="shared" si="36"/>
        <v>781500</v>
      </c>
      <c r="W403">
        <f t="shared" si="37"/>
        <v>18429897</v>
      </c>
      <c r="X403">
        <f t="shared" si="38"/>
        <v>17648397</v>
      </c>
      <c r="Y403">
        <f t="shared" si="39"/>
        <v>-25691095.5</v>
      </c>
      <c r="Z403">
        <f t="shared" si="40"/>
        <v>44902492.5</v>
      </c>
      <c r="AA403" t="str">
        <f t="shared" si="41"/>
        <v>Normal</v>
      </c>
      <c r="AE403" s="2"/>
      <c r="AF403" s="2"/>
    </row>
    <row r="404" spans="1:32" x14ac:dyDescent="0.35">
      <c r="A404">
        <v>403</v>
      </c>
      <c r="B404" s="1">
        <v>43112</v>
      </c>
      <c r="C404" s="9" t="s">
        <v>814</v>
      </c>
      <c r="D404" s="9" t="s">
        <v>4930</v>
      </c>
      <c r="E404" s="9" t="s">
        <v>6009</v>
      </c>
      <c r="F404" s="9" t="s">
        <v>15</v>
      </c>
      <c r="G404" s="9" t="s">
        <v>815</v>
      </c>
      <c r="H404" s="9" t="s">
        <v>105</v>
      </c>
      <c r="I404" s="11">
        <v>20000000</v>
      </c>
      <c r="J404" s="11">
        <v>1615677</v>
      </c>
      <c r="K404" s="11">
        <v>19430280</v>
      </c>
      <c r="L404" s="3">
        <v>96</v>
      </c>
      <c r="M404" s="3">
        <v>449</v>
      </c>
      <c r="N404" s="3">
        <v>734331</v>
      </c>
      <c r="O404" s="2">
        <v>0.14899999999999999</v>
      </c>
      <c r="P404" s="2">
        <v>0.44400000000000001</v>
      </c>
      <c r="Q404" s="2">
        <v>2.6000000000000002E-2</v>
      </c>
      <c r="R404" s="11">
        <v>495350410</v>
      </c>
      <c r="S404" s="11">
        <v>53032</v>
      </c>
      <c r="T404">
        <v>2018</v>
      </c>
      <c r="U404">
        <v>1</v>
      </c>
      <c r="V404">
        <f t="shared" si="36"/>
        <v>783500</v>
      </c>
      <c r="W404">
        <f t="shared" si="37"/>
        <v>18429897</v>
      </c>
      <c r="X404">
        <f t="shared" si="38"/>
        <v>17646397</v>
      </c>
      <c r="Y404">
        <f t="shared" si="39"/>
        <v>-25686095.5</v>
      </c>
      <c r="Z404">
        <f t="shared" si="40"/>
        <v>44899492.5</v>
      </c>
      <c r="AA404" t="str">
        <f t="shared" si="41"/>
        <v>Normal</v>
      </c>
      <c r="AE404" s="2"/>
      <c r="AF404" s="2"/>
    </row>
    <row r="405" spans="1:32" x14ac:dyDescent="0.35">
      <c r="A405">
        <v>404</v>
      </c>
      <c r="B405" s="1">
        <v>43115</v>
      </c>
      <c r="C405" s="9" t="s">
        <v>816</v>
      </c>
      <c r="D405" s="9" t="s">
        <v>4930</v>
      </c>
      <c r="E405" s="9" t="s">
        <v>6008</v>
      </c>
      <c r="F405" s="9" t="s">
        <v>15</v>
      </c>
      <c r="G405" s="9" t="s">
        <v>817</v>
      </c>
      <c r="H405" s="9" t="s">
        <v>793</v>
      </c>
      <c r="I405" s="11">
        <v>354600</v>
      </c>
      <c r="J405" s="11">
        <v>4859695</v>
      </c>
      <c r="K405" s="11">
        <v>14035102</v>
      </c>
      <c r="L405" s="3">
        <v>409</v>
      </c>
      <c r="M405" s="3">
        <v>899</v>
      </c>
      <c r="N405" s="3">
        <v>1883704</v>
      </c>
      <c r="O405" s="2">
        <v>0.05</v>
      </c>
      <c r="P405" s="2">
        <v>0.22600000000000001</v>
      </c>
      <c r="Q405" s="2">
        <v>3.4000000000000002E-2</v>
      </c>
      <c r="R405" s="11">
        <v>378276797</v>
      </c>
      <c r="S405" s="11">
        <v>185850</v>
      </c>
      <c r="T405">
        <v>2018</v>
      </c>
      <c r="U405">
        <v>1</v>
      </c>
      <c r="V405">
        <f t="shared" si="36"/>
        <v>783000</v>
      </c>
      <c r="W405">
        <f t="shared" si="37"/>
        <v>18429897</v>
      </c>
      <c r="X405">
        <f t="shared" si="38"/>
        <v>17646897</v>
      </c>
      <c r="Y405">
        <f t="shared" si="39"/>
        <v>-25687345.5</v>
      </c>
      <c r="Z405">
        <f t="shared" si="40"/>
        <v>44900242.5</v>
      </c>
      <c r="AA405" t="str">
        <f t="shared" si="41"/>
        <v>Normal</v>
      </c>
      <c r="AE405" s="2"/>
      <c r="AF405" s="2"/>
    </row>
    <row r="406" spans="1:32" x14ac:dyDescent="0.35">
      <c r="A406">
        <v>405</v>
      </c>
      <c r="B406" s="1">
        <v>43115</v>
      </c>
      <c r="C406" s="9" t="s">
        <v>413</v>
      </c>
      <c r="D406" s="9" t="s">
        <v>4933</v>
      </c>
      <c r="E406" s="9" t="s">
        <v>6010</v>
      </c>
      <c r="F406" s="9" t="s">
        <v>15</v>
      </c>
      <c r="G406" s="9" t="s">
        <v>4831</v>
      </c>
      <c r="H406" s="9" t="s">
        <v>105</v>
      </c>
      <c r="I406" s="11">
        <v>25000000</v>
      </c>
      <c r="J406" s="11">
        <v>2506548</v>
      </c>
      <c r="K406" s="11">
        <v>13876195</v>
      </c>
      <c r="L406" s="3">
        <v>91</v>
      </c>
      <c r="M406" s="3">
        <v>2505.5</v>
      </c>
      <c r="N406" s="3">
        <v>1552287</v>
      </c>
      <c r="O406" s="2">
        <v>8.5999999999999993E-2</v>
      </c>
      <c r="P406" s="2">
        <v>0.68099999999999994</v>
      </c>
      <c r="Q406" s="2">
        <v>-1.2E-2</v>
      </c>
      <c r="R406" s="11">
        <v>193565107</v>
      </c>
      <c r="S406" s="11">
        <v>1337084</v>
      </c>
      <c r="T406">
        <v>2018</v>
      </c>
      <c r="U406">
        <v>1</v>
      </c>
      <c r="V406">
        <f t="shared" si="36"/>
        <v>784500</v>
      </c>
      <c r="W406">
        <f t="shared" si="37"/>
        <v>18429897</v>
      </c>
      <c r="X406">
        <f t="shared" si="38"/>
        <v>17645397</v>
      </c>
      <c r="Y406">
        <f t="shared" si="39"/>
        <v>-25683595.5</v>
      </c>
      <c r="Z406">
        <f t="shared" si="40"/>
        <v>44897992.5</v>
      </c>
      <c r="AA406" t="str">
        <f t="shared" si="41"/>
        <v>Normal</v>
      </c>
      <c r="AE406" s="2"/>
      <c r="AF406" s="2"/>
    </row>
    <row r="407" spans="1:32" x14ac:dyDescent="0.35">
      <c r="A407">
        <v>406</v>
      </c>
      <c r="B407" s="1">
        <v>43115</v>
      </c>
      <c r="C407" s="9" t="s">
        <v>818</v>
      </c>
      <c r="D407" s="9" t="s">
        <v>4930</v>
      </c>
      <c r="E407" s="9" t="s">
        <v>4990</v>
      </c>
      <c r="F407" s="9" t="s">
        <v>27</v>
      </c>
      <c r="G407" s="9" t="s">
        <v>819</v>
      </c>
      <c r="H407" s="9" t="s">
        <v>105</v>
      </c>
      <c r="I407" s="11">
        <v>20000000</v>
      </c>
      <c r="J407" s="11">
        <v>2513691</v>
      </c>
      <c r="K407" s="11">
        <v>16413671</v>
      </c>
      <c r="L407" s="3">
        <v>43</v>
      </c>
      <c r="M407" s="3">
        <v>750</v>
      </c>
      <c r="N407" s="3">
        <v>1193990</v>
      </c>
      <c r="O407" s="2">
        <v>0.47499999999999998</v>
      </c>
      <c r="P407" s="2">
        <v>0.42499999999999999</v>
      </c>
      <c r="Q407" s="2">
        <v>0.255</v>
      </c>
      <c r="R407" s="11">
        <v>175187729</v>
      </c>
      <c r="S407" s="11">
        <v>303512</v>
      </c>
      <c r="T407">
        <v>2018</v>
      </c>
      <c r="U407">
        <v>1</v>
      </c>
      <c r="V407">
        <f t="shared" si="36"/>
        <v>784000</v>
      </c>
      <c r="W407">
        <f t="shared" si="37"/>
        <v>18429897</v>
      </c>
      <c r="X407">
        <f t="shared" si="38"/>
        <v>17645897</v>
      </c>
      <c r="Y407">
        <f t="shared" si="39"/>
        <v>-25684845.5</v>
      </c>
      <c r="Z407">
        <f t="shared" si="40"/>
        <v>44898742.5</v>
      </c>
      <c r="AA407" t="str">
        <f t="shared" si="41"/>
        <v>Normal</v>
      </c>
      <c r="AE407" s="2"/>
      <c r="AF407" s="2"/>
    </row>
    <row r="408" spans="1:32" x14ac:dyDescent="0.35">
      <c r="A408">
        <v>407</v>
      </c>
      <c r="B408" s="1">
        <v>43117</v>
      </c>
      <c r="C408" s="9" t="s">
        <v>820</v>
      </c>
      <c r="D408" s="9" t="s">
        <v>4930</v>
      </c>
      <c r="E408" s="9" t="s">
        <v>4938</v>
      </c>
      <c r="F408" s="9" t="s">
        <v>41</v>
      </c>
      <c r="G408" s="9" t="s">
        <v>821</v>
      </c>
      <c r="H408" s="9" t="s">
        <v>105</v>
      </c>
      <c r="I408" s="11">
        <v>1000000</v>
      </c>
      <c r="J408" s="11">
        <v>2179820</v>
      </c>
      <c r="K408" s="11">
        <v>16862017</v>
      </c>
      <c r="L408" s="3">
        <v>213</v>
      </c>
      <c r="M408" s="3">
        <v>187</v>
      </c>
      <c r="N408" s="3">
        <v>1471587</v>
      </c>
      <c r="O408" s="2">
        <v>0.20100000000000001</v>
      </c>
      <c r="P408" s="2">
        <v>0.66700000000000004</v>
      </c>
      <c r="Q408" s="2">
        <v>-0.106</v>
      </c>
      <c r="R408" s="11">
        <v>144958460</v>
      </c>
      <c r="S408" s="11">
        <v>825633</v>
      </c>
      <c r="T408">
        <v>2018</v>
      </c>
      <c r="U408">
        <v>1</v>
      </c>
      <c r="V408">
        <f t="shared" si="36"/>
        <v>783500</v>
      </c>
      <c r="W408">
        <f t="shared" si="37"/>
        <v>18429897</v>
      </c>
      <c r="X408">
        <f t="shared" si="38"/>
        <v>17646397</v>
      </c>
      <c r="Y408">
        <f t="shared" si="39"/>
        <v>-25686095.5</v>
      </c>
      <c r="Z408">
        <f t="shared" si="40"/>
        <v>44899492.5</v>
      </c>
      <c r="AA408" t="str">
        <f t="shared" si="41"/>
        <v>Normal</v>
      </c>
      <c r="AE408" s="2"/>
      <c r="AF408" s="2"/>
    </row>
    <row r="409" spans="1:32" x14ac:dyDescent="0.35">
      <c r="A409">
        <v>408</v>
      </c>
      <c r="B409" s="1">
        <v>43118</v>
      </c>
      <c r="C409" s="9" t="s">
        <v>822</v>
      </c>
      <c r="D409" s="9" t="s">
        <v>4930</v>
      </c>
      <c r="E409" s="9" t="s">
        <v>6011</v>
      </c>
      <c r="F409" s="9" t="s">
        <v>15</v>
      </c>
      <c r="G409" s="9" t="s">
        <v>823</v>
      </c>
      <c r="H409" s="9" t="s">
        <v>105</v>
      </c>
      <c r="I409" s="11">
        <v>18200000</v>
      </c>
      <c r="J409" s="11">
        <v>736609</v>
      </c>
      <c r="K409" s="11">
        <v>4526663</v>
      </c>
      <c r="L409" s="3">
        <v>199</v>
      </c>
      <c r="M409" s="3">
        <v>1437</v>
      </c>
      <c r="N409" s="3">
        <v>1695389</v>
      </c>
      <c r="O409" s="2">
        <v>-5.7000000000000002E-2</v>
      </c>
      <c r="P409" s="2">
        <v>1.0120000000000001E-2</v>
      </c>
      <c r="Q409" s="2">
        <v>0.23699999999999999</v>
      </c>
      <c r="R409" s="11">
        <v>460428185</v>
      </c>
      <c r="S409" s="11">
        <v>206091</v>
      </c>
      <c r="T409">
        <v>2018</v>
      </c>
      <c r="U409">
        <v>1</v>
      </c>
      <c r="V409">
        <f t="shared" si="36"/>
        <v>783000</v>
      </c>
      <c r="W409">
        <f t="shared" si="37"/>
        <v>18429897</v>
      </c>
      <c r="X409">
        <f t="shared" si="38"/>
        <v>17646897</v>
      </c>
      <c r="Y409">
        <f t="shared" si="39"/>
        <v>-25687345.5</v>
      </c>
      <c r="Z409">
        <f t="shared" si="40"/>
        <v>44900242.5</v>
      </c>
      <c r="AA409" t="str">
        <f t="shared" si="41"/>
        <v>Normal</v>
      </c>
      <c r="AE409" s="2"/>
      <c r="AF409" s="2"/>
    </row>
    <row r="410" spans="1:32" x14ac:dyDescent="0.35">
      <c r="A410">
        <v>409</v>
      </c>
      <c r="B410" s="1">
        <v>43122</v>
      </c>
      <c r="C410" s="9" t="s">
        <v>824</v>
      </c>
      <c r="D410" s="9" t="s">
        <v>4930</v>
      </c>
      <c r="E410" s="9" t="s">
        <v>4990</v>
      </c>
      <c r="F410" s="9" t="s">
        <v>35</v>
      </c>
      <c r="G410" s="9" t="s">
        <v>825</v>
      </c>
      <c r="H410" s="9" t="s">
        <v>793</v>
      </c>
      <c r="I410" s="11">
        <v>400000</v>
      </c>
      <c r="J410" s="11">
        <v>4673174</v>
      </c>
      <c r="K410" s="11">
        <v>8476190</v>
      </c>
      <c r="L410" s="3">
        <v>394</v>
      </c>
      <c r="M410" s="3">
        <v>3238</v>
      </c>
      <c r="N410" s="3">
        <v>1256136</v>
      </c>
      <c r="O410" s="2">
        <v>2.1999999999999999E-2</v>
      </c>
      <c r="P410" s="2">
        <v>0.56699999999999995</v>
      </c>
      <c r="Q410" s="2">
        <v>3.3000000000000002E-2</v>
      </c>
      <c r="R410" s="11">
        <v>39887312</v>
      </c>
      <c r="S410" s="11">
        <v>1606521</v>
      </c>
      <c r="T410">
        <v>2018</v>
      </c>
      <c r="U410">
        <v>1</v>
      </c>
      <c r="V410">
        <f t="shared" si="36"/>
        <v>782250</v>
      </c>
      <c r="W410">
        <f t="shared" si="37"/>
        <v>18429897</v>
      </c>
      <c r="X410">
        <f t="shared" si="38"/>
        <v>17647647</v>
      </c>
      <c r="Y410">
        <f t="shared" si="39"/>
        <v>-25689220.5</v>
      </c>
      <c r="Z410">
        <f t="shared" si="40"/>
        <v>44901367.5</v>
      </c>
      <c r="AA410" t="str">
        <f t="shared" si="41"/>
        <v>Normal</v>
      </c>
      <c r="AE410" s="2"/>
      <c r="AF410" s="2"/>
    </row>
    <row r="411" spans="1:32" x14ac:dyDescent="0.35">
      <c r="A411">
        <v>410</v>
      </c>
      <c r="B411" s="1">
        <v>43122</v>
      </c>
      <c r="C411" s="9" t="s">
        <v>165</v>
      </c>
      <c r="D411" s="9" t="s">
        <v>4988</v>
      </c>
      <c r="E411" s="9" t="s">
        <v>6002</v>
      </c>
      <c r="F411" s="9" t="s">
        <v>15</v>
      </c>
      <c r="G411" s="9" t="s">
        <v>826</v>
      </c>
      <c r="H411" s="9" t="s">
        <v>105</v>
      </c>
      <c r="I411" s="11">
        <v>2500000</v>
      </c>
      <c r="J411" s="11">
        <v>89402</v>
      </c>
      <c r="K411" s="11">
        <v>10611798</v>
      </c>
      <c r="L411" s="3">
        <v>349</v>
      </c>
      <c r="M411" s="3">
        <v>3172</v>
      </c>
      <c r="N411" s="3">
        <v>627656</v>
      </c>
      <c r="O411" s="2">
        <v>-0.11800000000000001</v>
      </c>
      <c r="P411" s="2">
        <v>0.52200000000000002</v>
      </c>
      <c r="Q411" s="2">
        <v>0.41299999999999998</v>
      </c>
      <c r="R411" s="11">
        <v>1000000000</v>
      </c>
      <c r="S411" s="11">
        <v>489359</v>
      </c>
      <c r="T411">
        <v>2018</v>
      </c>
      <c r="U411">
        <v>1</v>
      </c>
      <c r="V411">
        <f t="shared" si="36"/>
        <v>784000</v>
      </c>
      <c r="W411">
        <f t="shared" si="37"/>
        <v>18429897</v>
      </c>
      <c r="X411">
        <f t="shared" si="38"/>
        <v>17645897</v>
      </c>
      <c r="Y411">
        <f t="shared" si="39"/>
        <v>-25684845.5</v>
      </c>
      <c r="Z411">
        <f t="shared" si="40"/>
        <v>44898742.5</v>
      </c>
      <c r="AA411" t="str">
        <f t="shared" si="41"/>
        <v>Normal</v>
      </c>
      <c r="AE411" s="2"/>
      <c r="AF411" s="2"/>
    </row>
    <row r="412" spans="1:32" x14ac:dyDescent="0.35">
      <c r="A412">
        <v>411</v>
      </c>
      <c r="B412" s="1">
        <v>43122</v>
      </c>
      <c r="C412" s="9" t="s">
        <v>827</v>
      </c>
      <c r="D412" s="9" t="s">
        <v>4930</v>
      </c>
      <c r="E412" s="9" t="s">
        <v>4959</v>
      </c>
      <c r="F412" s="9" t="s">
        <v>15</v>
      </c>
      <c r="G412" s="9" t="s">
        <v>828</v>
      </c>
      <c r="H412" s="9" t="s">
        <v>105</v>
      </c>
      <c r="I412" s="11">
        <v>18429897</v>
      </c>
      <c r="J412" s="11">
        <v>887907</v>
      </c>
      <c r="K412" s="11">
        <v>908106</v>
      </c>
      <c r="L412" s="3">
        <v>33</v>
      </c>
      <c r="M412" s="3">
        <v>1982</v>
      </c>
      <c r="N412" s="3">
        <v>149569</v>
      </c>
      <c r="O412" s="2">
        <v>0.03</v>
      </c>
      <c r="P412" s="2">
        <v>0.64700000000000002</v>
      </c>
      <c r="Q412" s="2">
        <v>-2.1000000000000001E-2</v>
      </c>
      <c r="R412" s="11">
        <v>87664661</v>
      </c>
      <c r="S412" s="11">
        <v>1453866</v>
      </c>
      <c r="T412">
        <v>2018</v>
      </c>
      <c r="U412">
        <v>1</v>
      </c>
      <c r="V412">
        <f t="shared" si="36"/>
        <v>783500</v>
      </c>
      <c r="W412">
        <f t="shared" si="37"/>
        <v>18429897</v>
      </c>
      <c r="X412">
        <f t="shared" si="38"/>
        <v>17646397</v>
      </c>
      <c r="Y412">
        <f t="shared" si="39"/>
        <v>-25686095.5</v>
      </c>
      <c r="Z412">
        <f t="shared" si="40"/>
        <v>44899492.5</v>
      </c>
      <c r="AA412" t="str">
        <f t="shared" si="41"/>
        <v>Normal</v>
      </c>
      <c r="AE412" s="2"/>
      <c r="AF412" s="2"/>
    </row>
    <row r="413" spans="1:32" x14ac:dyDescent="0.35">
      <c r="A413">
        <v>412</v>
      </c>
      <c r="B413" s="1">
        <v>43122</v>
      </c>
      <c r="C413" s="9" t="s">
        <v>829</v>
      </c>
      <c r="D413" s="9" t="s">
        <v>4933</v>
      </c>
      <c r="E413" s="9" t="s">
        <v>6012</v>
      </c>
      <c r="F413" s="9" t="s">
        <v>35</v>
      </c>
      <c r="G413" s="9" t="s">
        <v>830</v>
      </c>
      <c r="H413" s="9" t="s">
        <v>105</v>
      </c>
      <c r="I413" s="11">
        <v>4000000</v>
      </c>
      <c r="J413" s="11">
        <v>1163687</v>
      </c>
      <c r="K413" s="11">
        <v>9588034</v>
      </c>
      <c r="L413" s="3">
        <v>251</v>
      </c>
      <c r="M413" s="3">
        <v>3333</v>
      </c>
      <c r="N413" s="3">
        <v>246405</v>
      </c>
      <c r="O413" s="2">
        <v>0.442</v>
      </c>
      <c r="P413" s="2">
        <v>0.69499999999999995</v>
      </c>
      <c r="Q413" s="2">
        <v>-0.17800000000000002</v>
      </c>
      <c r="R413" s="11">
        <v>317419512</v>
      </c>
      <c r="S413" s="11">
        <v>961996</v>
      </c>
      <c r="T413">
        <v>2018</v>
      </c>
      <c r="U413">
        <v>1</v>
      </c>
      <c r="V413">
        <f t="shared" si="36"/>
        <v>783000</v>
      </c>
      <c r="W413">
        <f t="shared" si="37"/>
        <v>18429897</v>
      </c>
      <c r="X413">
        <f t="shared" si="38"/>
        <v>17646897</v>
      </c>
      <c r="Y413">
        <f t="shared" si="39"/>
        <v>-25687345.5</v>
      </c>
      <c r="Z413">
        <f t="shared" si="40"/>
        <v>44900242.5</v>
      </c>
      <c r="AA413" t="str">
        <f t="shared" si="41"/>
        <v>Normal</v>
      </c>
      <c r="AE413" s="2"/>
      <c r="AF413" s="2"/>
    </row>
    <row r="414" spans="1:32" x14ac:dyDescent="0.35">
      <c r="A414">
        <v>413</v>
      </c>
      <c r="B414" s="1">
        <v>43122</v>
      </c>
      <c r="C414" s="9" t="s">
        <v>831</v>
      </c>
      <c r="D414" s="9" t="s">
        <v>4930</v>
      </c>
      <c r="E414" s="9" t="s">
        <v>4938</v>
      </c>
      <c r="F414" s="9" t="s">
        <v>15</v>
      </c>
      <c r="G414" s="9" t="s">
        <v>832</v>
      </c>
      <c r="H414" s="9" t="s">
        <v>105</v>
      </c>
      <c r="I414" s="11">
        <v>3200000</v>
      </c>
      <c r="J414" s="11">
        <v>1410901</v>
      </c>
      <c r="K414" s="11">
        <v>4363690</v>
      </c>
      <c r="L414" s="3">
        <v>398</v>
      </c>
      <c r="M414" s="3">
        <v>997</v>
      </c>
      <c r="N414" s="3">
        <v>473775</v>
      </c>
      <c r="O414" s="2">
        <v>8.6999999999999994E-2</v>
      </c>
      <c r="P414" s="2">
        <v>0.47299999999999998</v>
      </c>
      <c r="Q414" s="2">
        <v>0.255</v>
      </c>
      <c r="R414" s="11">
        <v>1000000000</v>
      </c>
      <c r="S414" s="11">
        <v>1583420</v>
      </c>
      <c r="T414">
        <v>2018</v>
      </c>
      <c r="U414">
        <v>1</v>
      </c>
      <c r="V414">
        <f t="shared" si="36"/>
        <v>782250</v>
      </c>
      <c r="W414">
        <f t="shared" si="37"/>
        <v>18429897</v>
      </c>
      <c r="X414">
        <f t="shared" si="38"/>
        <v>17647647</v>
      </c>
      <c r="Y414">
        <f t="shared" si="39"/>
        <v>-25689220.5</v>
      </c>
      <c r="Z414">
        <f t="shared" si="40"/>
        <v>44901367.5</v>
      </c>
      <c r="AA414" t="str">
        <f t="shared" si="41"/>
        <v>Normal</v>
      </c>
      <c r="AE414" s="2"/>
      <c r="AF414" s="2"/>
    </row>
    <row r="415" spans="1:32" x14ac:dyDescent="0.35">
      <c r="A415">
        <v>414</v>
      </c>
      <c r="B415" s="1">
        <v>43123</v>
      </c>
      <c r="C415" s="9" t="s">
        <v>323</v>
      </c>
      <c r="D415" s="9" t="s">
        <v>4925</v>
      </c>
      <c r="E415" s="9" t="s">
        <v>6013</v>
      </c>
      <c r="F415" s="9" t="s">
        <v>151</v>
      </c>
      <c r="G415" s="9" t="s">
        <v>833</v>
      </c>
      <c r="H415" s="9" t="s">
        <v>105</v>
      </c>
      <c r="I415" s="11">
        <v>3000000</v>
      </c>
      <c r="J415" s="11">
        <v>676474</v>
      </c>
      <c r="K415" s="11">
        <v>4215450</v>
      </c>
      <c r="L415" s="3">
        <v>367</v>
      </c>
      <c r="M415" s="3">
        <v>3626</v>
      </c>
      <c r="N415" s="3">
        <v>1537205</v>
      </c>
      <c r="O415" s="2">
        <v>-0.14699999999999999</v>
      </c>
      <c r="P415" s="2">
        <v>0.8</v>
      </c>
      <c r="Q415" s="2">
        <v>0.223</v>
      </c>
      <c r="R415" s="11">
        <v>372646112</v>
      </c>
      <c r="S415" s="11">
        <v>949007</v>
      </c>
      <c r="T415">
        <v>2018</v>
      </c>
      <c r="U415">
        <v>1</v>
      </c>
      <c r="V415">
        <f t="shared" si="36"/>
        <v>781500</v>
      </c>
      <c r="W415">
        <f t="shared" si="37"/>
        <v>18429897</v>
      </c>
      <c r="X415">
        <f t="shared" si="38"/>
        <v>17648397</v>
      </c>
      <c r="Y415">
        <f t="shared" si="39"/>
        <v>-25691095.5</v>
      </c>
      <c r="Z415">
        <f t="shared" si="40"/>
        <v>44902492.5</v>
      </c>
      <c r="AA415" t="str">
        <f t="shared" si="41"/>
        <v>Normal</v>
      </c>
      <c r="AE415" s="2"/>
      <c r="AF415" s="2"/>
    </row>
    <row r="416" spans="1:32" x14ac:dyDescent="0.35">
      <c r="A416">
        <v>415</v>
      </c>
      <c r="B416" s="1">
        <v>43124</v>
      </c>
      <c r="C416" s="9" t="s">
        <v>834</v>
      </c>
      <c r="D416" s="9" t="s">
        <v>4933</v>
      </c>
      <c r="E416" s="9" t="s">
        <v>6014</v>
      </c>
      <c r="F416" s="9" t="s">
        <v>31</v>
      </c>
      <c r="G416" s="9" t="s">
        <v>835</v>
      </c>
      <c r="H416" s="9" t="s">
        <v>105</v>
      </c>
      <c r="I416" s="11">
        <v>47000000</v>
      </c>
      <c r="J416" s="11">
        <v>109447</v>
      </c>
      <c r="K416" s="11">
        <v>15259055</v>
      </c>
      <c r="L416" s="3">
        <v>252</v>
      </c>
      <c r="M416" s="3">
        <v>136</v>
      </c>
      <c r="N416" s="3">
        <v>188407</v>
      </c>
      <c r="O416" s="2">
        <v>0.20600000000000002</v>
      </c>
      <c r="P416" s="2">
        <v>0.22899999999999998</v>
      </c>
      <c r="Q416" s="2">
        <v>0.20300000000000001</v>
      </c>
      <c r="R416" s="11">
        <v>69800098</v>
      </c>
      <c r="S416" s="11">
        <v>534004</v>
      </c>
      <c r="T416">
        <v>2018</v>
      </c>
      <c r="U416">
        <v>1</v>
      </c>
      <c r="V416">
        <f t="shared" si="36"/>
        <v>780750</v>
      </c>
      <c r="W416">
        <f t="shared" si="37"/>
        <v>18429897</v>
      </c>
      <c r="X416">
        <f t="shared" si="38"/>
        <v>17649147</v>
      </c>
      <c r="Y416">
        <f t="shared" si="39"/>
        <v>-25692970.5</v>
      </c>
      <c r="Z416">
        <f t="shared" si="40"/>
        <v>44903617.5</v>
      </c>
      <c r="AA416" t="str">
        <f t="shared" si="41"/>
        <v>Outlier</v>
      </c>
      <c r="AE416" s="2"/>
      <c r="AF416" s="2"/>
    </row>
    <row r="417" spans="1:32" x14ac:dyDescent="0.35">
      <c r="A417">
        <v>416</v>
      </c>
      <c r="B417" s="1">
        <v>43124</v>
      </c>
      <c r="C417" s="9" t="s">
        <v>836</v>
      </c>
      <c r="D417" s="9" t="s">
        <v>4938</v>
      </c>
      <c r="E417" s="9" t="s">
        <v>6015</v>
      </c>
      <c r="F417" s="9" t="s">
        <v>31</v>
      </c>
      <c r="G417" s="9" t="s">
        <v>837</v>
      </c>
      <c r="H417" s="9" t="s">
        <v>838</v>
      </c>
      <c r="I417" s="11">
        <v>8600000</v>
      </c>
      <c r="J417" s="11">
        <v>3394740</v>
      </c>
      <c r="K417" s="11">
        <v>4117675</v>
      </c>
      <c r="L417" s="3">
        <v>309</v>
      </c>
      <c r="M417" s="3">
        <v>718</v>
      </c>
      <c r="N417" s="3">
        <v>254250</v>
      </c>
      <c r="O417" s="2">
        <v>4.1000000000000002E-2</v>
      </c>
      <c r="P417" s="2">
        <v>0.68600000000000005</v>
      </c>
      <c r="Q417" s="2">
        <v>0.36749999999999999</v>
      </c>
      <c r="R417" s="11">
        <v>178771446</v>
      </c>
      <c r="S417" s="11">
        <v>1008193.5</v>
      </c>
      <c r="T417">
        <v>2018</v>
      </c>
      <c r="U417">
        <v>1</v>
      </c>
      <c r="V417">
        <f t="shared" si="36"/>
        <v>780000</v>
      </c>
      <c r="W417">
        <f t="shared" si="37"/>
        <v>18429897</v>
      </c>
      <c r="X417">
        <f t="shared" si="38"/>
        <v>17649897</v>
      </c>
      <c r="Y417">
        <f t="shared" si="39"/>
        <v>-25694845.5</v>
      </c>
      <c r="Z417">
        <f t="shared" si="40"/>
        <v>44904742.5</v>
      </c>
      <c r="AA417" t="str">
        <f t="shared" si="41"/>
        <v>Normal</v>
      </c>
      <c r="AE417" s="2"/>
      <c r="AF417" s="2"/>
    </row>
    <row r="418" spans="1:32" x14ac:dyDescent="0.35">
      <c r="A418">
        <v>417</v>
      </c>
      <c r="B418" s="1">
        <v>43124</v>
      </c>
      <c r="C418" s="9" t="s">
        <v>83</v>
      </c>
      <c r="D418" s="9" t="s">
        <v>4933</v>
      </c>
      <c r="E418" s="9" t="s">
        <v>5949</v>
      </c>
      <c r="F418" s="9" t="s">
        <v>151</v>
      </c>
      <c r="G418" s="9" t="s">
        <v>839</v>
      </c>
      <c r="H418" s="9" t="s">
        <v>840</v>
      </c>
      <c r="I418" s="11">
        <v>6240000</v>
      </c>
      <c r="J418" s="11">
        <v>4847163</v>
      </c>
      <c r="K418" s="11">
        <v>15888626</v>
      </c>
      <c r="L418" s="3">
        <v>283</v>
      </c>
      <c r="M418" s="3">
        <v>4614</v>
      </c>
      <c r="N418" s="3">
        <v>1957954</v>
      </c>
      <c r="O418" s="2">
        <v>0.23199999999999998</v>
      </c>
      <c r="P418" s="2">
        <v>0.84900000000000009</v>
      </c>
      <c r="Q418" s="2">
        <v>-0.15</v>
      </c>
      <c r="R418" s="11">
        <v>250264963</v>
      </c>
      <c r="S418" s="11">
        <v>1496011</v>
      </c>
      <c r="T418">
        <v>2018</v>
      </c>
      <c r="U418">
        <v>1</v>
      </c>
      <c r="V418">
        <f t="shared" si="36"/>
        <v>780000</v>
      </c>
      <c r="W418">
        <f t="shared" si="37"/>
        <v>18429897</v>
      </c>
      <c r="X418">
        <f t="shared" si="38"/>
        <v>17649897</v>
      </c>
      <c r="Y418">
        <f t="shared" si="39"/>
        <v>-25694845.5</v>
      </c>
      <c r="Z418">
        <f t="shared" si="40"/>
        <v>44904742.5</v>
      </c>
      <c r="AA418" t="str">
        <f t="shared" si="41"/>
        <v>Normal</v>
      </c>
      <c r="AE418" s="2"/>
      <c r="AF418" s="2"/>
    </row>
    <row r="419" spans="1:32" x14ac:dyDescent="0.35">
      <c r="A419">
        <v>418</v>
      </c>
      <c r="B419" s="1">
        <v>43125</v>
      </c>
      <c r="C419" s="9" t="s">
        <v>841</v>
      </c>
      <c r="D419" s="9" t="s">
        <v>4925</v>
      </c>
      <c r="E419" s="9" t="s">
        <v>6016</v>
      </c>
      <c r="F419" s="9" t="s">
        <v>15</v>
      </c>
      <c r="G419" s="9" t="s">
        <v>842</v>
      </c>
      <c r="H419" s="9" t="s">
        <v>793</v>
      </c>
      <c r="I419" s="11">
        <v>18429897</v>
      </c>
      <c r="J419" s="11">
        <v>626725</v>
      </c>
      <c r="K419" s="11">
        <v>10153449</v>
      </c>
      <c r="L419" s="3">
        <v>119</v>
      </c>
      <c r="M419" s="3">
        <v>2365</v>
      </c>
      <c r="N419" s="3">
        <v>800853</v>
      </c>
      <c r="O419" s="2">
        <v>7.2000000000000008E-2</v>
      </c>
      <c r="P419" s="2">
        <v>0.66599999999999993</v>
      </c>
      <c r="Q419" s="2">
        <v>-9.7000000000000003E-2</v>
      </c>
      <c r="R419" s="11">
        <v>415719699</v>
      </c>
      <c r="S419" s="11">
        <v>1292106</v>
      </c>
      <c r="T419">
        <v>2018</v>
      </c>
      <c r="U419">
        <v>1</v>
      </c>
      <c r="V419">
        <f t="shared" si="36"/>
        <v>780000</v>
      </c>
      <c r="W419">
        <f t="shared" si="37"/>
        <v>18429897</v>
      </c>
      <c r="X419">
        <f t="shared" si="38"/>
        <v>17649897</v>
      </c>
      <c r="Y419">
        <f t="shared" si="39"/>
        <v>-25694845.5</v>
      </c>
      <c r="Z419">
        <f t="shared" si="40"/>
        <v>44904742.5</v>
      </c>
      <c r="AA419" t="str">
        <f t="shared" si="41"/>
        <v>Normal</v>
      </c>
      <c r="AE419" s="2"/>
      <c r="AF419" s="2"/>
    </row>
    <row r="420" spans="1:32" x14ac:dyDescent="0.35">
      <c r="A420">
        <v>419</v>
      </c>
      <c r="B420" s="1">
        <v>43125</v>
      </c>
      <c r="C420" s="9" t="s">
        <v>843</v>
      </c>
      <c r="D420" s="9" t="s">
        <v>4930</v>
      </c>
      <c r="E420" s="9" t="s">
        <v>4938</v>
      </c>
      <c r="F420" s="9" t="s">
        <v>31</v>
      </c>
      <c r="G420" s="9" t="s">
        <v>844</v>
      </c>
      <c r="H420" s="9" t="s">
        <v>105</v>
      </c>
      <c r="I420" s="11">
        <v>1000000</v>
      </c>
      <c r="J420" s="11">
        <v>1496745</v>
      </c>
      <c r="K420" s="11">
        <v>10153449</v>
      </c>
      <c r="L420" s="3">
        <v>254</v>
      </c>
      <c r="M420" s="3">
        <v>2803</v>
      </c>
      <c r="N420" s="3">
        <v>255653</v>
      </c>
      <c r="O420" s="2">
        <v>0.40899999999999997</v>
      </c>
      <c r="P420" s="2">
        <v>1.1779999999999999</v>
      </c>
      <c r="Q420" s="2">
        <v>0.43</v>
      </c>
      <c r="R420" s="11">
        <v>320407846</v>
      </c>
      <c r="S420" s="11">
        <v>1320414</v>
      </c>
      <c r="T420">
        <v>2018</v>
      </c>
      <c r="U420">
        <v>1</v>
      </c>
      <c r="V420">
        <f t="shared" si="36"/>
        <v>780000</v>
      </c>
      <c r="W420">
        <f t="shared" si="37"/>
        <v>18429897</v>
      </c>
      <c r="X420">
        <f t="shared" si="38"/>
        <v>17649897</v>
      </c>
      <c r="Y420">
        <f t="shared" si="39"/>
        <v>-25694845.5</v>
      </c>
      <c r="Z420">
        <f t="shared" si="40"/>
        <v>44904742.5</v>
      </c>
      <c r="AA420" t="str">
        <f t="shared" si="41"/>
        <v>Normal</v>
      </c>
      <c r="AE420" s="2"/>
      <c r="AF420" s="2"/>
    </row>
    <row r="421" spans="1:32" x14ac:dyDescent="0.35">
      <c r="A421">
        <v>420</v>
      </c>
      <c r="B421" s="1">
        <v>43126</v>
      </c>
      <c r="C421" s="9" t="s">
        <v>845</v>
      </c>
      <c r="D421" s="9" t="s">
        <v>2539</v>
      </c>
      <c r="E421" s="9" t="s">
        <v>6017</v>
      </c>
      <c r="F421" s="9" t="s">
        <v>15</v>
      </c>
      <c r="G421" s="9" t="s">
        <v>846</v>
      </c>
      <c r="H421" s="9" t="s">
        <v>105</v>
      </c>
      <c r="I421" s="11">
        <v>7400000</v>
      </c>
      <c r="J421" s="11">
        <v>2541523</v>
      </c>
      <c r="K421" s="11">
        <v>3481441</v>
      </c>
      <c r="L421" s="3">
        <v>339</v>
      </c>
      <c r="M421" s="3">
        <v>2016</v>
      </c>
      <c r="N421" s="3">
        <v>1744969</v>
      </c>
      <c r="O421" s="2">
        <v>-6.2E-2</v>
      </c>
      <c r="P421" s="2">
        <v>0.35499999999999998</v>
      </c>
      <c r="Q421" s="2">
        <v>0.20899999999999999</v>
      </c>
      <c r="R421" s="11">
        <v>236529398</v>
      </c>
      <c r="S421" s="11">
        <v>1747393</v>
      </c>
      <c r="T421">
        <v>2018</v>
      </c>
      <c r="U421">
        <v>1</v>
      </c>
      <c r="V421">
        <f t="shared" si="36"/>
        <v>780000</v>
      </c>
      <c r="W421">
        <f t="shared" si="37"/>
        <v>18429897</v>
      </c>
      <c r="X421">
        <f t="shared" si="38"/>
        <v>17649897</v>
      </c>
      <c r="Y421">
        <f t="shared" si="39"/>
        <v>-25694845.5</v>
      </c>
      <c r="Z421">
        <f t="shared" si="40"/>
        <v>44904742.5</v>
      </c>
      <c r="AA421" t="str">
        <f t="shared" si="41"/>
        <v>Normal</v>
      </c>
      <c r="AE421" s="2"/>
      <c r="AF421" s="2"/>
    </row>
    <row r="422" spans="1:32" x14ac:dyDescent="0.35">
      <c r="A422">
        <v>421</v>
      </c>
      <c r="B422" s="1">
        <v>43129</v>
      </c>
      <c r="C422" s="9" t="s">
        <v>847</v>
      </c>
      <c r="D422" s="9" t="s">
        <v>2539</v>
      </c>
      <c r="E422" s="9" t="s">
        <v>4930</v>
      </c>
      <c r="F422" s="9" t="s">
        <v>124</v>
      </c>
      <c r="G422" s="9" t="s">
        <v>848</v>
      </c>
      <c r="H422" s="9" t="s">
        <v>105</v>
      </c>
      <c r="I422" s="11">
        <v>1500000</v>
      </c>
      <c r="J422" s="11">
        <v>4638961</v>
      </c>
      <c r="K422" s="11">
        <v>10153449</v>
      </c>
      <c r="L422" s="3">
        <v>32</v>
      </c>
      <c r="M422" s="3">
        <v>3252</v>
      </c>
      <c r="N422" s="3">
        <v>1934388</v>
      </c>
      <c r="O422" s="2">
        <v>-0.113</v>
      </c>
      <c r="P422" s="2">
        <v>0.65300000000000002</v>
      </c>
      <c r="Q422" s="2">
        <v>-1.3999999999999999E-2</v>
      </c>
      <c r="R422" s="11">
        <v>468419461</v>
      </c>
      <c r="S422" s="11">
        <v>1840880</v>
      </c>
      <c r="T422">
        <v>2018</v>
      </c>
      <c r="U422">
        <v>1</v>
      </c>
      <c r="V422">
        <f t="shared" si="36"/>
        <v>779000</v>
      </c>
      <c r="W422">
        <f t="shared" si="37"/>
        <v>18429897</v>
      </c>
      <c r="X422">
        <f t="shared" si="38"/>
        <v>17650897</v>
      </c>
      <c r="Y422">
        <f t="shared" si="39"/>
        <v>-25697345.5</v>
      </c>
      <c r="Z422">
        <f t="shared" si="40"/>
        <v>44906242.5</v>
      </c>
      <c r="AA422" t="str">
        <f t="shared" si="41"/>
        <v>Normal</v>
      </c>
      <c r="AE422" s="2"/>
      <c r="AF422" s="2"/>
    </row>
    <row r="423" spans="1:32" x14ac:dyDescent="0.35">
      <c r="A423">
        <v>422</v>
      </c>
      <c r="B423" s="1">
        <v>43129</v>
      </c>
      <c r="C423" s="9" t="s">
        <v>849</v>
      </c>
      <c r="D423" s="9" t="s">
        <v>4988</v>
      </c>
      <c r="E423" s="9" t="s">
        <v>6018</v>
      </c>
      <c r="F423" s="9" t="s">
        <v>31</v>
      </c>
      <c r="G423" s="9" t="s">
        <v>198</v>
      </c>
      <c r="H423" s="9" t="s">
        <v>105</v>
      </c>
      <c r="I423" s="11">
        <v>1000000</v>
      </c>
      <c r="J423" s="11">
        <v>3477426</v>
      </c>
      <c r="K423" s="11">
        <v>8798793</v>
      </c>
      <c r="L423" s="3">
        <v>349</v>
      </c>
      <c r="M423" s="3">
        <v>3752</v>
      </c>
      <c r="N423" s="3">
        <v>1008318</v>
      </c>
      <c r="O423" s="2">
        <v>0.308</v>
      </c>
      <c r="P423" s="2">
        <v>0.49200000000000005</v>
      </c>
      <c r="Q423" s="2">
        <v>-0.34100000000000003</v>
      </c>
      <c r="R423" s="11">
        <v>430829799</v>
      </c>
      <c r="S423" s="11">
        <v>329119</v>
      </c>
      <c r="T423">
        <v>2018</v>
      </c>
      <c r="U423">
        <v>1</v>
      </c>
      <c r="V423">
        <f t="shared" si="36"/>
        <v>778000</v>
      </c>
      <c r="W423">
        <f t="shared" si="37"/>
        <v>18429897</v>
      </c>
      <c r="X423">
        <f t="shared" si="38"/>
        <v>17651897</v>
      </c>
      <c r="Y423">
        <f t="shared" si="39"/>
        <v>-25699845.5</v>
      </c>
      <c r="Z423">
        <f t="shared" si="40"/>
        <v>44907742.5</v>
      </c>
      <c r="AA423" t="str">
        <f t="shared" si="41"/>
        <v>Normal</v>
      </c>
      <c r="AE423" s="2"/>
      <c r="AF423" s="2"/>
    </row>
    <row r="424" spans="1:32" x14ac:dyDescent="0.35">
      <c r="A424">
        <v>423</v>
      </c>
      <c r="B424" s="1">
        <v>43130</v>
      </c>
      <c r="C424" s="9" t="s">
        <v>850</v>
      </c>
      <c r="D424" s="9" t="s">
        <v>2539</v>
      </c>
      <c r="E424" s="9" t="s">
        <v>6019</v>
      </c>
      <c r="F424" s="9" t="s">
        <v>151</v>
      </c>
      <c r="G424" s="9" t="s">
        <v>851</v>
      </c>
      <c r="H424" s="9" t="s">
        <v>105</v>
      </c>
      <c r="I424" s="11">
        <v>1000000</v>
      </c>
      <c r="J424" s="11">
        <v>3835616</v>
      </c>
      <c r="K424" s="11">
        <v>11065591</v>
      </c>
      <c r="L424" s="3">
        <v>128</v>
      </c>
      <c r="M424" s="3">
        <v>3907</v>
      </c>
      <c r="N424" s="3">
        <v>225513</v>
      </c>
      <c r="O424" s="2">
        <v>-0.28100000000000003</v>
      </c>
      <c r="P424" s="2">
        <v>1.103</v>
      </c>
      <c r="Q424" s="2">
        <v>-0.21100000000000002</v>
      </c>
      <c r="R424" s="11">
        <v>285822416</v>
      </c>
      <c r="S424" s="11">
        <v>1307097</v>
      </c>
      <c r="T424">
        <v>2018</v>
      </c>
      <c r="U424">
        <v>1</v>
      </c>
      <c r="V424">
        <f t="shared" si="36"/>
        <v>777000</v>
      </c>
      <c r="W424">
        <f t="shared" si="37"/>
        <v>18429897</v>
      </c>
      <c r="X424">
        <f t="shared" si="38"/>
        <v>17652897</v>
      </c>
      <c r="Y424">
        <f t="shared" si="39"/>
        <v>-25702345.5</v>
      </c>
      <c r="Z424">
        <f t="shared" si="40"/>
        <v>44909242.5</v>
      </c>
      <c r="AA424" t="str">
        <f t="shared" si="41"/>
        <v>Normal</v>
      </c>
      <c r="AE424" s="2"/>
      <c r="AF424" s="2"/>
    </row>
    <row r="425" spans="1:32" x14ac:dyDescent="0.35">
      <c r="A425">
        <v>424</v>
      </c>
      <c r="B425" s="1">
        <v>43130</v>
      </c>
      <c r="C425" s="9" t="s">
        <v>852</v>
      </c>
      <c r="D425" s="9" t="s">
        <v>4930</v>
      </c>
      <c r="E425" s="9" t="s">
        <v>6020</v>
      </c>
      <c r="F425" s="9" t="s">
        <v>31</v>
      </c>
      <c r="G425" s="9" t="s">
        <v>853</v>
      </c>
      <c r="H425" s="9" t="s">
        <v>105</v>
      </c>
      <c r="I425" s="11">
        <v>50000000</v>
      </c>
      <c r="J425" s="11">
        <v>2531926</v>
      </c>
      <c r="K425" s="11">
        <v>15589048</v>
      </c>
      <c r="L425" s="3">
        <v>8</v>
      </c>
      <c r="M425" s="3">
        <v>1283</v>
      </c>
      <c r="N425" s="3">
        <v>1255203</v>
      </c>
      <c r="O425" s="2">
        <v>8.5999999999999993E-2</v>
      </c>
      <c r="P425" s="2">
        <v>0.38</v>
      </c>
      <c r="Q425" s="2">
        <v>-0.13900000000000001</v>
      </c>
      <c r="R425" s="11">
        <v>107675351</v>
      </c>
      <c r="S425" s="11">
        <v>1830852</v>
      </c>
      <c r="T425">
        <v>2018</v>
      </c>
      <c r="U425">
        <v>1</v>
      </c>
      <c r="V425">
        <f t="shared" si="36"/>
        <v>776000</v>
      </c>
      <c r="W425">
        <f t="shared" si="37"/>
        <v>18429897</v>
      </c>
      <c r="X425">
        <f t="shared" si="38"/>
        <v>17653897</v>
      </c>
      <c r="Y425">
        <f t="shared" si="39"/>
        <v>-25704845.5</v>
      </c>
      <c r="Z425">
        <f t="shared" si="40"/>
        <v>44910742.5</v>
      </c>
      <c r="AA425" t="str">
        <f t="shared" si="41"/>
        <v>Outlier</v>
      </c>
      <c r="AE425" s="2"/>
      <c r="AF425" s="2"/>
    </row>
    <row r="426" spans="1:32" x14ac:dyDescent="0.35">
      <c r="A426">
        <v>425</v>
      </c>
      <c r="B426" s="1">
        <v>43130</v>
      </c>
      <c r="C426" s="9" t="s">
        <v>854</v>
      </c>
      <c r="D426" s="9" t="s">
        <v>4930</v>
      </c>
      <c r="E426" s="9" t="s">
        <v>6021</v>
      </c>
      <c r="F426" s="9" t="s">
        <v>15</v>
      </c>
      <c r="G426" s="9" t="s">
        <v>855</v>
      </c>
      <c r="H426" s="9" t="s">
        <v>793</v>
      </c>
      <c r="I426" s="11">
        <v>500000</v>
      </c>
      <c r="J426" s="11">
        <v>2096838</v>
      </c>
      <c r="K426" s="11">
        <v>8511897</v>
      </c>
      <c r="L426" s="3">
        <v>378</v>
      </c>
      <c r="M426" s="3">
        <v>3151</v>
      </c>
      <c r="N426" s="3">
        <v>1724474</v>
      </c>
      <c r="O426" s="2">
        <v>0.28000000000000003</v>
      </c>
      <c r="P426" s="2">
        <v>0.72099999999999997</v>
      </c>
      <c r="Q426" s="2">
        <v>-0.04</v>
      </c>
      <c r="R426" s="11">
        <v>57342068</v>
      </c>
      <c r="S426" s="11">
        <v>233716</v>
      </c>
      <c r="T426">
        <v>2018</v>
      </c>
      <c r="U426">
        <v>1</v>
      </c>
      <c r="V426">
        <f t="shared" si="36"/>
        <v>774500</v>
      </c>
      <c r="W426">
        <f t="shared" si="37"/>
        <v>18429897</v>
      </c>
      <c r="X426">
        <f t="shared" si="38"/>
        <v>17655397</v>
      </c>
      <c r="Y426">
        <f t="shared" si="39"/>
        <v>-25708595.5</v>
      </c>
      <c r="Z426">
        <f t="shared" si="40"/>
        <v>44912992.5</v>
      </c>
      <c r="AA426" t="str">
        <f t="shared" si="41"/>
        <v>Normal</v>
      </c>
      <c r="AE426" s="2"/>
      <c r="AF426" s="2"/>
    </row>
    <row r="427" spans="1:32" x14ac:dyDescent="0.35">
      <c r="A427">
        <v>426</v>
      </c>
      <c r="B427" s="1">
        <v>43130</v>
      </c>
      <c r="C427" s="9" t="s">
        <v>757</v>
      </c>
      <c r="D427" s="9" t="s">
        <v>4930</v>
      </c>
      <c r="E427" s="9" t="s">
        <v>758</v>
      </c>
      <c r="F427" s="9" t="s">
        <v>31</v>
      </c>
      <c r="G427" s="9" t="s">
        <v>856</v>
      </c>
      <c r="H427" s="9" t="s">
        <v>105</v>
      </c>
      <c r="I427" s="11">
        <v>7600000</v>
      </c>
      <c r="J427" s="11">
        <v>1014882</v>
      </c>
      <c r="K427" s="11">
        <v>3424563</v>
      </c>
      <c r="L427" s="3">
        <v>254</v>
      </c>
      <c r="M427" s="3">
        <v>2505.5</v>
      </c>
      <c r="N427" s="3">
        <v>1930914</v>
      </c>
      <c r="O427" s="2">
        <v>-0.31900000000000001</v>
      </c>
      <c r="P427" s="2">
        <v>0.624</v>
      </c>
      <c r="Q427" s="2">
        <v>0.17600000000000002</v>
      </c>
      <c r="R427" s="11">
        <v>447872903</v>
      </c>
      <c r="S427" s="11">
        <v>1704060</v>
      </c>
      <c r="T427">
        <v>2018</v>
      </c>
      <c r="U427">
        <v>1</v>
      </c>
      <c r="V427">
        <f t="shared" si="36"/>
        <v>778000</v>
      </c>
      <c r="W427">
        <f t="shared" si="37"/>
        <v>18429897</v>
      </c>
      <c r="X427">
        <f t="shared" si="38"/>
        <v>17651897</v>
      </c>
      <c r="Y427">
        <f t="shared" si="39"/>
        <v>-25699845.5</v>
      </c>
      <c r="Z427">
        <f t="shared" si="40"/>
        <v>44907742.5</v>
      </c>
      <c r="AA427" t="str">
        <f t="shared" si="41"/>
        <v>Normal</v>
      </c>
      <c r="AE427" s="2"/>
      <c r="AF427" s="2"/>
    </row>
    <row r="428" spans="1:32" x14ac:dyDescent="0.35">
      <c r="A428">
        <v>427</v>
      </c>
      <c r="B428" s="1">
        <v>43130</v>
      </c>
      <c r="C428" s="9" t="s">
        <v>857</v>
      </c>
      <c r="D428" s="9" t="s">
        <v>2539</v>
      </c>
      <c r="E428" s="9" t="s">
        <v>6022</v>
      </c>
      <c r="F428" s="9" t="s">
        <v>15</v>
      </c>
      <c r="G428" s="9" t="s">
        <v>858</v>
      </c>
      <c r="H428" s="9" t="s">
        <v>59</v>
      </c>
      <c r="I428" s="11">
        <v>10000000</v>
      </c>
      <c r="J428" s="11">
        <v>4324285</v>
      </c>
      <c r="K428" s="11">
        <v>19830577</v>
      </c>
      <c r="L428" s="3">
        <v>209</v>
      </c>
      <c r="M428" s="3">
        <v>2094</v>
      </c>
      <c r="N428" s="3">
        <v>1149302</v>
      </c>
      <c r="O428" s="2">
        <v>0.13300000000000001</v>
      </c>
      <c r="P428" s="2">
        <v>1.117</v>
      </c>
      <c r="Q428" s="2">
        <v>-0.24100000000000002</v>
      </c>
      <c r="R428" s="11">
        <v>354403306</v>
      </c>
      <c r="S428" s="11">
        <v>1082396</v>
      </c>
      <c r="T428">
        <v>2018</v>
      </c>
      <c r="U428">
        <v>1</v>
      </c>
      <c r="V428">
        <f t="shared" si="36"/>
        <v>777000</v>
      </c>
      <c r="W428">
        <f t="shared" si="37"/>
        <v>18429897</v>
      </c>
      <c r="X428">
        <f t="shared" si="38"/>
        <v>17652897</v>
      </c>
      <c r="Y428">
        <f t="shared" si="39"/>
        <v>-25702345.5</v>
      </c>
      <c r="Z428">
        <f t="shared" si="40"/>
        <v>44909242.5</v>
      </c>
      <c r="AA428" t="str">
        <f t="shared" si="41"/>
        <v>Normal</v>
      </c>
      <c r="AE428" s="2"/>
      <c r="AF428" s="2"/>
    </row>
    <row r="429" spans="1:32" x14ac:dyDescent="0.35">
      <c r="A429">
        <v>428</v>
      </c>
      <c r="B429" s="1">
        <v>43131</v>
      </c>
      <c r="C429" s="9" t="s">
        <v>859</v>
      </c>
      <c r="D429" s="9" t="s">
        <v>4930</v>
      </c>
      <c r="E429" s="9" t="s">
        <v>6023</v>
      </c>
      <c r="F429" s="9" t="s">
        <v>15</v>
      </c>
      <c r="G429" s="9" t="s">
        <v>196</v>
      </c>
      <c r="H429" s="9" t="s">
        <v>105</v>
      </c>
      <c r="I429" s="11">
        <v>4400000</v>
      </c>
      <c r="J429" s="11">
        <v>4024540</v>
      </c>
      <c r="K429" s="11">
        <v>18100661</v>
      </c>
      <c r="L429" s="3">
        <v>314</v>
      </c>
      <c r="M429" s="3">
        <v>2505.5</v>
      </c>
      <c r="N429" s="3">
        <v>1888473</v>
      </c>
      <c r="O429" s="2">
        <v>-0.17899999999999999</v>
      </c>
      <c r="P429" s="2">
        <v>0.75800000000000001</v>
      </c>
      <c r="Q429" s="2">
        <v>-3.2000000000000001E-2</v>
      </c>
      <c r="R429" s="11">
        <v>266764370</v>
      </c>
      <c r="S429" s="11">
        <v>164587</v>
      </c>
      <c r="T429">
        <v>2018</v>
      </c>
      <c r="U429">
        <v>1</v>
      </c>
      <c r="V429">
        <f t="shared" si="36"/>
        <v>776000</v>
      </c>
      <c r="W429">
        <f t="shared" si="37"/>
        <v>18429897</v>
      </c>
      <c r="X429">
        <f t="shared" si="38"/>
        <v>17653897</v>
      </c>
      <c r="Y429">
        <f t="shared" si="39"/>
        <v>-25704845.5</v>
      </c>
      <c r="Z429">
        <f t="shared" si="40"/>
        <v>44910742.5</v>
      </c>
      <c r="AA429" t="str">
        <f t="shared" si="41"/>
        <v>Normal</v>
      </c>
      <c r="AE429" s="2"/>
      <c r="AF429" s="2"/>
    </row>
    <row r="430" spans="1:32" x14ac:dyDescent="0.35">
      <c r="A430">
        <v>429</v>
      </c>
      <c r="B430" s="1">
        <v>43070</v>
      </c>
      <c r="C430" s="9" t="s">
        <v>860</v>
      </c>
      <c r="D430" s="9" t="s">
        <v>4930</v>
      </c>
      <c r="E430" s="9" t="s">
        <v>6024</v>
      </c>
      <c r="F430" s="9" t="s">
        <v>31</v>
      </c>
      <c r="G430" s="9" t="s">
        <v>861</v>
      </c>
      <c r="H430" s="9" t="s">
        <v>105</v>
      </c>
      <c r="I430" s="11">
        <v>18429897</v>
      </c>
      <c r="J430" s="11">
        <v>145004</v>
      </c>
      <c r="K430" s="11">
        <v>13115990</v>
      </c>
      <c r="L430" s="3">
        <v>282</v>
      </c>
      <c r="M430" s="3">
        <v>3156</v>
      </c>
      <c r="N430" s="3">
        <v>1663468</v>
      </c>
      <c r="O430" s="2">
        <v>1.6E-2</v>
      </c>
      <c r="P430" s="2">
        <v>0.66600000000000004</v>
      </c>
      <c r="Q430" s="2">
        <v>-0.216</v>
      </c>
      <c r="R430" s="11">
        <v>47423981</v>
      </c>
      <c r="S430" s="11">
        <v>1283830</v>
      </c>
      <c r="T430">
        <v>2017</v>
      </c>
      <c r="U430">
        <v>12</v>
      </c>
      <c r="V430">
        <f t="shared" si="36"/>
        <v>774500</v>
      </c>
      <c r="W430">
        <f t="shared" si="37"/>
        <v>18429897</v>
      </c>
      <c r="X430">
        <f t="shared" si="38"/>
        <v>17655397</v>
      </c>
      <c r="Y430">
        <f t="shared" si="39"/>
        <v>-25708595.5</v>
      </c>
      <c r="Z430">
        <f t="shared" si="40"/>
        <v>44912992.5</v>
      </c>
      <c r="AA430" t="str">
        <f t="shared" si="41"/>
        <v>Normal</v>
      </c>
      <c r="AE430" s="2"/>
      <c r="AF430" s="2"/>
    </row>
    <row r="431" spans="1:32" x14ac:dyDescent="0.35">
      <c r="A431">
        <v>430</v>
      </c>
      <c r="B431" s="1">
        <v>43074</v>
      </c>
      <c r="C431" s="9" t="s">
        <v>109</v>
      </c>
      <c r="D431" s="9" t="s">
        <v>4930</v>
      </c>
      <c r="E431" s="9" t="s">
        <v>6025</v>
      </c>
      <c r="F431" s="9" t="s">
        <v>15</v>
      </c>
      <c r="G431" s="9" t="s">
        <v>862</v>
      </c>
      <c r="H431" s="9" t="s">
        <v>105</v>
      </c>
      <c r="I431" s="11">
        <v>12300000</v>
      </c>
      <c r="J431" s="11">
        <v>3582727</v>
      </c>
      <c r="K431" s="11">
        <v>13939645</v>
      </c>
      <c r="L431" s="3">
        <v>312</v>
      </c>
      <c r="M431" s="3">
        <v>2890</v>
      </c>
      <c r="N431" s="3">
        <v>322813</v>
      </c>
      <c r="O431" s="2">
        <v>1.6E-2</v>
      </c>
      <c r="P431" s="2">
        <v>0.78700000000000003</v>
      </c>
      <c r="Q431" s="2">
        <v>-0.5</v>
      </c>
      <c r="R431" s="11">
        <v>214637140</v>
      </c>
      <c r="S431" s="11">
        <v>641146</v>
      </c>
      <c r="T431">
        <v>2017</v>
      </c>
      <c r="U431">
        <v>12</v>
      </c>
      <c r="V431">
        <f t="shared" si="36"/>
        <v>773000</v>
      </c>
      <c r="W431">
        <f t="shared" si="37"/>
        <v>18429897</v>
      </c>
      <c r="X431">
        <f t="shared" si="38"/>
        <v>17656897</v>
      </c>
      <c r="Y431">
        <f t="shared" si="39"/>
        <v>-25712345.5</v>
      </c>
      <c r="Z431">
        <f t="shared" si="40"/>
        <v>44915242.5</v>
      </c>
      <c r="AA431" t="str">
        <f t="shared" si="41"/>
        <v>Normal</v>
      </c>
      <c r="AE431" s="2"/>
      <c r="AF431" s="2"/>
    </row>
    <row r="432" spans="1:32" x14ac:dyDescent="0.35">
      <c r="A432">
        <v>431</v>
      </c>
      <c r="B432" s="1">
        <v>43074</v>
      </c>
      <c r="C432" s="9" t="s">
        <v>863</v>
      </c>
      <c r="D432" s="9" t="s">
        <v>4986</v>
      </c>
      <c r="E432" s="9" t="s">
        <v>6026</v>
      </c>
      <c r="F432" s="9" t="s">
        <v>31</v>
      </c>
      <c r="G432" s="9" t="s">
        <v>864</v>
      </c>
      <c r="H432" s="9" t="s">
        <v>105</v>
      </c>
      <c r="I432" s="11">
        <v>23000000</v>
      </c>
      <c r="J432" s="11">
        <v>440252</v>
      </c>
      <c r="K432" s="11">
        <v>18710521</v>
      </c>
      <c r="L432" s="3">
        <v>472</v>
      </c>
      <c r="M432" s="3">
        <v>1299</v>
      </c>
      <c r="N432" s="3">
        <v>1268104</v>
      </c>
      <c r="O432" s="2">
        <v>8.3000000000000004E-2</v>
      </c>
      <c r="P432" s="2">
        <v>0.91099999999999992</v>
      </c>
      <c r="Q432" s="2">
        <v>0.69599999999999995</v>
      </c>
      <c r="R432" s="11">
        <v>478375974</v>
      </c>
      <c r="S432" s="11">
        <v>1841379</v>
      </c>
      <c r="T432">
        <v>2017</v>
      </c>
      <c r="U432">
        <v>12</v>
      </c>
      <c r="V432">
        <f t="shared" si="36"/>
        <v>771500</v>
      </c>
      <c r="W432">
        <f t="shared" si="37"/>
        <v>18429897</v>
      </c>
      <c r="X432">
        <f t="shared" si="38"/>
        <v>17658397</v>
      </c>
      <c r="Y432">
        <f t="shared" si="39"/>
        <v>-25716095.5</v>
      </c>
      <c r="Z432">
        <f t="shared" si="40"/>
        <v>44917492.5</v>
      </c>
      <c r="AA432" t="str">
        <f t="shared" si="41"/>
        <v>Normal</v>
      </c>
      <c r="AE432" s="2"/>
      <c r="AF432" s="2"/>
    </row>
    <row r="433" spans="1:32" x14ac:dyDescent="0.35">
      <c r="A433">
        <v>432</v>
      </c>
      <c r="B433" s="1">
        <v>43074</v>
      </c>
      <c r="C433" s="9" t="s">
        <v>865</v>
      </c>
      <c r="D433" s="9" t="s">
        <v>4930</v>
      </c>
      <c r="E433" s="9" t="s">
        <v>6027</v>
      </c>
      <c r="F433" s="9" t="s">
        <v>866</v>
      </c>
      <c r="G433" s="9" t="s">
        <v>867</v>
      </c>
      <c r="H433" s="9" t="s">
        <v>105</v>
      </c>
      <c r="I433" s="11">
        <v>1000000</v>
      </c>
      <c r="J433" s="11">
        <v>3700140</v>
      </c>
      <c r="K433" s="11">
        <v>10153449</v>
      </c>
      <c r="L433" s="3">
        <v>327</v>
      </c>
      <c r="M433" s="3">
        <v>4791</v>
      </c>
      <c r="N433" s="3">
        <v>1331490</v>
      </c>
      <c r="O433" s="2">
        <v>1.6E-2</v>
      </c>
      <c r="P433" s="2">
        <v>0.23199999999999998</v>
      </c>
      <c r="Q433" s="2">
        <v>0.39700000000000002</v>
      </c>
      <c r="R433" s="11">
        <v>118062161</v>
      </c>
      <c r="S433" s="11">
        <v>1801415</v>
      </c>
      <c r="T433">
        <v>2017</v>
      </c>
      <c r="U433">
        <v>12</v>
      </c>
      <c r="V433">
        <f t="shared" si="36"/>
        <v>770000</v>
      </c>
      <c r="W433">
        <f t="shared" si="37"/>
        <v>18429897</v>
      </c>
      <c r="X433">
        <f t="shared" si="38"/>
        <v>17659897</v>
      </c>
      <c r="Y433">
        <f t="shared" si="39"/>
        <v>-25719845.5</v>
      </c>
      <c r="Z433">
        <f t="shared" si="40"/>
        <v>44919742.5</v>
      </c>
      <c r="AA433" t="str">
        <f t="shared" si="41"/>
        <v>Normal</v>
      </c>
      <c r="AE433" s="2"/>
      <c r="AF433" s="2"/>
    </row>
    <row r="434" spans="1:32" x14ac:dyDescent="0.35">
      <c r="A434">
        <v>433</v>
      </c>
      <c r="B434" s="1">
        <v>43074</v>
      </c>
      <c r="C434" s="9" t="s">
        <v>868</v>
      </c>
      <c r="D434" s="9" t="s">
        <v>4930</v>
      </c>
      <c r="E434" s="9" t="s">
        <v>5859</v>
      </c>
      <c r="F434" s="9" t="s">
        <v>19</v>
      </c>
      <c r="G434" s="9" t="s">
        <v>856</v>
      </c>
      <c r="H434" s="9" t="s">
        <v>275</v>
      </c>
      <c r="I434" s="11">
        <v>500000</v>
      </c>
      <c r="J434" s="11">
        <v>4133250</v>
      </c>
      <c r="K434" s="11">
        <v>2992471</v>
      </c>
      <c r="L434" s="3">
        <v>27</v>
      </c>
      <c r="M434" s="3">
        <v>2828</v>
      </c>
      <c r="N434" s="3">
        <v>1537697</v>
      </c>
      <c r="O434" s="2">
        <v>0.34100000000000003</v>
      </c>
      <c r="P434" s="2">
        <v>0.44700000000000001</v>
      </c>
      <c r="Q434" s="2">
        <v>0.24299999999999999</v>
      </c>
      <c r="R434" s="11">
        <v>154846684</v>
      </c>
      <c r="S434" s="11">
        <v>570390</v>
      </c>
      <c r="T434">
        <v>2017</v>
      </c>
      <c r="U434">
        <v>12</v>
      </c>
      <c r="V434">
        <f t="shared" si="36"/>
        <v>770000</v>
      </c>
      <c r="W434">
        <f t="shared" si="37"/>
        <v>18429897</v>
      </c>
      <c r="X434">
        <f t="shared" si="38"/>
        <v>17659897</v>
      </c>
      <c r="Y434">
        <f t="shared" si="39"/>
        <v>-25719845.5</v>
      </c>
      <c r="Z434">
        <f t="shared" si="40"/>
        <v>44919742.5</v>
      </c>
      <c r="AA434" t="str">
        <f t="shared" si="41"/>
        <v>Normal</v>
      </c>
      <c r="AE434" s="2"/>
      <c r="AF434" s="2"/>
    </row>
    <row r="435" spans="1:32" x14ac:dyDescent="0.35">
      <c r="A435">
        <v>434</v>
      </c>
      <c r="B435" s="1">
        <v>43075</v>
      </c>
      <c r="C435" s="9" t="s">
        <v>869</v>
      </c>
      <c r="D435" s="9" t="s">
        <v>4930</v>
      </c>
      <c r="E435" s="9" t="s">
        <v>6028</v>
      </c>
      <c r="F435" s="9" t="s">
        <v>31</v>
      </c>
      <c r="G435" s="9" t="s">
        <v>870</v>
      </c>
      <c r="H435" s="9" t="s">
        <v>105</v>
      </c>
      <c r="I435" s="11">
        <v>60000000</v>
      </c>
      <c r="J435" s="11">
        <v>672667</v>
      </c>
      <c r="K435" s="11">
        <v>12158612</v>
      </c>
      <c r="L435" s="3">
        <v>254</v>
      </c>
      <c r="M435" s="3">
        <v>2844</v>
      </c>
      <c r="N435" s="3">
        <v>1062736</v>
      </c>
      <c r="O435" s="2">
        <v>0.13600000000000001</v>
      </c>
      <c r="P435" s="2">
        <v>0.436</v>
      </c>
      <c r="Q435" s="2">
        <v>-3.1E-2</v>
      </c>
      <c r="R435" s="11">
        <v>153149758</v>
      </c>
      <c r="S435" s="11">
        <v>1660427</v>
      </c>
      <c r="T435">
        <v>2017</v>
      </c>
      <c r="U435">
        <v>12</v>
      </c>
      <c r="V435">
        <f t="shared" si="36"/>
        <v>773000</v>
      </c>
      <c r="W435">
        <f t="shared" si="37"/>
        <v>18429897</v>
      </c>
      <c r="X435">
        <f t="shared" si="38"/>
        <v>17656897</v>
      </c>
      <c r="Y435">
        <f t="shared" si="39"/>
        <v>-25712345.5</v>
      </c>
      <c r="Z435">
        <f t="shared" si="40"/>
        <v>44915242.5</v>
      </c>
      <c r="AA435" t="str">
        <f t="shared" si="41"/>
        <v>Outlier</v>
      </c>
      <c r="AE435" s="2"/>
      <c r="AF435" s="2"/>
    </row>
    <row r="436" spans="1:32" x14ac:dyDescent="0.35">
      <c r="A436">
        <v>435</v>
      </c>
      <c r="B436" s="1">
        <v>43075</v>
      </c>
      <c r="C436" s="9" t="s">
        <v>871</v>
      </c>
      <c r="D436" s="9" t="s">
        <v>4930</v>
      </c>
      <c r="E436" s="9" t="s">
        <v>6029</v>
      </c>
      <c r="F436" s="9" t="s">
        <v>35</v>
      </c>
      <c r="G436" s="9" t="s">
        <v>110</v>
      </c>
      <c r="H436" s="9" t="s">
        <v>105</v>
      </c>
      <c r="I436" s="11">
        <v>7000000</v>
      </c>
      <c r="J436" s="11">
        <v>2180502</v>
      </c>
      <c r="K436" s="11">
        <v>9072378</v>
      </c>
      <c r="L436" s="3">
        <v>227</v>
      </c>
      <c r="M436" s="3">
        <v>2505.5</v>
      </c>
      <c r="N436" s="3">
        <v>1461650</v>
      </c>
      <c r="O436" s="2">
        <v>2.2000000000000002E-2</v>
      </c>
      <c r="P436" s="2">
        <v>0.61599999999999999</v>
      </c>
      <c r="Q436" s="2">
        <v>-0.16899999999999998</v>
      </c>
      <c r="R436" s="11">
        <v>145959969</v>
      </c>
      <c r="S436" s="11">
        <v>728716</v>
      </c>
      <c r="T436">
        <v>2017</v>
      </c>
      <c r="U436">
        <v>12</v>
      </c>
      <c r="V436">
        <f t="shared" si="36"/>
        <v>771500</v>
      </c>
      <c r="W436">
        <f t="shared" si="37"/>
        <v>18429897</v>
      </c>
      <c r="X436">
        <f t="shared" si="38"/>
        <v>17658397</v>
      </c>
      <c r="Y436">
        <f t="shared" si="39"/>
        <v>-25716095.5</v>
      </c>
      <c r="Z436">
        <f t="shared" si="40"/>
        <v>44917492.5</v>
      </c>
      <c r="AA436" t="str">
        <f t="shared" si="41"/>
        <v>Normal</v>
      </c>
      <c r="AE436" s="2"/>
      <c r="AF436" s="2"/>
    </row>
    <row r="437" spans="1:32" x14ac:dyDescent="0.35">
      <c r="A437">
        <v>436</v>
      </c>
      <c r="B437" s="1">
        <v>43076</v>
      </c>
      <c r="C437" s="9" t="s">
        <v>872</v>
      </c>
      <c r="D437" s="9" t="s">
        <v>4930</v>
      </c>
      <c r="E437" s="9" t="s">
        <v>6030</v>
      </c>
      <c r="F437" s="9" t="s">
        <v>31</v>
      </c>
      <c r="G437" s="9" t="s">
        <v>873</v>
      </c>
      <c r="H437" s="9" t="s">
        <v>105</v>
      </c>
      <c r="I437" s="11">
        <v>10000000</v>
      </c>
      <c r="J437" s="11">
        <v>636293</v>
      </c>
      <c r="K437" s="11">
        <v>16015062</v>
      </c>
      <c r="L437" s="3">
        <v>238</v>
      </c>
      <c r="M437" s="3">
        <v>3393</v>
      </c>
      <c r="N437" s="3">
        <v>1168698</v>
      </c>
      <c r="O437" s="2">
        <v>-0.14199999999999999</v>
      </c>
      <c r="P437" s="2">
        <v>0.77600000000000002</v>
      </c>
      <c r="Q437" s="2">
        <v>7.8E-2</v>
      </c>
      <c r="R437" s="11">
        <v>389271082</v>
      </c>
      <c r="S437" s="11">
        <v>418553</v>
      </c>
      <c r="T437">
        <v>2017</v>
      </c>
      <c r="U437">
        <v>12</v>
      </c>
      <c r="V437">
        <f t="shared" si="36"/>
        <v>770000</v>
      </c>
      <c r="W437">
        <f t="shared" si="37"/>
        <v>18429897</v>
      </c>
      <c r="X437">
        <f t="shared" si="38"/>
        <v>17659897</v>
      </c>
      <c r="Y437">
        <f t="shared" si="39"/>
        <v>-25719845.5</v>
      </c>
      <c r="Z437">
        <f t="shared" si="40"/>
        <v>44919742.5</v>
      </c>
      <c r="AA437" t="str">
        <f t="shared" si="41"/>
        <v>Normal</v>
      </c>
      <c r="AE437" s="2"/>
      <c r="AF437" s="2"/>
    </row>
    <row r="438" spans="1:32" x14ac:dyDescent="0.35">
      <c r="A438">
        <v>437</v>
      </c>
      <c r="B438" s="1">
        <v>43076</v>
      </c>
      <c r="C438" s="9" t="s">
        <v>874</v>
      </c>
      <c r="D438" s="9" t="s">
        <v>4925</v>
      </c>
      <c r="E438" s="9" t="s">
        <v>6031</v>
      </c>
      <c r="F438" s="9" t="s">
        <v>31</v>
      </c>
      <c r="G438" s="9" t="s">
        <v>753</v>
      </c>
      <c r="H438" s="9" t="s">
        <v>105</v>
      </c>
      <c r="I438" s="11">
        <v>3100000</v>
      </c>
      <c r="J438" s="11">
        <v>2845065</v>
      </c>
      <c r="K438" s="11">
        <v>15454991</v>
      </c>
      <c r="L438" s="3">
        <v>254</v>
      </c>
      <c r="M438" s="3">
        <v>4591</v>
      </c>
      <c r="N438" s="3">
        <v>520447</v>
      </c>
      <c r="O438" s="2">
        <v>0.16500000000000001</v>
      </c>
      <c r="P438" s="2">
        <v>1.1160000000000002E-2</v>
      </c>
      <c r="Q438" s="2">
        <v>-0.28799999999999998</v>
      </c>
      <c r="R438" s="11">
        <v>199128519</v>
      </c>
      <c r="S438" s="11">
        <v>1008193.5</v>
      </c>
      <c r="T438">
        <v>2017</v>
      </c>
      <c r="U438">
        <v>12</v>
      </c>
      <c r="V438">
        <f t="shared" si="36"/>
        <v>770000</v>
      </c>
      <c r="W438">
        <f t="shared" si="37"/>
        <v>18429897</v>
      </c>
      <c r="X438">
        <f t="shared" si="38"/>
        <v>17659897</v>
      </c>
      <c r="Y438">
        <f t="shared" si="39"/>
        <v>-25719845.5</v>
      </c>
      <c r="Z438">
        <f t="shared" si="40"/>
        <v>44919742.5</v>
      </c>
      <c r="AA438" t="str">
        <f t="shared" si="41"/>
        <v>Normal</v>
      </c>
      <c r="AE438" s="2"/>
      <c r="AF438" s="2"/>
    </row>
    <row r="439" spans="1:32" x14ac:dyDescent="0.35">
      <c r="A439">
        <v>438</v>
      </c>
      <c r="B439" s="1">
        <v>43076</v>
      </c>
      <c r="C439" s="9" t="s">
        <v>875</v>
      </c>
      <c r="D439" s="9" t="s">
        <v>2539</v>
      </c>
      <c r="E439" s="9" t="s">
        <v>6032</v>
      </c>
      <c r="F439" s="9" t="s">
        <v>19</v>
      </c>
      <c r="G439" s="9" t="s">
        <v>876</v>
      </c>
      <c r="H439" s="9" t="s">
        <v>275</v>
      </c>
      <c r="I439" s="11">
        <v>750000</v>
      </c>
      <c r="J439" s="11">
        <v>4639261</v>
      </c>
      <c r="K439" s="11">
        <v>9481695</v>
      </c>
      <c r="L439" s="3">
        <v>96</v>
      </c>
      <c r="M439" s="3">
        <v>3644</v>
      </c>
      <c r="N439" s="3">
        <v>968201</v>
      </c>
      <c r="O439" s="2">
        <v>0.53200000000000003</v>
      </c>
      <c r="P439" s="2">
        <v>0.76600000000000001</v>
      </c>
      <c r="Q439" s="2">
        <v>0.26200000000000001</v>
      </c>
      <c r="R439" s="11">
        <v>345253482</v>
      </c>
      <c r="S439" s="11">
        <v>952143</v>
      </c>
      <c r="T439">
        <v>2017</v>
      </c>
      <c r="U439">
        <v>12</v>
      </c>
      <c r="V439">
        <f t="shared" si="36"/>
        <v>770000</v>
      </c>
      <c r="W439">
        <f t="shared" si="37"/>
        <v>18429897</v>
      </c>
      <c r="X439">
        <f t="shared" si="38"/>
        <v>17659897</v>
      </c>
      <c r="Y439">
        <f t="shared" si="39"/>
        <v>-25719845.5</v>
      </c>
      <c r="Z439">
        <f t="shared" si="40"/>
        <v>44919742.5</v>
      </c>
      <c r="AA439" t="str">
        <f t="shared" si="41"/>
        <v>Normal</v>
      </c>
      <c r="AE439" s="2"/>
      <c r="AF439" s="2"/>
    </row>
    <row r="440" spans="1:32" x14ac:dyDescent="0.35">
      <c r="A440">
        <v>439</v>
      </c>
      <c r="B440" s="1">
        <v>43076</v>
      </c>
      <c r="C440" s="9" t="s">
        <v>511</v>
      </c>
      <c r="D440" s="9" t="s">
        <v>4925</v>
      </c>
      <c r="E440" s="9" t="s">
        <v>6033</v>
      </c>
      <c r="F440" s="9" t="s">
        <v>35</v>
      </c>
      <c r="G440" s="9" t="s">
        <v>877</v>
      </c>
      <c r="H440" s="9" t="s">
        <v>59</v>
      </c>
      <c r="I440" s="11">
        <v>2300000</v>
      </c>
      <c r="J440" s="11">
        <v>422730</v>
      </c>
      <c r="K440" s="11">
        <v>7420368</v>
      </c>
      <c r="L440" s="3">
        <v>57</v>
      </c>
      <c r="M440" s="3">
        <v>2572</v>
      </c>
      <c r="N440" s="3">
        <v>1870103</v>
      </c>
      <c r="O440" s="2">
        <v>-2.1000000000000001E-2</v>
      </c>
      <c r="P440" s="2">
        <v>0.50800000000000001</v>
      </c>
      <c r="Q440" s="2">
        <v>0.05</v>
      </c>
      <c r="R440" s="11">
        <v>250264963</v>
      </c>
      <c r="S440" s="11">
        <v>1223464</v>
      </c>
      <c r="T440">
        <v>2017</v>
      </c>
      <c r="U440">
        <v>12</v>
      </c>
      <c r="V440">
        <f t="shared" si="36"/>
        <v>771500</v>
      </c>
      <c r="W440">
        <f t="shared" si="37"/>
        <v>18429897</v>
      </c>
      <c r="X440">
        <f t="shared" si="38"/>
        <v>17658397</v>
      </c>
      <c r="Y440">
        <f t="shared" si="39"/>
        <v>-25716095.5</v>
      </c>
      <c r="Z440">
        <f t="shared" si="40"/>
        <v>44917492.5</v>
      </c>
      <c r="AA440" t="str">
        <f t="shared" si="41"/>
        <v>Normal</v>
      </c>
      <c r="AE440" s="2"/>
      <c r="AF440" s="2"/>
    </row>
    <row r="441" spans="1:32" x14ac:dyDescent="0.35">
      <c r="A441">
        <v>440</v>
      </c>
      <c r="B441" s="1">
        <v>43077</v>
      </c>
      <c r="C441" s="9" t="s">
        <v>878</v>
      </c>
      <c r="D441" s="9" t="s">
        <v>4930</v>
      </c>
      <c r="E441" s="9" t="s">
        <v>6034</v>
      </c>
      <c r="F441" s="9" t="s">
        <v>63</v>
      </c>
      <c r="G441" s="9" t="s">
        <v>322</v>
      </c>
      <c r="H441" s="9" t="s">
        <v>105</v>
      </c>
      <c r="I441" s="11">
        <v>5000000</v>
      </c>
      <c r="J441" s="11">
        <v>1999939</v>
      </c>
      <c r="K441" s="11">
        <v>8498882</v>
      </c>
      <c r="L441" s="3">
        <v>76</v>
      </c>
      <c r="M441" s="3">
        <v>3201</v>
      </c>
      <c r="N441" s="3">
        <v>1685440</v>
      </c>
      <c r="O441" s="2">
        <v>0.3</v>
      </c>
      <c r="P441" s="2">
        <v>0.72599999999999998</v>
      </c>
      <c r="Q441" s="2">
        <v>9.3000000000000013E-2</v>
      </c>
      <c r="R441" s="11">
        <v>143105579</v>
      </c>
      <c r="S441" s="11">
        <v>1008193.5</v>
      </c>
      <c r="T441">
        <v>2017</v>
      </c>
      <c r="U441">
        <v>12</v>
      </c>
      <c r="V441">
        <f t="shared" si="36"/>
        <v>770000</v>
      </c>
      <c r="W441">
        <f t="shared" si="37"/>
        <v>18429897</v>
      </c>
      <c r="X441">
        <f t="shared" si="38"/>
        <v>17659897</v>
      </c>
      <c r="Y441">
        <f t="shared" si="39"/>
        <v>-25719845.5</v>
      </c>
      <c r="Z441">
        <f t="shared" si="40"/>
        <v>44919742.5</v>
      </c>
      <c r="AA441" t="str">
        <f t="shared" si="41"/>
        <v>Normal</v>
      </c>
      <c r="AE441" s="2"/>
      <c r="AF441" s="2"/>
    </row>
    <row r="442" spans="1:32" x14ac:dyDescent="0.35">
      <c r="A442">
        <v>441</v>
      </c>
      <c r="B442" s="1">
        <v>43080</v>
      </c>
      <c r="C442" s="9" t="s">
        <v>879</v>
      </c>
      <c r="D442" s="9" t="s">
        <v>4925</v>
      </c>
      <c r="E442" s="9" t="s">
        <v>6035</v>
      </c>
      <c r="F442" s="9" t="s">
        <v>94</v>
      </c>
      <c r="G442" s="9" t="s">
        <v>880</v>
      </c>
      <c r="H442" s="9" t="s">
        <v>105</v>
      </c>
      <c r="I442" s="11">
        <v>1500000</v>
      </c>
      <c r="J442" s="11">
        <v>4866140</v>
      </c>
      <c r="K442" s="11">
        <v>12686919</v>
      </c>
      <c r="L442" s="3">
        <v>475</v>
      </c>
      <c r="M442" s="3">
        <v>2505.5</v>
      </c>
      <c r="N442" s="3">
        <v>1287327</v>
      </c>
      <c r="O442" s="2">
        <v>-9.1999999999999998E-2</v>
      </c>
      <c r="P442" s="2">
        <v>0.629</v>
      </c>
      <c r="Q442" s="2">
        <v>-0.316</v>
      </c>
      <c r="R442" s="11">
        <v>361801419</v>
      </c>
      <c r="S442" s="11">
        <v>896779</v>
      </c>
      <c r="T442">
        <v>2017</v>
      </c>
      <c r="U442">
        <v>12</v>
      </c>
      <c r="V442">
        <f t="shared" si="36"/>
        <v>770000</v>
      </c>
      <c r="W442">
        <f t="shared" si="37"/>
        <v>18429897</v>
      </c>
      <c r="X442">
        <f t="shared" si="38"/>
        <v>17659897</v>
      </c>
      <c r="Y442">
        <f t="shared" si="39"/>
        <v>-25719845.5</v>
      </c>
      <c r="Z442">
        <f t="shared" si="40"/>
        <v>44919742.5</v>
      </c>
      <c r="AA442" t="str">
        <f t="shared" si="41"/>
        <v>Normal</v>
      </c>
      <c r="AE442" s="2"/>
      <c r="AF442" s="2"/>
    </row>
    <row r="443" spans="1:32" x14ac:dyDescent="0.35">
      <c r="A443">
        <v>442</v>
      </c>
      <c r="B443" s="1">
        <v>43080</v>
      </c>
      <c r="C443" s="9" t="s">
        <v>881</v>
      </c>
      <c r="D443" s="9" t="s">
        <v>4930</v>
      </c>
      <c r="E443" s="9" t="s">
        <v>6036</v>
      </c>
      <c r="F443" s="9" t="s">
        <v>31</v>
      </c>
      <c r="G443" s="9" t="s">
        <v>882</v>
      </c>
      <c r="H443" s="9" t="s">
        <v>275</v>
      </c>
      <c r="I443" s="11">
        <v>50000</v>
      </c>
      <c r="J443" s="11">
        <v>2531926</v>
      </c>
      <c r="K443" s="11">
        <v>12776842</v>
      </c>
      <c r="L443" s="3">
        <v>200</v>
      </c>
      <c r="M443" s="3">
        <v>349</v>
      </c>
      <c r="N443" s="3">
        <v>643882</v>
      </c>
      <c r="O443" s="2">
        <v>0.35700000000000004</v>
      </c>
      <c r="P443" s="2">
        <v>0.84599999999999997</v>
      </c>
      <c r="Q443" s="2">
        <v>0.11199999999999999</v>
      </c>
      <c r="R443" s="11">
        <v>428978894</v>
      </c>
      <c r="S443" s="11">
        <v>1652871</v>
      </c>
      <c r="T443">
        <v>2017</v>
      </c>
      <c r="U443">
        <v>12</v>
      </c>
      <c r="V443">
        <f t="shared" si="36"/>
        <v>770000</v>
      </c>
      <c r="W443">
        <f t="shared" si="37"/>
        <v>18429897</v>
      </c>
      <c r="X443">
        <f t="shared" si="38"/>
        <v>17659897</v>
      </c>
      <c r="Y443">
        <f t="shared" si="39"/>
        <v>-25719845.5</v>
      </c>
      <c r="Z443">
        <f t="shared" si="40"/>
        <v>44919742.5</v>
      </c>
      <c r="AA443" t="str">
        <f t="shared" si="41"/>
        <v>Normal</v>
      </c>
      <c r="AE443" s="2"/>
      <c r="AF443" s="2"/>
    </row>
    <row r="444" spans="1:32" x14ac:dyDescent="0.35">
      <c r="A444">
        <v>443</v>
      </c>
      <c r="B444" s="1">
        <v>43080</v>
      </c>
      <c r="C444" s="9" t="s">
        <v>883</v>
      </c>
      <c r="D444" s="9" t="s">
        <v>4930</v>
      </c>
      <c r="E444" s="9" t="s">
        <v>6037</v>
      </c>
      <c r="F444" s="9" t="s">
        <v>15</v>
      </c>
      <c r="G444" s="9" t="s">
        <v>882</v>
      </c>
      <c r="H444" s="9" t="s">
        <v>275</v>
      </c>
      <c r="I444" s="11">
        <v>50000</v>
      </c>
      <c r="J444" s="11">
        <v>678439</v>
      </c>
      <c r="K444" s="11">
        <v>10282873</v>
      </c>
      <c r="L444" s="3">
        <v>480</v>
      </c>
      <c r="M444" s="3">
        <v>3216</v>
      </c>
      <c r="N444" s="3">
        <v>404248</v>
      </c>
      <c r="O444" s="2">
        <v>0.30499999999999999</v>
      </c>
      <c r="P444" s="2">
        <v>0.83699999999999997</v>
      </c>
      <c r="Q444" s="2">
        <v>0.04</v>
      </c>
      <c r="R444" s="11">
        <v>21858699</v>
      </c>
      <c r="S444" s="11">
        <v>1447141</v>
      </c>
      <c r="T444">
        <v>2017</v>
      </c>
      <c r="U444">
        <v>12</v>
      </c>
      <c r="V444">
        <f t="shared" si="36"/>
        <v>771500</v>
      </c>
      <c r="W444">
        <f t="shared" si="37"/>
        <v>18429897</v>
      </c>
      <c r="X444">
        <f t="shared" si="38"/>
        <v>17658397</v>
      </c>
      <c r="Y444">
        <f t="shared" si="39"/>
        <v>-25716095.5</v>
      </c>
      <c r="Z444">
        <f t="shared" si="40"/>
        <v>44917492.5</v>
      </c>
      <c r="AA444" t="str">
        <f t="shared" si="41"/>
        <v>Normal</v>
      </c>
      <c r="AE444" s="2"/>
      <c r="AF444" s="2"/>
    </row>
    <row r="445" spans="1:32" x14ac:dyDescent="0.35">
      <c r="A445">
        <v>444</v>
      </c>
      <c r="B445" s="1">
        <v>43080</v>
      </c>
      <c r="C445" s="9" t="s">
        <v>884</v>
      </c>
      <c r="D445" s="9" t="s">
        <v>4930</v>
      </c>
      <c r="E445" s="9" t="s">
        <v>6038</v>
      </c>
      <c r="F445" s="9" t="s">
        <v>15</v>
      </c>
      <c r="G445" s="9" t="s">
        <v>885</v>
      </c>
      <c r="H445" s="9" t="s">
        <v>59</v>
      </c>
      <c r="I445" s="11">
        <v>1200000</v>
      </c>
      <c r="J445" s="11">
        <v>2531926</v>
      </c>
      <c r="K445" s="11">
        <v>10684376</v>
      </c>
      <c r="L445" s="3">
        <v>170</v>
      </c>
      <c r="M445" s="3">
        <v>949</v>
      </c>
      <c r="N445" s="3">
        <v>571195</v>
      </c>
      <c r="O445" s="2">
        <v>3.1E-2</v>
      </c>
      <c r="P445" s="2">
        <v>0.86</v>
      </c>
      <c r="Q445" s="2">
        <v>-0.13900000000000001</v>
      </c>
      <c r="R445" s="11">
        <v>250264963</v>
      </c>
      <c r="S445" s="11">
        <v>1969459</v>
      </c>
      <c r="T445">
        <v>2017</v>
      </c>
      <c r="U445">
        <v>12</v>
      </c>
      <c r="V445">
        <f t="shared" si="36"/>
        <v>776000</v>
      </c>
      <c r="W445">
        <f t="shared" si="37"/>
        <v>18429897</v>
      </c>
      <c r="X445">
        <f t="shared" si="38"/>
        <v>17653897</v>
      </c>
      <c r="Y445">
        <f t="shared" si="39"/>
        <v>-25704845.5</v>
      </c>
      <c r="Z445">
        <f t="shared" si="40"/>
        <v>44910742.5</v>
      </c>
      <c r="AA445" t="str">
        <f t="shared" si="41"/>
        <v>Normal</v>
      </c>
      <c r="AE445" s="2"/>
      <c r="AF445" s="2"/>
    </row>
    <row r="446" spans="1:32" x14ac:dyDescent="0.35">
      <c r="A446">
        <v>445</v>
      </c>
      <c r="B446" s="1">
        <v>43081</v>
      </c>
      <c r="C446" s="9" t="s">
        <v>886</v>
      </c>
      <c r="D446" s="9" t="s">
        <v>4930</v>
      </c>
      <c r="E446" s="9" t="s">
        <v>6039</v>
      </c>
      <c r="F446" s="9" t="s">
        <v>94</v>
      </c>
      <c r="G446" s="9" t="s">
        <v>887</v>
      </c>
      <c r="H446" s="9" t="s">
        <v>105</v>
      </c>
      <c r="I446" s="11">
        <v>1800000</v>
      </c>
      <c r="J446" s="11">
        <v>2551695</v>
      </c>
      <c r="K446" s="11">
        <v>1000000000</v>
      </c>
      <c r="L446" s="3">
        <v>159</v>
      </c>
      <c r="M446" s="3">
        <v>497</v>
      </c>
      <c r="N446" s="3">
        <v>612153</v>
      </c>
      <c r="O446" s="2">
        <v>0</v>
      </c>
      <c r="P446" s="2">
        <v>1.1970000000000001E-2</v>
      </c>
      <c r="Q446" s="2">
        <v>0.156</v>
      </c>
      <c r="R446" s="11">
        <v>282517071</v>
      </c>
      <c r="S446" s="11">
        <v>69527</v>
      </c>
      <c r="T446">
        <v>2017</v>
      </c>
      <c r="U446">
        <v>12</v>
      </c>
      <c r="V446">
        <f t="shared" si="36"/>
        <v>774500</v>
      </c>
      <c r="W446">
        <f t="shared" si="37"/>
        <v>18429897</v>
      </c>
      <c r="X446">
        <f t="shared" si="38"/>
        <v>17655397</v>
      </c>
      <c r="Y446">
        <f t="shared" si="39"/>
        <v>-25708595.5</v>
      </c>
      <c r="Z446">
        <f t="shared" si="40"/>
        <v>44912992.5</v>
      </c>
      <c r="AA446" t="str">
        <f t="shared" si="41"/>
        <v>Normal</v>
      </c>
      <c r="AE446" s="2"/>
      <c r="AF446" s="2"/>
    </row>
    <row r="447" spans="1:32" x14ac:dyDescent="0.35">
      <c r="A447">
        <v>446</v>
      </c>
      <c r="B447" s="1">
        <v>43081</v>
      </c>
      <c r="C447" s="9" t="s">
        <v>888</v>
      </c>
      <c r="D447" s="9" t="s">
        <v>4930</v>
      </c>
      <c r="E447" s="9" t="s">
        <v>6040</v>
      </c>
      <c r="F447" s="9" t="s">
        <v>15</v>
      </c>
      <c r="G447" s="9" t="s">
        <v>889</v>
      </c>
      <c r="H447" s="9" t="s">
        <v>275</v>
      </c>
      <c r="I447" s="11">
        <v>18429897</v>
      </c>
      <c r="J447" s="11">
        <v>3321063</v>
      </c>
      <c r="K447" s="11">
        <v>5149341</v>
      </c>
      <c r="L447" s="3">
        <v>247</v>
      </c>
      <c r="M447" s="3">
        <v>3885</v>
      </c>
      <c r="N447" s="3">
        <v>1923305</v>
      </c>
      <c r="O447" s="2">
        <v>-6.9000000000000006E-2</v>
      </c>
      <c r="P447" s="2">
        <v>0.50800000000000001</v>
      </c>
      <c r="Q447" s="2">
        <v>0</v>
      </c>
      <c r="R447" s="11">
        <v>124693341</v>
      </c>
      <c r="S447" s="11">
        <v>1615623</v>
      </c>
      <c r="T447">
        <v>2017</v>
      </c>
      <c r="U447">
        <v>12</v>
      </c>
      <c r="V447">
        <f t="shared" si="36"/>
        <v>773000</v>
      </c>
      <c r="W447">
        <f t="shared" si="37"/>
        <v>18429897</v>
      </c>
      <c r="X447">
        <f t="shared" si="38"/>
        <v>17656897</v>
      </c>
      <c r="Y447">
        <f t="shared" si="39"/>
        <v>-25712345.5</v>
      </c>
      <c r="Z447">
        <f t="shared" si="40"/>
        <v>44915242.5</v>
      </c>
      <c r="AA447" t="str">
        <f t="shared" si="41"/>
        <v>Normal</v>
      </c>
      <c r="AE447" s="2"/>
      <c r="AF447" s="2"/>
    </row>
    <row r="448" spans="1:32" x14ac:dyDescent="0.35">
      <c r="A448">
        <v>447</v>
      </c>
      <c r="B448" s="1">
        <v>43081</v>
      </c>
      <c r="C448" s="9" t="s">
        <v>890</v>
      </c>
      <c r="D448" s="9" t="s">
        <v>4930</v>
      </c>
      <c r="E448" s="9" t="s">
        <v>6041</v>
      </c>
      <c r="F448" s="9" t="s">
        <v>124</v>
      </c>
      <c r="G448" s="9" t="s">
        <v>853</v>
      </c>
      <c r="H448" s="9" t="s">
        <v>105</v>
      </c>
      <c r="I448" s="11">
        <v>17500000</v>
      </c>
      <c r="J448" s="11">
        <v>1582413</v>
      </c>
      <c r="K448" s="11">
        <v>3560063</v>
      </c>
      <c r="L448" s="3">
        <v>473</v>
      </c>
      <c r="M448" s="3">
        <v>2198</v>
      </c>
      <c r="N448" s="3">
        <v>1066148</v>
      </c>
      <c r="O448" s="2">
        <v>6.2E-2</v>
      </c>
      <c r="P448" s="2">
        <v>0.96200000000000008</v>
      </c>
      <c r="Q448" s="2">
        <v>0.17399999999999999</v>
      </c>
      <c r="R448" s="11">
        <v>45665401</v>
      </c>
      <c r="S448" s="11">
        <v>778765</v>
      </c>
      <c r="T448">
        <v>2017</v>
      </c>
      <c r="U448">
        <v>12</v>
      </c>
      <c r="V448">
        <f t="shared" si="36"/>
        <v>771500</v>
      </c>
      <c r="W448">
        <f t="shared" si="37"/>
        <v>18429897</v>
      </c>
      <c r="X448">
        <f t="shared" si="38"/>
        <v>17658397</v>
      </c>
      <c r="Y448">
        <f t="shared" si="39"/>
        <v>-25716095.5</v>
      </c>
      <c r="Z448">
        <f t="shared" si="40"/>
        <v>44917492.5</v>
      </c>
      <c r="AA448" t="str">
        <f t="shared" si="41"/>
        <v>Normal</v>
      </c>
      <c r="AE448" s="2"/>
      <c r="AF448" s="2"/>
    </row>
    <row r="449" spans="1:32" x14ac:dyDescent="0.35">
      <c r="A449">
        <v>448</v>
      </c>
      <c r="B449" s="1">
        <v>43081</v>
      </c>
      <c r="C449" s="9" t="s">
        <v>891</v>
      </c>
      <c r="D449" s="9" t="s">
        <v>4925</v>
      </c>
      <c r="E449" s="9" t="s">
        <v>6042</v>
      </c>
      <c r="F449" s="9" t="s">
        <v>19</v>
      </c>
      <c r="G449" s="9" t="s">
        <v>892</v>
      </c>
      <c r="H449" s="9" t="s">
        <v>275</v>
      </c>
      <c r="I449" s="11">
        <v>233000</v>
      </c>
      <c r="J449" s="11">
        <v>4779003</v>
      </c>
      <c r="K449" s="11">
        <v>16003421</v>
      </c>
      <c r="L449" s="3">
        <v>254</v>
      </c>
      <c r="M449" s="3">
        <v>4273</v>
      </c>
      <c r="N449" s="3">
        <v>781795</v>
      </c>
      <c r="O449" s="2">
        <v>0.32400000000000001</v>
      </c>
      <c r="P449" s="2">
        <v>1.0549999999999999</v>
      </c>
      <c r="Q449" s="2">
        <v>0.255</v>
      </c>
      <c r="R449" s="11">
        <v>339467225</v>
      </c>
      <c r="S449" s="11">
        <v>1460612</v>
      </c>
      <c r="T449">
        <v>2017</v>
      </c>
      <c r="U449">
        <v>12</v>
      </c>
      <c r="V449">
        <f t="shared" si="36"/>
        <v>770000</v>
      </c>
      <c r="W449">
        <f t="shared" si="37"/>
        <v>18429897</v>
      </c>
      <c r="X449">
        <f t="shared" si="38"/>
        <v>17659897</v>
      </c>
      <c r="Y449">
        <f t="shared" si="39"/>
        <v>-25719845.5</v>
      </c>
      <c r="Z449">
        <f t="shared" si="40"/>
        <v>44919742.5</v>
      </c>
      <c r="AA449" t="str">
        <f t="shared" si="41"/>
        <v>Normal</v>
      </c>
      <c r="AE449" s="2"/>
      <c r="AF449" s="2"/>
    </row>
    <row r="450" spans="1:32" x14ac:dyDescent="0.35">
      <c r="A450">
        <v>449</v>
      </c>
      <c r="B450" s="1">
        <v>43082</v>
      </c>
      <c r="C450" s="9" t="s">
        <v>893</v>
      </c>
      <c r="D450" s="9" t="s">
        <v>4930</v>
      </c>
      <c r="E450" s="9" t="s">
        <v>6043</v>
      </c>
      <c r="F450" s="9" t="s">
        <v>41</v>
      </c>
      <c r="G450" s="9" t="s">
        <v>894</v>
      </c>
      <c r="H450" s="9" t="s">
        <v>105</v>
      </c>
      <c r="I450" s="11">
        <v>27000000</v>
      </c>
      <c r="J450" s="11">
        <v>2614693</v>
      </c>
      <c r="K450" s="11">
        <v>18713439</v>
      </c>
      <c r="L450" s="3">
        <v>22</v>
      </c>
      <c r="M450" s="3">
        <v>4336</v>
      </c>
      <c r="N450" s="3">
        <v>1763665</v>
      </c>
      <c r="O450" s="2">
        <v>1.6E-2</v>
      </c>
      <c r="P450" s="2">
        <v>0.44500000000000001</v>
      </c>
      <c r="Q450" s="2">
        <v>-0.17100000000000001</v>
      </c>
      <c r="R450" s="11">
        <v>52452889</v>
      </c>
      <c r="S450" s="11">
        <v>1008193.5</v>
      </c>
      <c r="T450">
        <v>2017</v>
      </c>
      <c r="U450">
        <v>12</v>
      </c>
      <c r="V450">
        <f t="shared" ref="V450:V513" si="42">_xlfn.PERCENTILE.INC(I450:I3493,0.25)</f>
        <v>774500</v>
      </c>
      <c r="W450">
        <f t="shared" ref="W450:W513" si="43">_xlfn.PERCENTILE.INC(I450:I3493,0.75)</f>
        <v>18429897</v>
      </c>
      <c r="X450">
        <f t="shared" ref="X450:X513" si="44">W450-V450</f>
        <v>17655397</v>
      </c>
      <c r="Y450">
        <f t="shared" ref="Y450:Y513" si="45">V450-1.5*X450</f>
        <v>-25708595.5</v>
      </c>
      <c r="Z450">
        <f t="shared" ref="Z450:Z513" si="46">W450+1.5*X450</f>
        <v>44912992.5</v>
      </c>
      <c r="AA450" t="str">
        <f t="shared" ref="AA450:AA513" si="47">IF(OR(I450&lt;$Y$2, I450&gt;$Z$2), "Outlier", "Normal")</f>
        <v>Normal</v>
      </c>
      <c r="AE450" s="2"/>
      <c r="AF450" s="2"/>
    </row>
    <row r="451" spans="1:32" x14ac:dyDescent="0.35">
      <c r="A451">
        <v>450</v>
      </c>
      <c r="B451" s="1">
        <v>43082</v>
      </c>
      <c r="C451" s="9" t="s">
        <v>895</v>
      </c>
      <c r="D451" s="9" t="s">
        <v>4930</v>
      </c>
      <c r="E451" s="9" t="s">
        <v>6044</v>
      </c>
      <c r="F451" s="9" t="s">
        <v>31</v>
      </c>
      <c r="G451" s="9" t="s">
        <v>896</v>
      </c>
      <c r="H451" s="9" t="s">
        <v>105</v>
      </c>
      <c r="I451" s="11">
        <v>27000000</v>
      </c>
      <c r="J451" s="11">
        <v>1446502</v>
      </c>
      <c r="K451" s="11">
        <v>12212868</v>
      </c>
      <c r="L451" s="3">
        <v>139</v>
      </c>
      <c r="M451" s="3">
        <v>658</v>
      </c>
      <c r="N451" s="3">
        <v>738011</v>
      </c>
      <c r="O451" s="2">
        <v>0.378</v>
      </c>
      <c r="P451" s="2">
        <v>0.95700000000000007</v>
      </c>
      <c r="Q451" s="2">
        <v>0.127</v>
      </c>
      <c r="R451" s="11">
        <v>403443813</v>
      </c>
      <c r="S451" s="11">
        <v>344500</v>
      </c>
      <c r="T451">
        <v>2017</v>
      </c>
      <c r="U451">
        <v>12</v>
      </c>
      <c r="V451">
        <f t="shared" si="42"/>
        <v>773000</v>
      </c>
      <c r="W451">
        <f t="shared" si="43"/>
        <v>18429897</v>
      </c>
      <c r="X451">
        <f t="shared" si="44"/>
        <v>17656897</v>
      </c>
      <c r="Y451">
        <f t="shared" si="45"/>
        <v>-25712345.5</v>
      </c>
      <c r="Z451">
        <f t="shared" si="46"/>
        <v>44915242.5</v>
      </c>
      <c r="AA451" t="str">
        <f t="shared" si="47"/>
        <v>Normal</v>
      </c>
      <c r="AE451" s="2"/>
      <c r="AF451" s="2"/>
    </row>
    <row r="452" spans="1:32" x14ac:dyDescent="0.35">
      <c r="A452">
        <v>451</v>
      </c>
      <c r="B452" s="1">
        <v>43082</v>
      </c>
      <c r="C452" s="9" t="s">
        <v>897</v>
      </c>
      <c r="D452" s="9" t="s">
        <v>4930</v>
      </c>
      <c r="E452" s="9" t="s">
        <v>6045</v>
      </c>
      <c r="F452" s="9" t="s">
        <v>15</v>
      </c>
      <c r="G452" s="9" t="s">
        <v>898</v>
      </c>
      <c r="H452" s="9" t="s">
        <v>105</v>
      </c>
      <c r="I452" s="11">
        <v>7200000</v>
      </c>
      <c r="J452" s="11">
        <v>4802216</v>
      </c>
      <c r="K452" s="11">
        <v>8091261</v>
      </c>
      <c r="L452" s="3">
        <v>490</v>
      </c>
      <c r="M452" s="3">
        <v>3850</v>
      </c>
      <c r="N452" s="3">
        <v>1593526</v>
      </c>
      <c r="O452" s="2">
        <v>-2.4E-2</v>
      </c>
      <c r="P452" s="2">
        <v>0.30499999999999999</v>
      </c>
      <c r="Q452" s="2">
        <v>0.122</v>
      </c>
      <c r="R452" s="11">
        <v>398112380</v>
      </c>
      <c r="S452" s="11">
        <v>179189</v>
      </c>
      <c r="T452">
        <v>2017</v>
      </c>
      <c r="U452">
        <v>12</v>
      </c>
      <c r="V452">
        <f t="shared" si="42"/>
        <v>771500</v>
      </c>
      <c r="W452">
        <f t="shared" si="43"/>
        <v>18429897</v>
      </c>
      <c r="X452">
        <f t="shared" si="44"/>
        <v>17658397</v>
      </c>
      <c r="Y452">
        <f t="shared" si="45"/>
        <v>-25716095.5</v>
      </c>
      <c r="Z452">
        <f t="shared" si="46"/>
        <v>44917492.5</v>
      </c>
      <c r="AA452" t="str">
        <f t="shared" si="47"/>
        <v>Normal</v>
      </c>
      <c r="AE452" s="2"/>
      <c r="AF452" s="2"/>
    </row>
    <row r="453" spans="1:32" x14ac:dyDescent="0.35">
      <c r="A453">
        <v>452</v>
      </c>
      <c r="B453" s="1">
        <v>43082</v>
      </c>
      <c r="C453" s="9" t="s">
        <v>899</v>
      </c>
      <c r="D453" s="9" t="s">
        <v>4930</v>
      </c>
      <c r="E453" s="9" t="s">
        <v>6046</v>
      </c>
      <c r="F453" s="9" t="s">
        <v>31</v>
      </c>
      <c r="G453" s="9" t="s">
        <v>900</v>
      </c>
      <c r="H453" s="9" t="s">
        <v>105</v>
      </c>
      <c r="I453" s="11">
        <v>18429897</v>
      </c>
      <c r="J453" s="11">
        <v>4625545</v>
      </c>
      <c r="K453" s="11">
        <v>7035300</v>
      </c>
      <c r="L453" s="3">
        <v>81</v>
      </c>
      <c r="M453" s="3">
        <v>1707</v>
      </c>
      <c r="N453" s="3">
        <v>1282920</v>
      </c>
      <c r="O453" s="2">
        <v>-0.34299999999999997</v>
      </c>
      <c r="P453" s="2">
        <v>0.74299999999999999</v>
      </c>
      <c r="Q453" s="2">
        <v>0.41100000000000003</v>
      </c>
      <c r="R453" s="11">
        <v>208947626</v>
      </c>
      <c r="S453" s="11">
        <v>1987970</v>
      </c>
      <c r="T453">
        <v>2017</v>
      </c>
      <c r="U453">
        <v>12</v>
      </c>
      <c r="V453">
        <f t="shared" si="42"/>
        <v>770000</v>
      </c>
      <c r="W453">
        <f t="shared" si="43"/>
        <v>18429897</v>
      </c>
      <c r="X453">
        <f t="shared" si="44"/>
        <v>17659897</v>
      </c>
      <c r="Y453">
        <f t="shared" si="45"/>
        <v>-25719845.5</v>
      </c>
      <c r="Z453">
        <f t="shared" si="46"/>
        <v>44919742.5</v>
      </c>
      <c r="AA453" t="str">
        <f t="shared" si="47"/>
        <v>Normal</v>
      </c>
      <c r="AE453" s="2"/>
      <c r="AF453" s="2"/>
    </row>
    <row r="454" spans="1:32" x14ac:dyDescent="0.35">
      <c r="A454">
        <v>453</v>
      </c>
      <c r="B454" s="1">
        <v>43083</v>
      </c>
      <c r="C454" s="9" t="s">
        <v>901</v>
      </c>
      <c r="D454" s="9" t="s">
        <v>4925</v>
      </c>
      <c r="E454" s="9" t="s">
        <v>6047</v>
      </c>
      <c r="F454" s="9" t="s">
        <v>15</v>
      </c>
      <c r="G454" s="9" t="s">
        <v>78</v>
      </c>
      <c r="H454" s="9" t="s">
        <v>105</v>
      </c>
      <c r="I454" s="11">
        <v>7000000</v>
      </c>
      <c r="J454" s="11">
        <v>2505840</v>
      </c>
      <c r="K454" s="11">
        <v>9413060</v>
      </c>
      <c r="L454" s="3">
        <v>418</v>
      </c>
      <c r="M454" s="3">
        <v>3532</v>
      </c>
      <c r="N454" s="3">
        <v>604165</v>
      </c>
      <c r="O454" s="2">
        <v>0.6409999999999999</v>
      </c>
      <c r="P454" s="2">
        <v>0.52200000000000002</v>
      </c>
      <c r="Q454" s="2">
        <v>0.31</v>
      </c>
      <c r="R454" s="11">
        <v>306985650</v>
      </c>
      <c r="S454" s="11">
        <v>1930048</v>
      </c>
      <c r="T454">
        <v>2017</v>
      </c>
      <c r="U454">
        <v>12</v>
      </c>
      <c r="V454">
        <f t="shared" si="42"/>
        <v>770000</v>
      </c>
      <c r="W454">
        <f t="shared" si="43"/>
        <v>18429897</v>
      </c>
      <c r="X454">
        <f t="shared" si="44"/>
        <v>17659897</v>
      </c>
      <c r="Y454">
        <f t="shared" si="45"/>
        <v>-25719845.5</v>
      </c>
      <c r="Z454">
        <f t="shared" si="46"/>
        <v>44919742.5</v>
      </c>
      <c r="AA454" t="str">
        <f t="shared" si="47"/>
        <v>Normal</v>
      </c>
      <c r="AE454" s="2"/>
      <c r="AF454" s="2"/>
    </row>
    <row r="455" spans="1:32" x14ac:dyDescent="0.35">
      <c r="A455">
        <v>454</v>
      </c>
      <c r="B455" s="1">
        <v>43083</v>
      </c>
      <c r="C455" s="9" t="s">
        <v>902</v>
      </c>
      <c r="D455" s="9" t="s">
        <v>4930</v>
      </c>
      <c r="E455" s="9" t="s">
        <v>6048</v>
      </c>
      <c r="F455" s="9" t="s">
        <v>15</v>
      </c>
      <c r="G455" s="9" t="s">
        <v>212</v>
      </c>
      <c r="H455" s="9" t="s">
        <v>105</v>
      </c>
      <c r="I455" s="11">
        <v>6000000</v>
      </c>
      <c r="J455" s="11">
        <v>143800</v>
      </c>
      <c r="K455" s="11">
        <v>1143866</v>
      </c>
      <c r="L455" s="3">
        <v>464</v>
      </c>
      <c r="M455" s="3">
        <v>268</v>
      </c>
      <c r="N455" s="3">
        <v>1921639</v>
      </c>
      <c r="O455" s="2">
        <v>0.16300000000000001</v>
      </c>
      <c r="P455" s="2">
        <v>0.42799999999999999</v>
      </c>
      <c r="Q455" s="2">
        <v>1.2999999999999999E-2</v>
      </c>
      <c r="R455" s="11">
        <v>219138656</v>
      </c>
      <c r="S455" s="11">
        <v>660709</v>
      </c>
      <c r="T455">
        <v>2017</v>
      </c>
      <c r="U455">
        <v>12</v>
      </c>
      <c r="V455">
        <f t="shared" si="42"/>
        <v>770000</v>
      </c>
      <c r="W455">
        <f t="shared" si="43"/>
        <v>18429897</v>
      </c>
      <c r="X455">
        <f t="shared" si="44"/>
        <v>17659897</v>
      </c>
      <c r="Y455">
        <f t="shared" si="45"/>
        <v>-25719845.5</v>
      </c>
      <c r="Z455">
        <f t="shared" si="46"/>
        <v>44919742.5</v>
      </c>
      <c r="AA455" t="str">
        <f t="shared" si="47"/>
        <v>Normal</v>
      </c>
      <c r="AE455" s="2"/>
      <c r="AF455" s="2"/>
    </row>
    <row r="456" spans="1:32" x14ac:dyDescent="0.35">
      <c r="A456">
        <v>455</v>
      </c>
      <c r="B456" s="1">
        <v>43083</v>
      </c>
      <c r="C456" s="9" t="s">
        <v>903</v>
      </c>
      <c r="D456" s="9" t="s">
        <v>4930</v>
      </c>
      <c r="E456" s="9" t="s">
        <v>6049</v>
      </c>
      <c r="F456" s="9" t="s">
        <v>19</v>
      </c>
      <c r="G456" s="9" t="s">
        <v>904</v>
      </c>
      <c r="H456" s="9" t="s">
        <v>275</v>
      </c>
      <c r="I456" s="11">
        <v>250000</v>
      </c>
      <c r="J456" s="11">
        <v>2992741</v>
      </c>
      <c r="K456" s="11">
        <v>10619177</v>
      </c>
      <c r="L456" s="3">
        <v>111</v>
      </c>
      <c r="M456" s="3">
        <v>2379</v>
      </c>
      <c r="N456" s="3">
        <v>1018455</v>
      </c>
      <c r="O456" s="2">
        <v>0.27600000000000002</v>
      </c>
      <c r="P456" s="2">
        <v>0.84699999999999998</v>
      </c>
      <c r="Q456" s="2">
        <v>-6.0000000000000001E-3</v>
      </c>
      <c r="R456" s="11">
        <v>384513709</v>
      </c>
      <c r="S456" s="11">
        <v>1957146</v>
      </c>
      <c r="T456">
        <v>2017</v>
      </c>
      <c r="U456">
        <v>12</v>
      </c>
      <c r="V456">
        <f t="shared" si="42"/>
        <v>770000</v>
      </c>
      <c r="W456">
        <f t="shared" si="43"/>
        <v>18429897</v>
      </c>
      <c r="X456">
        <f t="shared" si="44"/>
        <v>17659897</v>
      </c>
      <c r="Y456">
        <f t="shared" si="45"/>
        <v>-25719845.5</v>
      </c>
      <c r="Z456">
        <f t="shared" si="46"/>
        <v>44919742.5</v>
      </c>
      <c r="AA456" t="str">
        <f t="shared" si="47"/>
        <v>Normal</v>
      </c>
      <c r="AE456" s="2"/>
      <c r="AF456" s="2"/>
    </row>
    <row r="457" spans="1:32" x14ac:dyDescent="0.35">
      <c r="A457">
        <v>456</v>
      </c>
      <c r="B457" s="1">
        <v>43083</v>
      </c>
      <c r="C457" s="9" t="s">
        <v>521</v>
      </c>
      <c r="D457" s="9" t="s">
        <v>4925</v>
      </c>
      <c r="E457" s="9" t="s">
        <v>5403</v>
      </c>
      <c r="F457" s="9" t="s">
        <v>15</v>
      </c>
      <c r="G457" s="9" t="s">
        <v>905</v>
      </c>
      <c r="H457" s="9" t="s">
        <v>105</v>
      </c>
      <c r="I457" s="11">
        <v>10000000</v>
      </c>
      <c r="J457" s="11">
        <v>2784886</v>
      </c>
      <c r="K457" s="11">
        <v>5464902</v>
      </c>
      <c r="L457" s="3">
        <v>281</v>
      </c>
      <c r="M457" s="3">
        <v>3161</v>
      </c>
      <c r="N457" s="3">
        <v>1979243</v>
      </c>
      <c r="O457" s="2">
        <v>-3.7999999999999999E-2</v>
      </c>
      <c r="P457" s="2">
        <v>0.60299999999999998</v>
      </c>
      <c r="Q457" s="2">
        <v>0.13699999999999998</v>
      </c>
      <c r="R457" s="11">
        <v>250264963</v>
      </c>
      <c r="S457" s="11">
        <v>1580338</v>
      </c>
      <c r="T457">
        <v>2017</v>
      </c>
      <c r="U457">
        <v>12</v>
      </c>
      <c r="V457">
        <f t="shared" si="42"/>
        <v>770000</v>
      </c>
      <c r="W457">
        <f t="shared" si="43"/>
        <v>18429897</v>
      </c>
      <c r="X457">
        <f t="shared" si="44"/>
        <v>17659897</v>
      </c>
      <c r="Y457">
        <f t="shared" si="45"/>
        <v>-25719845.5</v>
      </c>
      <c r="Z457">
        <f t="shared" si="46"/>
        <v>44919742.5</v>
      </c>
      <c r="AA457" t="str">
        <f t="shared" si="47"/>
        <v>Normal</v>
      </c>
      <c r="AE457" s="2"/>
      <c r="AF457" s="2"/>
    </row>
    <row r="458" spans="1:32" x14ac:dyDescent="0.35">
      <c r="A458">
        <v>457</v>
      </c>
      <c r="B458" s="1">
        <v>43083</v>
      </c>
      <c r="C458" s="9" t="s">
        <v>906</v>
      </c>
      <c r="D458" s="9" t="s">
        <v>4930</v>
      </c>
      <c r="E458" s="9" t="s">
        <v>6050</v>
      </c>
      <c r="F458" s="9" t="s">
        <v>94</v>
      </c>
      <c r="G458" s="9" t="s">
        <v>509</v>
      </c>
      <c r="H458" s="9" t="s">
        <v>105</v>
      </c>
      <c r="I458" s="11">
        <v>18429897</v>
      </c>
      <c r="J458" s="11">
        <v>758077</v>
      </c>
      <c r="K458" s="11">
        <v>10153449</v>
      </c>
      <c r="L458" s="3">
        <v>301</v>
      </c>
      <c r="M458" s="3">
        <v>2505.5</v>
      </c>
      <c r="N458" s="3">
        <v>3413</v>
      </c>
      <c r="O458" s="2">
        <v>-0.153</v>
      </c>
      <c r="P458" s="2">
        <v>0.36599999999999999</v>
      </c>
      <c r="Q458" s="2">
        <v>0.36749999999999999</v>
      </c>
      <c r="R458" s="11">
        <v>258032698</v>
      </c>
      <c r="S458" s="11">
        <v>1008193.5</v>
      </c>
      <c r="T458">
        <v>2017</v>
      </c>
      <c r="U458">
        <v>12</v>
      </c>
      <c r="V458">
        <f t="shared" si="42"/>
        <v>770000</v>
      </c>
      <c r="W458">
        <f t="shared" si="43"/>
        <v>18429897</v>
      </c>
      <c r="X458">
        <f t="shared" si="44"/>
        <v>17659897</v>
      </c>
      <c r="Y458">
        <f t="shared" si="45"/>
        <v>-25719845.5</v>
      </c>
      <c r="Z458">
        <f t="shared" si="46"/>
        <v>44919742.5</v>
      </c>
      <c r="AA458" t="str">
        <f t="shared" si="47"/>
        <v>Normal</v>
      </c>
      <c r="AE458" s="2"/>
      <c r="AF458" s="2"/>
    </row>
    <row r="459" spans="1:32" x14ac:dyDescent="0.35">
      <c r="A459">
        <v>458</v>
      </c>
      <c r="B459" s="1">
        <v>43084</v>
      </c>
      <c r="C459" s="9" t="s">
        <v>907</v>
      </c>
      <c r="D459" s="9" t="s">
        <v>4925</v>
      </c>
      <c r="E459" s="9" t="s">
        <v>6051</v>
      </c>
      <c r="F459" s="9" t="s">
        <v>31</v>
      </c>
      <c r="G459" s="9" t="s">
        <v>908</v>
      </c>
      <c r="H459" s="9" t="s">
        <v>275</v>
      </c>
      <c r="I459" s="11">
        <v>537000</v>
      </c>
      <c r="J459" s="11">
        <v>3177196</v>
      </c>
      <c r="K459" s="11">
        <v>11251029</v>
      </c>
      <c r="L459" s="3">
        <v>397</v>
      </c>
      <c r="M459" s="3">
        <v>2780</v>
      </c>
      <c r="N459" s="3">
        <v>561688</v>
      </c>
      <c r="O459" s="2">
        <v>0.151</v>
      </c>
      <c r="P459" s="2">
        <v>0.80700000000000005</v>
      </c>
      <c r="Q459" s="2">
        <v>-0.14300000000000002</v>
      </c>
      <c r="R459" s="11">
        <v>204366325</v>
      </c>
      <c r="S459" s="11">
        <v>1040649</v>
      </c>
      <c r="T459">
        <v>2017</v>
      </c>
      <c r="U459">
        <v>12</v>
      </c>
      <c r="V459">
        <f t="shared" si="42"/>
        <v>770000</v>
      </c>
      <c r="W459">
        <f t="shared" si="43"/>
        <v>18429897</v>
      </c>
      <c r="X459">
        <f t="shared" si="44"/>
        <v>17659897</v>
      </c>
      <c r="Y459">
        <f t="shared" si="45"/>
        <v>-25719845.5</v>
      </c>
      <c r="Z459">
        <f t="shared" si="46"/>
        <v>44919742.5</v>
      </c>
      <c r="AA459" t="str">
        <f t="shared" si="47"/>
        <v>Normal</v>
      </c>
      <c r="AE459" s="2"/>
      <c r="AF459" s="2"/>
    </row>
    <row r="460" spans="1:32" x14ac:dyDescent="0.35">
      <c r="A460">
        <v>459</v>
      </c>
      <c r="B460" s="1">
        <v>43084</v>
      </c>
      <c r="C460" s="9" t="s">
        <v>709</v>
      </c>
      <c r="D460" s="9" t="s">
        <v>4925</v>
      </c>
      <c r="E460" s="9" t="s">
        <v>6052</v>
      </c>
      <c r="F460" s="9" t="s">
        <v>94</v>
      </c>
      <c r="G460" s="9" t="s">
        <v>58</v>
      </c>
      <c r="H460" s="9" t="s">
        <v>59</v>
      </c>
      <c r="I460" s="11">
        <v>2700000</v>
      </c>
      <c r="J460" s="11">
        <v>4207151</v>
      </c>
      <c r="K460" s="11">
        <v>19276783</v>
      </c>
      <c r="L460" s="3">
        <v>400</v>
      </c>
      <c r="M460" s="3">
        <v>105</v>
      </c>
      <c r="N460" s="3">
        <v>665348</v>
      </c>
      <c r="O460" s="2">
        <v>-0.27800000000000002</v>
      </c>
      <c r="P460" s="2">
        <v>0.70699999999999996</v>
      </c>
      <c r="Q460" s="2">
        <v>-1.7000000000000001E-2</v>
      </c>
      <c r="R460" s="11">
        <v>228597248</v>
      </c>
      <c r="S460" s="11">
        <v>674923</v>
      </c>
      <c r="T460">
        <v>2017</v>
      </c>
      <c r="U460">
        <v>12</v>
      </c>
      <c r="V460">
        <f t="shared" si="42"/>
        <v>771500</v>
      </c>
      <c r="W460">
        <f t="shared" si="43"/>
        <v>18429897</v>
      </c>
      <c r="X460">
        <f t="shared" si="44"/>
        <v>17658397</v>
      </c>
      <c r="Y460">
        <f t="shared" si="45"/>
        <v>-25716095.5</v>
      </c>
      <c r="Z460">
        <f t="shared" si="46"/>
        <v>44917492.5</v>
      </c>
      <c r="AA460" t="str">
        <f t="shared" si="47"/>
        <v>Normal</v>
      </c>
      <c r="AE460" s="2"/>
      <c r="AF460" s="2"/>
    </row>
    <row r="461" spans="1:32" x14ac:dyDescent="0.35">
      <c r="A461">
        <v>460</v>
      </c>
      <c r="B461" s="1">
        <v>43087</v>
      </c>
      <c r="C461" s="9" t="s">
        <v>909</v>
      </c>
      <c r="D461" s="9" t="s">
        <v>4930</v>
      </c>
      <c r="E461" s="9" t="s">
        <v>6053</v>
      </c>
      <c r="F461" s="9" t="s">
        <v>63</v>
      </c>
      <c r="G461" s="9" t="s">
        <v>910</v>
      </c>
      <c r="H461" s="9" t="s">
        <v>105</v>
      </c>
      <c r="I461" s="11">
        <v>18429897</v>
      </c>
      <c r="J461" s="11">
        <v>547369</v>
      </c>
      <c r="K461" s="11">
        <v>4196627</v>
      </c>
      <c r="L461" s="3">
        <v>34</v>
      </c>
      <c r="M461" s="3">
        <v>86</v>
      </c>
      <c r="N461" s="3">
        <v>1348623</v>
      </c>
      <c r="O461" s="2">
        <v>6.7000000000000004E-2</v>
      </c>
      <c r="P461" s="2">
        <v>0.24199999999999999</v>
      </c>
      <c r="Q461" s="2">
        <v>-0.495</v>
      </c>
      <c r="R461" s="11">
        <v>468600683</v>
      </c>
      <c r="S461" s="11">
        <v>1671016</v>
      </c>
      <c r="T461">
        <v>2017</v>
      </c>
      <c r="U461">
        <v>12</v>
      </c>
      <c r="V461">
        <f t="shared" si="42"/>
        <v>770000</v>
      </c>
      <c r="W461">
        <f t="shared" si="43"/>
        <v>18429897</v>
      </c>
      <c r="X461">
        <f t="shared" si="44"/>
        <v>17659897</v>
      </c>
      <c r="Y461">
        <f t="shared" si="45"/>
        <v>-25719845.5</v>
      </c>
      <c r="Z461">
        <f t="shared" si="46"/>
        <v>44919742.5</v>
      </c>
      <c r="AA461" t="str">
        <f t="shared" si="47"/>
        <v>Normal</v>
      </c>
      <c r="AE461" s="2"/>
      <c r="AF461" s="2"/>
    </row>
    <row r="462" spans="1:32" x14ac:dyDescent="0.35">
      <c r="A462">
        <v>461</v>
      </c>
      <c r="B462" s="1">
        <v>43088</v>
      </c>
      <c r="C462" s="9" t="s">
        <v>911</v>
      </c>
      <c r="D462" s="9" t="s">
        <v>4930</v>
      </c>
      <c r="E462" s="9" t="s">
        <v>6054</v>
      </c>
      <c r="F462" s="9" t="s">
        <v>15</v>
      </c>
      <c r="G462" s="9" t="s">
        <v>912</v>
      </c>
      <c r="H462" s="9" t="s">
        <v>105</v>
      </c>
      <c r="I462" s="11">
        <v>9500000</v>
      </c>
      <c r="J462" s="11">
        <v>3622146</v>
      </c>
      <c r="K462" s="11">
        <v>18238595</v>
      </c>
      <c r="L462" s="3">
        <v>163</v>
      </c>
      <c r="M462" s="3">
        <v>3020</v>
      </c>
      <c r="N462" s="3">
        <v>1679206</v>
      </c>
      <c r="O462" s="2">
        <v>0.32400000000000001</v>
      </c>
      <c r="P462" s="2">
        <v>1.0209999999999999</v>
      </c>
      <c r="Q462" s="2">
        <v>-0.14699999999999999</v>
      </c>
      <c r="R462" s="11">
        <v>252249019</v>
      </c>
      <c r="S462" s="11">
        <v>1302701</v>
      </c>
      <c r="T462">
        <v>2017</v>
      </c>
      <c r="U462">
        <v>12</v>
      </c>
      <c r="V462">
        <f t="shared" si="42"/>
        <v>770000</v>
      </c>
      <c r="W462">
        <f t="shared" si="43"/>
        <v>18429897</v>
      </c>
      <c r="X462">
        <f t="shared" si="44"/>
        <v>17659897</v>
      </c>
      <c r="Y462">
        <f t="shared" si="45"/>
        <v>-25719845.5</v>
      </c>
      <c r="Z462">
        <f t="shared" si="46"/>
        <v>44919742.5</v>
      </c>
      <c r="AA462" t="str">
        <f t="shared" si="47"/>
        <v>Normal</v>
      </c>
      <c r="AE462" s="2"/>
      <c r="AF462" s="2"/>
    </row>
    <row r="463" spans="1:32" x14ac:dyDescent="0.35">
      <c r="A463">
        <v>462</v>
      </c>
      <c r="B463" s="1">
        <v>43088</v>
      </c>
      <c r="C463" s="9" t="s">
        <v>913</v>
      </c>
      <c r="D463" s="9" t="s">
        <v>4930</v>
      </c>
      <c r="E463" s="9" t="s">
        <v>6055</v>
      </c>
      <c r="F463" s="9" t="s">
        <v>31</v>
      </c>
      <c r="G463" s="9" t="s">
        <v>833</v>
      </c>
      <c r="H463" s="9" t="s">
        <v>105</v>
      </c>
      <c r="I463" s="11">
        <v>18429897</v>
      </c>
      <c r="J463" s="11">
        <v>718891</v>
      </c>
      <c r="K463" s="11">
        <v>10436173</v>
      </c>
      <c r="L463" s="3">
        <v>470</v>
      </c>
      <c r="M463" s="3">
        <v>2109</v>
      </c>
      <c r="N463" s="3">
        <v>243087</v>
      </c>
      <c r="O463" s="2">
        <v>0.21</v>
      </c>
      <c r="P463" s="2">
        <v>1.1870000000000001</v>
      </c>
      <c r="Q463" s="2">
        <v>1.7000000000000001E-2</v>
      </c>
      <c r="R463" s="11">
        <v>184928010</v>
      </c>
      <c r="S463" s="11">
        <v>1809052</v>
      </c>
      <c r="T463">
        <v>2017</v>
      </c>
      <c r="U463">
        <v>12</v>
      </c>
      <c r="V463">
        <f t="shared" si="42"/>
        <v>770000</v>
      </c>
      <c r="W463">
        <f t="shared" si="43"/>
        <v>18429897</v>
      </c>
      <c r="X463">
        <f t="shared" si="44"/>
        <v>17659897</v>
      </c>
      <c r="Y463">
        <f t="shared" si="45"/>
        <v>-25719845.5</v>
      </c>
      <c r="Z463">
        <f t="shared" si="46"/>
        <v>44919742.5</v>
      </c>
      <c r="AA463" t="str">
        <f t="shared" si="47"/>
        <v>Normal</v>
      </c>
      <c r="AE463" s="2"/>
      <c r="AF463" s="2"/>
    </row>
    <row r="464" spans="1:32" x14ac:dyDescent="0.35">
      <c r="A464">
        <v>463</v>
      </c>
      <c r="B464" s="1">
        <v>43088</v>
      </c>
      <c r="C464" s="9" t="s">
        <v>914</v>
      </c>
      <c r="D464" s="9" t="s">
        <v>4930</v>
      </c>
      <c r="E464" s="9" t="s">
        <v>6056</v>
      </c>
      <c r="F464" s="9" t="s">
        <v>94</v>
      </c>
      <c r="G464" s="9" t="s">
        <v>915</v>
      </c>
      <c r="H464" s="9" t="s">
        <v>105</v>
      </c>
      <c r="I464" s="11">
        <v>1500000</v>
      </c>
      <c r="J464" s="11">
        <v>3749154</v>
      </c>
      <c r="K464" s="11">
        <v>19460811</v>
      </c>
      <c r="L464" s="3">
        <v>254</v>
      </c>
      <c r="M464" s="3">
        <v>2505.5</v>
      </c>
      <c r="N464" s="3">
        <v>302487</v>
      </c>
      <c r="O464" s="2">
        <v>0.17100000000000001</v>
      </c>
      <c r="P464" s="2">
        <v>0.54200000000000004</v>
      </c>
      <c r="Q464" s="2">
        <v>0.78900000000000003</v>
      </c>
      <c r="R464" s="11">
        <v>347890644</v>
      </c>
      <c r="S464" s="11">
        <v>1854806</v>
      </c>
      <c r="T464">
        <v>2017</v>
      </c>
      <c r="U464">
        <v>12</v>
      </c>
      <c r="V464">
        <f t="shared" si="42"/>
        <v>770000</v>
      </c>
      <c r="W464">
        <f t="shared" si="43"/>
        <v>18429897</v>
      </c>
      <c r="X464">
        <f t="shared" si="44"/>
        <v>17659897</v>
      </c>
      <c r="Y464">
        <f t="shared" si="45"/>
        <v>-25719845.5</v>
      </c>
      <c r="Z464">
        <f t="shared" si="46"/>
        <v>44919742.5</v>
      </c>
      <c r="AA464" t="str">
        <f t="shared" si="47"/>
        <v>Normal</v>
      </c>
      <c r="AE464" s="2"/>
      <c r="AF464" s="2"/>
    </row>
    <row r="465" spans="1:32" x14ac:dyDescent="0.35">
      <c r="A465">
        <v>464</v>
      </c>
      <c r="B465" s="1">
        <v>43089</v>
      </c>
      <c r="C465" s="9" t="s">
        <v>916</v>
      </c>
      <c r="D465" s="9" t="s">
        <v>4930</v>
      </c>
      <c r="E465" s="9" t="s">
        <v>6057</v>
      </c>
      <c r="F465" s="9" t="s">
        <v>15</v>
      </c>
      <c r="G465" s="9" t="s">
        <v>917</v>
      </c>
      <c r="H465" s="9" t="s">
        <v>105</v>
      </c>
      <c r="I465" s="11">
        <v>1000000</v>
      </c>
      <c r="J465" s="11">
        <v>2107189</v>
      </c>
      <c r="K465" s="11">
        <v>7706021</v>
      </c>
      <c r="L465" s="3">
        <v>126</v>
      </c>
      <c r="M465" s="3">
        <v>1829</v>
      </c>
      <c r="N465" s="3">
        <v>1349834</v>
      </c>
      <c r="O465" s="2">
        <v>0.46899999999999997</v>
      </c>
      <c r="P465" s="2">
        <v>1.1870000000000001</v>
      </c>
      <c r="Q465" s="2">
        <v>-6.0999999999999999E-2</v>
      </c>
      <c r="R465" s="11">
        <v>448700135</v>
      </c>
      <c r="S465" s="11">
        <v>1831593</v>
      </c>
      <c r="T465">
        <v>2017</v>
      </c>
      <c r="U465">
        <v>12</v>
      </c>
      <c r="V465">
        <f t="shared" si="42"/>
        <v>770000</v>
      </c>
      <c r="W465">
        <f t="shared" si="43"/>
        <v>18429897</v>
      </c>
      <c r="X465">
        <f t="shared" si="44"/>
        <v>17659897</v>
      </c>
      <c r="Y465">
        <f t="shared" si="45"/>
        <v>-25719845.5</v>
      </c>
      <c r="Z465">
        <f t="shared" si="46"/>
        <v>44919742.5</v>
      </c>
      <c r="AA465" t="str">
        <f t="shared" si="47"/>
        <v>Normal</v>
      </c>
      <c r="AE465" s="2"/>
      <c r="AF465" s="2"/>
    </row>
    <row r="466" spans="1:32" x14ac:dyDescent="0.35">
      <c r="A466">
        <v>465</v>
      </c>
      <c r="B466" s="1">
        <v>43089</v>
      </c>
      <c r="C466" s="9" t="s">
        <v>918</v>
      </c>
      <c r="D466" s="9" t="s">
        <v>4933</v>
      </c>
      <c r="E466" s="9" t="s">
        <v>6058</v>
      </c>
      <c r="F466" s="9" t="s">
        <v>124</v>
      </c>
      <c r="G466" s="9" t="s">
        <v>4832</v>
      </c>
      <c r="H466" s="9" t="s">
        <v>105</v>
      </c>
      <c r="I466" s="11">
        <v>19500000</v>
      </c>
      <c r="J466" s="11">
        <v>52424</v>
      </c>
      <c r="K466" s="11">
        <v>19938699</v>
      </c>
      <c r="L466" s="3">
        <v>316</v>
      </c>
      <c r="M466" s="3">
        <v>76</v>
      </c>
      <c r="N466" s="3">
        <v>1018455</v>
      </c>
      <c r="O466" s="2">
        <v>0.19500000000000001</v>
      </c>
      <c r="P466" s="2">
        <v>1.196E-2</v>
      </c>
      <c r="Q466" s="2">
        <v>0.26500000000000001</v>
      </c>
      <c r="R466" s="11">
        <v>250264963</v>
      </c>
      <c r="S466" s="11">
        <v>1748590</v>
      </c>
      <c r="T466">
        <v>2017</v>
      </c>
      <c r="U466">
        <v>12</v>
      </c>
      <c r="V466">
        <f t="shared" si="42"/>
        <v>765000</v>
      </c>
      <c r="W466">
        <f t="shared" si="43"/>
        <v>18429897</v>
      </c>
      <c r="X466">
        <f t="shared" si="44"/>
        <v>17664897</v>
      </c>
      <c r="Y466">
        <f t="shared" si="45"/>
        <v>-25732345.5</v>
      </c>
      <c r="Z466">
        <f t="shared" si="46"/>
        <v>44927242.5</v>
      </c>
      <c r="AA466" t="str">
        <f t="shared" si="47"/>
        <v>Normal</v>
      </c>
      <c r="AE466" s="2"/>
      <c r="AF466" s="2"/>
    </row>
    <row r="467" spans="1:32" x14ac:dyDescent="0.35">
      <c r="A467">
        <v>466</v>
      </c>
      <c r="B467" s="1">
        <v>43090</v>
      </c>
      <c r="C467" s="9" t="s">
        <v>194</v>
      </c>
      <c r="D467" s="9" t="s">
        <v>4930</v>
      </c>
      <c r="E467" s="9" t="s">
        <v>6059</v>
      </c>
      <c r="F467" s="9" t="s">
        <v>31</v>
      </c>
      <c r="G467" s="9" t="s">
        <v>721</v>
      </c>
      <c r="H467" s="9" t="s">
        <v>105</v>
      </c>
      <c r="I467" s="11">
        <v>4000000</v>
      </c>
      <c r="J467" s="11">
        <v>4831834</v>
      </c>
      <c r="K467" s="11">
        <v>13233256</v>
      </c>
      <c r="L467" s="3">
        <v>101</v>
      </c>
      <c r="M467" s="3">
        <v>3516</v>
      </c>
      <c r="N467" s="3">
        <v>1397432</v>
      </c>
      <c r="O467" s="2">
        <v>-0.26100000000000001</v>
      </c>
      <c r="P467" s="2">
        <v>0.66400000000000003</v>
      </c>
      <c r="Q467" s="2">
        <v>0.05</v>
      </c>
      <c r="R467" s="11">
        <v>457180850</v>
      </c>
      <c r="S467" s="11">
        <v>1283813</v>
      </c>
      <c r="T467">
        <v>2017</v>
      </c>
      <c r="U467">
        <v>12</v>
      </c>
      <c r="V467">
        <f t="shared" si="42"/>
        <v>760000</v>
      </c>
      <c r="W467">
        <f t="shared" si="43"/>
        <v>18429897</v>
      </c>
      <c r="X467">
        <f t="shared" si="44"/>
        <v>17669897</v>
      </c>
      <c r="Y467">
        <f t="shared" si="45"/>
        <v>-25744845.5</v>
      </c>
      <c r="Z467">
        <f t="shared" si="46"/>
        <v>44934742.5</v>
      </c>
      <c r="AA467" t="str">
        <f t="shared" si="47"/>
        <v>Normal</v>
      </c>
      <c r="AE467" s="2"/>
      <c r="AF467" s="2"/>
    </row>
    <row r="468" spans="1:32" x14ac:dyDescent="0.35">
      <c r="A468">
        <v>467</v>
      </c>
      <c r="B468" s="1">
        <v>43090</v>
      </c>
      <c r="C468" s="9" t="s">
        <v>919</v>
      </c>
      <c r="D468" s="9" t="s">
        <v>4925</v>
      </c>
      <c r="E468" s="9" t="s">
        <v>6060</v>
      </c>
      <c r="F468" s="9" t="s">
        <v>15</v>
      </c>
      <c r="G468" s="9" t="s">
        <v>920</v>
      </c>
      <c r="H468" s="9" t="s">
        <v>275</v>
      </c>
      <c r="I468" s="11">
        <v>150000</v>
      </c>
      <c r="J468" s="11">
        <v>846532</v>
      </c>
      <c r="K468" s="11">
        <v>13429021</v>
      </c>
      <c r="L468" s="3">
        <v>77</v>
      </c>
      <c r="M468" s="3">
        <v>728</v>
      </c>
      <c r="N468" s="3">
        <v>2186</v>
      </c>
      <c r="O468" s="2">
        <v>0.09</v>
      </c>
      <c r="P468" s="2">
        <v>0.50800000000000001</v>
      </c>
      <c r="Q468" s="2">
        <v>0.21</v>
      </c>
      <c r="R468" s="11">
        <v>442494385</v>
      </c>
      <c r="S468" s="11">
        <v>652484</v>
      </c>
      <c r="T468">
        <v>2017</v>
      </c>
      <c r="U468">
        <v>12</v>
      </c>
      <c r="V468">
        <f t="shared" si="42"/>
        <v>755000</v>
      </c>
      <c r="W468">
        <f t="shared" si="43"/>
        <v>18429897</v>
      </c>
      <c r="X468">
        <f t="shared" si="44"/>
        <v>17674897</v>
      </c>
      <c r="Y468">
        <f t="shared" si="45"/>
        <v>-25757345.5</v>
      </c>
      <c r="Z468">
        <f t="shared" si="46"/>
        <v>44942242.5</v>
      </c>
      <c r="AA468" t="str">
        <f t="shared" si="47"/>
        <v>Normal</v>
      </c>
      <c r="AE468" s="2"/>
      <c r="AF468" s="2"/>
    </row>
    <row r="469" spans="1:32" x14ac:dyDescent="0.35">
      <c r="A469">
        <v>468</v>
      </c>
      <c r="B469" s="1">
        <v>43090</v>
      </c>
      <c r="C469" s="9" t="s">
        <v>921</v>
      </c>
      <c r="D469" s="9" t="s">
        <v>4925</v>
      </c>
      <c r="E469" s="9" t="s">
        <v>6061</v>
      </c>
      <c r="F469" s="9" t="s">
        <v>922</v>
      </c>
      <c r="G469" s="9" t="s">
        <v>329</v>
      </c>
      <c r="H469" s="9" t="s">
        <v>105</v>
      </c>
      <c r="I469" s="11">
        <v>18429897</v>
      </c>
      <c r="J469" s="11">
        <v>2988291</v>
      </c>
      <c r="K469" s="11">
        <v>11308058</v>
      </c>
      <c r="L469" s="3">
        <v>399</v>
      </c>
      <c r="M469" s="3">
        <v>3935</v>
      </c>
      <c r="N469" s="3">
        <v>1046783</v>
      </c>
      <c r="O469" s="2">
        <v>0.505</v>
      </c>
      <c r="P469" s="2">
        <v>0.98199999999999998</v>
      </c>
      <c r="Q469" s="2">
        <v>-0.17100000000000001</v>
      </c>
      <c r="R469" s="11">
        <v>105499800</v>
      </c>
      <c r="S469" s="11">
        <v>899966</v>
      </c>
      <c r="T469">
        <v>2017</v>
      </c>
      <c r="U469">
        <v>12</v>
      </c>
      <c r="V469">
        <f t="shared" si="42"/>
        <v>770000</v>
      </c>
      <c r="W469">
        <f t="shared" si="43"/>
        <v>18429897</v>
      </c>
      <c r="X469">
        <f t="shared" si="44"/>
        <v>17659897</v>
      </c>
      <c r="Y469">
        <f t="shared" si="45"/>
        <v>-25719845.5</v>
      </c>
      <c r="Z469">
        <f t="shared" si="46"/>
        <v>44919742.5</v>
      </c>
      <c r="AA469" t="str">
        <f t="shared" si="47"/>
        <v>Normal</v>
      </c>
      <c r="AE469" s="2"/>
      <c r="AF469" s="2"/>
    </row>
    <row r="470" spans="1:32" x14ac:dyDescent="0.35">
      <c r="A470">
        <v>469</v>
      </c>
      <c r="B470" s="1">
        <v>43095</v>
      </c>
      <c r="C470" s="9" t="s">
        <v>923</v>
      </c>
      <c r="D470" s="9" t="s">
        <v>4925</v>
      </c>
      <c r="E470" s="9" t="s">
        <v>6062</v>
      </c>
      <c r="F470" s="9" t="s">
        <v>35</v>
      </c>
      <c r="G470" s="9" t="s">
        <v>795</v>
      </c>
      <c r="H470" s="9" t="s">
        <v>105</v>
      </c>
      <c r="I470" s="11">
        <v>10000000</v>
      </c>
      <c r="J470" s="11">
        <v>923711</v>
      </c>
      <c r="K470" s="11">
        <v>9088541</v>
      </c>
      <c r="L470" s="3">
        <v>63</v>
      </c>
      <c r="M470" s="3">
        <v>111</v>
      </c>
      <c r="N470" s="3">
        <v>46363</v>
      </c>
      <c r="O470" s="2">
        <v>5.7999999999999996E-2</v>
      </c>
      <c r="P470" s="2">
        <v>1.034E-2</v>
      </c>
      <c r="Q470" s="2">
        <v>-0.28600000000000003</v>
      </c>
      <c r="R470" s="11">
        <v>98336281</v>
      </c>
      <c r="S470" s="11">
        <v>1426027</v>
      </c>
      <c r="T470">
        <v>2017</v>
      </c>
      <c r="U470">
        <v>12</v>
      </c>
      <c r="V470">
        <f t="shared" si="42"/>
        <v>765000</v>
      </c>
      <c r="W470">
        <f t="shared" si="43"/>
        <v>18429897</v>
      </c>
      <c r="X470">
        <f t="shared" si="44"/>
        <v>17664897</v>
      </c>
      <c r="Y470">
        <f t="shared" si="45"/>
        <v>-25732345.5</v>
      </c>
      <c r="Z470">
        <f t="shared" si="46"/>
        <v>44927242.5</v>
      </c>
      <c r="AA470" t="str">
        <f t="shared" si="47"/>
        <v>Normal</v>
      </c>
      <c r="AE470" s="2"/>
      <c r="AF470" s="2"/>
    </row>
    <row r="471" spans="1:32" x14ac:dyDescent="0.35">
      <c r="A471">
        <v>470</v>
      </c>
      <c r="B471" s="1">
        <v>43096</v>
      </c>
      <c r="C471" s="9" t="s">
        <v>924</v>
      </c>
      <c r="D471" s="9" t="s">
        <v>4925</v>
      </c>
      <c r="E471" s="9" t="s">
        <v>6063</v>
      </c>
      <c r="F471" s="9" t="s">
        <v>63</v>
      </c>
      <c r="G471" s="9" t="s">
        <v>925</v>
      </c>
      <c r="H471" s="9" t="s">
        <v>105</v>
      </c>
      <c r="I471" s="11">
        <v>18429897</v>
      </c>
      <c r="J471" s="11">
        <v>4666455</v>
      </c>
      <c r="K471" s="11">
        <v>10549782</v>
      </c>
      <c r="L471" s="3">
        <v>446</v>
      </c>
      <c r="M471" s="3">
        <v>4647</v>
      </c>
      <c r="N471" s="3">
        <v>1902736</v>
      </c>
      <c r="O471" s="2">
        <v>0.49299999999999999</v>
      </c>
      <c r="P471" s="2">
        <v>0.32300000000000001</v>
      </c>
      <c r="Q471" s="2">
        <v>0.44400000000000001</v>
      </c>
      <c r="R471" s="11">
        <v>228902199</v>
      </c>
      <c r="S471" s="11">
        <v>1101895</v>
      </c>
      <c r="T471">
        <v>2017</v>
      </c>
      <c r="U471">
        <v>12</v>
      </c>
      <c r="V471">
        <f t="shared" si="42"/>
        <v>760000</v>
      </c>
      <c r="W471">
        <f t="shared" si="43"/>
        <v>18429897</v>
      </c>
      <c r="X471">
        <f t="shared" si="44"/>
        <v>17669897</v>
      </c>
      <c r="Y471">
        <f t="shared" si="45"/>
        <v>-25744845.5</v>
      </c>
      <c r="Z471">
        <f t="shared" si="46"/>
        <v>44934742.5</v>
      </c>
      <c r="AA471" t="str">
        <f t="shared" si="47"/>
        <v>Normal</v>
      </c>
      <c r="AE471" s="2"/>
      <c r="AF471" s="2"/>
    </row>
    <row r="472" spans="1:32" x14ac:dyDescent="0.35">
      <c r="A472">
        <v>471</v>
      </c>
      <c r="B472" s="1">
        <v>43096</v>
      </c>
      <c r="C472" s="9" t="s">
        <v>926</v>
      </c>
      <c r="D472" s="9" t="s">
        <v>4930</v>
      </c>
      <c r="E472" s="9" t="s">
        <v>6064</v>
      </c>
      <c r="F472" s="9" t="s">
        <v>124</v>
      </c>
      <c r="G472" s="9" t="s">
        <v>927</v>
      </c>
      <c r="H472" s="9" t="s">
        <v>105</v>
      </c>
      <c r="I472" s="11">
        <v>3800000</v>
      </c>
      <c r="J472" s="11">
        <v>3696861</v>
      </c>
      <c r="K472" s="11">
        <v>17029604</v>
      </c>
      <c r="L472" s="3">
        <v>128</v>
      </c>
      <c r="M472" s="3">
        <v>1303</v>
      </c>
      <c r="N472" s="3">
        <v>292123</v>
      </c>
      <c r="O472" s="2">
        <v>0.32500000000000001</v>
      </c>
      <c r="P472" s="2">
        <v>0.98</v>
      </c>
      <c r="Q472" s="2">
        <v>-0.23300000000000001</v>
      </c>
      <c r="R472" s="11">
        <v>334527763</v>
      </c>
      <c r="S472" s="11">
        <v>316394</v>
      </c>
      <c r="T472">
        <v>2017</v>
      </c>
      <c r="U472">
        <v>12</v>
      </c>
      <c r="V472">
        <f t="shared" si="42"/>
        <v>755000</v>
      </c>
      <c r="W472">
        <f t="shared" si="43"/>
        <v>18429897</v>
      </c>
      <c r="X472">
        <f t="shared" si="44"/>
        <v>17674897</v>
      </c>
      <c r="Y472">
        <f t="shared" si="45"/>
        <v>-25757345.5</v>
      </c>
      <c r="Z472">
        <f t="shared" si="46"/>
        <v>44942242.5</v>
      </c>
      <c r="AA472" t="str">
        <f t="shared" si="47"/>
        <v>Normal</v>
      </c>
      <c r="AE472" s="2"/>
      <c r="AF472" s="2"/>
    </row>
    <row r="473" spans="1:32" x14ac:dyDescent="0.35">
      <c r="A473">
        <v>472</v>
      </c>
      <c r="B473" s="1">
        <v>43041</v>
      </c>
      <c r="C473" s="9" t="s">
        <v>928</v>
      </c>
      <c r="D473" s="9" t="s">
        <v>4933</v>
      </c>
      <c r="E473" s="9" t="s">
        <v>6065</v>
      </c>
      <c r="F473" s="9" t="s">
        <v>27</v>
      </c>
      <c r="G473" s="9" t="s">
        <v>929</v>
      </c>
      <c r="H473" s="9" t="s">
        <v>86</v>
      </c>
      <c r="I473" s="11">
        <v>570000</v>
      </c>
      <c r="J473" s="11">
        <v>4025717</v>
      </c>
      <c r="K473" s="11">
        <v>15867756</v>
      </c>
      <c r="L473" s="3">
        <v>57</v>
      </c>
      <c r="M473" s="3">
        <v>4468</v>
      </c>
      <c r="N473" s="3">
        <v>1000000000</v>
      </c>
      <c r="O473" s="2">
        <v>3.7999999999999999E-2</v>
      </c>
      <c r="P473" s="2">
        <v>0.43700000000000006</v>
      </c>
      <c r="Q473" s="2">
        <v>0.47100000000000003</v>
      </c>
      <c r="R473" s="11">
        <v>466970708</v>
      </c>
      <c r="S473" s="11">
        <v>1493296</v>
      </c>
      <c r="T473">
        <v>2017</v>
      </c>
      <c r="U473">
        <v>11</v>
      </c>
      <c r="V473">
        <f t="shared" si="42"/>
        <v>750000</v>
      </c>
      <c r="W473">
        <f t="shared" si="43"/>
        <v>18429897</v>
      </c>
      <c r="X473">
        <f t="shared" si="44"/>
        <v>17679897</v>
      </c>
      <c r="Y473">
        <f t="shared" si="45"/>
        <v>-25769845.5</v>
      </c>
      <c r="Z473">
        <f t="shared" si="46"/>
        <v>44949742.5</v>
      </c>
      <c r="AA473" t="str">
        <f t="shared" si="47"/>
        <v>Normal</v>
      </c>
      <c r="AE473" s="2"/>
      <c r="AF473" s="2"/>
    </row>
    <row r="474" spans="1:32" x14ac:dyDescent="0.35">
      <c r="A474">
        <v>473</v>
      </c>
      <c r="B474" s="1">
        <v>43041</v>
      </c>
      <c r="C474" s="9" t="s">
        <v>930</v>
      </c>
      <c r="D474" s="9" t="s">
        <v>4930</v>
      </c>
      <c r="E474" s="9" t="s">
        <v>6066</v>
      </c>
      <c r="F474" s="9" t="s">
        <v>41</v>
      </c>
      <c r="G474" s="9" t="s">
        <v>931</v>
      </c>
      <c r="H474" s="9" t="s">
        <v>86</v>
      </c>
      <c r="I474" s="11">
        <v>18429897</v>
      </c>
      <c r="J474" s="11">
        <v>2171757</v>
      </c>
      <c r="K474" s="11">
        <v>573717</v>
      </c>
      <c r="L474" s="3">
        <v>371</v>
      </c>
      <c r="M474" s="3">
        <v>69</v>
      </c>
      <c r="N474" s="3">
        <v>203815</v>
      </c>
      <c r="O474" s="2">
        <v>-9.6000000000000002E-2</v>
      </c>
      <c r="P474" s="2">
        <v>0.94700000000000006</v>
      </c>
      <c r="Q474" s="2">
        <v>0.7</v>
      </c>
      <c r="R474" s="11">
        <v>50169416</v>
      </c>
      <c r="S474" s="11">
        <v>1349218</v>
      </c>
      <c r="T474">
        <v>2017</v>
      </c>
      <c r="U474">
        <v>11</v>
      </c>
      <c r="V474">
        <f t="shared" si="42"/>
        <v>765000</v>
      </c>
      <c r="W474">
        <f t="shared" si="43"/>
        <v>18429897</v>
      </c>
      <c r="X474">
        <f t="shared" si="44"/>
        <v>17664897</v>
      </c>
      <c r="Y474">
        <f t="shared" si="45"/>
        <v>-25732345.5</v>
      </c>
      <c r="Z474">
        <f t="shared" si="46"/>
        <v>44927242.5</v>
      </c>
      <c r="AA474" t="str">
        <f t="shared" si="47"/>
        <v>Normal</v>
      </c>
      <c r="AE474" s="2"/>
      <c r="AF474" s="2"/>
    </row>
    <row r="475" spans="1:32" x14ac:dyDescent="0.35">
      <c r="A475">
        <v>474</v>
      </c>
      <c r="B475" s="1">
        <v>43041</v>
      </c>
      <c r="C475" s="9" t="s">
        <v>932</v>
      </c>
      <c r="D475" s="9" t="s">
        <v>4925</v>
      </c>
      <c r="E475" s="9" t="s">
        <v>5251</v>
      </c>
      <c r="F475" s="9" t="s">
        <v>15</v>
      </c>
      <c r="G475" s="9" t="s">
        <v>933</v>
      </c>
      <c r="H475" s="9" t="s">
        <v>86</v>
      </c>
      <c r="I475" s="11">
        <v>18429897</v>
      </c>
      <c r="J475" s="11">
        <v>2531926</v>
      </c>
      <c r="K475" s="11">
        <v>13922913</v>
      </c>
      <c r="L475" s="3">
        <v>92</v>
      </c>
      <c r="M475" s="3">
        <v>2505.5</v>
      </c>
      <c r="N475" s="3">
        <v>440996</v>
      </c>
      <c r="O475" s="2">
        <v>0.188</v>
      </c>
      <c r="P475" s="2">
        <v>0.436</v>
      </c>
      <c r="Q475" s="2">
        <v>-0.107</v>
      </c>
      <c r="R475" s="11">
        <v>438179006</v>
      </c>
      <c r="S475" s="11">
        <v>540386</v>
      </c>
      <c r="T475">
        <v>2017</v>
      </c>
      <c r="U475">
        <v>11</v>
      </c>
      <c r="V475">
        <f t="shared" si="42"/>
        <v>760000</v>
      </c>
      <c r="W475">
        <f t="shared" si="43"/>
        <v>18429897</v>
      </c>
      <c r="X475">
        <f t="shared" si="44"/>
        <v>17669897</v>
      </c>
      <c r="Y475">
        <f t="shared" si="45"/>
        <v>-25744845.5</v>
      </c>
      <c r="Z475">
        <f t="shared" si="46"/>
        <v>44934742.5</v>
      </c>
      <c r="AA475" t="str">
        <f t="shared" si="47"/>
        <v>Normal</v>
      </c>
      <c r="AE475" s="2"/>
      <c r="AF475" s="2"/>
    </row>
    <row r="476" spans="1:32" x14ac:dyDescent="0.35">
      <c r="A476">
        <v>475</v>
      </c>
      <c r="B476" s="1">
        <v>43042</v>
      </c>
      <c r="C476" s="9" t="s">
        <v>934</v>
      </c>
      <c r="D476" s="9" t="s">
        <v>4930</v>
      </c>
      <c r="E476" s="9" t="s">
        <v>6067</v>
      </c>
      <c r="F476" s="9" t="s">
        <v>15</v>
      </c>
      <c r="G476" s="9" t="s">
        <v>856</v>
      </c>
      <c r="H476" s="9" t="s">
        <v>86</v>
      </c>
      <c r="I476" s="11">
        <v>1000000</v>
      </c>
      <c r="J476" s="11">
        <v>3178819</v>
      </c>
      <c r="K476" s="11">
        <v>16704640</v>
      </c>
      <c r="L476" s="3">
        <v>186</v>
      </c>
      <c r="M476" s="3">
        <v>2115</v>
      </c>
      <c r="N476" s="3">
        <v>979509</v>
      </c>
      <c r="O476" s="2">
        <v>0.374</v>
      </c>
      <c r="P476" s="2">
        <v>0.9840000000000001</v>
      </c>
      <c r="Q476" s="2">
        <v>-2.9000000000000001E-2</v>
      </c>
      <c r="R476" s="11">
        <v>243953195</v>
      </c>
      <c r="S476" s="11">
        <v>480374</v>
      </c>
      <c r="T476">
        <v>2017</v>
      </c>
      <c r="U476">
        <v>11</v>
      </c>
      <c r="V476">
        <f t="shared" si="42"/>
        <v>755000</v>
      </c>
      <c r="W476">
        <f t="shared" si="43"/>
        <v>18429897</v>
      </c>
      <c r="X476">
        <f t="shared" si="44"/>
        <v>17674897</v>
      </c>
      <c r="Y476">
        <f t="shared" si="45"/>
        <v>-25757345.5</v>
      </c>
      <c r="Z476">
        <f t="shared" si="46"/>
        <v>44942242.5</v>
      </c>
      <c r="AA476" t="str">
        <f t="shared" si="47"/>
        <v>Normal</v>
      </c>
      <c r="AE476" s="2"/>
      <c r="AF476" s="2"/>
    </row>
    <row r="477" spans="1:32" x14ac:dyDescent="0.35">
      <c r="A477">
        <v>476</v>
      </c>
      <c r="B477" s="1">
        <v>43042</v>
      </c>
      <c r="C477" s="9" t="s">
        <v>935</v>
      </c>
      <c r="D477" s="9" t="s">
        <v>4988</v>
      </c>
      <c r="E477" s="9" t="s">
        <v>6068</v>
      </c>
      <c r="F477" s="9" t="s">
        <v>31</v>
      </c>
      <c r="G477" s="9" t="s">
        <v>936</v>
      </c>
      <c r="H477" s="9" t="s">
        <v>86</v>
      </c>
      <c r="I477" s="11">
        <v>18429897</v>
      </c>
      <c r="J477" s="11">
        <v>3928121</v>
      </c>
      <c r="K477" s="11">
        <v>14908350</v>
      </c>
      <c r="L477" s="3">
        <v>178</v>
      </c>
      <c r="M477" s="3">
        <v>863</v>
      </c>
      <c r="N477" s="3">
        <v>1235130</v>
      </c>
      <c r="O477" s="2">
        <v>-0.19600000000000001</v>
      </c>
      <c r="P477" s="2">
        <v>1.0940000000000001</v>
      </c>
      <c r="Q477" s="2">
        <v>0.501</v>
      </c>
      <c r="R477" s="11">
        <v>321785021</v>
      </c>
      <c r="S477" s="11">
        <v>1456139</v>
      </c>
      <c r="T477">
        <v>2017</v>
      </c>
      <c r="U477">
        <v>11</v>
      </c>
      <c r="V477">
        <f t="shared" si="42"/>
        <v>750000</v>
      </c>
      <c r="W477">
        <f t="shared" si="43"/>
        <v>18429897</v>
      </c>
      <c r="X477">
        <f t="shared" si="44"/>
        <v>17679897</v>
      </c>
      <c r="Y477">
        <f t="shared" si="45"/>
        <v>-25769845.5</v>
      </c>
      <c r="Z477">
        <f t="shared" si="46"/>
        <v>44949742.5</v>
      </c>
      <c r="AA477" t="str">
        <f t="shared" si="47"/>
        <v>Normal</v>
      </c>
      <c r="AE477" s="2"/>
      <c r="AF477" s="2"/>
    </row>
    <row r="478" spans="1:32" x14ac:dyDescent="0.35">
      <c r="A478">
        <v>477</v>
      </c>
      <c r="B478" s="1">
        <v>43042</v>
      </c>
      <c r="C478" s="9" t="s">
        <v>937</v>
      </c>
      <c r="D478" s="9" t="s">
        <v>4930</v>
      </c>
      <c r="E478" s="9" t="s">
        <v>6069</v>
      </c>
      <c r="F478" s="9" t="s">
        <v>15</v>
      </c>
      <c r="G478" s="9" t="s">
        <v>329</v>
      </c>
      <c r="H478" s="9" t="s">
        <v>86</v>
      </c>
      <c r="I478" s="11">
        <v>500000</v>
      </c>
      <c r="J478" s="11">
        <v>4237958</v>
      </c>
      <c r="K478" s="11">
        <v>9995991</v>
      </c>
      <c r="L478" s="3">
        <v>256</v>
      </c>
      <c r="M478" s="3">
        <v>2408</v>
      </c>
      <c r="N478" s="3">
        <v>1800018</v>
      </c>
      <c r="O478" s="2">
        <v>0.14400000000000002</v>
      </c>
      <c r="P478" s="2">
        <v>0.70200000000000007</v>
      </c>
      <c r="Q478" s="2">
        <v>-7.4999999999999997E-2</v>
      </c>
      <c r="R478" s="11">
        <v>362268303</v>
      </c>
      <c r="S478" s="11">
        <v>1623629</v>
      </c>
      <c r="T478">
        <v>2017</v>
      </c>
      <c r="U478">
        <v>11</v>
      </c>
      <c r="V478">
        <f t="shared" si="42"/>
        <v>750000</v>
      </c>
      <c r="W478">
        <f t="shared" si="43"/>
        <v>18429897</v>
      </c>
      <c r="X478">
        <f t="shared" si="44"/>
        <v>17679897</v>
      </c>
      <c r="Y478">
        <f t="shared" si="45"/>
        <v>-25769845.5</v>
      </c>
      <c r="Z478">
        <f t="shared" si="46"/>
        <v>44949742.5</v>
      </c>
      <c r="AA478" t="str">
        <f t="shared" si="47"/>
        <v>Normal</v>
      </c>
      <c r="AE478" s="2"/>
      <c r="AF478" s="2"/>
    </row>
    <row r="479" spans="1:32" x14ac:dyDescent="0.35">
      <c r="A479">
        <v>478</v>
      </c>
      <c r="B479" s="1">
        <v>43043</v>
      </c>
      <c r="C479" s="9" t="s">
        <v>938</v>
      </c>
      <c r="D479" s="9" t="s">
        <v>4930</v>
      </c>
      <c r="E479" s="9" t="s">
        <v>6070</v>
      </c>
      <c r="F479" s="9" t="s">
        <v>15</v>
      </c>
      <c r="G479" s="9" t="s">
        <v>939</v>
      </c>
      <c r="H479" s="9" t="s">
        <v>105</v>
      </c>
      <c r="I479" s="11">
        <v>1000000</v>
      </c>
      <c r="J479" s="11">
        <v>108827</v>
      </c>
      <c r="K479" s="11">
        <v>6776726</v>
      </c>
      <c r="L479" s="3">
        <v>239</v>
      </c>
      <c r="M479" s="3">
        <v>1115</v>
      </c>
      <c r="N479" s="3">
        <v>1755668</v>
      </c>
      <c r="O479" s="2">
        <v>-0.28800000000000003</v>
      </c>
      <c r="P479" s="2">
        <v>0.63300000000000001</v>
      </c>
      <c r="Q479" s="2">
        <v>0.36749999999999999</v>
      </c>
      <c r="R479" s="11">
        <v>250264963</v>
      </c>
      <c r="S479" s="11">
        <v>1937439</v>
      </c>
      <c r="T479">
        <v>2017</v>
      </c>
      <c r="U479">
        <v>11</v>
      </c>
      <c r="V479">
        <f t="shared" si="42"/>
        <v>760000</v>
      </c>
      <c r="W479">
        <f t="shared" si="43"/>
        <v>18429897</v>
      </c>
      <c r="X479">
        <f t="shared" si="44"/>
        <v>17669897</v>
      </c>
      <c r="Y479">
        <f t="shared" si="45"/>
        <v>-25744845.5</v>
      </c>
      <c r="Z479">
        <f t="shared" si="46"/>
        <v>44934742.5</v>
      </c>
      <c r="AA479" t="str">
        <f t="shared" si="47"/>
        <v>Normal</v>
      </c>
      <c r="AE479" s="2"/>
      <c r="AF479" s="2"/>
    </row>
    <row r="480" spans="1:32" x14ac:dyDescent="0.35">
      <c r="A480">
        <v>479</v>
      </c>
      <c r="B480" s="1">
        <v>43045</v>
      </c>
      <c r="C480" s="9" t="s">
        <v>940</v>
      </c>
      <c r="D480" s="9" t="s">
        <v>4930</v>
      </c>
      <c r="E480" s="9" t="s">
        <v>6071</v>
      </c>
      <c r="F480" s="9" t="s">
        <v>15</v>
      </c>
      <c r="G480" s="9" t="s">
        <v>939</v>
      </c>
      <c r="H480" s="9" t="s">
        <v>105</v>
      </c>
      <c r="I480" s="11">
        <v>18429897</v>
      </c>
      <c r="J480" s="11">
        <v>3324535</v>
      </c>
      <c r="K480" s="11">
        <v>13497078</v>
      </c>
      <c r="L480" s="3">
        <v>101</v>
      </c>
      <c r="M480" s="3">
        <v>2213</v>
      </c>
      <c r="N480" s="3">
        <v>169374</v>
      </c>
      <c r="O480" s="2">
        <v>5.2000000000000005E-2</v>
      </c>
      <c r="P480" s="2">
        <v>0.34600000000000003</v>
      </c>
      <c r="Q480" s="2">
        <v>0.34399999999999997</v>
      </c>
      <c r="R480" s="11">
        <v>172690065</v>
      </c>
      <c r="S480" s="11">
        <v>1397749</v>
      </c>
      <c r="T480">
        <v>2017</v>
      </c>
      <c r="U480">
        <v>11</v>
      </c>
      <c r="V480">
        <f t="shared" si="42"/>
        <v>755000</v>
      </c>
      <c r="W480">
        <f t="shared" si="43"/>
        <v>18429897</v>
      </c>
      <c r="X480">
        <f t="shared" si="44"/>
        <v>17674897</v>
      </c>
      <c r="Y480">
        <f t="shared" si="45"/>
        <v>-25757345.5</v>
      </c>
      <c r="Z480">
        <f t="shared" si="46"/>
        <v>44942242.5</v>
      </c>
      <c r="AA480" t="str">
        <f t="shared" si="47"/>
        <v>Normal</v>
      </c>
      <c r="AE480" s="2"/>
      <c r="AF480" s="2"/>
    </row>
    <row r="481" spans="1:32" x14ac:dyDescent="0.35">
      <c r="A481">
        <v>480</v>
      </c>
      <c r="B481" s="1">
        <v>43045</v>
      </c>
      <c r="C481" s="9" t="s">
        <v>941</v>
      </c>
      <c r="D481" s="9" t="s">
        <v>4925</v>
      </c>
      <c r="E481" s="9" t="s">
        <v>5977</v>
      </c>
      <c r="F481" s="9" t="s">
        <v>27</v>
      </c>
      <c r="G481" s="9" t="s">
        <v>942</v>
      </c>
      <c r="H481" s="9" t="s">
        <v>86</v>
      </c>
      <c r="I481" s="11">
        <v>18429897</v>
      </c>
      <c r="J481" s="11">
        <v>563537</v>
      </c>
      <c r="K481" s="11">
        <v>13307242</v>
      </c>
      <c r="L481" s="3">
        <v>121</v>
      </c>
      <c r="M481" s="3">
        <v>1904</v>
      </c>
      <c r="N481" s="3">
        <v>855474</v>
      </c>
      <c r="O481" s="2">
        <v>-0.21100000000000002</v>
      </c>
      <c r="P481" s="2">
        <v>0.436</v>
      </c>
      <c r="Q481" s="2">
        <v>0.218</v>
      </c>
      <c r="R481" s="11">
        <v>250264963</v>
      </c>
      <c r="S481" s="11">
        <v>1477317</v>
      </c>
      <c r="T481">
        <v>2017</v>
      </c>
      <c r="U481">
        <v>11</v>
      </c>
      <c r="V481">
        <f t="shared" si="42"/>
        <v>750000</v>
      </c>
      <c r="W481">
        <f t="shared" si="43"/>
        <v>18429897</v>
      </c>
      <c r="X481">
        <f t="shared" si="44"/>
        <v>17679897</v>
      </c>
      <c r="Y481">
        <f t="shared" si="45"/>
        <v>-25769845.5</v>
      </c>
      <c r="Z481">
        <f t="shared" si="46"/>
        <v>44949742.5</v>
      </c>
      <c r="AA481" t="str">
        <f t="shared" si="47"/>
        <v>Normal</v>
      </c>
      <c r="AE481" s="2"/>
      <c r="AF481" s="2"/>
    </row>
    <row r="482" spans="1:32" x14ac:dyDescent="0.35">
      <c r="A482">
        <v>481</v>
      </c>
      <c r="B482" s="1">
        <v>43046</v>
      </c>
      <c r="C482" s="9" t="s">
        <v>943</v>
      </c>
      <c r="D482" s="9" t="s">
        <v>4930</v>
      </c>
      <c r="E482" s="9" t="s">
        <v>5592</v>
      </c>
      <c r="F482" s="9" t="s">
        <v>27</v>
      </c>
      <c r="G482" s="9" t="s">
        <v>944</v>
      </c>
      <c r="H482" s="9" t="s">
        <v>86</v>
      </c>
      <c r="I482" s="11">
        <v>18429897</v>
      </c>
      <c r="J482" s="11">
        <v>1453900</v>
      </c>
      <c r="K482" s="11">
        <v>7543516</v>
      </c>
      <c r="L482" s="3">
        <v>101</v>
      </c>
      <c r="M482" s="3">
        <v>1036</v>
      </c>
      <c r="N482" s="3">
        <v>1018455</v>
      </c>
      <c r="O482" s="2">
        <v>0.23199999999999998</v>
      </c>
      <c r="P482" s="2">
        <v>1.1919999999999999</v>
      </c>
      <c r="Q482" s="2">
        <v>0.61899999999999999</v>
      </c>
      <c r="R482" s="11">
        <v>364475750</v>
      </c>
      <c r="S482" s="11">
        <v>32295</v>
      </c>
      <c r="T482">
        <v>2017</v>
      </c>
      <c r="U482">
        <v>11</v>
      </c>
      <c r="V482">
        <f t="shared" si="42"/>
        <v>750000</v>
      </c>
      <c r="W482">
        <f t="shared" si="43"/>
        <v>18429897</v>
      </c>
      <c r="X482">
        <f t="shared" si="44"/>
        <v>17679897</v>
      </c>
      <c r="Y482">
        <f t="shared" si="45"/>
        <v>-25769845.5</v>
      </c>
      <c r="Z482">
        <f t="shared" si="46"/>
        <v>44949742.5</v>
      </c>
      <c r="AA482" t="str">
        <f t="shared" si="47"/>
        <v>Normal</v>
      </c>
      <c r="AE482" s="2"/>
      <c r="AF482" s="2"/>
    </row>
    <row r="483" spans="1:32" x14ac:dyDescent="0.35">
      <c r="A483">
        <v>482</v>
      </c>
      <c r="B483" s="1">
        <v>43046</v>
      </c>
      <c r="C483" s="9" t="s">
        <v>945</v>
      </c>
      <c r="D483" s="9" t="s">
        <v>4930</v>
      </c>
      <c r="E483" s="9" t="s">
        <v>6072</v>
      </c>
      <c r="F483" s="9" t="s">
        <v>31</v>
      </c>
      <c r="G483" s="9" t="s">
        <v>946</v>
      </c>
      <c r="H483" s="9" t="s">
        <v>105</v>
      </c>
      <c r="I483" s="11">
        <v>5000000</v>
      </c>
      <c r="J483" s="11">
        <v>4150554</v>
      </c>
      <c r="K483" s="11">
        <v>8186371</v>
      </c>
      <c r="L483" s="3">
        <v>32</v>
      </c>
      <c r="M483" s="3">
        <v>3953</v>
      </c>
      <c r="N483" s="3">
        <v>1018455</v>
      </c>
      <c r="O483" s="2">
        <v>-1.7999999999999999E-2</v>
      </c>
      <c r="P483" s="2">
        <v>0.93100000000000005</v>
      </c>
      <c r="Q483" s="2">
        <v>0.39100000000000001</v>
      </c>
      <c r="R483" s="11">
        <v>235175117</v>
      </c>
      <c r="S483" s="11">
        <v>997795</v>
      </c>
      <c r="T483">
        <v>2017</v>
      </c>
      <c r="U483">
        <v>11</v>
      </c>
      <c r="V483">
        <f t="shared" si="42"/>
        <v>750000</v>
      </c>
      <c r="W483">
        <f t="shared" si="43"/>
        <v>18429897</v>
      </c>
      <c r="X483">
        <f t="shared" si="44"/>
        <v>17679897</v>
      </c>
      <c r="Y483">
        <f t="shared" si="45"/>
        <v>-25769845.5</v>
      </c>
      <c r="Z483">
        <f t="shared" si="46"/>
        <v>44949742.5</v>
      </c>
      <c r="AA483" t="str">
        <f t="shared" si="47"/>
        <v>Normal</v>
      </c>
      <c r="AE483" s="2"/>
      <c r="AF483" s="2"/>
    </row>
    <row r="484" spans="1:32" x14ac:dyDescent="0.35">
      <c r="A484">
        <v>483</v>
      </c>
      <c r="B484" s="1">
        <v>43046</v>
      </c>
      <c r="C484" s="9" t="s">
        <v>947</v>
      </c>
      <c r="D484" s="9" t="s">
        <v>4930</v>
      </c>
      <c r="E484" s="9" t="s">
        <v>6073</v>
      </c>
      <c r="F484" s="9" t="s">
        <v>15</v>
      </c>
      <c r="G484" s="9" t="s">
        <v>4833</v>
      </c>
      <c r="H484" s="9" t="s">
        <v>105</v>
      </c>
      <c r="I484" s="11">
        <v>5000000</v>
      </c>
      <c r="J484" s="11">
        <v>1267555</v>
      </c>
      <c r="K484" s="11">
        <v>7435600</v>
      </c>
      <c r="L484" s="3">
        <v>326</v>
      </c>
      <c r="M484" s="3">
        <v>2641</v>
      </c>
      <c r="N484" s="3">
        <v>1336348</v>
      </c>
      <c r="O484" s="2">
        <v>0.35200000000000004</v>
      </c>
      <c r="P484" s="2">
        <v>0.96900000000000008</v>
      </c>
      <c r="Q484" s="2">
        <v>-7.400000000000001E-2</v>
      </c>
      <c r="R484" s="11">
        <v>379047843</v>
      </c>
      <c r="S484" s="11">
        <v>1127572</v>
      </c>
      <c r="T484">
        <v>2017</v>
      </c>
      <c r="U484">
        <v>11</v>
      </c>
      <c r="V484">
        <f t="shared" si="42"/>
        <v>750000</v>
      </c>
      <c r="W484">
        <f t="shared" si="43"/>
        <v>18429897</v>
      </c>
      <c r="X484">
        <f t="shared" si="44"/>
        <v>17679897</v>
      </c>
      <c r="Y484">
        <f t="shared" si="45"/>
        <v>-25769845.5</v>
      </c>
      <c r="Z484">
        <f t="shared" si="46"/>
        <v>44949742.5</v>
      </c>
      <c r="AA484" t="str">
        <f t="shared" si="47"/>
        <v>Normal</v>
      </c>
      <c r="AE484" s="2"/>
      <c r="AF484" s="2"/>
    </row>
    <row r="485" spans="1:32" x14ac:dyDescent="0.35">
      <c r="A485">
        <v>484</v>
      </c>
      <c r="B485" s="1">
        <v>43047</v>
      </c>
      <c r="C485" s="9" t="s">
        <v>948</v>
      </c>
      <c r="D485" s="9" t="s">
        <v>4930</v>
      </c>
      <c r="E485" s="9" t="s">
        <v>6074</v>
      </c>
      <c r="F485" s="9" t="s">
        <v>15</v>
      </c>
      <c r="G485" s="9" t="s">
        <v>949</v>
      </c>
      <c r="H485" s="9" t="s">
        <v>105</v>
      </c>
      <c r="I485" s="11">
        <v>7600000</v>
      </c>
      <c r="J485" s="11">
        <v>3988149</v>
      </c>
      <c r="K485" s="11">
        <v>995445</v>
      </c>
      <c r="L485" s="3">
        <v>238</v>
      </c>
      <c r="M485" s="3">
        <v>4200</v>
      </c>
      <c r="N485" s="3">
        <v>853636</v>
      </c>
      <c r="O485" s="2">
        <v>1.2E-2</v>
      </c>
      <c r="P485" s="2">
        <v>1.014</v>
      </c>
      <c r="Q485" s="2">
        <v>0.42599999999999999</v>
      </c>
      <c r="R485" s="11">
        <v>250264963</v>
      </c>
      <c r="S485" s="11">
        <v>215346</v>
      </c>
      <c r="T485">
        <v>2017</v>
      </c>
      <c r="U485">
        <v>11</v>
      </c>
      <c r="V485">
        <f t="shared" si="42"/>
        <v>750000</v>
      </c>
      <c r="W485">
        <f t="shared" si="43"/>
        <v>18429897</v>
      </c>
      <c r="X485">
        <f t="shared" si="44"/>
        <v>17679897</v>
      </c>
      <c r="Y485">
        <f t="shared" si="45"/>
        <v>-25769845.5</v>
      </c>
      <c r="Z485">
        <f t="shared" si="46"/>
        <v>44949742.5</v>
      </c>
      <c r="AA485" t="str">
        <f t="shared" si="47"/>
        <v>Normal</v>
      </c>
      <c r="AE485" s="2"/>
      <c r="AF485" s="2"/>
    </row>
    <row r="486" spans="1:32" x14ac:dyDescent="0.35">
      <c r="A486">
        <v>485</v>
      </c>
      <c r="B486" s="1">
        <v>43047</v>
      </c>
      <c r="C486" s="9" t="s">
        <v>950</v>
      </c>
      <c r="D486" s="9" t="s">
        <v>4933</v>
      </c>
      <c r="E486" s="9" t="s">
        <v>6075</v>
      </c>
      <c r="F486" s="9" t="s">
        <v>15</v>
      </c>
      <c r="G486" s="9" t="s">
        <v>951</v>
      </c>
      <c r="H486" s="9" t="s">
        <v>105</v>
      </c>
      <c r="I486" s="11">
        <v>3000000</v>
      </c>
      <c r="J486" s="11">
        <v>2325778</v>
      </c>
      <c r="K486" s="11">
        <v>731171</v>
      </c>
      <c r="L486" s="3">
        <v>58</v>
      </c>
      <c r="M486" s="3">
        <v>4079</v>
      </c>
      <c r="N486" s="3">
        <v>337872</v>
      </c>
      <c r="O486" s="2">
        <v>-6.0000000000000001E-3</v>
      </c>
      <c r="P486" s="2">
        <v>0.78400000000000003</v>
      </c>
      <c r="Q486" s="2">
        <v>-0.38100000000000001</v>
      </c>
      <c r="R486" s="11">
        <v>46209574</v>
      </c>
      <c r="S486" s="11">
        <v>910649</v>
      </c>
      <c r="T486">
        <v>2017</v>
      </c>
      <c r="U486">
        <v>11</v>
      </c>
      <c r="V486">
        <f t="shared" si="42"/>
        <v>750000</v>
      </c>
      <c r="W486">
        <f t="shared" si="43"/>
        <v>18429897</v>
      </c>
      <c r="X486">
        <f t="shared" si="44"/>
        <v>17679897</v>
      </c>
      <c r="Y486">
        <f t="shared" si="45"/>
        <v>-25769845.5</v>
      </c>
      <c r="Z486">
        <f t="shared" si="46"/>
        <v>44949742.5</v>
      </c>
      <c r="AA486" t="str">
        <f t="shared" si="47"/>
        <v>Normal</v>
      </c>
      <c r="AE486" s="2"/>
      <c r="AF486" s="2"/>
    </row>
    <row r="487" spans="1:32" x14ac:dyDescent="0.35">
      <c r="A487">
        <v>486</v>
      </c>
      <c r="B487" s="1">
        <v>43047</v>
      </c>
      <c r="C487" s="9" t="s">
        <v>952</v>
      </c>
      <c r="D487" s="9" t="s">
        <v>4925</v>
      </c>
      <c r="E487" s="9" t="s">
        <v>6076</v>
      </c>
      <c r="F487" s="9" t="s">
        <v>31</v>
      </c>
      <c r="G487" s="9" t="s">
        <v>953</v>
      </c>
      <c r="H487" s="9" t="s">
        <v>105</v>
      </c>
      <c r="I487" s="11">
        <v>3000000</v>
      </c>
      <c r="J487" s="11">
        <v>1178550</v>
      </c>
      <c r="K487" s="11">
        <v>10153449</v>
      </c>
      <c r="L487" s="3">
        <v>169</v>
      </c>
      <c r="M487" s="3">
        <v>1349</v>
      </c>
      <c r="N487" s="3">
        <v>123564</v>
      </c>
      <c r="O487" s="2">
        <v>-0.20300000000000001</v>
      </c>
      <c r="P487" s="2">
        <v>0.6409999999999999</v>
      </c>
      <c r="Q487" s="2">
        <v>0.29299999999999998</v>
      </c>
      <c r="R487" s="11">
        <v>443045767</v>
      </c>
      <c r="S487" s="11">
        <v>144071</v>
      </c>
      <c r="T487">
        <v>2017</v>
      </c>
      <c r="U487">
        <v>11</v>
      </c>
      <c r="V487">
        <f t="shared" si="42"/>
        <v>750000</v>
      </c>
      <c r="W487">
        <f t="shared" si="43"/>
        <v>18429897</v>
      </c>
      <c r="X487">
        <f t="shared" si="44"/>
        <v>17679897</v>
      </c>
      <c r="Y487">
        <f t="shared" si="45"/>
        <v>-25769845.5</v>
      </c>
      <c r="Z487">
        <f t="shared" si="46"/>
        <v>44949742.5</v>
      </c>
      <c r="AA487" t="str">
        <f t="shared" si="47"/>
        <v>Normal</v>
      </c>
      <c r="AE487" s="2"/>
      <c r="AF487" s="2"/>
    </row>
    <row r="488" spans="1:32" x14ac:dyDescent="0.35">
      <c r="A488">
        <v>487</v>
      </c>
      <c r="B488" s="1">
        <v>43047</v>
      </c>
      <c r="C488" s="9" t="s">
        <v>954</v>
      </c>
      <c r="D488" s="9" t="s">
        <v>4930</v>
      </c>
      <c r="E488" s="9" t="s">
        <v>6077</v>
      </c>
      <c r="F488" s="9" t="s">
        <v>15</v>
      </c>
      <c r="G488" s="9" t="s">
        <v>955</v>
      </c>
      <c r="H488" s="9" t="s">
        <v>105</v>
      </c>
      <c r="I488" s="11">
        <v>3600000</v>
      </c>
      <c r="J488" s="11">
        <v>1684536</v>
      </c>
      <c r="K488" s="11">
        <v>8533409</v>
      </c>
      <c r="L488" s="3">
        <v>254</v>
      </c>
      <c r="M488" s="3">
        <v>1491</v>
      </c>
      <c r="N488" s="3">
        <v>579544</v>
      </c>
      <c r="O488" s="2">
        <v>0.19800000000000001</v>
      </c>
      <c r="P488" s="2">
        <v>0.54799999999999993</v>
      </c>
      <c r="Q488" s="2">
        <v>-6.4000000000000001E-2</v>
      </c>
      <c r="R488" s="11">
        <v>414648379</v>
      </c>
      <c r="S488" s="11">
        <v>1877880</v>
      </c>
      <c r="T488">
        <v>2017</v>
      </c>
      <c r="U488">
        <v>11</v>
      </c>
      <c r="V488">
        <f t="shared" si="42"/>
        <v>750000</v>
      </c>
      <c r="W488">
        <f t="shared" si="43"/>
        <v>18429897</v>
      </c>
      <c r="X488">
        <f t="shared" si="44"/>
        <v>17679897</v>
      </c>
      <c r="Y488">
        <f t="shared" si="45"/>
        <v>-25769845.5</v>
      </c>
      <c r="Z488">
        <f t="shared" si="46"/>
        <v>44949742.5</v>
      </c>
      <c r="AA488" t="str">
        <f t="shared" si="47"/>
        <v>Normal</v>
      </c>
      <c r="AE488" s="2"/>
      <c r="AF488" s="2"/>
    </row>
    <row r="489" spans="1:32" x14ac:dyDescent="0.35">
      <c r="A489">
        <v>488</v>
      </c>
      <c r="B489" s="1">
        <v>43048</v>
      </c>
      <c r="C489" s="9" t="s">
        <v>956</v>
      </c>
      <c r="D489" s="9" t="s">
        <v>4930</v>
      </c>
      <c r="E489" s="9" t="s">
        <v>6078</v>
      </c>
      <c r="F489" s="9" t="s">
        <v>94</v>
      </c>
      <c r="G489" s="9" t="s">
        <v>957</v>
      </c>
      <c r="H489" s="9" t="s">
        <v>86</v>
      </c>
      <c r="I489" s="11">
        <v>872000</v>
      </c>
      <c r="J489" s="11">
        <v>2663232</v>
      </c>
      <c r="K489" s="11">
        <v>10257274</v>
      </c>
      <c r="L489" s="3">
        <v>146</v>
      </c>
      <c r="M489" s="3">
        <v>4760</v>
      </c>
      <c r="N489" s="3">
        <v>1945</v>
      </c>
      <c r="O489" s="2">
        <v>0.218</v>
      </c>
      <c r="P489" s="2">
        <v>0.22700000000000001</v>
      </c>
      <c r="Q489" s="2">
        <v>0.249</v>
      </c>
      <c r="R489" s="11">
        <v>430167894</v>
      </c>
      <c r="S489" s="11">
        <v>279440</v>
      </c>
      <c r="T489">
        <v>2017</v>
      </c>
      <c r="U489">
        <v>11</v>
      </c>
      <c r="V489">
        <f t="shared" si="42"/>
        <v>750000</v>
      </c>
      <c r="W489">
        <f t="shared" si="43"/>
        <v>18429897</v>
      </c>
      <c r="X489">
        <f t="shared" si="44"/>
        <v>17679897</v>
      </c>
      <c r="Y489">
        <f t="shared" si="45"/>
        <v>-25769845.5</v>
      </c>
      <c r="Z489">
        <f t="shared" si="46"/>
        <v>44949742.5</v>
      </c>
      <c r="AA489" t="str">
        <f t="shared" si="47"/>
        <v>Normal</v>
      </c>
      <c r="AE489" s="2"/>
      <c r="AF489" s="2"/>
    </row>
    <row r="490" spans="1:32" x14ac:dyDescent="0.35">
      <c r="A490">
        <v>489</v>
      </c>
      <c r="B490" s="1">
        <v>43048</v>
      </c>
      <c r="C490" s="9" t="s">
        <v>958</v>
      </c>
      <c r="D490" s="9" t="s">
        <v>4930</v>
      </c>
      <c r="E490" s="9" t="s">
        <v>6079</v>
      </c>
      <c r="F490" s="9" t="s">
        <v>15</v>
      </c>
      <c r="G490" s="9" t="s">
        <v>212</v>
      </c>
      <c r="H490" s="9" t="s">
        <v>86</v>
      </c>
      <c r="I490" s="11">
        <v>18429897</v>
      </c>
      <c r="J490" s="11">
        <v>3830432</v>
      </c>
      <c r="K490" s="11">
        <v>8226248</v>
      </c>
      <c r="L490" s="3">
        <v>203</v>
      </c>
      <c r="M490" s="3">
        <v>1597</v>
      </c>
      <c r="N490" s="3">
        <v>388447</v>
      </c>
      <c r="O490" s="2">
        <v>0.308</v>
      </c>
      <c r="P490" s="2">
        <v>1.01</v>
      </c>
      <c r="Q490" s="2">
        <v>0.59099999999999997</v>
      </c>
      <c r="R490" s="11">
        <v>308219148</v>
      </c>
      <c r="S490" s="11">
        <v>1101338</v>
      </c>
      <c r="T490">
        <v>2017</v>
      </c>
      <c r="U490">
        <v>11</v>
      </c>
      <c r="V490">
        <f t="shared" si="42"/>
        <v>750000</v>
      </c>
      <c r="W490">
        <f t="shared" si="43"/>
        <v>18429897</v>
      </c>
      <c r="X490">
        <f t="shared" si="44"/>
        <v>17679897</v>
      </c>
      <c r="Y490">
        <f t="shared" si="45"/>
        <v>-25769845.5</v>
      </c>
      <c r="Z490">
        <f t="shared" si="46"/>
        <v>44949742.5</v>
      </c>
      <c r="AA490" t="str">
        <f t="shared" si="47"/>
        <v>Normal</v>
      </c>
      <c r="AE490" s="2"/>
      <c r="AF490" s="2"/>
    </row>
    <row r="491" spans="1:32" x14ac:dyDescent="0.35">
      <c r="A491">
        <v>490</v>
      </c>
      <c r="B491" s="1">
        <v>43048</v>
      </c>
      <c r="C491" s="9" t="s">
        <v>959</v>
      </c>
      <c r="D491" s="9" t="s">
        <v>4930</v>
      </c>
      <c r="E491" s="9" t="s">
        <v>6080</v>
      </c>
      <c r="F491" s="9" t="s">
        <v>15</v>
      </c>
      <c r="G491" s="9" t="s">
        <v>960</v>
      </c>
      <c r="H491" s="9" t="s">
        <v>105</v>
      </c>
      <c r="I491" s="11">
        <v>18429897</v>
      </c>
      <c r="J491" s="11">
        <v>3037958</v>
      </c>
      <c r="K491" s="11">
        <v>19107899</v>
      </c>
      <c r="L491" s="3">
        <v>373</v>
      </c>
      <c r="M491" s="3">
        <v>519</v>
      </c>
      <c r="N491" s="3">
        <v>1097141</v>
      </c>
      <c r="O491" s="2">
        <v>0.251</v>
      </c>
      <c r="P491" s="2">
        <v>1.065E-2</v>
      </c>
      <c r="Q491" s="2">
        <v>-0.318</v>
      </c>
      <c r="R491" s="11">
        <v>458427573</v>
      </c>
      <c r="S491" s="11">
        <v>1480369</v>
      </c>
      <c r="T491">
        <v>2017</v>
      </c>
      <c r="U491">
        <v>11</v>
      </c>
      <c r="V491">
        <f t="shared" si="42"/>
        <v>750000</v>
      </c>
      <c r="W491">
        <f t="shared" si="43"/>
        <v>18429897</v>
      </c>
      <c r="X491">
        <f t="shared" si="44"/>
        <v>17679897</v>
      </c>
      <c r="Y491">
        <f t="shared" si="45"/>
        <v>-25769845.5</v>
      </c>
      <c r="Z491">
        <f t="shared" si="46"/>
        <v>44949742.5</v>
      </c>
      <c r="AA491" t="str">
        <f t="shared" si="47"/>
        <v>Normal</v>
      </c>
      <c r="AE491" s="2"/>
      <c r="AF491" s="2"/>
    </row>
    <row r="492" spans="1:32" x14ac:dyDescent="0.35">
      <c r="A492">
        <v>491</v>
      </c>
      <c r="B492" s="1">
        <v>43049</v>
      </c>
      <c r="C492" s="9" t="s">
        <v>961</v>
      </c>
      <c r="D492" s="9" t="s">
        <v>4930</v>
      </c>
      <c r="E492" s="9" t="s">
        <v>6081</v>
      </c>
      <c r="F492" s="9" t="s">
        <v>15</v>
      </c>
      <c r="G492" s="9" t="s">
        <v>962</v>
      </c>
      <c r="H492" s="9" t="s">
        <v>105</v>
      </c>
      <c r="I492" s="11">
        <v>25000000</v>
      </c>
      <c r="J492" s="11">
        <v>4667454</v>
      </c>
      <c r="K492" s="11">
        <v>4573342</v>
      </c>
      <c r="L492" s="3">
        <v>337</v>
      </c>
      <c r="M492" s="3">
        <v>2736</v>
      </c>
      <c r="N492" s="3">
        <v>1578617</v>
      </c>
      <c r="O492" s="2">
        <v>0.2</v>
      </c>
      <c r="P492" s="2">
        <v>0.54300000000000004</v>
      </c>
      <c r="Q492" s="2">
        <v>0.33100000000000002</v>
      </c>
      <c r="R492" s="11">
        <v>478482250</v>
      </c>
      <c r="S492" s="11">
        <v>232793</v>
      </c>
      <c r="T492">
        <v>2017</v>
      </c>
      <c r="U492">
        <v>11</v>
      </c>
      <c r="V492">
        <f t="shared" si="42"/>
        <v>750000</v>
      </c>
      <c r="W492">
        <f t="shared" si="43"/>
        <v>18429897</v>
      </c>
      <c r="X492">
        <f t="shared" si="44"/>
        <v>17679897</v>
      </c>
      <c r="Y492">
        <f t="shared" si="45"/>
        <v>-25769845.5</v>
      </c>
      <c r="Z492">
        <f t="shared" si="46"/>
        <v>44949742.5</v>
      </c>
      <c r="AA492" t="str">
        <f t="shared" si="47"/>
        <v>Normal</v>
      </c>
      <c r="AE492" s="2"/>
      <c r="AF492" s="2"/>
    </row>
    <row r="493" spans="1:32" x14ac:dyDescent="0.35">
      <c r="A493">
        <v>492</v>
      </c>
      <c r="B493" s="1">
        <v>43049</v>
      </c>
      <c r="C493" s="9" t="s">
        <v>963</v>
      </c>
      <c r="D493" s="9" t="s">
        <v>4925</v>
      </c>
      <c r="E493" s="9" t="s">
        <v>6061</v>
      </c>
      <c r="F493" s="9" t="s">
        <v>964</v>
      </c>
      <c r="G493" s="9" t="s">
        <v>965</v>
      </c>
      <c r="H493" s="9" t="s">
        <v>105</v>
      </c>
      <c r="I493" s="11">
        <v>18429897</v>
      </c>
      <c r="J493" s="11">
        <v>4341339</v>
      </c>
      <c r="K493" s="11">
        <v>7919978</v>
      </c>
      <c r="L493" s="3">
        <v>351</v>
      </c>
      <c r="M493" s="3">
        <v>4835</v>
      </c>
      <c r="N493" s="3">
        <v>1010817</v>
      </c>
      <c r="O493" s="2">
        <v>0.23899999999999999</v>
      </c>
      <c r="P493" s="2">
        <v>0.71499999999999997</v>
      </c>
      <c r="Q493" s="2">
        <v>0.31</v>
      </c>
      <c r="R493" s="11">
        <v>383256740</v>
      </c>
      <c r="S493" s="11">
        <v>745132</v>
      </c>
      <c r="T493">
        <v>2017</v>
      </c>
      <c r="U493">
        <v>11</v>
      </c>
      <c r="V493">
        <f t="shared" si="42"/>
        <v>750000</v>
      </c>
      <c r="W493">
        <f t="shared" si="43"/>
        <v>18429897</v>
      </c>
      <c r="X493">
        <f t="shared" si="44"/>
        <v>17679897</v>
      </c>
      <c r="Y493">
        <f t="shared" si="45"/>
        <v>-25769845.5</v>
      </c>
      <c r="Z493">
        <f t="shared" si="46"/>
        <v>44949742.5</v>
      </c>
      <c r="AA493" t="str">
        <f t="shared" si="47"/>
        <v>Normal</v>
      </c>
      <c r="AE493" s="2"/>
      <c r="AF493" s="2"/>
    </row>
    <row r="494" spans="1:32" x14ac:dyDescent="0.35">
      <c r="A494">
        <v>493</v>
      </c>
      <c r="B494" s="1">
        <v>43052</v>
      </c>
      <c r="C494" s="9" t="s">
        <v>966</v>
      </c>
      <c r="D494" s="9" t="s">
        <v>4925</v>
      </c>
      <c r="E494" s="9" t="s">
        <v>6082</v>
      </c>
      <c r="F494" s="9" t="s">
        <v>31</v>
      </c>
      <c r="G494" s="9" t="s">
        <v>853</v>
      </c>
      <c r="H494" s="9" t="s">
        <v>105</v>
      </c>
      <c r="I494" s="11">
        <v>15000000</v>
      </c>
      <c r="J494" s="11">
        <v>3771700</v>
      </c>
      <c r="K494" s="11">
        <v>5021733</v>
      </c>
      <c r="L494" s="3">
        <v>193</v>
      </c>
      <c r="M494" s="3">
        <v>1207</v>
      </c>
      <c r="N494" s="3">
        <v>1450228</v>
      </c>
      <c r="O494" s="2">
        <v>0.25900000000000001</v>
      </c>
      <c r="P494" s="2">
        <v>0.77800000000000002</v>
      </c>
      <c r="Q494" s="2">
        <v>0.26500000000000001</v>
      </c>
      <c r="R494" s="11">
        <v>331157900</v>
      </c>
      <c r="S494" s="11">
        <v>1589029</v>
      </c>
      <c r="T494">
        <v>2017</v>
      </c>
      <c r="U494">
        <v>11</v>
      </c>
      <c r="V494">
        <f t="shared" si="42"/>
        <v>750000</v>
      </c>
      <c r="W494">
        <f t="shared" si="43"/>
        <v>18429897</v>
      </c>
      <c r="X494">
        <f t="shared" si="44"/>
        <v>17679897</v>
      </c>
      <c r="Y494">
        <f t="shared" si="45"/>
        <v>-25769845.5</v>
      </c>
      <c r="Z494">
        <f t="shared" si="46"/>
        <v>44949742.5</v>
      </c>
      <c r="AA494" t="str">
        <f t="shared" si="47"/>
        <v>Normal</v>
      </c>
      <c r="AE494" s="2"/>
      <c r="AF494" s="2"/>
    </row>
    <row r="495" spans="1:32" x14ac:dyDescent="0.35">
      <c r="A495">
        <v>494</v>
      </c>
      <c r="B495" s="1">
        <v>43053</v>
      </c>
      <c r="C495" s="9" t="s">
        <v>967</v>
      </c>
      <c r="D495" s="9" t="s">
        <v>4925</v>
      </c>
      <c r="E495" s="9" t="s">
        <v>6083</v>
      </c>
      <c r="F495" s="9" t="s">
        <v>19</v>
      </c>
      <c r="G495" s="9" t="s">
        <v>968</v>
      </c>
      <c r="H495" s="9" t="s">
        <v>86</v>
      </c>
      <c r="I495" s="11">
        <v>18429897</v>
      </c>
      <c r="J495" s="11">
        <v>3023473</v>
      </c>
      <c r="K495" s="11">
        <v>6065004</v>
      </c>
      <c r="L495" s="3">
        <v>244</v>
      </c>
      <c r="M495" s="3">
        <v>3205</v>
      </c>
      <c r="N495" s="3">
        <v>148227</v>
      </c>
      <c r="O495" s="2">
        <v>0.30199999999999999</v>
      </c>
      <c r="P495" s="2">
        <v>0.85699999999999998</v>
      </c>
      <c r="Q495" s="2">
        <v>-0.14499999999999999</v>
      </c>
      <c r="R495" s="11">
        <v>185602615</v>
      </c>
      <c r="S495" s="11">
        <v>1032869</v>
      </c>
      <c r="T495">
        <v>2017</v>
      </c>
      <c r="U495">
        <v>11</v>
      </c>
      <c r="V495">
        <f t="shared" si="42"/>
        <v>750000</v>
      </c>
      <c r="W495">
        <f t="shared" si="43"/>
        <v>18429897</v>
      </c>
      <c r="X495">
        <f t="shared" si="44"/>
        <v>17679897</v>
      </c>
      <c r="Y495">
        <f t="shared" si="45"/>
        <v>-25769845.5</v>
      </c>
      <c r="Z495">
        <f t="shared" si="46"/>
        <v>44949742.5</v>
      </c>
      <c r="AA495" t="str">
        <f t="shared" si="47"/>
        <v>Normal</v>
      </c>
      <c r="AE495" s="2"/>
      <c r="AF495" s="2"/>
    </row>
    <row r="496" spans="1:32" x14ac:dyDescent="0.35">
      <c r="A496">
        <v>495</v>
      </c>
      <c r="B496" s="1">
        <v>43053</v>
      </c>
      <c r="C496" s="9" t="s">
        <v>969</v>
      </c>
      <c r="D496" s="9" t="s">
        <v>4930</v>
      </c>
      <c r="E496" s="9" t="s">
        <v>6084</v>
      </c>
      <c r="F496" s="9" t="s">
        <v>15</v>
      </c>
      <c r="G496" s="9" t="s">
        <v>394</v>
      </c>
      <c r="H496" s="9" t="s">
        <v>105</v>
      </c>
      <c r="I496" s="11">
        <v>8250000</v>
      </c>
      <c r="J496" s="11">
        <v>1463481</v>
      </c>
      <c r="K496" s="11">
        <v>11724377</v>
      </c>
      <c r="L496" s="3">
        <v>423</v>
      </c>
      <c r="M496" s="3">
        <v>1722</v>
      </c>
      <c r="N496" s="3">
        <v>1018455</v>
      </c>
      <c r="O496" s="2">
        <v>-0.18600000000000003</v>
      </c>
      <c r="P496" s="2">
        <v>0.85</v>
      </c>
      <c r="Q496" s="2">
        <v>7.8E-2</v>
      </c>
      <c r="R496" s="11">
        <v>115249511</v>
      </c>
      <c r="S496" s="11">
        <v>1757121</v>
      </c>
      <c r="T496">
        <v>2017</v>
      </c>
      <c r="U496">
        <v>11</v>
      </c>
      <c r="V496">
        <f t="shared" si="42"/>
        <v>750000</v>
      </c>
      <c r="W496">
        <f t="shared" si="43"/>
        <v>18429897</v>
      </c>
      <c r="X496">
        <f t="shared" si="44"/>
        <v>17679897</v>
      </c>
      <c r="Y496">
        <f t="shared" si="45"/>
        <v>-25769845.5</v>
      </c>
      <c r="Z496">
        <f t="shared" si="46"/>
        <v>44949742.5</v>
      </c>
      <c r="AA496" t="str">
        <f t="shared" si="47"/>
        <v>Normal</v>
      </c>
      <c r="AE496" s="2"/>
      <c r="AF496" s="2"/>
    </row>
    <row r="497" spans="1:32" x14ac:dyDescent="0.35">
      <c r="A497">
        <v>496</v>
      </c>
      <c r="B497" s="1">
        <v>43054</v>
      </c>
      <c r="C497" s="9" t="s">
        <v>970</v>
      </c>
      <c r="D497" s="9" t="s">
        <v>4930</v>
      </c>
      <c r="E497" s="9" t="s">
        <v>6085</v>
      </c>
      <c r="F497" s="9" t="s">
        <v>15</v>
      </c>
      <c r="G497" s="9" t="s">
        <v>856</v>
      </c>
      <c r="H497" s="9" t="s">
        <v>86</v>
      </c>
      <c r="I497" s="11">
        <v>900000</v>
      </c>
      <c r="J497" s="11">
        <v>2074606</v>
      </c>
      <c r="K497" s="11">
        <v>6267188</v>
      </c>
      <c r="L497" s="3">
        <v>436</v>
      </c>
      <c r="M497" s="3">
        <v>1955</v>
      </c>
      <c r="N497" s="3">
        <v>1317446</v>
      </c>
      <c r="O497" s="2">
        <v>2.7999999999999997E-2</v>
      </c>
      <c r="P497" s="2">
        <v>0.39700000000000002</v>
      </c>
      <c r="Q497" s="2">
        <v>0.36749999999999999</v>
      </c>
      <c r="R497" s="11">
        <v>321923778</v>
      </c>
      <c r="S497" s="11">
        <v>246154</v>
      </c>
      <c r="T497">
        <v>2017</v>
      </c>
      <c r="U497">
        <v>11</v>
      </c>
      <c r="V497">
        <f t="shared" si="42"/>
        <v>750000</v>
      </c>
      <c r="W497">
        <f t="shared" si="43"/>
        <v>18429897</v>
      </c>
      <c r="X497">
        <f t="shared" si="44"/>
        <v>17679897</v>
      </c>
      <c r="Y497">
        <f t="shared" si="45"/>
        <v>-25769845.5</v>
      </c>
      <c r="Z497">
        <f t="shared" si="46"/>
        <v>44949742.5</v>
      </c>
      <c r="AA497" t="str">
        <f t="shared" si="47"/>
        <v>Normal</v>
      </c>
      <c r="AE497" s="2"/>
      <c r="AF497" s="2"/>
    </row>
    <row r="498" spans="1:32" x14ac:dyDescent="0.35">
      <c r="A498">
        <v>497</v>
      </c>
      <c r="B498" s="1">
        <v>43054</v>
      </c>
      <c r="C498" s="9" t="s">
        <v>971</v>
      </c>
      <c r="D498" s="9" t="s">
        <v>4961</v>
      </c>
      <c r="E498" s="9" t="s">
        <v>6086</v>
      </c>
      <c r="F498" s="9" t="s">
        <v>15</v>
      </c>
      <c r="G498" s="9" t="s">
        <v>972</v>
      </c>
      <c r="H498" s="9" t="s">
        <v>973</v>
      </c>
      <c r="I498" s="11">
        <v>18429897</v>
      </c>
      <c r="J498" s="11">
        <v>612093</v>
      </c>
      <c r="K498" s="11">
        <v>6423651</v>
      </c>
      <c r="L498" s="3">
        <v>32</v>
      </c>
      <c r="M498" s="3">
        <v>2289</v>
      </c>
      <c r="N498" s="3">
        <v>108763</v>
      </c>
      <c r="O498" s="2">
        <v>-0.20499999999999999</v>
      </c>
      <c r="P498" s="2">
        <v>0.88700000000000001</v>
      </c>
      <c r="Q498" s="2">
        <v>0.20699999999999999</v>
      </c>
      <c r="R498" s="11">
        <v>371263291</v>
      </c>
      <c r="S498" s="11">
        <v>1113293</v>
      </c>
      <c r="T498">
        <v>2017</v>
      </c>
      <c r="U498">
        <v>11</v>
      </c>
      <c r="V498">
        <f t="shared" si="42"/>
        <v>750000</v>
      </c>
      <c r="W498">
        <f t="shared" si="43"/>
        <v>18429897</v>
      </c>
      <c r="X498">
        <f t="shared" si="44"/>
        <v>17679897</v>
      </c>
      <c r="Y498">
        <f t="shared" si="45"/>
        <v>-25769845.5</v>
      </c>
      <c r="Z498">
        <f t="shared" si="46"/>
        <v>44949742.5</v>
      </c>
      <c r="AA498" t="str">
        <f t="shared" si="47"/>
        <v>Normal</v>
      </c>
      <c r="AE498" s="2"/>
      <c r="AF498" s="2"/>
    </row>
    <row r="499" spans="1:32" x14ac:dyDescent="0.35">
      <c r="A499">
        <v>498</v>
      </c>
      <c r="B499" s="1">
        <v>43054</v>
      </c>
      <c r="C499" s="9" t="s">
        <v>974</v>
      </c>
      <c r="D499" s="9" t="s">
        <v>4930</v>
      </c>
      <c r="E499" s="9" t="s">
        <v>6087</v>
      </c>
      <c r="F499" s="9" t="s">
        <v>94</v>
      </c>
      <c r="G499" s="9" t="s">
        <v>721</v>
      </c>
      <c r="H499" s="9" t="s">
        <v>105</v>
      </c>
      <c r="I499" s="11">
        <v>3000000</v>
      </c>
      <c r="J499" s="11">
        <v>1883436</v>
      </c>
      <c r="K499" s="11">
        <v>13449457</v>
      </c>
      <c r="L499" s="3">
        <v>419</v>
      </c>
      <c r="M499" s="3">
        <v>759</v>
      </c>
      <c r="N499" s="3">
        <v>1167912</v>
      </c>
      <c r="O499" s="2">
        <v>0.186</v>
      </c>
      <c r="P499" s="2">
        <v>0.95299999999999996</v>
      </c>
      <c r="Q499" s="2">
        <v>-0.22600000000000001</v>
      </c>
      <c r="R499" s="11">
        <v>382365948</v>
      </c>
      <c r="S499" s="11">
        <v>1286998</v>
      </c>
      <c r="T499">
        <v>2017</v>
      </c>
      <c r="U499">
        <v>11</v>
      </c>
      <c r="V499">
        <f t="shared" si="42"/>
        <v>750000</v>
      </c>
      <c r="W499">
        <f t="shared" si="43"/>
        <v>18429897</v>
      </c>
      <c r="X499">
        <f t="shared" si="44"/>
        <v>17679897</v>
      </c>
      <c r="Y499">
        <f t="shared" si="45"/>
        <v>-25769845.5</v>
      </c>
      <c r="Z499">
        <f t="shared" si="46"/>
        <v>44949742.5</v>
      </c>
      <c r="AA499" t="str">
        <f t="shared" si="47"/>
        <v>Normal</v>
      </c>
      <c r="AE499" s="2"/>
      <c r="AF499" s="2"/>
    </row>
    <row r="500" spans="1:32" x14ac:dyDescent="0.35">
      <c r="A500">
        <v>499</v>
      </c>
      <c r="B500" s="1">
        <v>43054</v>
      </c>
      <c r="C500" s="9" t="s">
        <v>975</v>
      </c>
      <c r="D500" s="9" t="s">
        <v>4996</v>
      </c>
      <c r="E500" s="9" t="s">
        <v>6088</v>
      </c>
      <c r="F500" s="9" t="s">
        <v>19</v>
      </c>
      <c r="G500" s="9" t="s">
        <v>976</v>
      </c>
      <c r="H500" s="9" t="s">
        <v>105</v>
      </c>
      <c r="I500" s="11">
        <v>18429897</v>
      </c>
      <c r="J500" s="11">
        <v>4633831</v>
      </c>
      <c r="K500" s="11">
        <v>16622012</v>
      </c>
      <c r="L500" s="3">
        <v>447</v>
      </c>
      <c r="M500" s="3">
        <v>1962</v>
      </c>
      <c r="N500" s="3">
        <v>337564</v>
      </c>
      <c r="O500" s="2">
        <v>0.44600000000000001</v>
      </c>
      <c r="P500" s="2">
        <v>0.217</v>
      </c>
      <c r="Q500" s="2">
        <v>-0.9</v>
      </c>
      <c r="R500" s="11">
        <v>310947637</v>
      </c>
      <c r="S500" s="11">
        <v>1752169</v>
      </c>
      <c r="T500">
        <v>2017</v>
      </c>
      <c r="U500">
        <v>11</v>
      </c>
      <c r="V500">
        <f t="shared" si="42"/>
        <v>750000</v>
      </c>
      <c r="W500">
        <f t="shared" si="43"/>
        <v>18429897</v>
      </c>
      <c r="X500">
        <f t="shared" si="44"/>
        <v>17679897</v>
      </c>
      <c r="Y500">
        <f t="shared" si="45"/>
        <v>-25769845.5</v>
      </c>
      <c r="Z500">
        <f t="shared" si="46"/>
        <v>44949742.5</v>
      </c>
      <c r="AA500" t="str">
        <f t="shared" si="47"/>
        <v>Normal</v>
      </c>
      <c r="AE500" s="2"/>
      <c r="AF500" s="2"/>
    </row>
    <row r="501" spans="1:32" x14ac:dyDescent="0.35">
      <c r="A501">
        <v>500</v>
      </c>
      <c r="B501" s="1">
        <v>43054</v>
      </c>
      <c r="C501" s="9" t="s">
        <v>977</v>
      </c>
      <c r="D501" s="9" t="s">
        <v>4930</v>
      </c>
      <c r="E501" s="9" t="s">
        <v>6089</v>
      </c>
      <c r="F501" s="9" t="s">
        <v>27</v>
      </c>
      <c r="G501" s="9" t="s">
        <v>978</v>
      </c>
      <c r="H501" s="9" t="s">
        <v>86</v>
      </c>
      <c r="I501" s="11">
        <v>18429897</v>
      </c>
      <c r="J501" s="11">
        <v>2140892</v>
      </c>
      <c r="K501" s="11">
        <v>10153449</v>
      </c>
      <c r="L501" s="3">
        <v>471</v>
      </c>
      <c r="M501" s="3">
        <v>1401</v>
      </c>
      <c r="N501" s="3">
        <v>838940</v>
      </c>
      <c r="O501" s="2">
        <v>0.29899999999999999</v>
      </c>
      <c r="P501" s="2">
        <v>0.81799999999999995</v>
      </c>
      <c r="Q501" s="2">
        <v>0.25800000000000001</v>
      </c>
      <c r="R501" s="11">
        <v>350906036</v>
      </c>
      <c r="S501" s="11">
        <v>1031395</v>
      </c>
      <c r="T501">
        <v>2017</v>
      </c>
      <c r="U501">
        <v>11</v>
      </c>
      <c r="V501">
        <f t="shared" si="42"/>
        <v>750000</v>
      </c>
      <c r="W501">
        <f t="shared" si="43"/>
        <v>18429897</v>
      </c>
      <c r="X501">
        <f t="shared" si="44"/>
        <v>17679897</v>
      </c>
      <c r="Y501">
        <f t="shared" si="45"/>
        <v>-25769845.5</v>
      </c>
      <c r="Z501">
        <f t="shared" si="46"/>
        <v>44949742.5</v>
      </c>
      <c r="AA501" t="str">
        <f t="shared" si="47"/>
        <v>Normal</v>
      </c>
      <c r="AE501" s="2"/>
      <c r="AF501" s="2"/>
    </row>
    <row r="502" spans="1:32" x14ac:dyDescent="0.35">
      <c r="A502">
        <v>501</v>
      </c>
      <c r="B502" s="1">
        <v>43056</v>
      </c>
      <c r="C502" s="9" t="s">
        <v>979</v>
      </c>
      <c r="D502" s="9" t="s">
        <v>4996</v>
      </c>
      <c r="E502" s="9" t="s">
        <v>6088</v>
      </c>
      <c r="F502" s="9" t="s">
        <v>124</v>
      </c>
      <c r="G502" s="9" t="s">
        <v>856</v>
      </c>
      <c r="H502" s="9" t="s">
        <v>275</v>
      </c>
      <c r="I502" s="11">
        <v>200000</v>
      </c>
      <c r="J502" s="11">
        <v>586369</v>
      </c>
      <c r="K502" s="11">
        <v>2316563</v>
      </c>
      <c r="L502" s="3">
        <v>254</v>
      </c>
      <c r="M502" s="3">
        <v>2505.5</v>
      </c>
      <c r="N502" s="3">
        <v>1259789</v>
      </c>
      <c r="O502" s="2">
        <v>-0.1</v>
      </c>
      <c r="P502" s="2">
        <v>0.61699999999999999</v>
      </c>
      <c r="Q502" s="2">
        <v>-8.3000000000000004E-2</v>
      </c>
      <c r="R502" s="11">
        <v>171865212</v>
      </c>
      <c r="S502" s="11">
        <v>629029</v>
      </c>
      <c r="T502">
        <v>2017</v>
      </c>
      <c r="U502">
        <v>11</v>
      </c>
      <c r="V502">
        <f t="shared" si="42"/>
        <v>750000</v>
      </c>
      <c r="W502">
        <f t="shared" si="43"/>
        <v>18429897</v>
      </c>
      <c r="X502">
        <f t="shared" si="44"/>
        <v>17679897</v>
      </c>
      <c r="Y502">
        <f t="shared" si="45"/>
        <v>-25769845.5</v>
      </c>
      <c r="Z502">
        <f t="shared" si="46"/>
        <v>44949742.5</v>
      </c>
      <c r="AA502" t="str">
        <f t="shared" si="47"/>
        <v>Normal</v>
      </c>
      <c r="AE502" s="2"/>
      <c r="AF502" s="2"/>
    </row>
    <row r="503" spans="1:32" x14ac:dyDescent="0.35">
      <c r="A503">
        <v>502</v>
      </c>
      <c r="B503" s="1">
        <v>43056</v>
      </c>
      <c r="C503" s="9" t="s">
        <v>980</v>
      </c>
      <c r="D503" s="9" t="s">
        <v>4930</v>
      </c>
      <c r="E503" s="9" t="s">
        <v>6090</v>
      </c>
      <c r="F503" s="9" t="s">
        <v>94</v>
      </c>
      <c r="G503" s="9" t="s">
        <v>981</v>
      </c>
      <c r="H503" s="9" t="s">
        <v>275</v>
      </c>
      <c r="I503" s="11">
        <v>18429897</v>
      </c>
      <c r="J503" s="11">
        <v>3266616</v>
      </c>
      <c r="K503" s="11">
        <v>4865652</v>
      </c>
      <c r="L503" s="3">
        <v>253</v>
      </c>
      <c r="M503" s="3">
        <v>1178</v>
      </c>
      <c r="N503" s="3">
        <v>1018455</v>
      </c>
      <c r="O503" s="2">
        <v>0.221</v>
      </c>
      <c r="P503" s="2">
        <v>1.085</v>
      </c>
      <c r="Q503" s="2">
        <v>1E-3</v>
      </c>
      <c r="R503" s="11">
        <v>9063340</v>
      </c>
      <c r="S503" s="11">
        <v>1008193.5</v>
      </c>
      <c r="T503">
        <v>2017</v>
      </c>
      <c r="U503">
        <v>11</v>
      </c>
      <c r="V503">
        <f t="shared" si="42"/>
        <v>750000</v>
      </c>
      <c r="W503">
        <f t="shared" si="43"/>
        <v>18429897</v>
      </c>
      <c r="X503">
        <f t="shared" si="44"/>
        <v>17679897</v>
      </c>
      <c r="Y503">
        <f t="shared" si="45"/>
        <v>-25769845.5</v>
      </c>
      <c r="Z503">
        <f t="shared" si="46"/>
        <v>44949742.5</v>
      </c>
      <c r="AA503" t="str">
        <f t="shared" si="47"/>
        <v>Normal</v>
      </c>
      <c r="AE503" s="2"/>
      <c r="AF503" s="2"/>
    </row>
    <row r="504" spans="1:32" x14ac:dyDescent="0.35">
      <c r="A504">
        <v>503</v>
      </c>
      <c r="B504" s="1">
        <v>43059</v>
      </c>
      <c r="C504" s="9" t="s">
        <v>982</v>
      </c>
      <c r="D504" s="9" t="s">
        <v>4930</v>
      </c>
      <c r="E504" s="9" t="s">
        <v>6091</v>
      </c>
      <c r="F504" s="9" t="s">
        <v>31</v>
      </c>
      <c r="G504" s="9" t="s">
        <v>983</v>
      </c>
      <c r="H504" s="9" t="s">
        <v>275</v>
      </c>
      <c r="I504" s="11">
        <v>692000</v>
      </c>
      <c r="J504" s="11">
        <v>4813822</v>
      </c>
      <c r="K504" s="11">
        <v>11595134</v>
      </c>
      <c r="L504" s="3">
        <v>26</v>
      </c>
      <c r="M504" s="3">
        <v>4252</v>
      </c>
      <c r="N504" s="3">
        <v>180836</v>
      </c>
      <c r="O504" s="2">
        <v>0.19</v>
      </c>
      <c r="P504" s="2">
        <v>1.1440000000000001</v>
      </c>
      <c r="Q504" s="2">
        <v>0.36749999999999999</v>
      </c>
      <c r="R504" s="11">
        <v>483311385</v>
      </c>
      <c r="S504" s="11">
        <v>591187</v>
      </c>
      <c r="T504">
        <v>2017</v>
      </c>
      <c r="U504">
        <v>11</v>
      </c>
      <c r="V504">
        <f t="shared" si="42"/>
        <v>750000</v>
      </c>
      <c r="W504">
        <f t="shared" si="43"/>
        <v>18429897</v>
      </c>
      <c r="X504">
        <f t="shared" si="44"/>
        <v>17679897</v>
      </c>
      <c r="Y504">
        <f t="shared" si="45"/>
        <v>-25769845.5</v>
      </c>
      <c r="Z504">
        <f t="shared" si="46"/>
        <v>44949742.5</v>
      </c>
      <c r="AA504" t="str">
        <f t="shared" si="47"/>
        <v>Normal</v>
      </c>
      <c r="AE504" s="2"/>
      <c r="AF504" s="2"/>
    </row>
    <row r="505" spans="1:32" x14ac:dyDescent="0.35">
      <c r="A505">
        <v>504</v>
      </c>
      <c r="B505" s="1">
        <v>43060</v>
      </c>
      <c r="C505" s="9" t="s">
        <v>984</v>
      </c>
      <c r="D505" s="9" t="s">
        <v>4930</v>
      </c>
      <c r="E505" s="9" t="s">
        <v>6092</v>
      </c>
      <c r="F505" s="9" t="s">
        <v>124</v>
      </c>
      <c r="G505" s="9" t="s">
        <v>985</v>
      </c>
      <c r="H505" s="9" t="s">
        <v>275</v>
      </c>
      <c r="I505" s="11">
        <v>329230</v>
      </c>
      <c r="J505" s="11">
        <v>4340103</v>
      </c>
      <c r="K505" s="11">
        <v>19197797</v>
      </c>
      <c r="L505" s="3">
        <v>59</v>
      </c>
      <c r="M505" s="3">
        <v>133</v>
      </c>
      <c r="N505" s="3">
        <v>1100874</v>
      </c>
      <c r="O505" s="2">
        <v>0.16700000000000001</v>
      </c>
      <c r="P505" s="2">
        <v>0.78400000000000003</v>
      </c>
      <c r="Q505" s="2">
        <v>0.16399999999999998</v>
      </c>
      <c r="R505" s="11">
        <v>85950345</v>
      </c>
      <c r="S505" s="11">
        <v>368694</v>
      </c>
      <c r="T505">
        <v>2017</v>
      </c>
      <c r="U505">
        <v>11</v>
      </c>
      <c r="V505">
        <f t="shared" si="42"/>
        <v>750000</v>
      </c>
      <c r="W505">
        <f t="shared" si="43"/>
        <v>18429897</v>
      </c>
      <c r="X505">
        <f t="shared" si="44"/>
        <v>17679897</v>
      </c>
      <c r="Y505">
        <f t="shared" si="45"/>
        <v>-25769845.5</v>
      </c>
      <c r="Z505">
        <f t="shared" si="46"/>
        <v>44949742.5</v>
      </c>
      <c r="AA505" t="str">
        <f t="shared" si="47"/>
        <v>Normal</v>
      </c>
      <c r="AE505" s="2"/>
      <c r="AF505" s="2"/>
    </row>
    <row r="506" spans="1:32" x14ac:dyDescent="0.35">
      <c r="A506">
        <v>505</v>
      </c>
      <c r="B506" s="1">
        <v>43060</v>
      </c>
      <c r="C506" s="9" t="s">
        <v>986</v>
      </c>
      <c r="D506" s="9" t="s">
        <v>4930</v>
      </c>
      <c r="E506" s="9" t="s">
        <v>5160</v>
      </c>
      <c r="F506" s="9" t="s">
        <v>31</v>
      </c>
      <c r="G506" s="9" t="s">
        <v>987</v>
      </c>
      <c r="H506" s="9" t="s">
        <v>105</v>
      </c>
      <c r="I506" s="11">
        <v>2700000</v>
      </c>
      <c r="J506" s="11">
        <v>1384900</v>
      </c>
      <c r="K506" s="11">
        <v>3284890</v>
      </c>
      <c r="L506" s="3">
        <v>283</v>
      </c>
      <c r="M506" s="3">
        <v>2505.5</v>
      </c>
      <c r="N506" s="3">
        <v>1018455</v>
      </c>
      <c r="O506" s="2">
        <v>-0.14099999999999999</v>
      </c>
      <c r="P506" s="2">
        <v>0.6</v>
      </c>
      <c r="Q506" s="2">
        <v>6.6000000000000003E-2</v>
      </c>
      <c r="R506" s="11">
        <v>243359185</v>
      </c>
      <c r="S506" s="11">
        <v>1771654</v>
      </c>
      <c r="T506">
        <v>2017</v>
      </c>
      <c r="U506">
        <v>11</v>
      </c>
      <c r="V506">
        <f t="shared" si="42"/>
        <v>750000</v>
      </c>
      <c r="W506">
        <f t="shared" si="43"/>
        <v>18429897</v>
      </c>
      <c r="X506">
        <f t="shared" si="44"/>
        <v>17679897</v>
      </c>
      <c r="Y506">
        <f t="shared" si="45"/>
        <v>-25769845.5</v>
      </c>
      <c r="Z506">
        <f t="shared" si="46"/>
        <v>44949742.5</v>
      </c>
      <c r="AA506" t="str">
        <f t="shared" si="47"/>
        <v>Normal</v>
      </c>
      <c r="AE506" s="2"/>
      <c r="AF506" s="2"/>
    </row>
    <row r="507" spans="1:32" x14ac:dyDescent="0.35">
      <c r="A507">
        <v>506</v>
      </c>
      <c r="B507" s="1">
        <v>43060</v>
      </c>
      <c r="C507" s="9" t="s">
        <v>988</v>
      </c>
      <c r="D507" s="9" t="s">
        <v>4930</v>
      </c>
      <c r="E507" s="9" t="s">
        <v>6093</v>
      </c>
      <c r="F507" s="9" t="s">
        <v>31</v>
      </c>
      <c r="G507" s="9" t="s">
        <v>989</v>
      </c>
      <c r="H507" s="9" t="s">
        <v>275</v>
      </c>
      <c r="I507" s="11">
        <v>400000</v>
      </c>
      <c r="J507" s="11">
        <v>2280406</v>
      </c>
      <c r="K507" s="11">
        <v>951059</v>
      </c>
      <c r="L507" s="3">
        <v>106</v>
      </c>
      <c r="M507" s="3">
        <v>1378</v>
      </c>
      <c r="N507" s="3">
        <v>127176</v>
      </c>
      <c r="O507" s="2">
        <v>0.38299999999999995</v>
      </c>
      <c r="P507" s="2">
        <v>1.1379999999999999</v>
      </c>
      <c r="Q507" s="2">
        <v>-8.3000000000000004E-2</v>
      </c>
      <c r="R507" s="11">
        <v>453705720</v>
      </c>
      <c r="S507" s="11">
        <v>428970</v>
      </c>
      <c r="T507">
        <v>2017</v>
      </c>
      <c r="U507">
        <v>11</v>
      </c>
      <c r="V507">
        <f t="shared" si="42"/>
        <v>750000</v>
      </c>
      <c r="W507">
        <f t="shared" si="43"/>
        <v>18429897</v>
      </c>
      <c r="X507">
        <f t="shared" si="44"/>
        <v>17679897</v>
      </c>
      <c r="Y507">
        <f t="shared" si="45"/>
        <v>-25769845.5</v>
      </c>
      <c r="Z507">
        <f t="shared" si="46"/>
        <v>44949742.5</v>
      </c>
      <c r="AA507" t="str">
        <f t="shared" si="47"/>
        <v>Normal</v>
      </c>
      <c r="AE507" s="2"/>
      <c r="AF507" s="2"/>
    </row>
    <row r="508" spans="1:32" x14ac:dyDescent="0.35">
      <c r="A508">
        <v>507</v>
      </c>
      <c r="B508" s="1">
        <v>43060</v>
      </c>
      <c r="C508" s="9" t="s">
        <v>990</v>
      </c>
      <c r="D508" s="9" t="s">
        <v>4930</v>
      </c>
      <c r="E508" s="9" t="s">
        <v>6094</v>
      </c>
      <c r="F508" s="9" t="s">
        <v>31</v>
      </c>
      <c r="G508" s="9" t="s">
        <v>991</v>
      </c>
      <c r="H508" s="9" t="s">
        <v>275</v>
      </c>
      <c r="I508" s="11">
        <v>250000</v>
      </c>
      <c r="J508" s="11">
        <v>2664462</v>
      </c>
      <c r="K508" s="11">
        <v>10611988</v>
      </c>
      <c r="L508" s="3">
        <v>116</v>
      </c>
      <c r="M508" s="3">
        <v>2266</v>
      </c>
      <c r="N508" s="3">
        <v>1225896</v>
      </c>
      <c r="O508" s="2">
        <v>-0.11599999999999999</v>
      </c>
      <c r="P508" s="2">
        <v>0.50800000000000001</v>
      </c>
      <c r="Q508" s="2">
        <v>-5.8000000000000003E-2</v>
      </c>
      <c r="R508" s="11">
        <v>361822230</v>
      </c>
      <c r="S508" s="11">
        <v>840754</v>
      </c>
      <c r="T508">
        <v>2017</v>
      </c>
      <c r="U508">
        <v>11</v>
      </c>
      <c r="V508">
        <f t="shared" si="42"/>
        <v>750000</v>
      </c>
      <c r="W508">
        <f t="shared" si="43"/>
        <v>18429897</v>
      </c>
      <c r="X508">
        <f t="shared" si="44"/>
        <v>17679897</v>
      </c>
      <c r="Y508">
        <f t="shared" si="45"/>
        <v>-25769845.5</v>
      </c>
      <c r="Z508">
        <f t="shared" si="46"/>
        <v>44949742.5</v>
      </c>
      <c r="AA508" t="str">
        <f t="shared" si="47"/>
        <v>Normal</v>
      </c>
      <c r="AE508" s="2"/>
      <c r="AF508" s="2"/>
    </row>
    <row r="509" spans="1:32" x14ac:dyDescent="0.35">
      <c r="A509">
        <v>508</v>
      </c>
      <c r="B509" s="1">
        <v>43060</v>
      </c>
      <c r="C509" s="9" t="s">
        <v>992</v>
      </c>
      <c r="D509" s="9" t="s">
        <v>2539</v>
      </c>
      <c r="E509" s="9" t="s">
        <v>6095</v>
      </c>
      <c r="F509" s="9" t="s">
        <v>15</v>
      </c>
      <c r="G509" s="9" t="s">
        <v>993</v>
      </c>
      <c r="H509" s="9" t="s">
        <v>105</v>
      </c>
      <c r="I509" s="11">
        <v>26000000</v>
      </c>
      <c r="J509" s="11">
        <v>1254241</v>
      </c>
      <c r="K509" s="11">
        <v>10153449</v>
      </c>
      <c r="L509" s="3">
        <v>151</v>
      </c>
      <c r="M509" s="3">
        <v>3866</v>
      </c>
      <c r="N509" s="3">
        <v>151160</v>
      </c>
      <c r="O509" s="2">
        <v>4.7E-2</v>
      </c>
      <c r="P509" s="2">
        <v>0.69299999999999995</v>
      </c>
      <c r="Q509" s="2">
        <v>0.14000000000000001</v>
      </c>
      <c r="R509" s="11">
        <v>459282768</v>
      </c>
      <c r="S509" s="11">
        <v>240257</v>
      </c>
      <c r="T509">
        <v>2017</v>
      </c>
      <c r="U509">
        <v>11</v>
      </c>
      <c r="V509">
        <f t="shared" si="42"/>
        <v>750000</v>
      </c>
      <c r="W509">
        <f t="shared" si="43"/>
        <v>18429897</v>
      </c>
      <c r="X509">
        <f t="shared" si="44"/>
        <v>17679897</v>
      </c>
      <c r="Y509">
        <f t="shared" si="45"/>
        <v>-25769845.5</v>
      </c>
      <c r="Z509">
        <f t="shared" si="46"/>
        <v>44949742.5</v>
      </c>
      <c r="AA509" t="str">
        <f t="shared" si="47"/>
        <v>Normal</v>
      </c>
      <c r="AE509" s="2"/>
      <c r="AF509" s="2"/>
    </row>
    <row r="510" spans="1:32" x14ac:dyDescent="0.35">
      <c r="A510">
        <v>509</v>
      </c>
      <c r="B510" s="1">
        <v>43060</v>
      </c>
      <c r="C510" s="9" t="s">
        <v>994</v>
      </c>
      <c r="D510" s="9" t="s">
        <v>4930</v>
      </c>
      <c r="E510" s="9" t="s">
        <v>6096</v>
      </c>
      <c r="F510" s="9" t="s">
        <v>31</v>
      </c>
      <c r="G510" s="9" t="s">
        <v>106</v>
      </c>
      <c r="H510" s="9" t="s">
        <v>105</v>
      </c>
      <c r="I510" s="11">
        <v>18429897</v>
      </c>
      <c r="J510" s="11">
        <v>1358086</v>
      </c>
      <c r="K510" s="11">
        <v>11095663</v>
      </c>
      <c r="L510" s="3">
        <v>232</v>
      </c>
      <c r="M510" s="3">
        <v>4786</v>
      </c>
      <c r="N510" s="3">
        <v>1375538</v>
      </c>
      <c r="O510" s="2">
        <v>0.312</v>
      </c>
      <c r="P510" s="2">
        <v>0.55299999999999994</v>
      </c>
      <c r="Q510" s="2">
        <v>-0.16500000000000001</v>
      </c>
      <c r="R510" s="11">
        <v>333150339</v>
      </c>
      <c r="S510" s="11">
        <v>1988445</v>
      </c>
      <c r="T510">
        <v>2017</v>
      </c>
      <c r="U510">
        <v>11</v>
      </c>
      <c r="V510">
        <f t="shared" si="42"/>
        <v>750000</v>
      </c>
      <c r="W510">
        <f t="shared" si="43"/>
        <v>18429897</v>
      </c>
      <c r="X510">
        <f t="shared" si="44"/>
        <v>17679897</v>
      </c>
      <c r="Y510">
        <f t="shared" si="45"/>
        <v>-25769845.5</v>
      </c>
      <c r="Z510">
        <f t="shared" si="46"/>
        <v>44949742.5</v>
      </c>
      <c r="AA510" t="str">
        <f t="shared" si="47"/>
        <v>Normal</v>
      </c>
      <c r="AE510" s="2"/>
      <c r="AF510" s="2"/>
    </row>
    <row r="511" spans="1:32" x14ac:dyDescent="0.35">
      <c r="A511">
        <v>510</v>
      </c>
      <c r="B511" s="1">
        <v>43060</v>
      </c>
      <c r="C511" s="9" t="s">
        <v>995</v>
      </c>
      <c r="D511" s="9" t="s">
        <v>4933</v>
      </c>
      <c r="E511" s="9" t="s">
        <v>6097</v>
      </c>
      <c r="F511" s="9" t="s">
        <v>31</v>
      </c>
      <c r="G511" s="9" t="s">
        <v>996</v>
      </c>
      <c r="H511" s="9" t="s">
        <v>105</v>
      </c>
      <c r="I511" s="11">
        <v>200000000</v>
      </c>
      <c r="J511" s="11">
        <v>1198578</v>
      </c>
      <c r="K511" s="11">
        <v>18496891</v>
      </c>
      <c r="L511" s="3">
        <v>80</v>
      </c>
      <c r="M511" s="3">
        <v>3653</v>
      </c>
      <c r="N511" s="3">
        <v>415362</v>
      </c>
      <c r="O511" s="2">
        <v>4.4999999999999998E-2</v>
      </c>
      <c r="P511" s="2">
        <v>0.35399999999999998</v>
      </c>
      <c r="Q511" s="2">
        <v>8.900000000000001E-2</v>
      </c>
      <c r="R511" s="11">
        <v>1517887</v>
      </c>
      <c r="S511" s="11">
        <v>859559</v>
      </c>
      <c r="T511">
        <v>2017</v>
      </c>
      <c r="U511">
        <v>11</v>
      </c>
      <c r="V511">
        <f t="shared" si="42"/>
        <v>750000</v>
      </c>
      <c r="W511">
        <f t="shared" si="43"/>
        <v>18429897</v>
      </c>
      <c r="X511">
        <f t="shared" si="44"/>
        <v>17679897</v>
      </c>
      <c r="Y511">
        <f t="shared" si="45"/>
        <v>-25769845.5</v>
      </c>
      <c r="Z511">
        <f t="shared" si="46"/>
        <v>44949742.5</v>
      </c>
      <c r="AA511" t="str">
        <f t="shared" si="47"/>
        <v>Outlier</v>
      </c>
      <c r="AE511" s="2"/>
      <c r="AF511" s="2"/>
    </row>
    <row r="512" spans="1:32" x14ac:dyDescent="0.35">
      <c r="A512">
        <v>511</v>
      </c>
      <c r="B512" s="1">
        <v>43061</v>
      </c>
      <c r="C512" s="9" t="s">
        <v>997</v>
      </c>
      <c r="D512" s="9" t="s">
        <v>4930</v>
      </c>
      <c r="E512" s="9" t="s">
        <v>6098</v>
      </c>
      <c r="F512" s="9" t="s">
        <v>15</v>
      </c>
      <c r="G512" s="9" t="s">
        <v>998</v>
      </c>
      <c r="H512" s="9" t="s">
        <v>275</v>
      </c>
      <c r="I512" s="11">
        <v>18429897</v>
      </c>
      <c r="J512" s="11">
        <v>4973014</v>
      </c>
      <c r="K512" s="11">
        <v>12881723</v>
      </c>
      <c r="L512" s="3">
        <v>402</v>
      </c>
      <c r="M512" s="3">
        <v>2540</v>
      </c>
      <c r="N512" s="3">
        <v>250798</v>
      </c>
      <c r="O512" s="2">
        <v>0.13600000000000001</v>
      </c>
      <c r="P512" s="2">
        <v>0.50800000000000001</v>
      </c>
      <c r="Q512" s="2">
        <v>0.10800000000000001</v>
      </c>
      <c r="R512" s="11">
        <v>250264963</v>
      </c>
      <c r="S512" s="11">
        <v>1871451</v>
      </c>
      <c r="T512">
        <v>2017</v>
      </c>
      <c r="U512">
        <v>11</v>
      </c>
      <c r="V512">
        <f t="shared" si="42"/>
        <v>750000</v>
      </c>
      <c r="W512">
        <f t="shared" si="43"/>
        <v>18429897</v>
      </c>
      <c r="X512">
        <f t="shared" si="44"/>
        <v>17679897</v>
      </c>
      <c r="Y512">
        <f t="shared" si="45"/>
        <v>-25769845.5</v>
      </c>
      <c r="Z512">
        <f t="shared" si="46"/>
        <v>44949742.5</v>
      </c>
      <c r="AA512" t="str">
        <f t="shared" si="47"/>
        <v>Normal</v>
      </c>
      <c r="AE512" s="2"/>
      <c r="AF512" s="2"/>
    </row>
    <row r="513" spans="1:32" x14ac:dyDescent="0.35">
      <c r="A513">
        <v>512</v>
      </c>
      <c r="B513" s="1">
        <v>43062</v>
      </c>
      <c r="C513" s="9" t="s">
        <v>999</v>
      </c>
      <c r="D513" s="9" t="s">
        <v>4997</v>
      </c>
      <c r="E513" s="9" t="s">
        <v>6099</v>
      </c>
      <c r="F513" s="9" t="s">
        <v>310</v>
      </c>
      <c r="G513" s="9" t="s">
        <v>1000</v>
      </c>
      <c r="H513" s="9" t="s">
        <v>275</v>
      </c>
      <c r="I513" s="11">
        <v>18429897</v>
      </c>
      <c r="J513" s="11">
        <v>3735151</v>
      </c>
      <c r="K513" s="11">
        <v>728900</v>
      </c>
      <c r="L513" s="3">
        <v>335</v>
      </c>
      <c r="M513" s="3">
        <v>2586</v>
      </c>
      <c r="N513" s="3">
        <v>143390</v>
      </c>
      <c r="O513" s="2">
        <v>0.14399999999999999</v>
      </c>
      <c r="P513" s="2">
        <v>0.45</v>
      </c>
      <c r="Q513" s="2">
        <v>0.13900000000000001</v>
      </c>
      <c r="R513" s="11">
        <v>399969760</v>
      </c>
      <c r="S513" s="11">
        <v>1032427</v>
      </c>
      <c r="T513">
        <v>2017</v>
      </c>
      <c r="U513">
        <v>11</v>
      </c>
      <c r="V513">
        <f t="shared" si="42"/>
        <v>750000</v>
      </c>
      <c r="W513">
        <f t="shared" si="43"/>
        <v>18429897</v>
      </c>
      <c r="X513">
        <f t="shared" si="44"/>
        <v>17679897</v>
      </c>
      <c r="Y513">
        <f t="shared" si="45"/>
        <v>-25769845.5</v>
      </c>
      <c r="Z513">
        <f t="shared" si="46"/>
        <v>44949742.5</v>
      </c>
      <c r="AA513" t="str">
        <f t="shared" si="47"/>
        <v>Normal</v>
      </c>
      <c r="AE513" s="2"/>
      <c r="AF513" s="2"/>
    </row>
    <row r="514" spans="1:32" x14ac:dyDescent="0.35">
      <c r="A514">
        <v>513</v>
      </c>
      <c r="B514" s="1">
        <v>43063</v>
      </c>
      <c r="C514" s="9" t="s">
        <v>1001</v>
      </c>
      <c r="D514" s="9" t="s">
        <v>4933</v>
      </c>
      <c r="E514" s="9" t="s">
        <v>6100</v>
      </c>
      <c r="F514" s="9" t="s">
        <v>15</v>
      </c>
      <c r="G514" s="9" t="s">
        <v>1002</v>
      </c>
      <c r="H514" s="9" t="s">
        <v>105</v>
      </c>
      <c r="I514" s="11">
        <v>10000000</v>
      </c>
      <c r="J514" s="11">
        <v>4207464</v>
      </c>
      <c r="K514" s="11">
        <v>8605756</v>
      </c>
      <c r="L514" s="3">
        <v>396</v>
      </c>
      <c r="M514" s="3">
        <v>4965</v>
      </c>
      <c r="N514" s="3">
        <v>919465</v>
      </c>
      <c r="O514" s="2">
        <v>0.13300000000000001</v>
      </c>
      <c r="P514" s="2">
        <v>0.995</v>
      </c>
      <c r="Q514" s="2">
        <v>-3.3000000000000002E-2</v>
      </c>
      <c r="R514" s="11">
        <v>228638194</v>
      </c>
      <c r="S514" s="11">
        <v>1078084</v>
      </c>
      <c r="T514">
        <v>2017</v>
      </c>
      <c r="U514">
        <v>11</v>
      </c>
      <c r="V514">
        <f t="shared" ref="V514:V577" si="48">_xlfn.PERCENTILE.INC(I514:I3557,0.25)</f>
        <v>750000</v>
      </c>
      <c r="W514">
        <f t="shared" ref="W514:W577" si="49">_xlfn.PERCENTILE.INC(I514:I3557,0.75)</f>
        <v>18429897</v>
      </c>
      <c r="X514">
        <f t="shared" ref="X514:X577" si="50">W514-V514</f>
        <v>17679897</v>
      </c>
      <c r="Y514">
        <f t="shared" ref="Y514:Y577" si="51">V514-1.5*X514</f>
        <v>-25769845.5</v>
      </c>
      <c r="Z514">
        <f t="shared" ref="Z514:Z577" si="52">W514+1.5*X514</f>
        <v>44949742.5</v>
      </c>
      <c r="AA514" t="str">
        <f t="shared" ref="AA514:AA577" si="53">IF(OR(I514&lt;$Y$2, I514&gt;$Z$2), "Outlier", "Normal")</f>
        <v>Normal</v>
      </c>
      <c r="AE514" s="2"/>
      <c r="AF514" s="2"/>
    </row>
    <row r="515" spans="1:32" x14ac:dyDescent="0.35">
      <c r="A515">
        <v>514</v>
      </c>
      <c r="B515" s="1">
        <v>43063</v>
      </c>
      <c r="C515" s="9" t="s">
        <v>1003</v>
      </c>
      <c r="D515" s="9" t="s">
        <v>4930</v>
      </c>
      <c r="E515" s="9" t="s">
        <v>6101</v>
      </c>
      <c r="F515" s="9" t="s">
        <v>866</v>
      </c>
      <c r="G515" s="9" t="s">
        <v>1004</v>
      </c>
      <c r="H515" s="9" t="s">
        <v>275</v>
      </c>
      <c r="I515" s="11">
        <v>250000</v>
      </c>
      <c r="J515" s="11">
        <v>4086512</v>
      </c>
      <c r="K515" s="11">
        <v>15423908</v>
      </c>
      <c r="L515" s="3">
        <v>463</v>
      </c>
      <c r="M515" s="3">
        <v>4958</v>
      </c>
      <c r="N515" s="3">
        <v>472174</v>
      </c>
      <c r="O515" s="2">
        <v>0.14300000000000002</v>
      </c>
      <c r="P515" s="2">
        <v>0.95299999999999996</v>
      </c>
      <c r="Q515" s="2">
        <v>0.251</v>
      </c>
      <c r="R515" s="11">
        <v>264019406</v>
      </c>
      <c r="S515" s="11">
        <v>1629290</v>
      </c>
      <c r="T515">
        <v>2017</v>
      </c>
      <c r="U515">
        <v>11</v>
      </c>
      <c r="V515">
        <f t="shared" si="48"/>
        <v>750000</v>
      </c>
      <c r="W515">
        <f t="shared" si="49"/>
        <v>18429897</v>
      </c>
      <c r="X515">
        <f t="shared" si="50"/>
        <v>17679897</v>
      </c>
      <c r="Y515">
        <f t="shared" si="51"/>
        <v>-25769845.5</v>
      </c>
      <c r="Z515">
        <f t="shared" si="52"/>
        <v>44949742.5</v>
      </c>
      <c r="AA515" t="str">
        <f t="shared" si="53"/>
        <v>Normal</v>
      </c>
      <c r="AE515" s="2"/>
      <c r="AF515" s="2"/>
    </row>
    <row r="516" spans="1:32" x14ac:dyDescent="0.35">
      <c r="A516">
        <v>515</v>
      </c>
      <c r="B516" s="1">
        <v>43066</v>
      </c>
      <c r="C516" s="9" t="s">
        <v>1005</v>
      </c>
      <c r="D516" s="9" t="s">
        <v>4933</v>
      </c>
      <c r="E516" s="9" t="s">
        <v>6102</v>
      </c>
      <c r="F516" s="9" t="s">
        <v>31</v>
      </c>
      <c r="G516" s="9" t="s">
        <v>856</v>
      </c>
      <c r="H516" s="9" t="s">
        <v>105</v>
      </c>
      <c r="I516" s="11">
        <v>200000000</v>
      </c>
      <c r="J516" s="11">
        <v>4796534</v>
      </c>
      <c r="K516" s="11">
        <v>10238546</v>
      </c>
      <c r="L516" s="3">
        <v>302</v>
      </c>
      <c r="M516" s="3">
        <v>3825</v>
      </c>
      <c r="N516" s="3">
        <v>926846</v>
      </c>
      <c r="O516" s="2">
        <v>0.16300000000000001</v>
      </c>
      <c r="P516" s="2">
        <v>0.86699999999999999</v>
      </c>
      <c r="Q516" s="2">
        <v>0.34</v>
      </c>
      <c r="R516" s="11">
        <v>303687265</v>
      </c>
      <c r="S516" s="11">
        <v>1570978</v>
      </c>
      <c r="T516">
        <v>2017</v>
      </c>
      <c r="U516">
        <v>11</v>
      </c>
      <c r="V516">
        <f t="shared" si="48"/>
        <v>750000</v>
      </c>
      <c r="W516">
        <f t="shared" si="49"/>
        <v>18429897</v>
      </c>
      <c r="X516">
        <f t="shared" si="50"/>
        <v>17679897</v>
      </c>
      <c r="Y516">
        <f t="shared" si="51"/>
        <v>-25769845.5</v>
      </c>
      <c r="Z516">
        <f t="shared" si="52"/>
        <v>44949742.5</v>
      </c>
      <c r="AA516" t="str">
        <f t="shared" si="53"/>
        <v>Outlier</v>
      </c>
      <c r="AE516" s="2"/>
      <c r="AF516" s="2"/>
    </row>
    <row r="517" spans="1:32" x14ac:dyDescent="0.35">
      <c r="A517">
        <v>516</v>
      </c>
      <c r="B517" s="1">
        <v>43066</v>
      </c>
      <c r="C517" s="9" t="s">
        <v>1006</v>
      </c>
      <c r="D517" s="9" t="s">
        <v>4930</v>
      </c>
      <c r="E517" s="9" t="s">
        <v>6103</v>
      </c>
      <c r="F517" s="9" t="s">
        <v>31</v>
      </c>
      <c r="G517" s="9" t="s">
        <v>1007</v>
      </c>
      <c r="H517" s="9" t="s">
        <v>275</v>
      </c>
      <c r="I517" s="11">
        <v>39000</v>
      </c>
      <c r="J517" s="11">
        <v>544284</v>
      </c>
      <c r="K517" s="11">
        <v>3976496</v>
      </c>
      <c r="L517" s="3">
        <v>184</v>
      </c>
      <c r="M517" s="3">
        <v>863</v>
      </c>
      <c r="N517" s="3">
        <v>1791402</v>
      </c>
      <c r="O517" s="2">
        <v>0.13500000000000001</v>
      </c>
      <c r="P517" s="2">
        <v>0.309</v>
      </c>
      <c r="Q517" s="2">
        <v>0.26200000000000001</v>
      </c>
      <c r="R517" s="11">
        <v>276678042</v>
      </c>
      <c r="S517" s="11">
        <v>1808667</v>
      </c>
      <c r="T517">
        <v>2017</v>
      </c>
      <c r="U517">
        <v>11</v>
      </c>
      <c r="V517">
        <f t="shared" si="48"/>
        <v>750000</v>
      </c>
      <c r="W517">
        <f t="shared" si="49"/>
        <v>18429897</v>
      </c>
      <c r="X517">
        <f t="shared" si="50"/>
        <v>17679897</v>
      </c>
      <c r="Y517">
        <f t="shared" si="51"/>
        <v>-25769845.5</v>
      </c>
      <c r="Z517">
        <f t="shared" si="52"/>
        <v>44949742.5</v>
      </c>
      <c r="AA517" t="str">
        <f t="shared" si="53"/>
        <v>Normal</v>
      </c>
      <c r="AE517" s="2"/>
      <c r="AF517" s="2"/>
    </row>
    <row r="518" spans="1:32" x14ac:dyDescent="0.35">
      <c r="A518">
        <v>517</v>
      </c>
      <c r="B518" s="1">
        <v>43066</v>
      </c>
      <c r="C518" s="9" t="s">
        <v>1008</v>
      </c>
      <c r="D518" s="9" t="s">
        <v>4930</v>
      </c>
      <c r="E518" s="9" t="s">
        <v>6104</v>
      </c>
      <c r="F518" s="9" t="s">
        <v>31</v>
      </c>
      <c r="G518" s="9" t="s">
        <v>254</v>
      </c>
      <c r="H518" s="9" t="s">
        <v>105</v>
      </c>
      <c r="I518" s="11">
        <v>3800000</v>
      </c>
      <c r="J518" s="11">
        <v>4410529</v>
      </c>
      <c r="K518" s="11">
        <v>3700957</v>
      </c>
      <c r="L518" s="3">
        <v>489</v>
      </c>
      <c r="M518" s="3">
        <v>1357</v>
      </c>
      <c r="N518" s="3">
        <v>1018455</v>
      </c>
      <c r="O518" s="2">
        <v>1.6E-2</v>
      </c>
      <c r="P518" s="2">
        <v>0.60099999999999998</v>
      </c>
      <c r="Q518" s="2">
        <v>0.152</v>
      </c>
      <c r="R518" s="11">
        <v>499957738</v>
      </c>
      <c r="S518" s="11">
        <v>1601451</v>
      </c>
      <c r="T518">
        <v>2017</v>
      </c>
      <c r="U518">
        <v>11</v>
      </c>
      <c r="V518">
        <f t="shared" si="48"/>
        <v>750000</v>
      </c>
      <c r="W518">
        <f t="shared" si="49"/>
        <v>18429897</v>
      </c>
      <c r="X518">
        <f t="shared" si="50"/>
        <v>17679897</v>
      </c>
      <c r="Y518">
        <f t="shared" si="51"/>
        <v>-25769845.5</v>
      </c>
      <c r="Z518">
        <f t="shared" si="52"/>
        <v>44949742.5</v>
      </c>
      <c r="AA518" t="str">
        <f t="shared" si="53"/>
        <v>Normal</v>
      </c>
      <c r="AE518" s="2"/>
      <c r="AF518" s="2"/>
    </row>
    <row r="519" spans="1:32" x14ac:dyDescent="0.35">
      <c r="A519">
        <v>518</v>
      </c>
      <c r="B519" s="1">
        <v>43067</v>
      </c>
      <c r="C519" s="9" t="s">
        <v>1009</v>
      </c>
      <c r="D519" s="9" t="s">
        <v>4998</v>
      </c>
      <c r="E519" s="9" t="s">
        <v>6105</v>
      </c>
      <c r="F519" s="9" t="s">
        <v>15</v>
      </c>
      <c r="G519" s="9" t="s">
        <v>1010</v>
      </c>
      <c r="H519" s="9" t="s">
        <v>105</v>
      </c>
      <c r="I519" s="11">
        <v>13000000</v>
      </c>
      <c r="J519" s="11">
        <v>2531926</v>
      </c>
      <c r="K519" s="11">
        <v>13304407</v>
      </c>
      <c r="L519" s="3">
        <v>285</v>
      </c>
      <c r="M519" s="3">
        <v>1398</v>
      </c>
      <c r="N519" s="3">
        <v>1500967</v>
      </c>
      <c r="O519" s="2">
        <v>-0.19</v>
      </c>
      <c r="P519" s="2">
        <v>1.1270000000000001E-2</v>
      </c>
      <c r="Q519" s="2">
        <v>-0.25700000000000001</v>
      </c>
      <c r="R519" s="11">
        <v>19707405</v>
      </c>
      <c r="S519" s="11">
        <v>1797413</v>
      </c>
      <c r="T519">
        <v>2017</v>
      </c>
      <c r="U519">
        <v>11</v>
      </c>
      <c r="V519">
        <f t="shared" si="48"/>
        <v>750000</v>
      </c>
      <c r="W519">
        <f t="shared" si="49"/>
        <v>18429897</v>
      </c>
      <c r="X519">
        <f t="shared" si="50"/>
        <v>17679897</v>
      </c>
      <c r="Y519">
        <f t="shared" si="51"/>
        <v>-25769845.5</v>
      </c>
      <c r="Z519">
        <f t="shared" si="52"/>
        <v>44949742.5</v>
      </c>
      <c r="AA519" t="str">
        <f t="shared" si="53"/>
        <v>Normal</v>
      </c>
      <c r="AE519" s="2"/>
      <c r="AF519" s="2"/>
    </row>
    <row r="520" spans="1:32" x14ac:dyDescent="0.35">
      <c r="A520">
        <v>519</v>
      </c>
      <c r="B520" s="1">
        <v>43067</v>
      </c>
      <c r="C520" s="9" t="s">
        <v>1011</v>
      </c>
      <c r="D520" s="9" t="s">
        <v>4930</v>
      </c>
      <c r="E520" s="9" t="s">
        <v>6106</v>
      </c>
      <c r="F520" s="9" t="s">
        <v>35</v>
      </c>
      <c r="G520" s="9" t="s">
        <v>839</v>
      </c>
      <c r="H520" s="9" t="s">
        <v>59</v>
      </c>
      <c r="I520" s="11">
        <v>1500000</v>
      </c>
      <c r="J520" s="11">
        <v>2387596</v>
      </c>
      <c r="K520" s="11">
        <v>9314005</v>
      </c>
      <c r="L520" s="3">
        <v>234</v>
      </c>
      <c r="M520" s="3">
        <v>1184</v>
      </c>
      <c r="N520" s="3">
        <v>937487</v>
      </c>
      <c r="O520" s="2">
        <v>0.32</v>
      </c>
      <c r="P520" s="2">
        <v>0.56600000000000006</v>
      </c>
      <c r="Q520" s="2">
        <v>0.51900000000000002</v>
      </c>
      <c r="R520" s="11">
        <v>77589870</v>
      </c>
      <c r="S520" s="11">
        <v>718927</v>
      </c>
      <c r="T520">
        <v>2017</v>
      </c>
      <c r="U520">
        <v>11</v>
      </c>
      <c r="V520">
        <f t="shared" si="48"/>
        <v>750000</v>
      </c>
      <c r="W520">
        <f t="shared" si="49"/>
        <v>18429897</v>
      </c>
      <c r="X520">
        <f t="shared" si="50"/>
        <v>17679897</v>
      </c>
      <c r="Y520">
        <f t="shared" si="51"/>
        <v>-25769845.5</v>
      </c>
      <c r="Z520">
        <f t="shared" si="52"/>
        <v>44949742.5</v>
      </c>
      <c r="AA520" t="str">
        <f t="shared" si="53"/>
        <v>Normal</v>
      </c>
      <c r="AE520" s="2"/>
      <c r="AF520" s="2"/>
    </row>
    <row r="521" spans="1:32" x14ac:dyDescent="0.35">
      <c r="A521">
        <v>520</v>
      </c>
      <c r="B521" s="1">
        <v>43067</v>
      </c>
      <c r="C521" s="9" t="s">
        <v>1012</v>
      </c>
      <c r="D521" s="9" t="s">
        <v>2539</v>
      </c>
      <c r="E521" s="9" t="s">
        <v>6107</v>
      </c>
      <c r="F521" s="9" t="s">
        <v>866</v>
      </c>
      <c r="G521" s="9" t="s">
        <v>1013</v>
      </c>
      <c r="H521" s="9" t="s">
        <v>275</v>
      </c>
      <c r="I521" s="11">
        <v>1350000</v>
      </c>
      <c r="J521" s="11">
        <v>2980279</v>
      </c>
      <c r="K521" s="11">
        <v>11525247</v>
      </c>
      <c r="L521" s="3">
        <v>210</v>
      </c>
      <c r="M521" s="3">
        <v>4839</v>
      </c>
      <c r="N521" s="3">
        <v>224570</v>
      </c>
      <c r="O521" s="2">
        <v>0.32899999999999996</v>
      </c>
      <c r="P521" s="2">
        <v>0.22</v>
      </c>
      <c r="Q521" s="2">
        <v>0.115</v>
      </c>
      <c r="R521" s="11">
        <v>44016682</v>
      </c>
      <c r="S521" s="11">
        <v>51724</v>
      </c>
      <c r="T521">
        <v>2017</v>
      </c>
      <c r="U521">
        <v>11</v>
      </c>
      <c r="V521">
        <f t="shared" si="48"/>
        <v>750000</v>
      </c>
      <c r="W521">
        <f t="shared" si="49"/>
        <v>18429897</v>
      </c>
      <c r="X521">
        <f t="shared" si="50"/>
        <v>17679897</v>
      </c>
      <c r="Y521">
        <f t="shared" si="51"/>
        <v>-25769845.5</v>
      </c>
      <c r="Z521">
        <f t="shared" si="52"/>
        <v>44949742.5</v>
      </c>
      <c r="AA521" t="str">
        <f t="shared" si="53"/>
        <v>Normal</v>
      </c>
      <c r="AE521" s="2"/>
      <c r="AF521" s="2"/>
    </row>
    <row r="522" spans="1:32" x14ac:dyDescent="0.35">
      <c r="A522">
        <v>521</v>
      </c>
      <c r="B522" s="1">
        <v>43067</v>
      </c>
      <c r="C522" s="9" t="s">
        <v>1014</v>
      </c>
      <c r="D522" s="9" t="s">
        <v>4930</v>
      </c>
      <c r="E522" s="9" t="s">
        <v>6108</v>
      </c>
      <c r="F522" s="9" t="s">
        <v>94</v>
      </c>
      <c r="G522" s="9" t="s">
        <v>1015</v>
      </c>
      <c r="H522" s="9" t="s">
        <v>105</v>
      </c>
      <c r="I522" s="11">
        <v>2000000</v>
      </c>
      <c r="J522" s="11">
        <v>2531926</v>
      </c>
      <c r="K522" s="11">
        <v>7523304</v>
      </c>
      <c r="L522" s="3">
        <v>24</v>
      </c>
      <c r="M522" s="3">
        <v>837</v>
      </c>
      <c r="N522" s="3">
        <v>813650</v>
      </c>
      <c r="O522" s="2">
        <v>0.187</v>
      </c>
      <c r="P522" s="2">
        <v>0.92599999999999993</v>
      </c>
      <c r="Q522" s="2">
        <v>0.17800000000000002</v>
      </c>
      <c r="R522" s="11">
        <v>341134453</v>
      </c>
      <c r="S522" s="11">
        <v>928328</v>
      </c>
      <c r="T522">
        <v>2017</v>
      </c>
      <c r="U522">
        <v>11</v>
      </c>
      <c r="V522">
        <f t="shared" si="48"/>
        <v>750000</v>
      </c>
      <c r="W522">
        <f t="shared" si="49"/>
        <v>18429897</v>
      </c>
      <c r="X522">
        <f t="shared" si="50"/>
        <v>17679897</v>
      </c>
      <c r="Y522">
        <f t="shared" si="51"/>
        <v>-25769845.5</v>
      </c>
      <c r="Z522">
        <f t="shared" si="52"/>
        <v>44949742.5</v>
      </c>
      <c r="AA522" t="str">
        <f t="shared" si="53"/>
        <v>Normal</v>
      </c>
      <c r="AE522" s="2"/>
      <c r="AF522" s="2"/>
    </row>
    <row r="523" spans="1:32" x14ac:dyDescent="0.35">
      <c r="A523">
        <v>522</v>
      </c>
      <c r="B523" s="1">
        <v>43011</v>
      </c>
      <c r="C523" s="9" t="s">
        <v>1016</v>
      </c>
      <c r="D523" s="9" t="s">
        <v>4988</v>
      </c>
      <c r="E523" s="9" t="s">
        <v>6109</v>
      </c>
      <c r="F523" s="9" t="s">
        <v>19</v>
      </c>
      <c r="G523" s="9" t="s">
        <v>1017</v>
      </c>
      <c r="H523" s="9" t="s">
        <v>86</v>
      </c>
      <c r="I523" s="11">
        <v>18429897</v>
      </c>
      <c r="J523" s="11">
        <v>747942</v>
      </c>
      <c r="K523" s="11">
        <v>6846958</v>
      </c>
      <c r="L523" s="3">
        <v>478</v>
      </c>
      <c r="M523" s="3">
        <v>4271</v>
      </c>
      <c r="N523" s="3">
        <v>43735</v>
      </c>
      <c r="O523" s="2">
        <v>0.18600000000000003</v>
      </c>
      <c r="P523" s="2">
        <v>0.88800000000000001</v>
      </c>
      <c r="Q523" s="2">
        <v>-7.5999999999999998E-2</v>
      </c>
      <c r="R523" s="11">
        <v>259745213</v>
      </c>
      <c r="S523" s="11">
        <v>344723</v>
      </c>
      <c r="T523">
        <v>2017</v>
      </c>
      <c r="U523">
        <v>10</v>
      </c>
      <c r="V523">
        <f t="shared" si="48"/>
        <v>750000</v>
      </c>
      <c r="W523">
        <f t="shared" si="49"/>
        <v>18429897</v>
      </c>
      <c r="X523">
        <f t="shared" si="50"/>
        <v>17679897</v>
      </c>
      <c r="Y523">
        <f t="shared" si="51"/>
        <v>-25769845.5</v>
      </c>
      <c r="Z523">
        <f t="shared" si="52"/>
        <v>44949742.5</v>
      </c>
      <c r="AA523" t="str">
        <f t="shared" si="53"/>
        <v>Normal</v>
      </c>
      <c r="AE523" s="2"/>
      <c r="AF523" s="2"/>
    </row>
    <row r="524" spans="1:32" x14ac:dyDescent="0.35">
      <c r="A524">
        <v>523</v>
      </c>
      <c r="B524" s="1">
        <v>43011</v>
      </c>
      <c r="C524" s="9" t="s">
        <v>1018</v>
      </c>
      <c r="D524" s="9" t="s">
        <v>4988</v>
      </c>
      <c r="E524" s="9" t="s">
        <v>6110</v>
      </c>
      <c r="F524" s="9" t="s">
        <v>31</v>
      </c>
      <c r="G524" s="9" t="s">
        <v>329</v>
      </c>
      <c r="H524" s="9" t="s">
        <v>86</v>
      </c>
      <c r="I524" s="11">
        <v>18429897</v>
      </c>
      <c r="J524" s="11">
        <v>977660</v>
      </c>
      <c r="K524" s="11">
        <v>13356008</v>
      </c>
      <c r="L524" s="3">
        <v>410</v>
      </c>
      <c r="M524" s="3">
        <v>4040</v>
      </c>
      <c r="N524" s="3">
        <v>247008</v>
      </c>
      <c r="O524" s="2">
        <v>-6.3E-2</v>
      </c>
      <c r="P524" s="2">
        <v>0.78</v>
      </c>
      <c r="Q524" s="2">
        <v>4.5999999999999999E-2</v>
      </c>
      <c r="R524" s="11">
        <v>218589447</v>
      </c>
      <c r="S524" s="11">
        <v>1807216</v>
      </c>
      <c r="T524">
        <v>2017</v>
      </c>
      <c r="U524">
        <v>10</v>
      </c>
      <c r="V524">
        <f t="shared" si="48"/>
        <v>750000</v>
      </c>
      <c r="W524">
        <f t="shared" si="49"/>
        <v>18429897</v>
      </c>
      <c r="X524">
        <f t="shared" si="50"/>
        <v>17679897</v>
      </c>
      <c r="Y524">
        <f t="shared" si="51"/>
        <v>-25769845.5</v>
      </c>
      <c r="Z524">
        <f t="shared" si="52"/>
        <v>44949742.5</v>
      </c>
      <c r="AA524" t="str">
        <f t="shared" si="53"/>
        <v>Normal</v>
      </c>
      <c r="AE524" s="2"/>
      <c r="AF524" s="2"/>
    </row>
    <row r="525" spans="1:32" x14ac:dyDescent="0.35">
      <c r="A525">
        <v>524</v>
      </c>
      <c r="B525" s="1">
        <v>43011</v>
      </c>
      <c r="C525" s="9" t="s">
        <v>182</v>
      </c>
      <c r="D525" s="9" t="s">
        <v>4988</v>
      </c>
      <c r="E525" s="9" t="s">
        <v>6111</v>
      </c>
      <c r="F525" s="9" t="s">
        <v>15</v>
      </c>
      <c r="G525" s="9" t="s">
        <v>1019</v>
      </c>
      <c r="H525" s="9" t="s">
        <v>105</v>
      </c>
      <c r="I525" s="11">
        <v>110000000</v>
      </c>
      <c r="J525" s="11">
        <v>4126827</v>
      </c>
      <c r="K525" s="11">
        <v>254477</v>
      </c>
      <c r="L525" s="3">
        <v>351</v>
      </c>
      <c r="M525" s="3">
        <v>2666</v>
      </c>
      <c r="N525" s="3">
        <v>603490</v>
      </c>
      <c r="O525" s="2">
        <v>-0.36799999999999999</v>
      </c>
      <c r="P525" s="2">
        <v>0.56299999999999994</v>
      </c>
      <c r="Q525" s="2">
        <v>0.39500000000000002</v>
      </c>
      <c r="R525" s="11">
        <v>447089032</v>
      </c>
      <c r="S525" s="11">
        <v>1475510</v>
      </c>
      <c r="T525">
        <v>2017</v>
      </c>
      <c r="U525">
        <v>10</v>
      </c>
      <c r="V525">
        <f t="shared" si="48"/>
        <v>750000</v>
      </c>
      <c r="W525">
        <f t="shared" si="49"/>
        <v>18429897</v>
      </c>
      <c r="X525">
        <f t="shared" si="50"/>
        <v>17679897</v>
      </c>
      <c r="Y525">
        <f t="shared" si="51"/>
        <v>-25769845.5</v>
      </c>
      <c r="Z525">
        <f t="shared" si="52"/>
        <v>44949742.5</v>
      </c>
      <c r="AA525" t="str">
        <f t="shared" si="53"/>
        <v>Outlier</v>
      </c>
      <c r="AE525" s="2"/>
      <c r="AF525" s="2"/>
    </row>
    <row r="526" spans="1:32" x14ac:dyDescent="0.35">
      <c r="A526">
        <v>525</v>
      </c>
      <c r="B526" s="1">
        <v>43012</v>
      </c>
      <c r="C526" s="9" t="s">
        <v>1020</v>
      </c>
      <c r="D526" s="9" t="s">
        <v>4988</v>
      </c>
      <c r="E526" s="9" t="s">
        <v>6112</v>
      </c>
      <c r="F526" s="9" t="s">
        <v>15</v>
      </c>
      <c r="G526" s="9" t="s">
        <v>1021</v>
      </c>
      <c r="H526" s="9" t="s">
        <v>86</v>
      </c>
      <c r="I526" s="11">
        <v>18429897</v>
      </c>
      <c r="J526" s="11">
        <v>1607245</v>
      </c>
      <c r="K526" s="11">
        <v>8752952</v>
      </c>
      <c r="L526" s="3">
        <v>114</v>
      </c>
      <c r="M526" s="3">
        <v>1568</v>
      </c>
      <c r="N526" s="3">
        <v>1388959</v>
      </c>
      <c r="O526" s="2">
        <v>7.0000000000000007E-2</v>
      </c>
      <c r="P526" s="2">
        <v>0.52300000000000002</v>
      </c>
      <c r="Q526" s="2">
        <v>0.29600000000000004</v>
      </c>
      <c r="R526" s="11">
        <v>235522306</v>
      </c>
      <c r="S526" s="11">
        <v>1021162</v>
      </c>
      <c r="T526">
        <v>2017</v>
      </c>
      <c r="U526">
        <v>10</v>
      </c>
      <c r="V526">
        <f t="shared" si="48"/>
        <v>750000</v>
      </c>
      <c r="W526">
        <f t="shared" si="49"/>
        <v>18429897</v>
      </c>
      <c r="X526">
        <f t="shared" si="50"/>
        <v>17679897</v>
      </c>
      <c r="Y526">
        <f t="shared" si="51"/>
        <v>-25769845.5</v>
      </c>
      <c r="Z526">
        <f t="shared" si="52"/>
        <v>44949742.5</v>
      </c>
      <c r="AA526" t="str">
        <f t="shared" si="53"/>
        <v>Normal</v>
      </c>
      <c r="AE526" s="2"/>
      <c r="AF526" s="2"/>
    </row>
    <row r="527" spans="1:32" x14ac:dyDescent="0.35">
      <c r="A527">
        <v>526</v>
      </c>
      <c r="B527" s="1">
        <v>43012</v>
      </c>
      <c r="C527" s="9" t="s">
        <v>1022</v>
      </c>
      <c r="D527" s="9" t="s">
        <v>4988</v>
      </c>
      <c r="E527" s="9" t="s">
        <v>6113</v>
      </c>
      <c r="F527" s="9" t="s">
        <v>15</v>
      </c>
      <c r="G527" s="9" t="s">
        <v>1023</v>
      </c>
      <c r="H527" s="9" t="s">
        <v>86</v>
      </c>
      <c r="I527" s="11">
        <v>306000</v>
      </c>
      <c r="J527" s="11">
        <v>1565466</v>
      </c>
      <c r="K527" s="11">
        <v>7476779</v>
      </c>
      <c r="L527" s="3">
        <v>464</v>
      </c>
      <c r="M527" s="3">
        <v>1365</v>
      </c>
      <c r="N527" s="3">
        <v>1576796</v>
      </c>
      <c r="O527" s="2">
        <v>-0.25900000000000001</v>
      </c>
      <c r="P527" s="2">
        <v>0.43</v>
      </c>
      <c r="Q527" s="2">
        <v>2.2000000000000002E-2</v>
      </c>
      <c r="R527" s="11">
        <v>419002425</v>
      </c>
      <c r="S527" s="11">
        <v>1206510</v>
      </c>
      <c r="T527">
        <v>2017</v>
      </c>
      <c r="U527">
        <v>10</v>
      </c>
      <c r="V527">
        <f t="shared" si="48"/>
        <v>750000</v>
      </c>
      <c r="W527">
        <f t="shared" si="49"/>
        <v>18429897</v>
      </c>
      <c r="X527">
        <f t="shared" si="50"/>
        <v>17679897</v>
      </c>
      <c r="Y527">
        <f t="shared" si="51"/>
        <v>-25769845.5</v>
      </c>
      <c r="Z527">
        <f t="shared" si="52"/>
        <v>44949742.5</v>
      </c>
      <c r="AA527" t="str">
        <f t="shared" si="53"/>
        <v>Normal</v>
      </c>
      <c r="AE527" s="2"/>
      <c r="AF527" s="2"/>
    </row>
    <row r="528" spans="1:32" x14ac:dyDescent="0.35">
      <c r="A528">
        <v>527</v>
      </c>
      <c r="B528" s="1">
        <v>43012</v>
      </c>
      <c r="C528" s="9" t="s">
        <v>397</v>
      </c>
      <c r="D528" s="9" t="s">
        <v>4988</v>
      </c>
      <c r="E528" s="9" t="s">
        <v>6114</v>
      </c>
      <c r="F528" s="9" t="s">
        <v>15</v>
      </c>
      <c r="G528" s="9" t="s">
        <v>398</v>
      </c>
      <c r="H528" s="9" t="s">
        <v>105</v>
      </c>
      <c r="I528" s="11">
        <v>38700000</v>
      </c>
      <c r="J528" s="11">
        <v>4618342</v>
      </c>
      <c r="K528" s="11">
        <v>15608898</v>
      </c>
      <c r="L528" s="3">
        <v>92</v>
      </c>
      <c r="M528" s="3">
        <v>3395</v>
      </c>
      <c r="N528" s="3">
        <v>1239616</v>
      </c>
      <c r="O528" s="2">
        <v>0.157</v>
      </c>
      <c r="P528" s="2">
        <v>0.79200000000000004</v>
      </c>
      <c r="Q528" s="2">
        <v>0.36749999999999999</v>
      </c>
      <c r="R528" s="11">
        <v>79591797</v>
      </c>
      <c r="S528" s="11">
        <v>608886</v>
      </c>
      <c r="T528">
        <v>2017</v>
      </c>
      <c r="U528">
        <v>10</v>
      </c>
      <c r="V528">
        <f t="shared" si="48"/>
        <v>750000</v>
      </c>
      <c r="W528">
        <f t="shared" si="49"/>
        <v>18429897</v>
      </c>
      <c r="X528">
        <f t="shared" si="50"/>
        <v>17679897</v>
      </c>
      <c r="Y528">
        <f t="shared" si="51"/>
        <v>-25769845.5</v>
      </c>
      <c r="Z528">
        <f t="shared" si="52"/>
        <v>44949742.5</v>
      </c>
      <c r="AA528" t="str">
        <f t="shared" si="53"/>
        <v>Normal</v>
      </c>
      <c r="AE528" s="2"/>
      <c r="AF528" s="2"/>
    </row>
    <row r="529" spans="1:32" x14ac:dyDescent="0.35">
      <c r="A529">
        <v>528</v>
      </c>
      <c r="B529" s="1">
        <v>43013</v>
      </c>
      <c r="C529" s="9" t="s">
        <v>1024</v>
      </c>
      <c r="D529" s="9" t="s">
        <v>4988</v>
      </c>
      <c r="E529" s="9" t="s">
        <v>6115</v>
      </c>
      <c r="F529" s="9" t="s">
        <v>27</v>
      </c>
      <c r="G529" s="9" t="s">
        <v>1025</v>
      </c>
      <c r="H529" s="9" t="s">
        <v>105</v>
      </c>
      <c r="I529" s="11">
        <v>1000000</v>
      </c>
      <c r="J529" s="11">
        <v>736482</v>
      </c>
      <c r="K529" s="11">
        <v>14595481</v>
      </c>
      <c r="L529" s="3">
        <v>124</v>
      </c>
      <c r="M529" s="3">
        <v>3372</v>
      </c>
      <c r="N529" s="3">
        <v>515715</v>
      </c>
      <c r="O529" s="2">
        <v>0.38100000000000001</v>
      </c>
      <c r="P529" s="2">
        <v>1.196</v>
      </c>
      <c r="Q529" s="2">
        <v>-0.152</v>
      </c>
      <c r="R529" s="11">
        <v>169272910</v>
      </c>
      <c r="S529" s="11">
        <v>1566466</v>
      </c>
      <c r="T529">
        <v>2017</v>
      </c>
      <c r="U529">
        <v>10</v>
      </c>
      <c r="V529">
        <f t="shared" si="48"/>
        <v>750000</v>
      </c>
      <c r="W529">
        <f t="shared" si="49"/>
        <v>18429897</v>
      </c>
      <c r="X529">
        <f t="shared" si="50"/>
        <v>17679897</v>
      </c>
      <c r="Y529">
        <f t="shared" si="51"/>
        <v>-25769845.5</v>
      </c>
      <c r="Z529">
        <f t="shared" si="52"/>
        <v>44949742.5</v>
      </c>
      <c r="AA529" t="str">
        <f t="shared" si="53"/>
        <v>Normal</v>
      </c>
      <c r="AE529" s="2"/>
      <c r="AF529" s="2"/>
    </row>
    <row r="530" spans="1:32" x14ac:dyDescent="0.35">
      <c r="A530">
        <v>529</v>
      </c>
      <c r="B530" s="1">
        <v>43013</v>
      </c>
      <c r="C530" s="9" t="s">
        <v>1026</v>
      </c>
      <c r="D530" s="9" t="s">
        <v>4930</v>
      </c>
      <c r="E530" s="9" t="s">
        <v>1027</v>
      </c>
      <c r="F530" s="9" t="s">
        <v>31</v>
      </c>
      <c r="G530" s="9" t="s">
        <v>1028</v>
      </c>
      <c r="H530" s="9" t="s">
        <v>86</v>
      </c>
      <c r="I530" s="11">
        <v>450000</v>
      </c>
      <c r="J530" s="11">
        <v>4578029</v>
      </c>
      <c r="K530" s="11">
        <v>8577242</v>
      </c>
      <c r="L530" s="3">
        <v>39</v>
      </c>
      <c r="M530" s="3">
        <v>2505.5</v>
      </c>
      <c r="N530" s="3">
        <v>1433928</v>
      </c>
      <c r="O530" s="2">
        <v>-0.3</v>
      </c>
      <c r="P530" s="2">
        <v>0.98299999999999998</v>
      </c>
      <c r="Q530" s="2">
        <v>-0.32</v>
      </c>
      <c r="R530" s="11">
        <v>265296755</v>
      </c>
      <c r="S530" s="11">
        <v>1008193.5</v>
      </c>
      <c r="T530">
        <v>2017</v>
      </c>
      <c r="U530">
        <v>10</v>
      </c>
      <c r="V530">
        <f t="shared" si="48"/>
        <v>750000</v>
      </c>
      <c r="W530">
        <f t="shared" si="49"/>
        <v>18429897</v>
      </c>
      <c r="X530">
        <f t="shared" si="50"/>
        <v>17679897</v>
      </c>
      <c r="Y530">
        <f t="shared" si="51"/>
        <v>-25769845.5</v>
      </c>
      <c r="Z530">
        <f t="shared" si="52"/>
        <v>44949742.5</v>
      </c>
      <c r="AA530" t="str">
        <f t="shared" si="53"/>
        <v>Normal</v>
      </c>
      <c r="AE530" s="2"/>
      <c r="AF530" s="2"/>
    </row>
    <row r="531" spans="1:32" x14ac:dyDescent="0.35">
      <c r="A531">
        <v>530</v>
      </c>
      <c r="B531" s="1">
        <v>43013</v>
      </c>
      <c r="C531" s="9" t="s">
        <v>1029</v>
      </c>
      <c r="D531" s="9" t="s">
        <v>4925</v>
      </c>
      <c r="E531" s="9" t="s">
        <v>6116</v>
      </c>
      <c r="F531" s="9" t="s">
        <v>15</v>
      </c>
      <c r="G531" s="9" t="s">
        <v>1030</v>
      </c>
      <c r="H531" s="9" t="s">
        <v>105</v>
      </c>
      <c r="I531" s="11">
        <v>9200000</v>
      </c>
      <c r="J531" s="11">
        <v>4606432</v>
      </c>
      <c r="K531" s="11">
        <v>5327962</v>
      </c>
      <c r="L531" s="3">
        <v>147</v>
      </c>
      <c r="M531" s="3">
        <v>2863</v>
      </c>
      <c r="N531" s="3">
        <v>1992949</v>
      </c>
      <c r="O531" s="2">
        <v>0.8</v>
      </c>
      <c r="P531" s="2">
        <v>0.85499999999999998</v>
      </c>
      <c r="Q531" s="2">
        <v>-0.38200000000000001</v>
      </c>
      <c r="R531" s="11">
        <v>426607920</v>
      </c>
      <c r="S531" s="11">
        <v>1522514</v>
      </c>
      <c r="T531">
        <v>2017</v>
      </c>
      <c r="U531">
        <v>10</v>
      </c>
      <c r="V531">
        <f t="shared" si="48"/>
        <v>750000</v>
      </c>
      <c r="W531">
        <f t="shared" si="49"/>
        <v>18429897</v>
      </c>
      <c r="X531">
        <f t="shared" si="50"/>
        <v>17679897</v>
      </c>
      <c r="Y531">
        <f t="shared" si="51"/>
        <v>-25769845.5</v>
      </c>
      <c r="Z531">
        <f t="shared" si="52"/>
        <v>44949742.5</v>
      </c>
      <c r="AA531" t="str">
        <f t="shared" si="53"/>
        <v>Normal</v>
      </c>
      <c r="AE531" s="2"/>
      <c r="AF531" s="2"/>
    </row>
    <row r="532" spans="1:32" x14ac:dyDescent="0.35">
      <c r="A532">
        <v>531</v>
      </c>
      <c r="B532" s="1">
        <v>43014</v>
      </c>
      <c r="C532" s="9" t="s">
        <v>1031</v>
      </c>
      <c r="D532" s="9" t="s">
        <v>4925</v>
      </c>
      <c r="E532" s="9" t="s">
        <v>6117</v>
      </c>
      <c r="F532" s="9" t="s">
        <v>27</v>
      </c>
      <c r="G532" s="9" t="s">
        <v>1032</v>
      </c>
      <c r="H532" s="9" t="s">
        <v>105</v>
      </c>
      <c r="I532" s="11">
        <v>3100000</v>
      </c>
      <c r="J532" s="11">
        <v>3000827</v>
      </c>
      <c r="K532" s="11">
        <v>4791846</v>
      </c>
      <c r="L532" s="3">
        <v>167</v>
      </c>
      <c r="M532" s="3">
        <v>4138</v>
      </c>
      <c r="N532" s="3">
        <v>1312600</v>
      </c>
      <c r="O532" s="2">
        <v>-8.1000000000000003E-2</v>
      </c>
      <c r="P532" s="2">
        <v>0.77</v>
      </c>
      <c r="Q532" s="2">
        <v>0.29899999999999999</v>
      </c>
      <c r="R532" s="11">
        <v>23399582</v>
      </c>
      <c r="S532" s="11">
        <v>858709</v>
      </c>
      <c r="T532">
        <v>2017</v>
      </c>
      <c r="U532">
        <v>10</v>
      </c>
      <c r="V532">
        <f t="shared" si="48"/>
        <v>750000</v>
      </c>
      <c r="W532">
        <f t="shared" si="49"/>
        <v>18429897</v>
      </c>
      <c r="X532">
        <f t="shared" si="50"/>
        <v>17679897</v>
      </c>
      <c r="Y532">
        <f t="shared" si="51"/>
        <v>-25769845.5</v>
      </c>
      <c r="Z532">
        <f t="shared" si="52"/>
        <v>44949742.5</v>
      </c>
      <c r="AA532" t="str">
        <f t="shared" si="53"/>
        <v>Normal</v>
      </c>
      <c r="AE532" s="2"/>
      <c r="AF532" s="2"/>
    </row>
    <row r="533" spans="1:32" x14ac:dyDescent="0.35">
      <c r="A533">
        <v>532</v>
      </c>
      <c r="B533" s="1">
        <v>43014</v>
      </c>
      <c r="C533" s="9" t="s">
        <v>1033</v>
      </c>
      <c r="D533" s="9" t="s">
        <v>4930</v>
      </c>
      <c r="E533" s="9" t="s">
        <v>6118</v>
      </c>
      <c r="F533" s="9" t="s">
        <v>15</v>
      </c>
      <c r="G533" s="9" t="s">
        <v>1034</v>
      </c>
      <c r="H533" s="9" t="s">
        <v>105</v>
      </c>
      <c r="I533" s="11">
        <v>8000000</v>
      </c>
      <c r="J533" s="11">
        <v>2531926</v>
      </c>
      <c r="K533" s="11">
        <v>10153449</v>
      </c>
      <c r="L533" s="3">
        <v>398</v>
      </c>
      <c r="M533" s="3">
        <v>3784</v>
      </c>
      <c r="N533" s="3">
        <v>1523258</v>
      </c>
      <c r="O533" s="2">
        <v>0.129</v>
      </c>
      <c r="P533" s="2">
        <v>0.90500000000000003</v>
      </c>
      <c r="Q533" s="2">
        <v>-7.400000000000001E-2</v>
      </c>
      <c r="R533" s="11">
        <v>220602474</v>
      </c>
      <c r="S533" s="11">
        <v>897034</v>
      </c>
      <c r="T533">
        <v>2017</v>
      </c>
      <c r="U533">
        <v>10</v>
      </c>
      <c r="V533">
        <f t="shared" si="48"/>
        <v>750000</v>
      </c>
      <c r="W533">
        <f t="shared" si="49"/>
        <v>18429897</v>
      </c>
      <c r="X533">
        <f t="shared" si="50"/>
        <v>17679897</v>
      </c>
      <c r="Y533">
        <f t="shared" si="51"/>
        <v>-25769845.5</v>
      </c>
      <c r="Z533">
        <f t="shared" si="52"/>
        <v>44949742.5</v>
      </c>
      <c r="AA533" t="str">
        <f t="shared" si="53"/>
        <v>Normal</v>
      </c>
      <c r="AE533" s="2"/>
      <c r="AF533" s="2"/>
    </row>
    <row r="534" spans="1:32" x14ac:dyDescent="0.35">
      <c r="A534">
        <v>533</v>
      </c>
      <c r="B534" s="1">
        <v>43014</v>
      </c>
      <c r="C534" s="9" t="s">
        <v>1035</v>
      </c>
      <c r="D534" s="9" t="s">
        <v>4988</v>
      </c>
      <c r="E534" s="9" t="s">
        <v>6119</v>
      </c>
      <c r="F534" s="9" t="s">
        <v>15</v>
      </c>
      <c r="G534" s="9" t="s">
        <v>1036</v>
      </c>
      <c r="H534" s="9" t="s">
        <v>105</v>
      </c>
      <c r="I534" s="11">
        <v>10000000</v>
      </c>
      <c r="J534" s="11">
        <v>796187</v>
      </c>
      <c r="K534" s="11">
        <v>5546405</v>
      </c>
      <c r="L534" s="3">
        <v>166</v>
      </c>
      <c r="M534" s="3">
        <v>3766</v>
      </c>
      <c r="N534" s="3">
        <v>1750580</v>
      </c>
      <c r="O534" s="2">
        <v>0.113</v>
      </c>
      <c r="P534" s="2">
        <v>0.70199999999999996</v>
      </c>
      <c r="Q534" s="2">
        <v>6.5000000000000002E-2</v>
      </c>
      <c r="R534" s="11">
        <v>250264963</v>
      </c>
      <c r="S534" s="11">
        <v>905123</v>
      </c>
      <c r="T534">
        <v>2017</v>
      </c>
      <c r="U534">
        <v>10</v>
      </c>
      <c r="V534">
        <f t="shared" si="48"/>
        <v>750000</v>
      </c>
      <c r="W534">
        <f t="shared" si="49"/>
        <v>18429897</v>
      </c>
      <c r="X534">
        <f t="shared" si="50"/>
        <v>17679897</v>
      </c>
      <c r="Y534">
        <f t="shared" si="51"/>
        <v>-25769845.5</v>
      </c>
      <c r="Z534">
        <f t="shared" si="52"/>
        <v>44949742.5</v>
      </c>
      <c r="AA534" t="str">
        <f t="shared" si="53"/>
        <v>Normal</v>
      </c>
      <c r="AE534" s="2"/>
      <c r="AF534" s="2"/>
    </row>
    <row r="535" spans="1:32" x14ac:dyDescent="0.35">
      <c r="A535">
        <v>534</v>
      </c>
      <c r="B535" s="1">
        <v>43014</v>
      </c>
      <c r="C535" s="9" t="s">
        <v>1037</v>
      </c>
      <c r="D535" s="9" t="s">
        <v>4988</v>
      </c>
      <c r="E535" s="9" t="s">
        <v>6120</v>
      </c>
      <c r="F535" s="9" t="s">
        <v>15</v>
      </c>
      <c r="G535" s="9" t="s">
        <v>1038</v>
      </c>
      <c r="H535" s="9" t="s">
        <v>105</v>
      </c>
      <c r="I535" s="11">
        <v>2000000</v>
      </c>
      <c r="J535" s="11">
        <v>1437906</v>
      </c>
      <c r="K535" s="11">
        <v>15235496</v>
      </c>
      <c r="L535" s="3">
        <v>478</v>
      </c>
      <c r="M535" s="3">
        <v>1437</v>
      </c>
      <c r="N535" s="3">
        <v>1431220</v>
      </c>
      <c r="O535" s="2">
        <v>-8.4000000000000005E-2</v>
      </c>
      <c r="P535" s="2">
        <v>1.047E-2</v>
      </c>
      <c r="Q535" s="2">
        <v>0.374</v>
      </c>
      <c r="R535" s="11">
        <v>389720526</v>
      </c>
      <c r="S535" s="11">
        <v>1917040</v>
      </c>
      <c r="T535">
        <v>2017</v>
      </c>
      <c r="U535">
        <v>10</v>
      </c>
      <c r="V535">
        <f t="shared" si="48"/>
        <v>750000</v>
      </c>
      <c r="W535">
        <f t="shared" si="49"/>
        <v>18429897</v>
      </c>
      <c r="X535">
        <f t="shared" si="50"/>
        <v>17679897</v>
      </c>
      <c r="Y535">
        <f t="shared" si="51"/>
        <v>-25769845.5</v>
      </c>
      <c r="Z535">
        <f t="shared" si="52"/>
        <v>44949742.5</v>
      </c>
      <c r="AA535" t="str">
        <f t="shared" si="53"/>
        <v>Normal</v>
      </c>
      <c r="AE535" s="2"/>
      <c r="AF535" s="2"/>
    </row>
    <row r="536" spans="1:32" x14ac:dyDescent="0.35">
      <c r="A536">
        <v>535</v>
      </c>
      <c r="B536" s="1">
        <v>43017</v>
      </c>
      <c r="C536" s="9" t="s">
        <v>1039</v>
      </c>
      <c r="D536" s="9" t="s">
        <v>4930</v>
      </c>
      <c r="E536" s="9" t="s">
        <v>6121</v>
      </c>
      <c r="F536" s="9" t="s">
        <v>19</v>
      </c>
      <c r="G536" s="9" t="s">
        <v>1040</v>
      </c>
      <c r="H536" s="9" t="s">
        <v>86</v>
      </c>
      <c r="I536" s="11">
        <v>18429897</v>
      </c>
      <c r="J536" s="11">
        <v>2895529</v>
      </c>
      <c r="K536" s="11">
        <v>1001175</v>
      </c>
      <c r="L536" s="3">
        <v>154</v>
      </c>
      <c r="M536" s="3">
        <v>365</v>
      </c>
      <c r="N536" s="3">
        <v>1754704</v>
      </c>
      <c r="O536" s="2">
        <v>0.30299999999999999</v>
      </c>
      <c r="P536" s="2">
        <v>0.78200000000000003</v>
      </c>
      <c r="Q536" s="2">
        <v>0.182</v>
      </c>
      <c r="R536" s="11">
        <v>203056772</v>
      </c>
      <c r="S536" s="11">
        <v>992118</v>
      </c>
      <c r="T536">
        <v>2017</v>
      </c>
      <c r="U536">
        <v>10</v>
      </c>
      <c r="V536">
        <f t="shared" si="48"/>
        <v>750000</v>
      </c>
      <c r="W536">
        <f t="shared" si="49"/>
        <v>18429897</v>
      </c>
      <c r="X536">
        <f t="shared" si="50"/>
        <v>17679897</v>
      </c>
      <c r="Y536">
        <f t="shared" si="51"/>
        <v>-25769845.5</v>
      </c>
      <c r="Z536">
        <f t="shared" si="52"/>
        <v>44949742.5</v>
      </c>
      <c r="AA536" t="str">
        <f t="shared" si="53"/>
        <v>Normal</v>
      </c>
      <c r="AE536" s="2"/>
      <c r="AF536" s="2"/>
    </row>
    <row r="537" spans="1:32" x14ac:dyDescent="0.35">
      <c r="A537">
        <v>536</v>
      </c>
      <c r="B537" s="1">
        <v>43017</v>
      </c>
      <c r="C537" s="9" t="s">
        <v>1041</v>
      </c>
      <c r="D537" s="9" t="s">
        <v>4925</v>
      </c>
      <c r="E537" s="9" t="s">
        <v>6122</v>
      </c>
      <c r="F537" s="9" t="s">
        <v>15</v>
      </c>
      <c r="G537" s="9" t="s">
        <v>1042</v>
      </c>
      <c r="H537" s="9" t="s">
        <v>105</v>
      </c>
      <c r="I537" s="11">
        <v>2700000</v>
      </c>
      <c r="J537" s="11">
        <v>2531926</v>
      </c>
      <c r="K537" s="11">
        <v>619930</v>
      </c>
      <c r="L537" s="3">
        <v>264</v>
      </c>
      <c r="M537" s="3">
        <v>2320</v>
      </c>
      <c r="N537" s="3">
        <v>592316</v>
      </c>
      <c r="O537" s="2">
        <v>0.66</v>
      </c>
      <c r="P537" s="2">
        <v>0.50800000000000001</v>
      </c>
      <c r="Q537" s="2">
        <v>-0.19700000000000001</v>
      </c>
      <c r="R537" s="11">
        <v>161484961</v>
      </c>
      <c r="S537" s="11">
        <v>57784</v>
      </c>
      <c r="T537">
        <v>2017</v>
      </c>
      <c r="U537">
        <v>10</v>
      </c>
      <c r="V537">
        <f t="shared" si="48"/>
        <v>750000</v>
      </c>
      <c r="W537">
        <f t="shared" si="49"/>
        <v>18429897</v>
      </c>
      <c r="X537">
        <f t="shared" si="50"/>
        <v>17679897</v>
      </c>
      <c r="Y537">
        <f t="shared" si="51"/>
        <v>-25769845.5</v>
      </c>
      <c r="Z537">
        <f t="shared" si="52"/>
        <v>44949742.5</v>
      </c>
      <c r="AA537" t="str">
        <f t="shared" si="53"/>
        <v>Normal</v>
      </c>
      <c r="AE537" s="2"/>
      <c r="AF537" s="2"/>
    </row>
    <row r="538" spans="1:32" x14ac:dyDescent="0.35">
      <c r="A538">
        <v>537</v>
      </c>
      <c r="B538" s="1">
        <v>43017</v>
      </c>
      <c r="C538" s="9" t="s">
        <v>1043</v>
      </c>
      <c r="D538" s="9" t="s">
        <v>4930</v>
      </c>
      <c r="E538" s="9" t="s">
        <v>6123</v>
      </c>
      <c r="F538" s="9" t="s">
        <v>15</v>
      </c>
      <c r="G538" s="9" t="s">
        <v>1044</v>
      </c>
      <c r="H538" s="9" t="s">
        <v>86</v>
      </c>
      <c r="I538" s="11">
        <v>18429897</v>
      </c>
      <c r="J538" s="11">
        <v>2289176</v>
      </c>
      <c r="K538" s="11">
        <v>10844384</v>
      </c>
      <c r="L538" s="3">
        <v>298</v>
      </c>
      <c r="M538" s="3">
        <v>1725</v>
      </c>
      <c r="N538" s="3">
        <v>615435</v>
      </c>
      <c r="O538" s="2">
        <v>0.35799999999999998</v>
      </c>
      <c r="P538" s="2">
        <v>0.76300000000000001</v>
      </c>
      <c r="Q538" s="2">
        <v>0.50600000000000001</v>
      </c>
      <c r="R538" s="11">
        <v>87173722</v>
      </c>
      <c r="S538" s="11">
        <v>1510471</v>
      </c>
      <c r="T538">
        <v>2017</v>
      </c>
      <c r="U538">
        <v>10</v>
      </c>
      <c r="V538">
        <f t="shared" si="48"/>
        <v>750000</v>
      </c>
      <c r="W538">
        <f t="shared" si="49"/>
        <v>18429897</v>
      </c>
      <c r="X538">
        <f t="shared" si="50"/>
        <v>17679897</v>
      </c>
      <c r="Y538">
        <f t="shared" si="51"/>
        <v>-25769845.5</v>
      </c>
      <c r="Z538">
        <f t="shared" si="52"/>
        <v>44949742.5</v>
      </c>
      <c r="AA538" t="str">
        <f t="shared" si="53"/>
        <v>Normal</v>
      </c>
      <c r="AE538" s="2"/>
      <c r="AF538" s="2"/>
    </row>
    <row r="539" spans="1:32" x14ac:dyDescent="0.35">
      <c r="A539">
        <v>538</v>
      </c>
      <c r="B539" s="1">
        <v>43017</v>
      </c>
      <c r="C539" s="9" t="s">
        <v>1045</v>
      </c>
      <c r="D539" s="9" t="s">
        <v>4988</v>
      </c>
      <c r="E539" s="9" t="s">
        <v>6124</v>
      </c>
      <c r="F539" s="9" t="s">
        <v>15</v>
      </c>
      <c r="G539" s="9" t="s">
        <v>1046</v>
      </c>
      <c r="H539" s="9" t="s">
        <v>105</v>
      </c>
      <c r="I539" s="11">
        <v>18429897</v>
      </c>
      <c r="J539" s="11">
        <v>595140</v>
      </c>
      <c r="K539" s="11">
        <v>4546761</v>
      </c>
      <c r="L539" s="3">
        <v>415</v>
      </c>
      <c r="M539" s="3">
        <v>1707</v>
      </c>
      <c r="N539" s="3">
        <v>349032</v>
      </c>
      <c r="O539" s="2">
        <v>9.8000000000000004E-2</v>
      </c>
      <c r="P539" s="2">
        <v>0.44500000000000001</v>
      </c>
      <c r="Q539" s="2">
        <v>2.7000000000000003E-2</v>
      </c>
      <c r="R539" s="11">
        <v>250264963</v>
      </c>
      <c r="S539" s="11">
        <v>1864066</v>
      </c>
      <c r="T539">
        <v>2017</v>
      </c>
      <c r="U539">
        <v>10</v>
      </c>
      <c r="V539">
        <f t="shared" si="48"/>
        <v>750000</v>
      </c>
      <c r="W539">
        <f t="shared" si="49"/>
        <v>18429897</v>
      </c>
      <c r="X539">
        <f t="shared" si="50"/>
        <v>17679897</v>
      </c>
      <c r="Y539">
        <f t="shared" si="51"/>
        <v>-25769845.5</v>
      </c>
      <c r="Z539">
        <f t="shared" si="52"/>
        <v>44949742.5</v>
      </c>
      <c r="AA539" t="str">
        <f t="shared" si="53"/>
        <v>Normal</v>
      </c>
      <c r="AE539" s="2"/>
      <c r="AF539" s="2"/>
    </row>
    <row r="540" spans="1:32" x14ac:dyDescent="0.35">
      <c r="A540">
        <v>539</v>
      </c>
      <c r="B540" s="1">
        <v>43017</v>
      </c>
      <c r="C540" s="9" t="s">
        <v>1047</v>
      </c>
      <c r="D540" s="9" t="s">
        <v>4930</v>
      </c>
      <c r="E540" s="9" t="s">
        <v>6125</v>
      </c>
      <c r="F540" s="9" t="s">
        <v>27</v>
      </c>
      <c r="G540" s="9" t="s">
        <v>1048</v>
      </c>
      <c r="H540" s="9" t="s">
        <v>86</v>
      </c>
      <c r="I540" s="11">
        <v>336000</v>
      </c>
      <c r="J540" s="11">
        <v>2710614</v>
      </c>
      <c r="K540" s="11">
        <v>16634529</v>
      </c>
      <c r="L540" s="3">
        <v>377</v>
      </c>
      <c r="M540" s="3">
        <v>2624</v>
      </c>
      <c r="N540" s="3">
        <v>364905</v>
      </c>
      <c r="O540" s="2">
        <v>9.5000000000000001E-2</v>
      </c>
      <c r="P540" s="2">
        <v>0.73599999999999999</v>
      </c>
      <c r="Q540" s="2">
        <v>8.4000000000000005E-2</v>
      </c>
      <c r="R540" s="11">
        <v>498826774</v>
      </c>
      <c r="S540" s="11">
        <v>1955728</v>
      </c>
      <c r="T540">
        <v>2017</v>
      </c>
      <c r="U540">
        <v>10</v>
      </c>
      <c r="V540">
        <f t="shared" si="48"/>
        <v>750000</v>
      </c>
      <c r="W540">
        <f t="shared" si="49"/>
        <v>18429897</v>
      </c>
      <c r="X540">
        <f t="shared" si="50"/>
        <v>17679897</v>
      </c>
      <c r="Y540">
        <f t="shared" si="51"/>
        <v>-25769845.5</v>
      </c>
      <c r="Z540">
        <f t="shared" si="52"/>
        <v>44949742.5</v>
      </c>
      <c r="AA540" t="str">
        <f t="shared" si="53"/>
        <v>Normal</v>
      </c>
      <c r="AE540" s="2"/>
      <c r="AF540" s="2"/>
    </row>
    <row r="541" spans="1:32" x14ac:dyDescent="0.35">
      <c r="A541">
        <v>540</v>
      </c>
      <c r="B541" s="1">
        <v>43017</v>
      </c>
      <c r="C541" s="9" t="s">
        <v>1049</v>
      </c>
      <c r="D541" s="9" t="s">
        <v>4930</v>
      </c>
      <c r="E541" s="9" t="s">
        <v>6126</v>
      </c>
      <c r="F541" s="9" t="s">
        <v>19</v>
      </c>
      <c r="G541" s="9" t="s">
        <v>1050</v>
      </c>
      <c r="H541" s="9" t="s">
        <v>86</v>
      </c>
      <c r="I541" s="11">
        <v>18429897</v>
      </c>
      <c r="J541" s="11">
        <v>125317</v>
      </c>
      <c r="K541" s="11">
        <v>15068862</v>
      </c>
      <c r="L541" s="3">
        <v>434</v>
      </c>
      <c r="M541" s="3">
        <v>4630</v>
      </c>
      <c r="N541" s="3">
        <v>1105651</v>
      </c>
      <c r="O541" s="2">
        <v>1.7000000000000001E-2</v>
      </c>
      <c r="P541" s="2">
        <v>1.0049999999999999</v>
      </c>
      <c r="Q541" s="2">
        <v>-7.8E-2</v>
      </c>
      <c r="R541" s="11">
        <v>384195122</v>
      </c>
      <c r="S541" s="11">
        <v>554228</v>
      </c>
      <c r="T541">
        <v>2017</v>
      </c>
      <c r="U541">
        <v>10</v>
      </c>
      <c r="V541">
        <f t="shared" si="48"/>
        <v>750000</v>
      </c>
      <c r="W541">
        <f t="shared" si="49"/>
        <v>18429897</v>
      </c>
      <c r="X541">
        <f t="shared" si="50"/>
        <v>17679897</v>
      </c>
      <c r="Y541">
        <f t="shared" si="51"/>
        <v>-25769845.5</v>
      </c>
      <c r="Z541">
        <f t="shared" si="52"/>
        <v>44949742.5</v>
      </c>
      <c r="AA541" t="str">
        <f t="shared" si="53"/>
        <v>Normal</v>
      </c>
      <c r="AE541" s="2"/>
      <c r="AF541" s="2"/>
    </row>
    <row r="542" spans="1:32" x14ac:dyDescent="0.35">
      <c r="A542">
        <v>541</v>
      </c>
      <c r="B542" s="1">
        <v>43018</v>
      </c>
      <c r="C542" s="9" t="s">
        <v>1051</v>
      </c>
      <c r="D542" s="9" t="s">
        <v>4930</v>
      </c>
      <c r="E542" s="9" t="s">
        <v>6127</v>
      </c>
      <c r="F542" s="9" t="s">
        <v>19</v>
      </c>
      <c r="G542" s="9" t="s">
        <v>1052</v>
      </c>
      <c r="H542" s="9" t="s">
        <v>105</v>
      </c>
      <c r="I542" s="11">
        <v>1400000</v>
      </c>
      <c r="J542" s="11">
        <v>3551000</v>
      </c>
      <c r="K542" s="11">
        <v>15405322</v>
      </c>
      <c r="L542" s="3">
        <v>469</v>
      </c>
      <c r="M542" s="3">
        <v>2505.5</v>
      </c>
      <c r="N542" s="3">
        <v>1852962</v>
      </c>
      <c r="O542" s="2">
        <v>1.3000000000000001E-2</v>
      </c>
      <c r="P542" s="2">
        <v>0.92800000000000005</v>
      </c>
      <c r="Q542" s="2">
        <v>-0.17899999999999999</v>
      </c>
      <c r="R542" s="11">
        <v>356355659</v>
      </c>
      <c r="S542" s="11">
        <v>784875</v>
      </c>
      <c r="T542">
        <v>2017</v>
      </c>
      <c r="U542">
        <v>10</v>
      </c>
      <c r="V542">
        <f t="shared" si="48"/>
        <v>750000</v>
      </c>
      <c r="W542">
        <f t="shared" si="49"/>
        <v>18429897</v>
      </c>
      <c r="X542">
        <f t="shared" si="50"/>
        <v>17679897</v>
      </c>
      <c r="Y542">
        <f t="shared" si="51"/>
        <v>-25769845.5</v>
      </c>
      <c r="Z542">
        <f t="shared" si="52"/>
        <v>44949742.5</v>
      </c>
      <c r="AA542" t="str">
        <f t="shared" si="53"/>
        <v>Normal</v>
      </c>
      <c r="AE542" s="2"/>
      <c r="AF542" s="2"/>
    </row>
    <row r="543" spans="1:32" x14ac:dyDescent="0.35">
      <c r="A543">
        <v>542</v>
      </c>
      <c r="B543" s="1">
        <v>43018</v>
      </c>
      <c r="C543" s="9" t="s">
        <v>1053</v>
      </c>
      <c r="D543" s="9" t="s">
        <v>4988</v>
      </c>
      <c r="E543" s="9" t="s">
        <v>1054</v>
      </c>
      <c r="F543" s="9" t="s">
        <v>19</v>
      </c>
      <c r="G543" s="9" t="s">
        <v>1055</v>
      </c>
      <c r="H543" s="9" t="s">
        <v>105</v>
      </c>
      <c r="I543" s="11">
        <v>4500000</v>
      </c>
      <c r="J543" s="11">
        <v>295869</v>
      </c>
      <c r="K543" s="11">
        <v>9194854</v>
      </c>
      <c r="L543" s="3">
        <v>63</v>
      </c>
      <c r="M543" s="3">
        <v>3391</v>
      </c>
      <c r="N543" s="3">
        <v>443370</v>
      </c>
      <c r="O543" s="2">
        <v>0.312</v>
      </c>
      <c r="P543" s="2">
        <v>0.47</v>
      </c>
      <c r="Q543" s="2">
        <v>0.158</v>
      </c>
      <c r="R543" s="11">
        <v>278339762</v>
      </c>
      <c r="S543" s="11">
        <v>1008193.5</v>
      </c>
      <c r="T543">
        <v>2017</v>
      </c>
      <c r="U543">
        <v>10</v>
      </c>
      <c r="V543">
        <f t="shared" si="48"/>
        <v>750000</v>
      </c>
      <c r="W543">
        <f t="shared" si="49"/>
        <v>18429897</v>
      </c>
      <c r="X543">
        <f t="shared" si="50"/>
        <v>17679897</v>
      </c>
      <c r="Y543">
        <f t="shared" si="51"/>
        <v>-25769845.5</v>
      </c>
      <c r="Z543">
        <f t="shared" si="52"/>
        <v>44949742.5</v>
      </c>
      <c r="AA543" t="str">
        <f t="shared" si="53"/>
        <v>Normal</v>
      </c>
      <c r="AE543" s="2"/>
      <c r="AF543" s="2"/>
    </row>
    <row r="544" spans="1:32" x14ac:dyDescent="0.35">
      <c r="A544">
        <v>543</v>
      </c>
      <c r="B544" s="1">
        <v>43019</v>
      </c>
      <c r="C544" s="9" t="s">
        <v>148</v>
      </c>
      <c r="D544" s="9" t="s">
        <v>4925</v>
      </c>
      <c r="E544" s="9" t="s">
        <v>6128</v>
      </c>
      <c r="F544" s="9" t="s">
        <v>15</v>
      </c>
      <c r="G544" s="9" t="s">
        <v>1056</v>
      </c>
      <c r="H544" s="9" t="s">
        <v>105</v>
      </c>
      <c r="I544" s="11">
        <v>3100000</v>
      </c>
      <c r="J544" s="11">
        <v>990212</v>
      </c>
      <c r="K544" s="11">
        <v>8812010</v>
      </c>
      <c r="L544" s="3">
        <v>51</v>
      </c>
      <c r="M544" s="3">
        <v>3584</v>
      </c>
      <c r="N544" s="3">
        <v>1426108</v>
      </c>
      <c r="O544" s="2">
        <v>0.32</v>
      </c>
      <c r="P544" s="2">
        <v>0.92900000000000005</v>
      </c>
      <c r="Q544" s="2">
        <v>-0.26</v>
      </c>
      <c r="R544" s="11">
        <v>114626058</v>
      </c>
      <c r="S544" s="11">
        <v>1621779</v>
      </c>
      <c r="T544">
        <v>2017</v>
      </c>
      <c r="U544">
        <v>10</v>
      </c>
      <c r="V544">
        <f t="shared" si="48"/>
        <v>750000</v>
      </c>
      <c r="W544">
        <f t="shared" si="49"/>
        <v>18429897</v>
      </c>
      <c r="X544">
        <f t="shared" si="50"/>
        <v>17679897</v>
      </c>
      <c r="Y544">
        <f t="shared" si="51"/>
        <v>-25769845.5</v>
      </c>
      <c r="Z544">
        <f t="shared" si="52"/>
        <v>44949742.5</v>
      </c>
      <c r="AA544" t="str">
        <f t="shared" si="53"/>
        <v>Normal</v>
      </c>
      <c r="AE544" s="2"/>
      <c r="AF544" s="2"/>
    </row>
    <row r="545" spans="1:32" x14ac:dyDescent="0.35">
      <c r="A545">
        <v>544</v>
      </c>
      <c r="B545" s="1">
        <v>43019</v>
      </c>
      <c r="C545" s="9" t="s">
        <v>1057</v>
      </c>
      <c r="D545" s="9" t="s">
        <v>4928</v>
      </c>
      <c r="E545" s="9" t="s">
        <v>6129</v>
      </c>
      <c r="F545" s="9" t="s">
        <v>124</v>
      </c>
      <c r="G545" s="9" t="s">
        <v>1058</v>
      </c>
      <c r="H545" s="9" t="s">
        <v>105</v>
      </c>
      <c r="I545" s="11">
        <v>1100000</v>
      </c>
      <c r="J545" s="11">
        <v>889714</v>
      </c>
      <c r="K545" s="11">
        <v>8569151</v>
      </c>
      <c r="L545" s="3">
        <v>227</v>
      </c>
      <c r="M545" s="3">
        <v>2098</v>
      </c>
      <c r="N545" s="3">
        <v>155636</v>
      </c>
      <c r="O545" s="2">
        <v>-0.114</v>
      </c>
      <c r="P545" s="2">
        <v>0.32400000000000001</v>
      </c>
      <c r="Q545" s="2">
        <v>7.9000000000000001E-2</v>
      </c>
      <c r="R545" s="11">
        <v>371373940</v>
      </c>
      <c r="S545" s="11">
        <v>1294290</v>
      </c>
      <c r="T545">
        <v>2017</v>
      </c>
      <c r="U545">
        <v>10</v>
      </c>
      <c r="V545">
        <f t="shared" si="48"/>
        <v>750000</v>
      </c>
      <c r="W545">
        <f t="shared" si="49"/>
        <v>18429897</v>
      </c>
      <c r="X545">
        <f t="shared" si="50"/>
        <v>17679897</v>
      </c>
      <c r="Y545">
        <f t="shared" si="51"/>
        <v>-25769845.5</v>
      </c>
      <c r="Z545">
        <f t="shared" si="52"/>
        <v>44949742.5</v>
      </c>
      <c r="AA545" t="str">
        <f t="shared" si="53"/>
        <v>Normal</v>
      </c>
      <c r="AE545" s="2"/>
      <c r="AF545" s="2"/>
    </row>
    <row r="546" spans="1:32" x14ac:dyDescent="0.35">
      <c r="A546">
        <v>545</v>
      </c>
      <c r="B546" s="1">
        <v>43020</v>
      </c>
      <c r="C546" s="9" t="s">
        <v>1059</v>
      </c>
      <c r="D546" s="9" t="s">
        <v>4930</v>
      </c>
      <c r="E546" s="9" t="s">
        <v>6130</v>
      </c>
      <c r="F546" s="9" t="s">
        <v>124</v>
      </c>
      <c r="G546" s="9" t="s">
        <v>856</v>
      </c>
      <c r="H546" s="9" t="s">
        <v>86</v>
      </c>
      <c r="I546" s="11">
        <v>235000</v>
      </c>
      <c r="J546" s="11">
        <v>4158350</v>
      </c>
      <c r="K546" s="11">
        <v>4002795</v>
      </c>
      <c r="L546" s="3">
        <v>79</v>
      </c>
      <c r="M546" s="3">
        <v>2769</v>
      </c>
      <c r="N546" s="3">
        <v>1941957</v>
      </c>
      <c r="O546" s="2">
        <v>0.193</v>
      </c>
      <c r="P546" s="2">
        <v>0.84499999999999997</v>
      </c>
      <c r="Q546" s="2">
        <v>0.496</v>
      </c>
      <c r="R546" s="11">
        <v>136317209</v>
      </c>
      <c r="S546" s="11">
        <v>1263597</v>
      </c>
      <c r="T546">
        <v>2017</v>
      </c>
      <c r="U546">
        <v>10</v>
      </c>
      <c r="V546">
        <f t="shared" si="48"/>
        <v>750000</v>
      </c>
      <c r="W546">
        <f t="shared" si="49"/>
        <v>18429897</v>
      </c>
      <c r="X546">
        <f t="shared" si="50"/>
        <v>17679897</v>
      </c>
      <c r="Y546">
        <f t="shared" si="51"/>
        <v>-25769845.5</v>
      </c>
      <c r="Z546">
        <f t="shared" si="52"/>
        <v>44949742.5</v>
      </c>
      <c r="AA546" t="str">
        <f t="shared" si="53"/>
        <v>Normal</v>
      </c>
      <c r="AE546" s="2"/>
      <c r="AF546" s="2"/>
    </row>
    <row r="547" spans="1:32" x14ac:dyDescent="0.35">
      <c r="A547">
        <v>546</v>
      </c>
      <c r="B547" s="1">
        <v>43021</v>
      </c>
      <c r="C547" s="9" t="s">
        <v>433</v>
      </c>
      <c r="D547" s="9" t="s">
        <v>4988</v>
      </c>
      <c r="E547" s="9" t="s">
        <v>6131</v>
      </c>
      <c r="F547" s="9" t="s">
        <v>19</v>
      </c>
      <c r="G547" s="9" t="s">
        <v>1060</v>
      </c>
      <c r="H547" s="9" t="s">
        <v>105</v>
      </c>
      <c r="I547" s="11">
        <v>77000000</v>
      </c>
      <c r="J547" s="11">
        <v>285842</v>
      </c>
      <c r="K547" s="11">
        <v>11389791</v>
      </c>
      <c r="L547" s="3">
        <v>249</v>
      </c>
      <c r="M547" s="3">
        <v>2196</v>
      </c>
      <c r="N547" s="3">
        <v>1018455</v>
      </c>
      <c r="O547" s="2">
        <v>0.34200000000000003</v>
      </c>
      <c r="P547" s="2">
        <v>0.51500000000000001</v>
      </c>
      <c r="Q547" s="2">
        <v>0.28800000000000003</v>
      </c>
      <c r="R547" s="11">
        <v>247211686</v>
      </c>
      <c r="S547" s="11">
        <v>1972254</v>
      </c>
      <c r="T547">
        <v>2017</v>
      </c>
      <c r="U547">
        <v>10</v>
      </c>
      <c r="V547">
        <f t="shared" si="48"/>
        <v>750000</v>
      </c>
      <c r="W547">
        <f t="shared" si="49"/>
        <v>18429897</v>
      </c>
      <c r="X547">
        <f t="shared" si="50"/>
        <v>17679897</v>
      </c>
      <c r="Y547">
        <f t="shared" si="51"/>
        <v>-25769845.5</v>
      </c>
      <c r="Z547">
        <f t="shared" si="52"/>
        <v>44949742.5</v>
      </c>
      <c r="AA547" t="str">
        <f t="shared" si="53"/>
        <v>Outlier</v>
      </c>
      <c r="AE547" s="2"/>
      <c r="AF547" s="2"/>
    </row>
    <row r="548" spans="1:32" x14ac:dyDescent="0.35">
      <c r="A548">
        <v>547</v>
      </c>
      <c r="B548" s="1">
        <v>43021</v>
      </c>
      <c r="C548" s="9" t="s">
        <v>1061</v>
      </c>
      <c r="D548" s="9" t="s">
        <v>4988</v>
      </c>
      <c r="E548" s="9" t="s">
        <v>1062</v>
      </c>
      <c r="F548" s="9" t="s">
        <v>15</v>
      </c>
      <c r="G548" s="9" t="s">
        <v>1063</v>
      </c>
      <c r="H548" s="9" t="s">
        <v>86</v>
      </c>
      <c r="I548" s="11">
        <v>250000</v>
      </c>
      <c r="J548" s="11">
        <v>2157713</v>
      </c>
      <c r="K548" s="11">
        <v>17283340</v>
      </c>
      <c r="L548" s="3">
        <v>296</v>
      </c>
      <c r="M548" s="3">
        <v>4051</v>
      </c>
      <c r="N548" s="3">
        <v>993961</v>
      </c>
      <c r="O548" s="2">
        <v>0.05</v>
      </c>
      <c r="P548" s="2">
        <v>0.81700000000000006</v>
      </c>
      <c r="Q548" s="2">
        <v>0.151</v>
      </c>
      <c r="R548" s="11">
        <v>62913973</v>
      </c>
      <c r="S548" s="11">
        <v>1701137</v>
      </c>
      <c r="T548">
        <v>2017</v>
      </c>
      <c r="U548">
        <v>10</v>
      </c>
      <c r="V548">
        <f t="shared" si="48"/>
        <v>750000</v>
      </c>
      <c r="W548">
        <f t="shared" si="49"/>
        <v>18429897</v>
      </c>
      <c r="X548">
        <f t="shared" si="50"/>
        <v>17679897</v>
      </c>
      <c r="Y548">
        <f t="shared" si="51"/>
        <v>-25769845.5</v>
      </c>
      <c r="Z548">
        <f t="shared" si="52"/>
        <v>44949742.5</v>
      </c>
      <c r="AA548" t="str">
        <f t="shared" si="53"/>
        <v>Normal</v>
      </c>
      <c r="AE548" s="2"/>
      <c r="AF548" s="2"/>
    </row>
    <row r="549" spans="1:32" x14ac:dyDescent="0.35">
      <c r="A549">
        <v>548</v>
      </c>
      <c r="B549" s="1">
        <v>43021</v>
      </c>
      <c r="C549" s="9" t="s">
        <v>1064</v>
      </c>
      <c r="D549" s="9" t="s">
        <v>4925</v>
      </c>
      <c r="E549" s="9" t="s">
        <v>6132</v>
      </c>
      <c r="F549" s="9" t="s">
        <v>19</v>
      </c>
      <c r="G549" s="9" t="s">
        <v>16</v>
      </c>
      <c r="H549" s="9" t="s">
        <v>105</v>
      </c>
      <c r="I549" s="11">
        <v>2000000</v>
      </c>
      <c r="J549" s="11">
        <v>2963896</v>
      </c>
      <c r="K549" s="11">
        <v>5206964</v>
      </c>
      <c r="L549" s="3">
        <v>141</v>
      </c>
      <c r="M549" s="3">
        <v>4952</v>
      </c>
      <c r="N549" s="3">
        <v>719690</v>
      </c>
      <c r="O549" s="2">
        <v>7.8E-2</v>
      </c>
      <c r="P549" s="2">
        <v>1.0620000000000001</v>
      </c>
      <c r="Q549" s="2">
        <v>-0.17499999999999999</v>
      </c>
      <c r="R549" s="11">
        <v>250264963</v>
      </c>
      <c r="S549" s="11">
        <v>280474</v>
      </c>
      <c r="T549">
        <v>2017</v>
      </c>
      <c r="U549">
        <v>10</v>
      </c>
      <c r="V549">
        <f t="shared" si="48"/>
        <v>750000</v>
      </c>
      <c r="W549">
        <f t="shared" si="49"/>
        <v>18429897</v>
      </c>
      <c r="X549">
        <f t="shared" si="50"/>
        <v>17679897</v>
      </c>
      <c r="Y549">
        <f t="shared" si="51"/>
        <v>-25769845.5</v>
      </c>
      <c r="Z549">
        <f t="shared" si="52"/>
        <v>44949742.5</v>
      </c>
      <c r="AA549" t="str">
        <f t="shared" si="53"/>
        <v>Normal</v>
      </c>
      <c r="AE549" s="2"/>
      <c r="AF549" s="2"/>
    </row>
    <row r="550" spans="1:32" x14ac:dyDescent="0.35">
      <c r="A550">
        <v>549</v>
      </c>
      <c r="B550" s="1">
        <v>43024</v>
      </c>
      <c r="C550" s="9" t="s">
        <v>279</v>
      </c>
      <c r="D550" s="9" t="s">
        <v>4988</v>
      </c>
      <c r="E550" s="9" t="s">
        <v>6133</v>
      </c>
      <c r="F550" s="9" t="s">
        <v>15</v>
      </c>
      <c r="G550" s="9" t="s">
        <v>1065</v>
      </c>
      <c r="H550" s="9" t="s">
        <v>105</v>
      </c>
      <c r="I550" s="11">
        <v>8000000</v>
      </c>
      <c r="J550" s="11">
        <v>2589657</v>
      </c>
      <c r="K550" s="11">
        <v>1229942</v>
      </c>
      <c r="L550" s="3">
        <v>53</v>
      </c>
      <c r="M550" s="3">
        <v>2202</v>
      </c>
      <c r="N550" s="3">
        <v>1924490</v>
      </c>
      <c r="O550" s="2">
        <v>0.25900000000000001</v>
      </c>
      <c r="P550" s="2">
        <v>0.50800000000000001</v>
      </c>
      <c r="Q550" s="2">
        <v>8.5000000000000006E-2</v>
      </c>
      <c r="R550" s="11">
        <v>213204432</v>
      </c>
      <c r="S550" s="11">
        <v>857013</v>
      </c>
      <c r="T550">
        <v>2017</v>
      </c>
      <c r="U550">
        <v>10</v>
      </c>
      <c r="V550">
        <f t="shared" si="48"/>
        <v>750000</v>
      </c>
      <c r="W550">
        <f t="shared" si="49"/>
        <v>18429897</v>
      </c>
      <c r="X550">
        <f t="shared" si="50"/>
        <v>17679897</v>
      </c>
      <c r="Y550">
        <f t="shared" si="51"/>
        <v>-25769845.5</v>
      </c>
      <c r="Z550">
        <f t="shared" si="52"/>
        <v>44949742.5</v>
      </c>
      <c r="AA550" t="str">
        <f t="shared" si="53"/>
        <v>Normal</v>
      </c>
      <c r="AE550" s="2"/>
      <c r="AF550" s="2"/>
    </row>
    <row r="551" spans="1:32" x14ac:dyDescent="0.35">
      <c r="A551">
        <v>550</v>
      </c>
      <c r="B551" s="1">
        <v>43024</v>
      </c>
      <c r="C551" s="9" t="s">
        <v>1066</v>
      </c>
      <c r="D551" s="9" t="s">
        <v>4988</v>
      </c>
      <c r="E551" s="9" t="s">
        <v>5667</v>
      </c>
      <c r="F551" s="9" t="s">
        <v>27</v>
      </c>
      <c r="G551" s="9" t="s">
        <v>1067</v>
      </c>
      <c r="H551" s="9" t="s">
        <v>105</v>
      </c>
      <c r="I551" s="11">
        <v>9200000</v>
      </c>
      <c r="J551" s="11">
        <v>3409958</v>
      </c>
      <c r="K551" s="11">
        <v>11337671</v>
      </c>
      <c r="L551" s="3">
        <v>482</v>
      </c>
      <c r="M551" s="3">
        <v>3618</v>
      </c>
      <c r="N551" s="3">
        <v>839253</v>
      </c>
      <c r="O551" s="2">
        <v>0.26500000000000001</v>
      </c>
      <c r="P551" s="2">
        <v>0.89599999999999991</v>
      </c>
      <c r="Q551" s="2">
        <v>-9.9000000000000005E-2</v>
      </c>
      <c r="R551" s="11">
        <v>84369419</v>
      </c>
      <c r="S551" s="11">
        <v>1846171</v>
      </c>
      <c r="T551">
        <v>2017</v>
      </c>
      <c r="U551">
        <v>10</v>
      </c>
      <c r="V551">
        <f t="shared" si="48"/>
        <v>750000</v>
      </c>
      <c r="W551">
        <f t="shared" si="49"/>
        <v>18429897</v>
      </c>
      <c r="X551">
        <f t="shared" si="50"/>
        <v>17679897</v>
      </c>
      <c r="Y551">
        <f t="shared" si="51"/>
        <v>-25769845.5</v>
      </c>
      <c r="Z551">
        <f t="shared" si="52"/>
        <v>44949742.5</v>
      </c>
      <c r="AA551" t="str">
        <f t="shared" si="53"/>
        <v>Normal</v>
      </c>
      <c r="AE551" s="2"/>
      <c r="AF551" s="2"/>
    </row>
    <row r="552" spans="1:32" x14ac:dyDescent="0.35">
      <c r="A552">
        <v>551</v>
      </c>
      <c r="B552" s="1">
        <v>43025</v>
      </c>
      <c r="C552" s="9" t="s">
        <v>690</v>
      </c>
      <c r="D552" s="9" t="s">
        <v>4988</v>
      </c>
      <c r="E552" s="9" t="s">
        <v>6134</v>
      </c>
      <c r="F552" s="9" t="s">
        <v>15</v>
      </c>
      <c r="G552" s="9" t="s">
        <v>1068</v>
      </c>
      <c r="H552" s="9" t="s">
        <v>105</v>
      </c>
      <c r="I552" s="11">
        <v>7000000</v>
      </c>
      <c r="J552" s="11">
        <v>4019444</v>
      </c>
      <c r="K552" s="11">
        <v>8044532</v>
      </c>
      <c r="L552" s="3">
        <v>188</v>
      </c>
      <c r="M552" s="3">
        <v>325</v>
      </c>
      <c r="N552" s="3">
        <v>245525</v>
      </c>
      <c r="O552" s="2">
        <v>0.20600000000000002</v>
      </c>
      <c r="P552" s="2">
        <v>0.88300000000000001</v>
      </c>
      <c r="Q552" s="2">
        <v>0.46100000000000002</v>
      </c>
      <c r="R552" s="11">
        <v>389878534</v>
      </c>
      <c r="S552" s="11">
        <v>934809</v>
      </c>
      <c r="T552">
        <v>2017</v>
      </c>
      <c r="U552">
        <v>10</v>
      </c>
      <c r="V552">
        <f t="shared" si="48"/>
        <v>750000</v>
      </c>
      <c r="W552">
        <f t="shared" si="49"/>
        <v>18429897</v>
      </c>
      <c r="X552">
        <f t="shared" si="50"/>
        <v>17679897</v>
      </c>
      <c r="Y552">
        <f t="shared" si="51"/>
        <v>-25769845.5</v>
      </c>
      <c r="Z552">
        <f t="shared" si="52"/>
        <v>44949742.5</v>
      </c>
      <c r="AA552" t="str">
        <f t="shared" si="53"/>
        <v>Normal</v>
      </c>
      <c r="AE552" s="2"/>
      <c r="AF552" s="2"/>
    </row>
    <row r="553" spans="1:32" x14ac:dyDescent="0.35">
      <c r="A553">
        <v>552</v>
      </c>
      <c r="B553" s="1">
        <v>43026</v>
      </c>
      <c r="C553" s="9" t="s">
        <v>1069</v>
      </c>
      <c r="D553" s="9" t="s">
        <v>4988</v>
      </c>
      <c r="E553" s="9" t="s">
        <v>6135</v>
      </c>
      <c r="F553" s="9" t="s">
        <v>35</v>
      </c>
      <c r="G553" s="9" t="s">
        <v>1070</v>
      </c>
      <c r="H553" s="9" t="s">
        <v>105</v>
      </c>
      <c r="I553" s="11">
        <v>7000000</v>
      </c>
      <c r="J553" s="11">
        <v>1980279</v>
      </c>
      <c r="K553" s="11">
        <v>10153449</v>
      </c>
      <c r="L553" s="3">
        <v>420</v>
      </c>
      <c r="M553" s="3">
        <v>2038</v>
      </c>
      <c r="N553" s="3">
        <v>1127881</v>
      </c>
      <c r="O553" s="2">
        <v>0.17100000000000001</v>
      </c>
      <c r="P553" s="2">
        <v>0.95700000000000007</v>
      </c>
      <c r="Q553" s="2">
        <v>0.36749999999999999</v>
      </c>
      <c r="R553" s="11">
        <v>76888142</v>
      </c>
      <c r="S553" s="11">
        <v>719481</v>
      </c>
      <c r="T553">
        <v>2017</v>
      </c>
      <c r="U553">
        <v>10</v>
      </c>
      <c r="V553">
        <f t="shared" si="48"/>
        <v>750000</v>
      </c>
      <c r="W553">
        <f t="shared" si="49"/>
        <v>18429897</v>
      </c>
      <c r="X553">
        <f t="shared" si="50"/>
        <v>17679897</v>
      </c>
      <c r="Y553">
        <f t="shared" si="51"/>
        <v>-25769845.5</v>
      </c>
      <c r="Z553">
        <f t="shared" si="52"/>
        <v>44949742.5</v>
      </c>
      <c r="AA553" t="str">
        <f t="shared" si="53"/>
        <v>Normal</v>
      </c>
      <c r="AE553" s="2"/>
      <c r="AF553" s="2"/>
    </row>
    <row r="554" spans="1:32" x14ac:dyDescent="0.35">
      <c r="A554">
        <v>553</v>
      </c>
      <c r="B554" s="1">
        <v>43026</v>
      </c>
      <c r="C554" s="9" t="s">
        <v>1071</v>
      </c>
      <c r="D554" s="9" t="s">
        <v>4930</v>
      </c>
      <c r="E554" s="9" t="s">
        <v>6136</v>
      </c>
      <c r="F554" s="9" t="s">
        <v>35</v>
      </c>
      <c r="G554" s="9" t="s">
        <v>1072</v>
      </c>
      <c r="H554" s="9" t="s">
        <v>105</v>
      </c>
      <c r="I554" s="11">
        <v>18429897</v>
      </c>
      <c r="J554" s="11">
        <v>4144524</v>
      </c>
      <c r="K554" s="11">
        <v>17146641</v>
      </c>
      <c r="L554" s="3">
        <v>314</v>
      </c>
      <c r="M554" s="3">
        <v>2505.5</v>
      </c>
      <c r="N554" s="3">
        <v>1180770</v>
      </c>
      <c r="O554" s="2">
        <v>0.19800000000000001</v>
      </c>
      <c r="P554" s="2">
        <v>1.169</v>
      </c>
      <c r="Q554" s="2">
        <v>-9.6000000000000002E-2</v>
      </c>
      <c r="R554" s="11">
        <v>363561798</v>
      </c>
      <c r="S554" s="11">
        <v>1008193.5</v>
      </c>
      <c r="T554">
        <v>2017</v>
      </c>
      <c r="U554">
        <v>10</v>
      </c>
      <c r="V554">
        <f t="shared" si="48"/>
        <v>750000</v>
      </c>
      <c r="W554">
        <f t="shared" si="49"/>
        <v>18429897</v>
      </c>
      <c r="X554">
        <f t="shared" si="50"/>
        <v>17679897</v>
      </c>
      <c r="Y554">
        <f t="shared" si="51"/>
        <v>-25769845.5</v>
      </c>
      <c r="Z554">
        <f t="shared" si="52"/>
        <v>44949742.5</v>
      </c>
      <c r="AA554" t="str">
        <f t="shared" si="53"/>
        <v>Normal</v>
      </c>
      <c r="AE554" s="2"/>
      <c r="AF554" s="2"/>
    </row>
    <row r="555" spans="1:32" x14ac:dyDescent="0.35">
      <c r="A555">
        <v>554</v>
      </c>
      <c r="B555" s="1">
        <v>43026</v>
      </c>
      <c r="C555" s="9" t="s">
        <v>245</v>
      </c>
      <c r="D555" s="9" t="s">
        <v>4928</v>
      </c>
      <c r="E555" s="9" t="s">
        <v>6137</v>
      </c>
      <c r="F555" s="9" t="s">
        <v>15</v>
      </c>
      <c r="G555" s="9" t="s">
        <v>376</v>
      </c>
      <c r="H555" s="9" t="s">
        <v>105</v>
      </c>
      <c r="I555" s="11">
        <v>7700000</v>
      </c>
      <c r="J555" s="11">
        <v>1603595</v>
      </c>
      <c r="K555" s="11">
        <v>19017714</v>
      </c>
      <c r="L555" s="3">
        <v>332</v>
      </c>
      <c r="M555" s="3">
        <v>3447</v>
      </c>
      <c r="N555" s="3">
        <v>1492066</v>
      </c>
      <c r="O555" s="2">
        <v>6.4000000000000001E-2</v>
      </c>
      <c r="P555" s="2">
        <v>0.68300000000000005</v>
      </c>
      <c r="Q555" s="2">
        <v>4.5999999999999999E-2</v>
      </c>
      <c r="R555" s="11">
        <v>243427059</v>
      </c>
      <c r="S555" s="11">
        <v>1392132</v>
      </c>
      <c r="T555">
        <v>2017</v>
      </c>
      <c r="U555">
        <v>10</v>
      </c>
      <c r="V555">
        <f t="shared" si="48"/>
        <v>750000</v>
      </c>
      <c r="W555">
        <f t="shared" si="49"/>
        <v>18429897</v>
      </c>
      <c r="X555">
        <f t="shared" si="50"/>
        <v>17679897</v>
      </c>
      <c r="Y555">
        <f t="shared" si="51"/>
        <v>-25769845.5</v>
      </c>
      <c r="Z555">
        <f t="shared" si="52"/>
        <v>44949742.5</v>
      </c>
      <c r="AA555" t="str">
        <f t="shared" si="53"/>
        <v>Normal</v>
      </c>
      <c r="AE555" s="2"/>
      <c r="AF555" s="2"/>
    </row>
    <row r="556" spans="1:32" x14ac:dyDescent="0.35">
      <c r="A556">
        <v>555</v>
      </c>
      <c r="B556" s="1">
        <v>43026</v>
      </c>
      <c r="C556" s="9" t="s">
        <v>1073</v>
      </c>
      <c r="D556" s="9" t="s">
        <v>4988</v>
      </c>
      <c r="E556" s="9" t="s">
        <v>6138</v>
      </c>
      <c r="F556" s="9" t="s">
        <v>31</v>
      </c>
      <c r="G556" s="9" t="s">
        <v>856</v>
      </c>
      <c r="H556" s="9" t="s">
        <v>86</v>
      </c>
      <c r="I556" s="11">
        <v>500000</v>
      </c>
      <c r="J556" s="11">
        <v>4922425</v>
      </c>
      <c r="K556" s="11">
        <v>10153449</v>
      </c>
      <c r="L556" s="3">
        <v>391</v>
      </c>
      <c r="M556" s="3">
        <v>2656</v>
      </c>
      <c r="N556" s="3">
        <v>993520</v>
      </c>
      <c r="O556" s="2">
        <v>-0.10400000000000001</v>
      </c>
      <c r="P556" s="2">
        <v>0.33600000000000002</v>
      </c>
      <c r="Q556" s="2">
        <v>-9.5000000000000001E-2</v>
      </c>
      <c r="R556" s="11">
        <v>484894311</v>
      </c>
      <c r="S556" s="11">
        <v>1403587</v>
      </c>
      <c r="T556">
        <v>2017</v>
      </c>
      <c r="U556">
        <v>10</v>
      </c>
      <c r="V556">
        <f t="shared" si="48"/>
        <v>750000</v>
      </c>
      <c r="W556">
        <f t="shared" si="49"/>
        <v>18429897</v>
      </c>
      <c r="X556">
        <f t="shared" si="50"/>
        <v>17679897</v>
      </c>
      <c r="Y556">
        <f t="shared" si="51"/>
        <v>-25769845.5</v>
      </c>
      <c r="Z556">
        <f t="shared" si="52"/>
        <v>44949742.5</v>
      </c>
      <c r="AA556" t="str">
        <f t="shared" si="53"/>
        <v>Normal</v>
      </c>
      <c r="AE556" s="2"/>
      <c r="AF556" s="2"/>
    </row>
    <row r="557" spans="1:32" x14ac:dyDescent="0.35">
      <c r="A557">
        <v>556</v>
      </c>
      <c r="B557" s="1">
        <v>43031</v>
      </c>
      <c r="C557" s="9" t="s">
        <v>268</v>
      </c>
      <c r="D557" s="9" t="s">
        <v>4988</v>
      </c>
      <c r="E557" s="9" t="s">
        <v>6139</v>
      </c>
      <c r="F557" s="9" t="s">
        <v>31</v>
      </c>
      <c r="G557" s="9" t="s">
        <v>1074</v>
      </c>
      <c r="H557" s="9" t="s">
        <v>105</v>
      </c>
      <c r="I557" s="11">
        <v>7000000</v>
      </c>
      <c r="J557" s="11">
        <v>2532540</v>
      </c>
      <c r="K557" s="11">
        <v>18044778</v>
      </c>
      <c r="L557" s="3">
        <v>136</v>
      </c>
      <c r="M557" s="3">
        <v>1108</v>
      </c>
      <c r="N557" s="3">
        <v>560056</v>
      </c>
      <c r="O557" s="2">
        <v>-0.191</v>
      </c>
      <c r="P557" s="2">
        <v>0.89599999999999991</v>
      </c>
      <c r="Q557" s="2">
        <v>0.159</v>
      </c>
      <c r="R557" s="11">
        <v>250264963</v>
      </c>
      <c r="S557" s="11">
        <v>908959</v>
      </c>
      <c r="T557">
        <v>2017</v>
      </c>
      <c r="U557">
        <v>10</v>
      </c>
      <c r="V557">
        <f t="shared" si="48"/>
        <v>750000</v>
      </c>
      <c r="W557">
        <f t="shared" si="49"/>
        <v>18429897</v>
      </c>
      <c r="X557">
        <f t="shared" si="50"/>
        <v>17679897</v>
      </c>
      <c r="Y557">
        <f t="shared" si="51"/>
        <v>-25769845.5</v>
      </c>
      <c r="Z557">
        <f t="shared" si="52"/>
        <v>44949742.5</v>
      </c>
      <c r="AA557" t="str">
        <f t="shared" si="53"/>
        <v>Normal</v>
      </c>
      <c r="AE557" s="2"/>
      <c r="AF557" s="2"/>
    </row>
    <row r="558" spans="1:32" x14ac:dyDescent="0.35">
      <c r="A558">
        <v>557</v>
      </c>
      <c r="B558" s="1">
        <v>43031</v>
      </c>
      <c r="C558" s="9" t="s">
        <v>1075</v>
      </c>
      <c r="D558" s="9" t="s">
        <v>4939</v>
      </c>
      <c r="E558" s="9" t="s">
        <v>6140</v>
      </c>
      <c r="F558" s="9" t="s">
        <v>31</v>
      </c>
      <c r="G558" s="9" t="s">
        <v>1076</v>
      </c>
      <c r="H558" s="9" t="s">
        <v>105</v>
      </c>
      <c r="I558" s="11">
        <v>6000000</v>
      </c>
      <c r="J558" s="11">
        <v>3685346</v>
      </c>
      <c r="K558" s="11">
        <v>2445721</v>
      </c>
      <c r="L558" s="3">
        <v>112</v>
      </c>
      <c r="M558" s="3">
        <v>4051</v>
      </c>
      <c r="N558" s="3">
        <v>5389</v>
      </c>
      <c r="O558" s="2">
        <v>0.23899999999999999</v>
      </c>
      <c r="P558" s="2">
        <v>0.745</v>
      </c>
      <c r="Q558" s="2">
        <v>0.55500000000000005</v>
      </c>
      <c r="R558" s="11">
        <v>267962666</v>
      </c>
      <c r="S558" s="11">
        <v>566909</v>
      </c>
      <c r="T558">
        <v>2017</v>
      </c>
      <c r="U558">
        <v>10</v>
      </c>
      <c r="V558">
        <f t="shared" si="48"/>
        <v>750000</v>
      </c>
      <c r="W558">
        <f t="shared" si="49"/>
        <v>18429897</v>
      </c>
      <c r="X558">
        <f t="shared" si="50"/>
        <v>17679897</v>
      </c>
      <c r="Y558">
        <f t="shared" si="51"/>
        <v>-25769845.5</v>
      </c>
      <c r="Z558">
        <f t="shared" si="52"/>
        <v>44949742.5</v>
      </c>
      <c r="AA558" t="str">
        <f t="shared" si="53"/>
        <v>Normal</v>
      </c>
      <c r="AE558" s="2"/>
      <c r="AF558" s="2"/>
    </row>
    <row r="559" spans="1:32" x14ac:dyDescent="0.35">
      <c r="A559">
        <v>558</v>
      </c>
      <c r="B559" s="1">
        <v>43031</v>
      </c>
      <c r="C559" s="9" t="s">
        <v>1077</v>
      </c>
      <c r="D559" s="9" t="s">
        <v>4988</v>
      </c>
      <c r="E559" s="9" t="s">
        <v>1078</v>
      </c>
      <c r="F559" s="9" t="s">
        <v>31</v>
      </c>
      <c r="G559" s="9" t="s">
        <v>839</v>
      </c>
      <c r="H559" s="9" t="s">
        <v>59</v>
      </c>
      <c r="I559" s="11">
        <v>3100000</v>
      </c>
      <c r="J559" s="11">
        <v>4377524</v>
      </c>
      <c r="K559" s="11">
        <v>7517433</v>
      </c>
      <c r="L559" s="3">
        <v>498</v>
      </c>
      <c r="M559" s="3">
        <v>4854</v>
      </c>
      <c r="N559" s="3">
        <v>1973041</v>
      </c>
      <c r="O559" s="2">
        <v>0.14199999999999999</v>
      </c>
      <c r="P559" s="2">
        <v>1.012</v>
      </c>
      <c r="Q559" s="2">
        <v>0.10199999999999999</v>
      </c>
      <c r="R559" s="11">
        <v>385124054</v>
      </c>
      <c r="S559" s="11">
        <v>85032</v>
      </c>
      <c r="T559">
        <v>2017</v>
      </c>
      <c r="U559">
        <v>10</v>
      </c>
      <c r="V559">
        <f t="shared" si="48"/>
        <v>750000</v>
      </c>
      <c r="W559">
        <f t="shared" si="49"/>
        <v>18429897</v>
      </c>
      <c r="X559">
        <f t="shared" si="50"/>
        <v>17679897</v>
      </c>
      <c r="Y559">
        <f t="shared" si="51"/>
        <v>-25769845.5</v>
      </c>
      <c r="Z559">
        <f t="shared" si="52"/>
        <v>44949742.5</v>
      </c>
      <c r="AA559" t="str">
        <f t="shared" si="53"/>
        <v>Normal</v>
      </c>
      <c r="AE559" s="2"/>
      <c r="AF559" s="2"/>
    </row>
    <row r="560" spans="1:32" x14ac:dyDescent="0.35">
      <c r="A560">
        <v>559</v>
      </c>
      <c r="B560" s="1">
        <v>43031</v>
      </c>
      <c r="C560" s="9" t="s">
        <v>1079</v>
      </c>
      <c r="D560" s="9" t="s">
        <v>4988</v>
      </c>
      <c r="E560" s="9" t="s">
        <v>6141</v>
      </c>
      <c r="F560" s="9" t="s">
        <v>554</v>
      </c>
      <c r="G560" s="9" t="s">
        <v>1080</v>
      </c>
      <c r="H560" s="9" t="s">
        <v>86</v>
      </c>
      <c r="I560" s="11">
        <v>118000</v>
      </c>
      <c r="J560" s="11">
        <v>3967403</v>
      </c>
      <c r="K560" s="11">
        <v>5392395</v>
      </c>
      <c r="L560" s="3">
        <v>335</v>
      </c>
      <c r="M560" s="3">
        <v>1990</v>
      </c>
      <c r="N560" s="3">
        <v>385878</v>
      </c>
      <c r="O560" s="2">
        <v>0.21100000000000002</v>
      </c>
      <c r="P560" s="2">
        <v>0.99299999999999999</v>
      </c>
      <c r="Q560" s="2">
        <v>-0.13100000000000001</v>
      </c>
      <c r="R560" s="11">
        <v>211693096</v>
      </c>
      <c r="S560" s="11">
        <v>824479</v>
      </c>
      <c r="T560">
        <v>2017</v>
      </c>
      <c r="U560">
        <v>10</v>
      </c>
      <c r="V560">
        <f t="shared" si="48"/>
        <v>750000</v>
      </c>
      <c r="W560">
        <f t="shared" si="49"/>
        <v>18429897</v>
      </c>
      <c r="X560">
        <f t="shared" si="50"/>
        <v>17679897</v>
      </c>
      <c r="Y560">
        <f t="shared" si="51"/>
        <v>-25769845.5</v>
      </c>
      <c r="Z560">
        <f t="shared" si="52"/>
        <v>44949742.5</v>
      </c>
      <c r="AA560" t="str">
        <f t="shared" si="53"/>
        <v>Normal</v>
      </c>
      <c r="AE560" s="2"/>
      <c r="AF560" s="2"/>
    </row>
    <row r="561" spans="1:32" x14ac:dyDescent="0.35">
      <c r="A561">
        <v>560</v>
      </c>
      <c r="B561" s="1">
        <v>43032</v>
      </c>
      <c r="C561" s="9" t="s">
        <v>1081</v>
      </c>
      <c r="D561" s="9" t="s">
        <v>4930</v>
      </c>
      <c r="E561" s="9" t="s">
        <v>6142</v>
      </c>
      <c r="F561" s="9" t="s">
        <v>15</v>
      </c>
      <c r="G561" s="9" t="s">
        <v>1082</v>
      </c>
      <c r="H561" s="9" t="s">
        <v>86</v>
      </c>
      <c r="I561" s="11">
        <v>18429897</v>
      </c>
      <c r="J561" s="11">
        <v>4258635</v>
      </c>
      <c r="K561" s="11">
        <v>18469705</v>
      </c>
      <c r="L561" s="3">
        <v>149</v>
      </c>
      <c r="M561" s="3">
        <v>4057</v>
      </c>
      <c r="N561" s="3">
        <v>702041</v>
      </c>
      <c r="O561" s="2">
        <v>-4.5999999999999999E-2</v>
      </c>
      <c r="P561" s="2">
        <v>0.93299999999999994</v>
      </c>
      <c r="Q561" s="2">
        <v>0.06</v>
      </c>
      <c r="R561" s="11">
        <v>148828529</v>
      </c>
      <c r="S561" s="11">
        <v>716289</v>
      </c>
      <c r="T561">
        <v>2017</v>
      </c>
      <c r="U561">
        <v>10</v>
      </c>
      <c r="V561">
        <f t="shared" si="48"/>
        <v>750000</v>
      </c>
      <c r="W561">
        <f t="shared" si="49"/>
        <v>18429897</v>
      </c>
      <c r="X561">
        <f t="shared" si="50"/>
        <v>17679897</v>
      </c>
      <c r="Y561">
        <f t="shared" si="51"/>
        <v>-25769845.5</v>
      </c>
      <c r="Z561">
        <f t="shared" si="52"/>
        <v>44949742.5</v>
      </c>
      <c r="AA561" t="str">
        <f t="shared" si="53"/>
        <v>Normal</v>
      </c>
      <c r="AE561" s="2"/>
      <c r="AF561" s="2"/>
    </row>
    <row r="562" spans="1:32" x14ac:dyDescent="0.35">
      <c r="A562">
        <v>561</v>
      </c>
      <c r="B562" s="1">
        <v>43032</v>
      </c>
      <c r="C562" s="9" t="s">
        <v>1083</v>
      </c>
      <c r="D562" s="9" t="s">
        <v>4939</v>
      </c>
      <c r="E562" s="9" t="s">
        <v>6143</v>
      </c>
      <c r="F562" s="9" t="s">
        <v>31</v>
      </c>
      <c r="G562" s="9" t="s">
        <v>329</v>
      </c>
      <c r="H562" s="9" t="s">
        <v>86</v>
      </c>
      <c r="I562" s="11">
        <v>500000</v>
      </c>
      <c r="J562" s="11">
        <v>2691837</v>
      </c>
      <c r="K562" s="11">
        <v>12040585</v>
      </c>
      <c r="L562" s="3">
        <v>324</v>
      </c>
      <c r="M562" s="3">
        <v>2963</v>
      </c>
      <c r="N562" s="3">
        <v>307028</v>
      </c>
      <c r="O562" s="2">
        <v>0.14099999999999999</v>
      </c>
      <c r="P562" s="2">
        <v>0.59699999999999998</v>
      </c>
      <c r="Q562" s="2">
        <v>-0.218</v>
      </c>
      <c r="R562" s="11">
        <v>159952014</v>
      </c>
      <c r="S562" s="11">
        <v>1036434</v>
      </c>
      <c r="T562">
        <v>2017</v>
      </c>
      <c r="U562">
        <v>10</v>
      </c>
      <c r="V562">
        <f t="shared" si="48"/>
        <v>750000</v>
      </c>
      <c r="W562">
        <f t="shared" si="49"/>
        <v>18429897</v>
      </c>
      <c r="X562">
        <f t="shared" si="50"/>
        <v>17679897</v>
      </c>
      <c r="Y562">
        <f t="shared" si="51"/>
        <v>-25769845.5</v>
      </c>
      <c r="Z562">
        <f t="shared" si="52"/>
        <v>44949742.5</v>
      </c>
      <c r="AA562" t="str">
        <f t="shared" si="53"/>
        <v>Normal</v>
      </c>
      <c r="AE562" s="2"/>
      <c r="AF562" s="2"/>
    </row>
    <row r="563" spans="1:32" x14ac:dyDescent="0.35">
      <c r="A563">
        <v>562</v>
      </c>
      <c r="B563" s="1">
        <v>43032</v>
      </c>
      <c r="C563" s="9" t="s">
        <v>1084</v>
      </c>
      <c r="D563" s="9" t="s">
        <v>4988</v>
      </c>
      <c r="E563" s="9" t="s">
        <v>6144</v>
      </c>
      <c r="F563" s="9" t="s">
        <v>27</v>
      </c>
      <c r="G563" s="9" t="s">
        <v>1085</v>
      </c>
      <c r="H563" s="9" t="s">
        <v>105</v>
      </c>
      <c r="I563" s="11">
        <v>3000000</v>
      </c>
      <c r="J563" s="11">
        <v>236505</v>
      </c>
      <c r="K563" s="11">
        <v>7380549</v>
      </c>
      <c r="L563" s="3">
        <v>199</v>
      </c>
      <c r="M563" s="3">
        <v>2017</v>
      </c>
      <c r="N563" s="3">
        <v>470884</v>
      </c>
      <c r="O563" s="2">
        <v>0.13600000000000001</v>
      </c>
      <c r="P563" s="2">
        <v>0.50800000000000001</v>
      </c>
      <c r="Q563" s="2">
        <v>0.81799999999999995</v>
      </c>
      <c r="R563" s="11">
        <v>438856512</v>
      </c>
      <c r="S563" s="11">
        <v>20545</v>
      </c>
      <c r="T563">
        <v>2017</v>
      </c>
      <c r="U563">
        <v>10</v>
      </c>
      <c r="V563">
        <f t="shared" si="48"/>
        <v>750000</v>
      </c>
      <c r="W563">
        <f t="shared" si="49"/>
        <v>18429897</v>
      </c>
      <c r="X563">
        <f t="shared" si="50"/>
        <v>17679897</v>
      </c>
      <c r="Y563">
        <f t="shared" si="51"/>
        <v>-25769845.5</v>
      </c>
      <c r="Z563">
        <f t="shared" si="52"/>
        <v>44949742.5</v>
      </c>
      <c r="AA563" t="str">
        <f t="shared" si="53"/>
        <v>Normal</v>
      </c>
      <c r="AE563" s="2"/>
      <c r="AF563" s="2"/>
    </row>
    <row r="564" spans="1:32" x14ac:dyDescent="0.35">
      <c r="A564">
        <v>563</v>
      </c>
      <c r="B564" s="1">
        <v>43032</v>
      </c>
      <c r="C564" s="9" t="s">
        <v>1086</v>
      </c>
      <c r="D564" s="9" t="s">
        <v>4988</v>
      </c>
      <c r="E564" s="9" t="s">
        <v>5512</v>
      </c>
      <c r="F564" s="9" t="s">
        <v>15</v>
      </c>
      <c r="G564" s="9" t="s">
        <v>1087</v>
      </c>
      <c r="H564" s="9" t="s">
        <v>86</v>
      </c>
      <c r="I564" s="11">
        <v>722000</v>
      </c>
      <c r="J564" s="11">
        <v>2475556</v>
      </c>
      <c r="K564" s="11">
        <v>3125514</v>
      </c>
      <c r="L564" s="3">
        <v>430</v>
      </c>
      <c r="M564" s="3">
        <v>1688</v>
      </c>
      <c r="N564" s="3">
        <v>121712</v>
      </c>
      <c r="O564" s="2">
        <v>1.6E-2</v>
      </c>
      <c r="P564" s="2">
        <v>1.1159999999999999</v>
      </c>
      <c r="Q564" s="2">
        <v>0.55000000000000004</v>
      </c>
      <c r="R564" s="11">
        <v>292909044</v>
      </c>
      <c r="S564" s="11">
        <v>1644078</v>
      </c>
      <c r="T564">
        <v>2017</v>
      </c>
      <c r="U564">
        <v>10</v>
      </c>
      <c r="V564">
        <f t="shared" si="48"/>
        <v>750000</v>
      </c>
      <c r="W564">
        <f t="shared" si="49"/>
        <v>18429897</v>
      </c>
      <c r="X564">
        <f t="shared" si="50"/>
        <v>17679897</v>
      </c>
      <c r="Y564">
        <f t="shared" si="51"/>
        <v>-25769845.5</v>
      </c>
      <c r="Z564">
        <f t="shared" si="52"/>
        <v>44949742.5</v>
      </c>
      <c r="AA564" t="str">
        <f t="shared" si="53"/>
        <v>Normal</v>
      </c>
      <c r="AE564" s="2"/>
      <c r="AF564" s="2"/>
    </row>
    <row r="565" spans="1:32" x14ac:dyDescent="0.35">
      <c r="A565">
        <v>564</v>
      </c>
      <c r="B565" s="1">
        <v>43032</v>
      </c>
      <c r="C565" s="9" t="s">
        <v>1088</v>
      </c>
      <c r="D565" s="9" t="s">
        <v>4939</v>
      </c>
      <c r="E565" s="9" t="s">
        <v>6145</v>
      </c>
      <c r="F565" s="9" t="s">
        <v>31</v>
      </c>
      <c r="G565" s="9" t="s">
        <v>1089</v>
      </c>
      <c r="H565" s="9" t="s">
        <v>105</v>
      </c>
      <c r="I565" s="11">
        <v>18429897</v>
      </c>
      <c r="J565" s="11">
        <v>923862</v>
      </c>
      <c r="K565" s="11">
        <v>15681485</v>
      </c>
      <c r="L565" s="3">
        <v>256</v>
      </c>
      <c r="M565" s="3">
        <v>2539</v>
      </c>
      <c r="N565" s="3">
        <v>680716</v>
      </c>
      <c r="O565" s="2">
        <v>0.28999999999999998</v>
      </c>
      <c r="P565" s="2">
        <v>0.63600000000000001</v>
      </c>
      <c r="Q565" s="2">
        <v>0.41200000000000003</v>
      </c>
      <c r="R565" s="11">
        <v>250264963</v>
      </c>
      <c r="S565" s="11">
        <v>516407</v>
      </c>
      <c r="T565">
        <v>2017</v>
      </c>
      <c r="U565">
        <v>10</v>
      </c>
      <c r="V565">
        <f t="shared" si="48"/>
        <v>750000</v>
      </c>
      <c r="W565">
        <f t="shared" si="49"/>
        <v>18429897</v>
      </c>
      <c r="X565">
        <f t="shared" si="50"/>
        <v>17679897</v>
      </c>
      <c r="Y565">
        <f t="shared" si="51"/>
        <v>-25769845.5</v>
      </c>
      <c r="Z565">
        <f t="shared" si="52"/>
        <v>44949742.5</v>
      </c>
      <c r="AA565" t="str">
        <f t="shared" si="53"/>
        <v>Normal</v>
      </c>
      <c r="AE565" s="2"/>
      <c r="AF565" s="2"/>
    </row>
    <row r="566" spans="1:32" x14ac:dyDescent="0.35">
      <c r="A566">
        <v>565</v>
      </c>
      <c r="B566" s="1">
        <v>43033</v>
      </c>
      <c r="C566" s="9" t="s">
        <v>1090</v>
      </c>
      <c r="D566" s="9" t="s">
        <v>4988</v>
      </c>
      <c r="E566" s="9" t="s">
        <v>6146</v>
      </c>
      <c r="F566" s="9" t="s">
        <v>19</v>
      </c>
      <c r="G566" s="9" t="s">
        <v>1091</v>
      </c>
      <c r="H566" s="9" t="s">
        <v>86</v>
      </c>
      <c r="I566" s="11">
        <v>18429897</v>
      </c>
      <c r="J566" s="11">
        <v>4447800</v>
      </c>
      <c r="K566" s="11">
        <v>17073962</v>
      </c>
      <c r="L566" s="3">
        <v>160</v>
      </c>
      <c r="M566" s="3">
        <v>2077</v>
      </c>
      <c r="N566" s="3">
        <v>1896303</v>
      </c>
      <c r="O566" s="2">
        <v>-2.8000000000000001E-2</v>
      </c>
      <c r="P566" s="2">
        <v>0.78700000000000003</v>
      </c>
      <c r="Q566" s="2">
        <v>0.28799999999999998</v>
      </c>
      <c r="R566" s="11">
        <v>277946552</v>
      </c>
      <c r="S566" s="11">
        <v>1300832</v>
      </c>
      <c r="T566">
        <v>2017</v>
      </c>
      <c r="U566">
        <v>10</v>
      </c>
      <c r="V566">
        <f t="shared" si="48"/>
        <v>750000</v>
      </c>
      <c r="W566">
        <f t="shared" si="49"/>
        <v>18429897</v>
      </c>
      <c r="X566">
        <f t="shared" si="50"/>
        <v>17679897</v>
      </c>
      <c r="Y566">
        <f t="shared" si="51"/>
        <v>-25769845.5</v>
      </c>
      <c r="Z566">
        <f t="shared" si="52"/>
        <v>44949742.5</v>
      </c>
      <c r="AA566" t="str">
        <f t="shared" si="53"/>
        <v>Normal</v>
      </c>
      <c r="AE566" s="2"/>
      <c r="AF566" s="2"/>
    </row>
    <row r="567" spans="1:32" x14ac:dyDescent="0.35">
      <c r="A567">
        <v>566</v>
      </c>
      <c r="B567" s="1">
        <v>43033</v>
      </c>
      <c r="C567" s="9" t="s">
        <v>1092</v>
      </c>
      <c r="D567" s="9" t="s">
        <v>4988</v>
      </c>
      <c r="E567" s="9" t="s">
        <v>6147</v>
      </c>
      <c r="F567" s="9" t="s">
        <v>19</v>
      </c>
      <c r="G567" s="9" t="s">
        <v>1093</v>
      </c>
      <c r="H567" s="9" t="s">
        <v>86</v>
      </c>
      <c r="I567" s="11">
        <v>550000</v>
      </c>
      <c r="J567" s="11">
        <v>1198989</v>
      </c>
      <c r="K567" s="11">
        <v>8819422</v>
      </c>
      <c r="L567" s="3">
        <v>346</v>
      </c>
      <c r="M567" s="3">
        <v>3104</v>
      </c>
      <c r="N567" s="3">
        <v>447505</v>
      </c>
      <c r="O567" s="2">
        <v>0.221</v>
      </c>
      <c r="P567" s="2">
        <v>0.88400000000000001</v>
      </c>
      <c r="Q567" s="2">
        <v>5.8999999999999997E-2</v>
      </c>
      <c r="R567" s="11">
        <v>12523833</v>
      </c>
      <c r="S567" s="11">
        <v>995111</v>
      </c>
      <c r="T567">
        <v>2017</v>
      </c>
      <c r="U567">
        <v>10</v>
      </c>
      <c r="V567">
        <f t="shared" si="48"/>
        <v>750000</v>
      </c>
      <c r="W567">
        <f t="shared" si="49"/>
        <v>18429897</v>
      </c>
      <c r="X567">
        <f t="shared" si="50"/>
        <v>17679897</v>
      </c>
      <c r="Y567">
        <f t="shared" si="51"/>
        <v>-25769845.5</v>
      </c>
      <c r="Z567">
        <f t="shared" si="52"/>
        <v>44949742.5</v>
      </c>
      <c r="AA567" t="str">
        <f t="shared" si="53"/>
        <v>Normal</v>
      </c>
      <c r="AE567" s="2"/>
      <c r="AF567" s="2"/>
    </row>
    <row r="568" spans="1:32" x14ac:dyDescent="0.35">
      <c r="A568">
        <v>567</v>
      </c>
      <c r="B568" s="1">
        <v>43034</v>
      </c>
      <c r="C568" s="9" t="s">
        <v>719</v>
      </c>
      <c r="D568" s="9" t="s">
        <v>4925</v>
      </c>
      <c r="E568" s="9" t="s">
        <v>6148</v>
      </c>
      <c r="F568" s="9" t="s">
        <v>15</v>
      </c>
      <c r="G568" s="9" t="s">
        <v>1094</v>
      </c>
      <c r="H568" s="9" t="s">
        <v>105</v>
      </c>
      <c r="I568" s="11">
        <v>5000000</v>
      </c>
      <c r="J568" s="11">
        <v>1155787</v>
      </c>
      <c r="K568" s="11">
        <v>3083146</v>
      </c>
      <c r="L568" s="3">
        <v>376</v>
      </c>
      <c r="M568" s="3">
        <v>779</v>
      </c>
      <c r="N568" s="3">
        <v>1930737</v>
      </c>
      <c r="O568" s="2">
        <v>-2.8999999999999998E-2</v>
      </c>
      <c r="P568" s="2">
        <v>0.316</v>
      </c>
      <c r="Q568" s="2">
        <v>6.4000000000000001E-2</v>
      </c>
      <c r="R568" s="11">
        <v>41038226</v>
      </c>
      <c r="S568" s="11">
        <v>1078359</v>
      </c>
      <c r="T568">
        <v>2017</v>
      </c>
      <c r="U568">
        <v>10</v>
      </c>
      <c r="V568">
        <f t="shared" si="48"/>
        <v>750000</v>
      </c>
      <c r="W568">
        <f t="shared" si="49"/>
        <v>18429897</v>
      </c>
      <c r="X568">
        <f t="shared" si="50"/>
        <v>17679897</v>
      </c>
      <c r="Y568">
        <f t="shared" si="51"/>
        <v>-25769845.5</v>
      </c>
      <c r="Z568">
        <f t="shared" si="52"/>
        <v>44949742.5</v>
      </c>
      <c r="AA568" t="str">
        <f t="shared" si="53"/>
        <v>Normal</v>
      </c>
      <c r="AE568" s="2"/>
      <c r="AF568" s="2"/>
    </row>
    <row r="569" spans="1:32" x14ac:dyDescent="0.35">
      <c r="A569">
        <v>568</v>
      </c>
      <c r="B569" s="1">
        <v>43035</v>
      </c>
      <c r="C569" s="9" t="s">
        <v>455</v>
      </c>
      <c r="D569" s="9" t="s">
        <v>4930</v>
      </c>
      <c r="E569" s="9" t="s">
        <v>6149</v>
      </c>
      <c r="F569" s="9" t="s">
        <v>19</v>
      </c>
      <c r="G569" s="9" t="s">
        <v>1095</v>
      </c>
      <c r="H569" s="9" t="s">
        <v>59</v>
      </c>
      <c r="I569" s="11">
        <v>3800000</v>
      </c>
      <c r="J569" s="11">
        <v>1261950</v>
      </c>
      <c r="K569" s="11">
        <v>6754351</v>
      </c>
      <c r="L569" s="3">
        <v>189</v>
      </c>
      <c r="M569" s="3">
        <v>2411</v>
      </c>
      <c r="N569" s="3">
        <v>1267973</v>
      </c>
      <c r="O569" s="2">
        <v>-0.40299999999999997</v>
      </c>
      <c r="P569" s="2">
        <v>0.96900000000000008</v>
      </c>
      <c r="Q569" s="2">
        <v>0.36749999999999999</v>
      </c>
      <c r="R569" s="11">
        <v>64816446</v>
      </c>
      <c r="S569" s="11">
        <v>1798369</v>
      </c>
      <c r="T569">
        <v>2017</v>
      </c>
      <c r="U569">
        <v>10</v>
      </c>
      <c r="V569">
        <f t="shared" si="48"/>
        <v>750000</v>
      </c>
      <c r="W569">
        <f t="shared" si="49"/>
        <v>18429897</v>
      </c>
      <c r="X569">
        <f t="shared" si="50"/>
        <v>17679897</v>
      </c>
      <c r="Y569">
        <f t="shared" si="51"/>
        <v>-25769845.5</v>
      </c>
      <c r="Z569">
        <f t="shared" si="52"/>
        <v>44949742.5</v>
      </c>
      <c r="AA569" t="str">
        <f t="shared" si="53"/>
        <v>Normal</v>
      </c>
      <c r="AE569" s="2"/>
      <c r="AF569" s="2"/>
    </row>
    <row r="570" spans="1:32" x14ac:dyDescent="0.35">
      <c r="A570">
        <v>569</v>
      </c>
      <c r="B570" s="1">
        <v>43035</v>
      </c>
      <c r="C570" s="9" t="s">
        <v>1096</v>
      </c>
      <c r="D570" s="9" t="s">
        <v>4930</v>
      </c>
      <c r="E570" s="9" t="s">
        <v>6150</v>
      </c>
      <c r="F570" s="9" t="s">
        <v>27</v>
      </c>
      <c r="G570" s="9" t="s">
        <v>1097</v>
      </c>
      <c r="H570" s="9" t="s">
        <v>86</v>
      </c>
      <c r="I570" s="11">
        <v>18429897</v>
      </c>
      <c r="J570" s="11">
        <v>3219979</v>
      </c>
      <c r="K570" s="11">
        <v>12439476</v>
      </c>
      <c r="L570" s="3">
        <v>254</v>
      </c>
      <c r="M570" s="3">
        <v>3720</v>
      </c>
      <c r="N570" s="3">
        <v>1783510</v>
      </c>
      <c r="O570" s="2">
        <v>0.46500000000000002</v>
      </c>
      <c r="P570" s="2">
        <v>0.215</v>
      </c>
      <c r="Q570" s="2">
        <v>0.69399999999999995</v>
      </c>
      <c r="R570" s="11">
        <v>445499772</v>
      </c>
      <c r="S570" s="11">
        <v>163335</v>
      </c>
      <c r="T570">
        <v>2017</v>
      </c>
      <c r="U570">
        <v>10</v>
      </c>
      <c r="V570">
        <f t="shared" si="48"/>
        <v>750000</v>
      </c>
      <c r="W570">
        <f t="shared" si="49"/>
        <v>18429897</v>
      </c>
      <c r="X570">
        <f t="shared" si="50"/>
        <v>17679897</v>
      </c>
      <c r="Y570">
        <f t="shared" si="51"/>
        <v>-25769845.5</v>
      </c>
      <c r="Z570">
        <f t="shared" si="52"/>
        <v>44949742.5</v>
      </c>
      <c r="AA570" t="str">
        <f t="shared" si="53"/>
        <v>Normal</v>
      </c>
      <c r="AE570" s="2"/>
      <c r="AF570" s="2"/>
    </row>
    <row r="571" spans="1:32" x14ac:dyDescent="0.35">
      <c r="A571">
        <v>570</v>
      </c>
      <c r="B571" s="1">
        <v>43036</v>
      </c>
      <c r="C571" s="9" t="s">
        <v>1098</v>
      </c>
      <c r="D571" s="9" t="s">
        <v>4930</v>
      </c>
      <c r="E571" s="9" t="s">
        <v>6151</v>
      </c>
      <c r="F571" s="9" t="s">
        <v>27</v>
      </c>
      <c r="G571" s="9" t="s">
        <v>387</v>
      </c>
      <c r="H571" s="9" t="s">
        <v>86</v>
      </c>
      <c r="I571" s="11">
        <v>120000</v>
      </c>
      <c r="J571" s="11">
        <v>2864738</v>
      </c>
      <c r="K571" s="11">
        <v>4894417</v>
      </c>
      <c r="L571" s="3">
        <v>120</v>
      </c>
      <c r="M571" s="3">
        <v>4232</v>
      </c>
      <c r="N571" s="3">
        <v>1240953</v>
      </c>
      <c r="O571" s="2">
        <v>4.4999999999999998E-2</v>
      </c>
      <c r="P571" s="2">
        <v>1.1819999999999999</v>
      </c>
      <c r="Q571" s="2">
        <v>5.2000000000000005E-2</v>
      </c>
      <c r="R571" s="11">
        <v>370306122</v>
      </c>
      <c r="S571" s="11">
        <v>684018</v>
      </c>
      <c r="T571">
        <v>2017</v>
      </c>
      <c r="U571">
        <v>10</v>
      </c>
      <c r="V571">
        <f t="shared" si="48"/>
        <v>750000</v>
      </c>
      <c r="W571">
        <f t="shared" si="49"/>
        <v>18429897</v>
      </c>
      <c r="X571">
        <f t="shared" si="50"/>
        <v>17679897</v>
      </c>
      <c r="Y571">
        <f t="shared" si="51"/>
        <v>-25769845.5</v>
      </c>
      <c r="Z571">
        <f t="shared" si="52"/>
        <v>44949742.5</v>
      </c>
      <c r="AA571" t="str">
        <f t="shared" si="53"/>
        <v>Normal</v>
      </c>
      <c r="AE571" s="2"/>
      <c r="AF571" s="2"/>
    </row>
    <row r="572" spans="1:32" x14ac:dyDescent="0.35">
      <c r="A572">
        <v>571</v>
      </c>
      <c r="B572" s="1">
        <v>43036</v>
      </c>
      <c r="C572" s="9" t="s">
        <v>182</v>
      </c>
      <c r="D572" s="9" t="s">
        <v>4988</v>
      </c>
      <c r="E572" s="9" t="s">
        <v>6111</v>
      </c>
      <c r="F572" s="9" t="s">
        <v>15</v>
      </c>
      <c r="G572" s="9" t="s">
        <v>1099</v>
      </c>
      <c r="H572" s="9" t="s">
        <v>105</v>
      </c>
      <c r="I572" s="11">
        <v>7700000</v>
      </c>
      <c r="J572" s="11">
        <v>4745227</v>
      </c>
      <c r="K572" s="11">
        <v>1507130</v>
      </c>
      <c r="L572" s="3">
        <v>123</v>
      </c>
      <c r="M572" s="3">
        <v>1437</v>
      </c>
      <c r="N572" s="3">
        <v>1977762</v>
      </c>
      <c r="O572" s="2">
        <v>0.32799999999999996</v>
      </c>
      <c r="P572" s="2">
        <v>0.76800000000000002</v>
      </c>
      <c r="Q572" s="2">
        <v>-4.0999999999999995E-2</v>
      </c>
      <c r="R572" s="11">
        <v>344075186</v>
      </c>
      <c r="S572" s="11">
        <v>146224</v>
      </c>
      <c r="T572">
        <v>2017</v>
      </c>
      <c r="U572">
        <v>10</v>
      </c>
      <c r="V572">
        <f t="shared" si="48"/>
        <v>750000</v>
      </c>
      <c r="W572">
        <f t="shared" si="49"/>
        <v>18429897</v>
      </c>
      <c r="X572">
        <f t="shared" si="50"/>
        <v>17679897</v>
      </c>
      <c r="Y572">
        <f t="shared" si="51"/>
        <v>-25769845.5</v>
      </c>
      <c r="Z572">
        <f t="shared" si="52"/>
        <v>44949742.5</v>
      </c>
      <c r="AA572" t="str">
        <f t="shared" si="53"/>
        <v>Normal</v>
      </c>
      <c r="AE572" s="2"/>
      <c r="AF572" s="2"/>
    </row>
    <row r="573" spans="1:32" x14ac:dyDescent="0.35">
      <c r="A573">
        <v>572</v>
      </c>
      <c r="B573" s="1">
        <v>43038</v>
      </c>
      <c r="C573" s="9" t="s">
        <v>1100</v>
      </c>
      <c r="D573" s="9" t="s">
        <v>4939</v>
      </c>
      <c r="E573" s="9" t="s">
        <v>6152</v>
      </c>
      <c r="F573" s="9" t="s">
        <v>601</v>
      </c>
      <c r="G573" s="9" t="s">
        <v>1101</v>
      </c>
      <c r="H573" s="9" t="s">
        <v>105</v>
      </c>
      <c r="I573" s="11">
        <v>2000000</v>
      </c>
      <c r="J573" s="11">
        <v>2092986</v>
      </c>
      <c r="K573" s="11">
        <v>16484266</v>
      </c>
      <c r="L573" s="3">
        <v>414</v>
      </c>
      <c r="M573" s="3">
        <v>3021</v>
      </c>
      <c r="N573" s="3">
        <v>1103255</v>
      </c>
      <c r="O573" s="2">
        <v>-1.2E-2</v>
      </c>
      <c r="P573" s="2">
        <v>0.50800000000000001</v>
      </c>
      <c r="Q573" s="2">
        <v>7.400000000000001E-2</v>
      </c>
      <c r="R573" s="11">
        <v>94947349</v>
      </c>
      <c r="S573" s="11">
        <v>1570992</v>
      </c>
      <c r="T573">
        <v>2017</v>
      </c>
      <c r="U573">
        <v>10</v>
      </c>
      <c r="V573">
        <f t="shared" si="48"/>
        <v>750000</v>
      </c>
      <c r="W573">
        <f t="shared" si="49"/>
        <v>18429897</v>
      </c>
      <c r="X573">
        <f t="shared" si="50"/>
        <v>17679897</v>
      </c>
      <c r="Y573">
        <f t="shared" si="51"/>
        <v>-25769845.5</v>
      </c>
      <c r="Z573">
        <f t="shared" si="52"/>
        <v>44949742.5</v>
      </c>
      <c r="AA573" t="str">
        <f t="shared" si="53"/>
        <v>Normal</v>
      </c>
      <c r="AE573" s="2"/>
      <c r="AF573" s="2"/>
    </row>
    <row r="574" spans="1:32" x14ac:dyDescent="0.35">
      <c r="A574">
        <v>573</v>
      </c>
      <c r="B574" s="1">
        <v>43039</v>
      </c>
      <c r="C574" s="9" t="s">
        <v>361</v>
      </c>
      <c r="D574" s="9" t="s">
        <v>4925</v>
      </c>
      <c r="E574" s="9" t="s">
        <v>5243</v>
      </c>
      <c r="F574" s="9" t="s">
        <v>35</v>
      </c>
      <c r="G574" s="9" t="s">
        <v>1102</v>
      </c>
      <c r="H574" s="9" t="s">
        <v>105</v>
      </c>
      <c r="I574" s="11">
        <v>14000000</v>
      </c>
      <c r="J574" s="11">
        <v>1425745</v>
      </c>
      <c r="K574" s="11">
        <v>10657590</v>
      </c>
      <c r="L574" s="3">
        <v>312</v>
      </c>
      <c r="M574" s="3">
        <v>1543</v>
      </c>
      <c r="N574" s="3">
        <v>1661345</v>
      </c>
      <c r="O574" s="2">
        <v>-4.0999999999999995E-2</v>
      </c>
      <c r="P574" s="2">
        <v>0.9840000000000001</v>
      </c>
      <c r="Q574" s="2">
        <v>0.22899999999999998</v>
      </c>
      <c r="R574" s="11">
        <v>162381174</v>
      </c>
      <c r="S574" s="11">
        <v>722248</v>
      </c>
      <c r="T574">
        <v>2017</v>
      </c>
      <c r="U574">
        <v>10</v>
      </c>
      <c r="V574">
        <f t="shared" si="48"/>
        <v>750000</v>
      </c>
      <c r="W574">
        <f t="shared" si="49"/>
        <v>18429897</v>
      </c>
      <c r="X574">
        <f t="shared" si="50"/>
        <v>17679897</v>
      </c>
      <c r="Y574">
        <f t="shared" si="51"/>
        <v>-25769845.5</v>
      </c>
      <c r="Z574">
        <f t="shared" si="52"/>
        <v>44949742.5</v>
      </c>
      <c r="AA574" t="str">
        <f t="shared" si="53"/>
        <v>Normal</v>
      </c>
      <c r="AE574" s="2"/>
      <c r="AF574" s="2"/>
    </row>
    <row r="575" spans="1:32" x14ac:dyDescent="0.35">
      <c r="A575">
        <v>574</v>
      </c>
      <c r="B575" s="1">
        <v>43039</v>
      </c>
      <c r="C575" s="9" t="s">
        <v>1103</v>
      </c>
      <c r="D575" s="9" t="s">
        <v>4933</v>
      </c>
      <c r="E575" s="9" t="s">
        <v>6153</v>
      </c>
      <c r="F575" s="9" t="s">
        <v>31</v>
      </c>
      <c r="G575" s="9" t="s">
        <v>1104</v>
      </c>
      <c r="H575" s="9" t="s">
        <v>105</v>
      </c>
      <c r="I575" s="11">
        <v>32000000</v>
      </c>
      <c r="J575" s="11">
        <v>265285</v>
      </c>
      <c r="K575" s="11">
        <v>7993811</v>
      </c>
      <c r="L575" s="3">
        <v>22</v>
      </c>
      <c r="M575" s="3">
        <v>3960</v>
      </c>
      <c r="N575" s="3">
        <v>74213</v>
      </c>
      <c r="O575" s="2">
        <v>1.1000000000000001E-2</v>
      </c>
      <c r="P575" s="2">
        <v>1.0449999999999999</v>
      </c>
      <c r="Q575" s="2">
        <v>-0.77100000000000002</v>
      </c>
      <c r="R575" s="11">
        <v>373076649</v>
      </c>
      <c r="S575" s="11">
        <v>904578</v>
      </c>
      <c r="T575">
        <v>2017</v>
      </c>
      <c r="U575">
        <v>10</v>
      </c>
      <c r="V575">
        <f t="shared" si="48"/>
        <v>750000</v>
      </c>
      <c r="W575">
        <f t="shared" si="49"/>
        <v>18429897</v>
      </c>
      <c r="X575">
        <f t="shared" si="50"/>
        <v>17679897</v>
      </c>
      <c r="Y575">
        <f t="shared" si="51"/>
        <v>-25769845.5</v>
      </c>
      <c r="Z575">
        <f t="shared" si="52"/>
        <v>44949742.5</v>
      </c>
      <c r="AA575" t="str">
        <f t="shared" si="53"/>
        <v>Normal</v>
      </c>
      <c r="AE575" s="2"/>
      <c r="AF575" s="2"/>
    </row>
    <row r="576" spans="1:32" x14ac:dyDescent="0.35">
      <c r="A576">
        <v>575</v>
      </c>
      <c r="B576" s="1">
        <v>42979</v>
      </c>
      <c r="C576" s="9" t="s">
        <v>1105</v>
      </c>
      <c r="D576" s="9" t="s">
        <v>4925</v>
      </c>
      <c r="E576" s="9" t="s">
        <v>6154</v>
      </c>
      <c r="F576" s="9" t="s">
        <v>35</v>
      </c>
      <c r="G576" s="9" t="s">
        <v>1106</v>
      </c>
      <c r="H576" s="9" t="s">
        <v>105</v>
      </c>
      <c r="I576" s="11">
        <v>1000000</v>
      </c>
      <c r="J576" s="11">
        <v>55238</v>
      </c>
      <c r="K576" s="11">
        <v>11101625</v>
      </c>
      <c r="L576" s="3">
        <v>339</v>
      </c>
      <c r="M576" s="3">
        <v>1803</v>
      </c>
      <c r="N576" s="3">
        <v>1864368</v>
      </c>
      <c r="O576" s="2">
        <v>0.17100000000000001</v>
      </c>
      <c r="P576" s="2">
        <v>0.40500000000000003</v>
      </c>
      <c r="Q576" s="2">
        <v>0.19800000000000001</v>
      </c>
      <c r="R576" s="11">
        <v>159288522</v>
      </c>
      <c r="S576" s="11">
        <v>58222</v>
      </c>
      <c r="T576">
        <v>2017</v>
      </c>
      <c r="U576">
        <v>9</v>
      </c>
      <c r="V576">
        <f t="shared" si="48"/>
        <v>750000</v>
      </c>
      <c r="W576">
        <f t="shared" si="49"/>
        <v>18429897</v>
      </c>
      <c r="X576">
        <f t="shared" si="50"/>
        <v>17679897</v>
      </c>
      <c r="Y576">
        <f t="shared" si="51"/>
        <v>-25769845.5</v>
      </c>
      <c r="Z576">
        <f t="shared" si="52"/>
        <v>44949742.5</v>
      </c>
      <c r="AA576" t="str">
        <f t="shared" si="53"/>
        <v>Normal</v>
      </c>
      <c r="AE576" s="2"/>
      <c r="AF576" s="2"/>
    </row>
    <row r="577" spans="1:32" x14ac:dyDescent="0.35">
      <c r="A577">
        <v>576</v>
      </c>
      <c r="B577" s="1">
        <v>42979</v>
      </c>
      <c r="C577" s="9" t="s">
        <v>568</v>
      </c>
      <c r="D577" s="9" t="s">
        <v>4988</v>
      </c>
      <c r="E577" s="9" t="s">
        <v>6155</v>
      </c>
      <c r="F577" s="9" t="s">
        <v>15</v>
      </c>
      <c r="G577" s="9" t="s">
        <v>1107</v>
      </c>
      <c r="H577" s="9" t="s">
        <v>105</v>
      </c>
      <c r="I577" s="11">
        <v>1500000</v>
      </c>
      <c r="J577" s="11">
        <v>1880598</v>
      </c>
      <c r="K577" s="11">
        <v>14795737</v>
      </c>
      <c r="L577" s="3">
        <v>156</v>
      </c>
      <c r="M577" s="3">
        <v>3383</v>
      </c>
      <c r="N577" s="3">
        <v>36566</v>
      </c>
      <c r="O577" s="2">
        <v>0.155</v>
      </c>
      <c r="P577" s="2">
        <v>0.24099999999999999</v>
      </c>
      <c r="Q577" s="2">
        <v>-0.53600000000000003</v>
      </c>
      <c r="R577" s="11">
        <v>327940283</v>
      </c>
      <c r="S577" s="11">
        <v>1208950</v>
      </c>
      <c r="T577">
        <v>2017</v>
      </c>
      <c r="U577">
        <v>9</v>
      </c>
      <c r="V577">
        <f t="shared" si="48"/>
        <v>750000</v>
      </c>
      <c r="W577">
        <f t="shared" si="49"/>
        <v>18429897</v>
      </c>
      <c r="X577">
        <f t="shared" si="50"/>
        <v>17679897</v>
      </c>
      <c r="Y577">
        <f t="shared" si="51"/>
        <v>-25769845.5</v>
      </c>
      <c r="Z577">
        <f t="shared" si="52"/>
        <v>44949742.5</v>
      </c>
      <c r="AA577" t="str">
        <f t="shared" si="53"/>
        <v>Normal</v>
      </c>
      <c r="AE577" s="2"/>
      <c r="AF577" s="2"/>
    </row>
    <row r="578" spans="1:32" x14ac:dyDescent="0.35">
      <c r="A578">
        <v>577</v>
      </c>
      <c r="B578" s="1">
        <v>42979</v>
      </c>
      <c r="C578" s="9" t="s">
        <v>1108</v>
      </c>
      <c r="D578" s="9" t="s">
        <v>4988</v>
      </c>
      <c r="E578" s="9" t="s">
        <v>6156</v>
      </c>
      <c r="F578" s="9" t="s">
        <v>31</v>
      </c>
      <c r="G578" s="9" t="s">
        <v>667</v>
      </c>
      <c r="H578" s="9" t="s">
        <v>105</v>
      </c>
      <c r="I578" s="11">
        <v>1300000</v>
      </c>
      <c r="J578" s="11">
        <v>4630570</v>
      </c>
      <c r="K578" s="11">
        <v>126794</v>
      </c>
      <c r="L578" s="3">
        <v>140</v>
      </c>
      <c r="M578" s="3">
        <v>2189</v>
      </c>
      <c r="N578" s="3">
        <v>395342</v>
      </c>
      <c r="O578" s="2">
        <v>0.22</v>
      </c>
      <c r="P578" s="2">
        <v>0.72400000000000009</v>
      </c>
      <c r="Q578" s="2">
        <v>0.46799999999999997</v>
      </c>
      <c r="R578" s="11">
        <v>215645058</v>
      </c>
      <c r="S578" s="11">
        <v>457867</v>
      </c>
      <c r="T578">
        <v>2017</v>
      </c>
      <c r="U578">
        <v>9</v>
      </c>
      <c r="V578">
        <f t="shared" ref="V578:V641" si="54">_xlfn.PERCENTILE.INC(I578:I3621,0.25)</f>
        <v>750000</v>
      </c>
      <c r="W578">
        <f t="shared" ref="W578:W641" si="55">_xlfn.PERCENTILE.INC(I578:I3621,0.75)</f>
        <v>18429897</v>
      </c>
      <c r="X578">
        <f t="shared" ref="X578:X641" si="56">W578-V578</f>
        <v>17679897</v>
      </c>
      <c r="Y578">
        <f t="shared" ref="Y578:Y641" si="57">V578-1.5*X578</f>
        <v>-25769845.5</v>
      </c>
      <c r="Z578">
        <f t="shared" ref="Z578:Z641" si="58">W578+1.5*X578</f>
        <v>44949742.5</v>
      </c>
      <c r="AA578" t="str">
        <f t="shared" ref="AA578:AA641" si="59">IF(OR(I578&lt;$Y$2, I578&gt;$Z$2), "Outlier", "Normal")</f>
        <v>Normal</v>
      </c>
      <c r="AE578" s="2"/>
      <c r="AF578" s="2"/>
    </row>
    <row r="579" spans="1:32" x14ac:dyDescent="0.35">
      <c r="A579">
        <v>578</v>
      </c>
      <c r="B579" s="1">
        <v>42982</v>
      </c>
      <c r="C579" s="9" t="s">
        <v>1109</v>
      </c>
      <c r="D579" s="9" t="s">
        <v>4930</v>
      </c>
      <c r="E579" s="9" t="s">
        <v>6157</v>
      </c>
      <c r="F579" s="9" t="s">
        <v>41</v>
      </c>
      <c r="G579" s="9" t="s">
        <v>1110</v>
      </c>
      <c r="H579" s="9" t="s">
        <v>105</v>
      </c>
      <c r="I579" s="11">
        <v>5600000</v>
      </c>
      <c r="J579" s="11">
        <v>2628289</v>
      </c>
      <c r="K579" s="11">
        <v>8863068</v>
      </c>
      <c r="L579" s="3">
        <v>214</v>
      </c>
      <c r="M579" s="3">
        <v>1372</v>
      </c>
      <c r="N579" s="3">
        <v>1476999</v>
      </c>
      <c r="O579" s="2">
        <v>2.1000000000000001E-2</v>
      </c>
      <c r="P579" s="2">
        <v>0.50800000000000001</v>
      </c>
      <c r="Q579" s="2">
        <v>-0.33100000000000002</v>
      </c>
      <c r="R579" s="11">
        <v>387372551</v>
      </c>
      <c r="S579" s="11">
        <v>131800</v>
      </c>
      <c r="T579">
        <v>2017</v>
      </c>
      <c r="U579">
        <v>9</v>
      </c>
      <c r="V579">
        <f t="shared" si="54"/>
        <v>750000</v>
      </c>
      <c r="W579">
        <f t="shared" si="55"/>
        <v>18429897</v>
      </c>
      <c r="X579">
        <f t="shared" si="56"/>
        <v>17679897</v>
      </c>
      <c r="Y579">
        <f t="shared" si="57"/>
        <v>-25769845.5</v>
      </c>
      <c r="Z579">
        <f t="shared" si="58"/>
        <v>44949742.5</v>
      </c>
      <c r="AA579" t="str">
        <f t="shared" si="59"/>
        <v>Normal</v>
      </c>
      <c r="AE579" s="2"/>
      <c r="AF579" s="2"/>
    </row>
    <row r="580" spans="1:32" x14ac:dyDescent="0.35">
      <c r="A580">
        <v>579</v>
      </c>
      <c r="B580" s="1">
        <v>42983</v>
      </c>
      <c r="C580" s="9" t="s">
        <v>419</v>
      </c>
      <c r="D580" s="9" t="s">
        <v>4988</v>
      </c>
      <c r="E580" s="9" t="s">
        <v>1111</v>
      </c>
      <c r="F580" s="9" t="s">
        <v>15</v>
      </c>
      <c r="G580" s="9" t="s">
        <v>1112</v>
      </c>
      <c r="H580" s="9" t="s">
        <v>105</v>
      </c>
      <c r="I580" s="11">
        <v>1500000</v>
      </c>
      <c r="J580" s="11">
        <v>4469867</v>
      </c>
      <c r="K580" s="11">
        <v>5159336</v>
      </c>
      <c r="L580" s="3">
        <v>254</v>
      </c>
      <c r="M580" s="3">
        <v>2902</v>
      </c>
      <c r="N580" s="3">
        <v>513842</v>
      </c>
      <c r="O580" s="2">
        <v>0.128</v>
      </c>
      <c r="P580" s="2">
        <v>0.36799999999999999</v>
      </c>
      <c r="Q580" s="2">
        <v>-0.10099999999999999</v>
      </c>
      <c r="R580" s="11">
        <v>261553513</v>
      </c>
      <c r="S580" s="11">
        <v>1902251</v>
      </c>
      <c r="T580">
        <v>2017</v>
      </c>
      <c r="U580">
        <v>9</v>
      </c>
      <c r="V580">
        <f t="shared" si="54"/>
        <v>750000</v>
      </c>
      <c r="W580">
        <f t="shared" si="55"/>
        <v>18429897</v>
      </c>
      <c r="X580">
        <f t="shared" si="56"/>
        <v>17679897</v>
      </c>
      <c r="Y580">
        <f t="shared" si="57"/>
        <v>-25769845.5</v>
      </c>
      <c r="Z580">
        <f t="shared" si="58"/>
        <v>44949742.5</v>
      </c>
      <c r="AA580" t="str">
        <f t="shared" si="59"/>
        <v>Normal</v>
      </c>
      <c r="AE580" s="2"/>
      <c r="AF580" s="2"/>
    </row>
    <row r="581" spans="1:32" x14ac:dyDescent="0.35">
      <c r="A581">
        <v>580</v>
      </c>
      <c r="B581" s="1">
        <v>42983</v>
      </c>
      <c r="C581" s="9" t="s">
        <v>1113</v>
      </c>
      <c r="D581" s="9" t="s">
        <v>4930</v>
      </c>
      <c r="E581" s="9" t="s">
        <v>6158</v>
      </c>
      <c r="F581" s="9" t="s">
        <v>19</v>
      </c>
      <c r="G581" s="9" t="s">
        <v>1114</v>
      </c>
      <c r="H581" s="9" t="s">
        <v>86</v>
      </c>
      <c r="I581" s="11">
        <v>600000</v>
      </c>
      <c r="J581" s="11">
        <v>526326</v>
      </c>
      <c r="K581" s="11">
        <v>1928157</v>
      </c>
      <c r="L581" s="3">
        <v>446</v>
      </c>
      <c r="M581" s="3">
        <v>3138</v>
      </c>
      <c r="N581" s="3">
        <v>84081</v>
      </c>
      <c r="O581" s="2">
        <v>-4.9000000000000002E-2</v>
      </c>
      <c r="P581" s="2">
        <v>0.76200000000000001</v>
      </c>
      <c r="Q581" s="2">
        <v>-0.379</v>
      </c>
      <c r="R581" s="11">
        <v>32419036</v>
      </c>
      <c r="S581" s="11">
        <v>1039136</v>
      </c>
      <c r="T581">
        <v>2017</v>
      </c>
      <c r="U581">
        <v>9</v>
      </c>
      <c r="V581">
        <f t="shared" si="54"/>
        <v>750000</v>
      </c>
      <c r="W581">
        <f t="shared" si="55"/>
        <v>18429897</v>
      </c>
      <c r="X581">
        <f t="shared" si="56"/>
        <v>17679897</v>
      </c>
      <c r="Y581">
        <f t="shared" si="57"/>
        <v>-25769845.5</v>
      </c>
      <c r="Z581">
        <f t="shared" si="58"/>
        <v>44949742.5</v>
      </c>
      <c r="AA581" t="str">
        <f t="shared" si="59"/>
        <v>Normal</v>
      </c>
      <c r="AE581" s="2"/>
      <c r="AF581" s="2"/>
    </row>
    <row r="582" spans="1:32" x14ac:dyDescent="0.35">
      <c r="A582">
        <v>581</v>
      </c>
      <c r="B582" s="1">
        <v>42984</v>
      </c>
      <c r="C582" s="9" t="s">
        <v>1115</v>
      </c>
      <c r="D582" s="9" t="s">
        <v>4988</v>
      </c>
      <c r="E582" s="9" t="s">
        <v>1111</v>
      </c>
      <c r="F582" s="9" t="s">
        <v>408</v>
      </c>
      <c r="G582" s="9" t="s">
        <v>1116</v>
      </c>
      <c r="H582" s="9" t="s">
        <v>105</v>
      </c>
      <c r="I582" s="11">
        <v>10750000</v>
      </c>
      <c r="J582" s="11">
        <v>484738</v>
      </c>
      <c r="K582" s="11">
        <v>815840</v>
      </c>
      <c r="L582" s="3">
        <v>220</v>
      </c>
      <c r="M582" s="3">
        <v>3429</v>
      </c>
      <c r="N582" s="3">
        <v>1724145</v>
      </c>
      <c r="O582" s="2">
        <v>0.41399999999999998</v>
      </c>
      <c r="P582" s="2">
        <v>0.72599999999999998</v>
      </c>
      <c r="Q582" s="2">
        <v>0.55000000000000004</v>
      </c>
      <c r="R582" s="11">
        <v>319781562</v>
      </c>
      <c r="S582" s="11">
        <v>440722</v>
      </c>
      <c r="T582">
        <v>2017</v>
      </c>
      <c r="U582">
        <v>9</v>
      </c>
      <c r="V582">
        <f t="shared" si="54"/>
        <v>750000</v>
      </c>
      <c r="W582">
        <f t="shared" si="55"/>
        <v>18429897</v>
      </c>
      <c r="X582">
        <f t="shared" si="56"/>
        <v>17679897</v>
      </c>
      <c r="Y582">
        <f t="shared" si="57"/>
        <v>-25769845.5</v>
      </c>
      <c r="Z582">
        <f t="shared" si="58"/>
        <v>44949742.5</v>
      </c>
      <c r="AA582" t="str">
        <f t="shared" si="59"/>
        <v>Normal</v>
      </c>
      <c r="AE582" s="2"/>
      <c r="AF582" s="2"/>
    </row>
    <row r="583" spans="1:32" x14ac:dyDescent="0.35">
      <c r="A583">
        <v>582</v>
      </c>
      <c r="B583" s="1">
        <v>42984</v>
      </c>
      <c r="C583" s="9" t="s">
        <v>1117</v>
      </c>
      <c r="D583" s="9" t="s">
        <v>4988</v>
      </c>
      <c r="E583" s="9" t="s">
        <v>6159</v>
      </c>
      <c r="F583" s="9" t="s">
        <v>27</v>
      </c>
      <c r="G583" s="9" t="s">
        <v>1118</v>
      </c>
      <c r="H583" s="9" t="s">
        <v>105</v>
      </c>
      <c r="I583" s="11">
        <v>10000000</v>
      </c>
      <c r="J583" s="11">
        <v>4170623</v>
      </c>
      <c r="K583" s="11">
        <v>8866068</v>
      </c>
      <c r="L583" s="3">
        <v>151</v>
      </c>
      <c r="M583" s="3">
        <v>3966</v>
      </c>
      <c r="N583" s="3">
        <v>1025260</v>
      </c>
      <c r="O583" s="2">
        <v>-0.14299999999999999</v>
      </c>
      <c r="P583" s="2">
        <v>1.0640000000000001</v>
      </c>
      <c r="Q583" s="2">
        <v>9.6999999999999989E-2</v>
      </c>
      <c r="R583" s="11">
        <v>250264963</v>
      </c>
      <c r="S583" s="11">
        <v>703542</v>
      </c>
      <c r="T583">
        <v>2017</v>
      </c>
      <c r="U583">
        <v>9</v>
      </c>
      <c r="V583">
        <f t="shared" si="54"/>
        <v>750000</v>
      </c>
      <c r="W583">
        <f t="shared" si="55"/>
        <v>18429897</v>
      </c>
      <c r="X583">
        <f t="shared" si="56"/>
        <v>17679897</v>
      </c>
      <c r="Y583">
        <f t="shared" si="57"/>
        <v>-25769845.5</v>
      </c>
      <c r="Z583">
        <f t="shared" si="58"/>
        <v>44949742.5</v>
      </c>
      <c r="AA583" t="str">
        <f t="shared" si="59"/>
        <v>Normal</v>
      </c>
      <c r="AE583" s="2"/>
      <c r="AF583" s="2"/>
    </row>
    <row r="584" spans="1:32" x14ac:dyDescent="0.35">
      <c r="A584">
        <v>583</v>
      </c>
      <c r="B584" s="1">
        <v>42984</v>
      </c>
      <c r="C584" s="9" t="s">
        <v>1119</v>
      </c>
      <c r="D584" s="9" t="s">
        <v>2539</v>
      </c>
      <c r="E584" s="9" t="s">
        <v>6160</v>
      </c>
      <c r="F584" s="9" t="s">
        <v>15</v>
      </c>
      <c r="G584" s="9" t="s">
        <v>1120</v>
      </c>
      <c r="H584" s="9" t="s">
        <v>105</v>
      </c>
      <c r="I584" s="11">
        <v>6000000</v>
      </c>
      <c r="J584" s="11">
        <v>551575</v>
      </c>
      <c r="K584" s="11">
        <v>10924764</v>
      </c>
      <c r="L584" s="3">
        <v>387</v>
      </c>
      <c r="M584" s="3">
        <v>3394</v>
      </c>
      <c r="N584" s="3">
        <v>958979</v>
      </c>
      <c r="O584" s="2">
        <v>-4.4000000000000004E-2</v>
      </c>
      <c r="P584" s="2">
        <v>1.016</v>
      </c>
      <c r="Q584" s="2">
        <v>0.65700000000000003</v>
      </c>
      <c r="R584" s="11">
        <v>392347743</v>
      </c>
      <c r="S584" s="11">
        <v>1600827</v>
      </c>
      <c r="T584">
        <v>2017</v>
      </c>
      <c r="U584">
        <v>9</v>
      </c>
      <c r="V584">
        <f t="shared" si="54"/>
        <v>750000</v>
      </c>
      <c r="W584">
        <f t="shared" si="55"/>
        <v>18429897</v>
      </c>
      <c r="X584">
        <f t="shared" si="56"/>
        <v>17679897</v>
      </c>
      <c r="Y584">
        <f t="shared" si="57"/>
        <v>-25769845.5</v>
      </c>
      <c r="Z584">
        <f t="shared" si="58"/>
        <v>44949742.5</v>
      </c>
      <c r="AA584" t="str">
        <f t="shared" si="59"/>
        <v>Normal</v>
      </c>
      <c r="AE584" s="2"/>
      <c r="AF584" s="2"/>
    </row>
    <row r="585" spans="1:32" x14ac:dyDescent="0.35">
      <c r="A585">
        <v>584</v>
      </c>
      <c r="B585" s="1">
        <v>42984</v>
      </c>
      <c r="C585" s="9" t="s">
        <v>1121</v>
      </c>
      <c r="D585" s="9" t="s">
        <v>4925</v>
      </c>
      <c r="E585" s="9" t="s">
        <v>6161</v>
      </c>
      <c r="F585" s="9" t="s">
        <v>19</v>
      </c>
      <c r="G585" s="9" t="s">
        <v>1122</v>
      </c>
      <c r="H585" s="9" t="s">
        <v>105</v>
      </c>
      <c r="I585" s="11">
        <v>26000000</v>
      </c>
      <c r="J585" s="11">
        <v>278770</v>
      </c>
      <c r="K585" s="11">
        <v>10202986</v>
      </c>
      <c r="L585" s="3">
        <v>273</v>
      </c>
      <c r="M585" s="3">
        <v>4264</v>
      </c>
      <c r="N585" s="3">
        <v>632333</v>
      </c>
      <c r="O585" s="2">
        <v>3.5000000000000003E-2</v>
      </c>
      <c r="P585" s="2">
        <v>0.50800000000000001</v>
      </c>
      <c r="Q585" s="2">
        <v>0.59699999999999998</v>
      </c>
      <c r="R585" s="11">
        <v>329947044</v>
      </c>
      <c r="S585" s="11">
        <v>1008193.5</v>
      </c>
      <c r="T585">
        <v>2017</v>
      </c>
      <c r="U585">
        <v>9</v>
      </c>
      <c r="V585">
        <f t="shared" si="54"/>
        <v>750000</v>
      </c>
      <c r="W585">
        <f t="shared" si="55"/>
        <v>18429897</v>
      </c>
      <c r="X585">
        <f t="shared" si="56"/>
        <v>17679897</v>
      </c>
      <c r="Y585">
        <f t="shared" si="57"/>
        <v>-25769845.5</v>
      </c>
      <c r="Z585">
        <f t="shared" si="58"/>
        <v>44949742.5</v>
      </c>
      <c r="AA585" t="str">
        <f t="shared" si="59"/>
        <v>Normal</v>
      </c>
      <c r="AE585" s="2"/>
      <c r="AF585" s="2"/>
    </row>
    <row r="586" spans="1:32" x14ac:dyDescent="0.35">
      <c r="A586">
        <v>585</v>
      </c>
      <c r="B586" s="1">
        <v>42985</v>
      </c>
      <c r="C586" s="9" t="s">
        <v>1123</v>
      </c>
      <c r="D586" s="9" t="s">
        <v>4988</v>
      </c>
      <c r="E586" s="9" t="s">
        <v>6162</v>
      </c>
      <c r="F586" s="9" t="s">
        <v>31</v>
      </c>
      <c r="G586" s="9" t="s">
        <v>212</v>
      </c>
      <c r="H586" s="9" t="s">
        <v>105</v>
      </c>
      <c r="I586" s="11">
        <v>5000000</v>
      </c>
      <c r="J586" s="11">
        <v>2032381</v>
      </c>
      <c r="K586" s="11">
        <v>15680857</v>
      </c>
      <c r="L586" s="3">
        <v>5</v>
      </c>
      <c r="M586" s="3">
        <v>2147</v>
      </c>
      <c r="N586" s="3">
        <v>1433973</v>
      </c>
      <c r="O586" s="2">
        <v>0.59799999999999998</v>
      </c>
      <c r="P586" s="2">
        <v>0.90700000000000003</v>
      </c>
      <c r="Q586" s="2">
        <v>0.41200000000000003</v>
      </c>
      <c r="R586" s="11">
        <v>55310799</v>
      </c>
      <c r="S586" s="11">
        <v>1321368</v>
      </c>
      <c r="T586">
        <v>2017</v>
      </c>
      <c r="U586">
        <v>9</v>
      </c>
      <c r="V586">
        <f t="shared" si="54"/>
        <v>750000</v>
      </c>
      <c r="W586">
        <f t="shared" si="55"/>
        <v>18429897</v>
      </c>
      <c r="X586">
        <f t="shared" si="56"/>
        <v>17679897</v>
      </c>
      <c r="Y586">
        <f t="shared" si="57"/>
        <v>-25769845.5</v>
      </c>
      <c r="Z586">
        <f t="shared" si="58"/>
        <v>44949742.5</v>
      </c>
      <c r="AA586" t="str">
        <f t="shared" si="59"/>
        <v>Normal</v>
      </c>
      <c r="AE586" s="2"/>
      <c r="AF586" s="2"/>
    </row>
    <row r="587" spans="1:32" x14ac:dyDescent="0.35">
      <c r="A587">
        <v>586</v>
      </c>
      <c r="B587" s="1">
        <v>42985</v>
      </c>
      <c r="C587" s="9" t="s">
        <v>1124</v>
      </c>
      <c r="D587" s="9" t="s">
        <v>4988</v>
      </c>
      <c r="E587" s="9" t="s">
        <v>6163</v>
      </c>
      <c r="F587" s="9" t="s">
        <v>15</v>
      </c>
      <c r="G587" s="9" t="s">
        <v>1125</v>
      </c>
      <c r="H587" s="9" t="s">
        <v>105</v>
      </c>
      <c r="I587" s="11">
        <v>18429897</v>
      </c>
      <c r="J587" s="11">
        <v>4625712</v>
      </c>
      <c r="K587" s="11">
        <v>9211059</v>
      </c>
      <c r="L587" s="3">
        <v>317</v>
      </c>
      <c r="M587" s="3">
        <v>2505.5</v>
      </c>
      <c r="N587" s="3">
        <v>628874</v>
      </c>
      <c r="O587" s="2">
        <v>0.27300000000000002</v>
      </c>
      <c r="P587" s="2">
        <v>0.70299999999999996</v>
      </c>
      <c r="Q587" s="2">
        <v>-0.25</v>
      </c>
      <c r="R587" s="11">
        <v>250264963</v>
      </c>
      <c r="S587" s="11">
        <v>596520</v>
      </c>
      <c r="T587">
        <v>2017</v>
      </c>
      <c r="U587">
        <v>9</v>
      </c>
      <c r="V587">
        <f t="shared" si="54"/>
        <v>750000</v>
      </c>
      <c r="W587">
        <f t="shared" si="55"/>
        <v>18429897</v>
      </c>
      <c r="X587">
        <f t="shared" si="56"/>
        <v>17679897</v>
      </c>
      <c r="Y587">
        <f t="shared" si="57"/>
        <v>-25769845.5</v>
      </c>
      <c r="Z587">
        <f t="shared" si="58"/>
        <v>44949742.5</v>
      </c>
      <c r="AA587" t="str">
        <f t="shared" si="59"/>
        <v>Normal</v>
      </c>
      <c r="AE587" s="2"/>
      <c r="AF587" s="2"/>
    </row>
    <row r="588" spans="1:32" x14ac:dyDescent="0.35">
      <c r="A588">
        <v>587</v>
      </c>
      <c r="B588" s="1">
        <v>42985</v>
      </c>
      <c r="C588" s="9" t="s">
        <v>291</v>
      </c>
      <c r="D588" s="9" t="s">
        <v>4988</v>
      </c>
      <c r="E588" s="9" t="s">
        <v>6164</v>
      </c>
      <c r="F588" s="9" t="s">
        <v>19</v>
      </c>
      <c r="G588" s="9" t="s">
        <v>1126</v>
      </c>
      <c r="H588" s="9" t="s">
        <v>105</v>
      </c>
      <c r="I588" s="11">
        <v>200000000</v>
      </c>
      <c r="J588" s="11">
        <v>3453129</v>
      </c>
      <c r="K588" s="11">
        <v>11838802</v>
      </c>
      <c r="L588" s="3">
        <v>253</v>
      </c>
      <c r="M588" s="3">
        <v>2435</v>
      </c>
      <c r="N588" s="3">
        <v>1123861</v>
      </c>
      <c r="O588" s="2">
        <v>1.6E-2</v>
      </c>
      <c r="P588" s="2">
        <v>0.66599999999999993</v>
      </c>
      <c r="Q588" s="2">
        <v>0.14099999999999999</v>
      </c>
      <c r="R588" s="11">
        <v>450452538</v>
      </c>
      <c r="S588" s="11">
        <v>259723</v>
      </c>
      <c r="T588">
        <v>2017</v>
      </c>
      <c r="U588">
        <v>9</v>
      </c>
      <c r="V588">
        <f t="shared" si="54"/>
        <v>750000</v>
      </c>
      <c r="W588">
        <f t="shared" si="55"/>
        <v>18429897</v>
      </c>
      <c r="X588">
        <f t="shared" si="56"/>
        <v>17679897</v>
      </c>
      <c r="Y588">
        <f t="shared" si="57"/>
        <v>-25769845.5</v>
      </c>
      <c r="Z588">
        <f t="shared" si="58"/>
        <v>44949742.5</v>
      </c>
      <c r="AA588" t="str">
        <f t="shared" si="59"/>
        <v>Outlier</v>
      </c>
      <c r="AE588" s="2"/>
      <c r="AF588" s="2"/>
    </row>
    <row r="589" spans="1:32" x14ac:dyDescent="0.35">
      <c r="A589">
        <v>588</v>
      </c>
      <c r="B589" s="1">
        <v>42985</v>
      </c>
      <c r="C589" s="9" t="s">
        <v>794</v>
      </c>
      <c r="D589" s="9" t="s">
        <v>4988</v>
      </c>
      <c r="E589" s="9" t="s">
        <v>6165</v>
      </c>
      <c r="F589" s="9" t="s">
        <v>41</v>
      </c>
      <c r="G589" s="9" t="s">
        <v>839</v>
      </c>
      <c r="H589" s="9" t="s">
        <v>59</v>
      </c>
      <c r="I589" s="11">
        <v>780000</v>
      </c>
      <c r="J589" s="11">
        <v>513583</v>
      </c>
      <c r="K589" s="11">
        <v>16343210</v>
      </c>
      <c r="L589" s="3">
        <v>289</v>
      </c>
      <c r="M589" s="3">
        <v>2911</v>
      </c>
      <c r="N589" s="3">
        <v>260842</v>
      </c>
      <c r="O589" s="2">
        <v>0.28399999999999997</v>
      </c>
      <c r="P589" s="2">
        <v>0.36200000000000004</v>
      </c>
      <c r="Q589" s="2">
        <v>0.442</v>
      </c>
      <c r="R589" s="11">
        <v>438637832</v>
      </c>
      <c r="S589" s="11">
        <v>26404</v>
      </c>
      <c r="T589">
        <v>2017</v>
      </c>
      <c r="U589">
        <v>9</v>
      </c>
      <c r="V589">
        <f t="shared" si="54"/>
        <v>750000</v>
      </c>
      <c r="W589">
        <f t="shared" si="55"/>
        <v>18429897</v>
      </c>
      <c r="X589">
        <f t="shared" si="56"/>
        <v>17679897</v>
      </c>
      <c r="Y589">
        <f t="shared" si="57"/>
        <v>-25769845.5</v>
      </c>
      <c r="Z589">
        <f t="shared" si="58"/>
        <v>44949742.5</v>
      </c>
      <c r="AA589" t="str">
        <f t="shared" si="59"/>
        <v>Normal</v>
      </c>
      <c r="AE589" s="2"/>
      <c r="AF589" s="2"/>
    </row>
    <row r="590" spans="1:32" x14ac:dyDescent="0.35">
      <c r="A590">
        <v>589</v>
      </c>
      <c r="B590" s="1">
        <v>42985</v>
      </c>
      <c r="C590" s="9" t="s">
        <v>22</v>
      </c>
      <c r="D590" s="9" t="s">
        <v>4925</v>
      </c>
      <c r="E590" s="9" t="s">
        <v>1127</v>
      </c>
      <c r="F590" s="9" t="s">
        <v>19</v>
      </c>
      <c r="G590" s="9" t="s">
        <v>614</v>
      </c>
      <c r="H590" s="9" t="s">
        <v>86</v>
      </c>
      <c r="I590" s="11">
        <v>18429897</v>
      </c>
      <c r="J590" s="11">
        <v>4188912</v>
      </c>
      <c r="K590" s="11">
        <v>13180115</v>
      </c>
      <c r="L590" s="3">
        <v>96</v>
      </c>
      <c r="M590" s="3">
        <v>744</v>
      </c>
      <c r="N590" s="3">
        <v>611346</v>
      </c>
      <c r="O590" s="2">
        <v>0.223</v>
      </c>
      <c r="P590" s="2">
        <v>0.94799999999999995</v>
      </c>
      <c r="Q590" s="2">
        <v>0.19699999999999998</v>
      </c>
      <c r="R590" s="11">
        <v>23271744</v>
      </c>
      <c r="S590" s="11">
        <v>416033</v>
      </c>
      <c r="T590">
        <v>2017</v>
      </c>
      <c r="U590">
        <v>9</v>
      </c>
      <c r="V590">
        <f t="shared" si="54"/>
        <v>750000</v>
      </c>
      <c r="W590">
        <f t="shared" si="55"/>
        <v>18429897</v>
      </c>
      <c r="X590">
        <f t="shared" si="56"/>
        <v>17679897</v>
      </c>
      <c r="Y590">
        <f t="shared" si="57"/>
        <v>-25769845.5</v>
      </c>
      <c r="Z590">
        <f t="shared" si="58"/>
        <v>44949742.5</v>
      </c>
      <c r="AA590" t="str">
        <f t="shared" si="59"/>
        <v>Normal</v>
      </c>
      <c r="AE590" s="2"/>
      <c r="AF590" s="2"/>
    </row>
    <row r="591" spans="1:32" x14ac:dyDescent="0.35">
      <c r="A591">
        <v>590</v>
      </c>
      <c r="B591" s="1">
        <v>42985</v>
      </c>
      <c r="C591" s="9" t="s">
        <v>1128</v>
      </c>
      <c r="D591" s="9" t="s">
        <v>4925</v>
      </c>
      <c r="E591" s="9" t="s">
        <v>6166</v>
      </c>
      <c r="F591" s="9" t="s">
        <v>41</v>
      </c>
      <c r="G591" s="9" t="s">
        <v>1129</v>
      </c>
      <c r="H591" s="9" t="s">
        <v>105</v>
      </c>
      <c r="I591" s="11">
        <v>1000000</v>
      </c>
      <c r="J591" s="11">
        <v>4221003</v>
      </c>
      <c r="K591" s="11">
        <v>18225941</v>
      </c>
      <c r="L591" s="3">
        <v>241</v>
      </c>
      <c r="M591" s="3">
        <v>4278</v>
      </c>
      <c r="N591" s="3">
        <v>56144</v>
      </c>
      <c r="O591" s="2">
        <v>0.17499999999999999</v>
      </c>
      <c r="P591" s="2">
        <v>1.0680000000000001</v>
      </c>
      <c r="Q591" s="2">
        <v>8.0000000000000002E-3</v>
      </c>
      <c r="R591" s="11">
        <v>290580639</v>
      </c>
      <c r="S591" s="11">
        <v>1847959</v>
      </c>
      <c r="T591">
        <v>2017</v>
      </c>
      <c r="U591">
        <v>9</v>
      </c>
      <c r="V591">
        <f t="shared" si="54"/>
        <v>750000</v>
      </c>
      <c r="W591">
        <f t="shared" si="55"/>
        <v>18429897</v>
      </c>
      <c r="X591">
        <f t="shared" si="56"/>
        <v>17679897</v>
      </c>
      <c r="Y591">
        <f t="shared" si="57"/>
        <v>-25769845.5</v>
      </c>
      <c r="Z591">
        <f t="shared" si="58"/>
        <v>44949742.5</v>
      </c>
      <c r="AA591" t="str">
        <f t="shared" si="59"/>
        <v>Normal</v>
      </c>
      <c r="AE591" s="2"/>
      <c r="AF591" s="2"/>
    </row>
    <row r="592" spans="1:32" x14ac:dyDescent="0.35">
      <c r="A592">
        <v>591</v>
      </c>
      <c r="B592" s="1">
        <v>42986</v>
      </c>
      <c r="C592" s="9" t="s">
        <v>83</v>
      </c>
      <c r="D592" s="9" t="s">
        <v>4988</v>
      </c>
      <c r="E592" s="9" t="s">
        <v>5908</v>
      </c>
      <c r="F592" s="9" t="s">
        <v>27</v>
      </c>
      <c r="G592" s="9" t="s">
        <v>1130</v>
      </c>
      <c r="H592" s="9" t="s">
        <v>59</v>
      </c>
      <c r="I592" s="11">
        <v>6900000</v>
      </c>
      <c r="J592" s="11">
        <v>4007468</v>
      </c>
      <c r="K592" s="11">
        <v>1000000000</v>
      </c>
      <c r="L592" s="3">
        <v>325</v>
      </c>
      <c r="M592" s="3">
        <v>2631</v>
      </c>
      <c r="N592" s="3">
        <v>569741</v>
      </c>
      <c r="O592" s="2">
        <v>0.25900000000000001</v>
      </c>
      <c r="P592" s="2">
        <v>0.40600000000000003</v>
      </c>
      <c r="Q592" s="2">
        <v>0.188</v>
      </c>
      <c r="R592" s="11">
        <v>411068676</v>
      </c>
      <c r="S592" s="11">
        <v>69684</v>
      </c>
      <c r="T592">
        <v>2017</v>
      </c>
      <c r="U592">
        <v>9</v>
      </c>
      <c r="V592">
        <f t="shared" si="54"/>
        <v>750000</v>
      </c>
      <c r="W592">
        <f t="shared" si="55"/>
        <v>18429897</v>
      </c>
      <c r="X592">
        <f t="shared" si="56"/>
        <v>17679897</v>
      </c>
      <c r="Y592">
        <f t="shared" si="57"/>
        <v>-25769845.5</v>
      </c>
      <c r="Z592">
        <f t="shared" si="58"/>
        <v>44949742.5</v>
      </c>
      <c r="AA592" t="str">
        <f t="shared" si="59"/>
        <v>Normal</v>
      </c>
      <c r="AE592" s="2"/>
      <c r="AF592" s="2"/>
    </row>
    <row r="593" spans="1:32" x14ac:dyDescent="0.35">
      <c r="A593">
        <v>592</v>
      </c>
      <c r="B593" s="1">
        <v>42986</v>
      </c>
      <c r="C593" s="9" t="s">
        <v>1131</v>
      </c>
      <c r="D593" s="9" t="s">
        <v>4930</v>
      </c>
      <c r="E593" s="9" t="s">
        <v>6167</v>
      </c>
      <c r="F593" s="9" t="s">
        <v>15</v>
      </c>
      <c r="G593" s="9" t="s">
        <v>1132</v>
      </c>
      <c r="H593" s="9" t="s">
        <v>86</v>
      </c>
      <c r="I593" s="11">
        <v>18429897</v>
      </c>
      <c r="J593" s="11">
        <v>4515212</v>
      </c>
      <c r="K593" s="11">
        <v>15756895</v>
      </c>
      <c r="L593" s="3">
        <v>340</v>
      </c>
      <c r="M593" s="3">
        <v>2789</v>
      </c>
      <c r="N593" s="3">
        <v>761987</v>
      </c>
      <c r="O593" s="2">
        <v>0.13200000000000001</v>
      </c>
      <c r="P593" s="2">
        <v>0.22900000000000001</v>
      </c>
      <c r="Q593" s="2">
        <v>0.21199999999999999</v>
      </c>
      <c r="R593" s="11">
        <v>80687746</v>
      </c>
      <c r="S593" s="11">
        <v>42415</v>
      </c>
      <c r="T593">
        <v>2017</v>
      </c>
      <c r="U593">
        <v>9</v>
      </c>
      <c r="V593">
        <f t="shared" si="54"/>
        <v>750000</v>
      </c>
      <c r="W593">
        <f t="shared" si="55"/>
        <v>18429897</v>
      </c>
      <c r="X593">
        <f t="shared" si="56"/>
        <v>17679897</v>
      </c>
      <c r="Y593">
        <f t="shared" si="57"/>
        <v>-25769845.5</v>
      </c>
      <c r="Z593">
        <f t="shared" si="58"/>
        <v>44949742.5</v>
      </c>
      <c r="AA593" t="str">
        <f t="shared" si="59"/>
        <v>Normal</v>
      </c>
      <c r="AE593" s="2"/>
      <c r="AF593" s="2"/>
    </row>
    <row r="594" spans="1:32" x14ac:dyDescent="0.35">
      <c r="A594">
        <v>593</v>
      </c>
      <c r="B594" s="1">
        <v>42989</v>
      </c>
      <c r="C594" s="9" t="s">
        <v>1133</v>
      </c>
      <c r="D594" s="9" t="s">
        <v>4928</v>
      </c>
      <c r="E594" s="9" t="s">
        <v>6168</v>
      </c>
      <c r="F594" s="9" t="s">
        <v>27</v>
      </c>
      <c r="G594" s="9" t="s">
        <v>1134</v>
      </c>
      <c r="H594" s="9" t="s">
        <v>105</v>
      </c>
      <c r="I594" s="11">
        <v>30000000</v>
      </c>
      <c r="J594" s="11">
        <v>1214592</v>
      </c>
      <c r="K594" s="11">
        <v>13965170</v>
      </c>
      <c r="L594" s="3">
        <v>341</v>
      </c>
      <c r="M594" s="3">
        <v>4391</v>
      </c>
      <c r="N594" s="3">
        <v>1496384</v>
      </c>
      <c r="O594" s="2">
        <v>0.154</v>
      </c>
      <c r="P594" s="2">
        <v>0.80900000000000005</v>
      </c>
      <c r="Q594" s="2">
        <v>-0.26899999999999996</v>
      </c>
      <c r="R594" s="11">
        <v>478883144</v>
      </c>
      <c r="S594" s="11">
        <v>70130</v>
      </c>
      <c r="T594">
        <v>2017</v>
      </c>
      <c r="U594">
        <v>9</v>
      </c>
      <c r="V594">
        <f t="shared" si="54"/>
        <v>750000</v>
      </c>
      <c r="W594">
        <f t="shared" si="55"/>
        <v>18429897</v>
      </c>
      <c r="X594">
        <f t="shared" si="56"/>
        <v>17679897</v>
      </c>
      <c r="Y594">
        <f t="shared" si="57"/>
        <v>-25769845.5</v>
      </c>
      <c r="Z594">
        <f t="shared" si="58"/>
        <v>44949742.5</v>
      </c>
      <c r="AA594" t="str">
        <f t="shared" si="59"/>
        <v>Normal</v>
      </c>
      <c r="AE594" s="2"/>
      <c r="AF594" s="2"/>
    </row>
    <row r="595" spans="1:32" x14ac:dyDescent="0.35">
      <c r="A595">
        <v>594</v>
      </c>
      <c r="B595" s="1">
        <v>42989</v>
      </c>
      <c r="C595" s="9" t="s">
        <v>1135</v>
      </c>
      <c r="D595" s="9" t="s">
        <v>4988</v>
      </c>
      <c r="E595" s="9" t="s">
        <v>6169</v>
      </c>
      <c r="F595" s="9" t="s">
        <v>124</v>
      </c>
      <c r="G595" s="9" t="s">
        <v>1136</v>
      </c>
      <c r="H595" s="9" t="s">
        <v>105</v>
      </c>
      <c r="I595" s="11">
        <v>6200000</v>
      </c>
      <c r="J595" s="11">
        <v>4898261</v>
      </c>
      <c r="K595" s="11">
        <v>11697359</v>
      </c>
      <c r="L595" s="3">
        <v>498</v>
      </c>
      <c r="M595" s="3">
        <v>2350</v>
      </c>
      <c r="N595" s="3">
        <v>1644467</v>
      </c>
      <c r="O595" s="2">
        <v>1.6E-2</v>
      </c>
      <c r="P595" s="2">
        <v>1.181</v>
      </c>
      <c r="Q595" s="2">
        <v>0.36749999999999999</v>
      </c>
      <c r="R595" s="11">
        <v>277011167</v>
      </c>
      <c r="S595" s="11">
        <v>1470590</v>
      </c>
      <c r="T595">
        <v>2017</v>
      </c>
      <c r="U595">
        <v>9</v>
      </c>
      <c r="V595">
        <f t="shared" si="54"/>
        <v>750000</v>
      </c>
      <c r="W595">
        <f t="shared" si="55"/>
        <v>18429897</v>
      </c>
      <c r="X595">
        <f t="shared" si="56"/>
        <v>17679897</v>
      </c>
      <c r="Y595">
        <f t="shared" si="57"/>
        <v>-25769845.5</v>
      </c>
      <c r="Z595">
        <f t="shared" si="58"/>
        <v>44949742.5</v>
      </c>
      <c r="AA595" t="str">
        <f t="shared" si="59"/>
        <v>Normal</v>
      </c>
      <c r="AE595" s="2"/>
      <c r="AF595" s="2"/>
    </row>
    <row r="596" spans="1:32" x14ac:dyDescent="0.35">
      <c r="A596">
        <v>595</v>
      </c>
      <c r="B596" s="1">
        <v>42990</v>
      </c>
      <c r="C596" s="9" t="s">
        <v>1137</v>
      </c>
      <c r="D596" s="9" t="s">
        <v>4925</v>
      </c>
      <c r="E596" s="9" t="s">
        <v>6170</v>
      </c>
      <c r="F596" s="9" t="s">
        <v>27</v>
      </c>
      <c r="G596" s="9" t="s">
        <v>1138</v>
      </c>
      <c r="H596" s="9" t="s">
        <v>86</v>
      </c>
      <c r="I596" s="11">
        <v>18429897</v>
      </c>
      <c r="J596" s="11">
        <v>1617067</v>
      </c>
      <c r="K596" s="11">
        <v>174538</v>
      </c>
      <c r="L596" s="3">
        <v>253</v>
      </c>
      <c r="M596" s="3">
        <v>2329</v>
      </c>
      <c r="N596" s="3">
        <v>1064237</v>
      </c>
      <c r="O596" s="2">
        <v>0.40899999999999997</v>
      </c>
      <c r="P596" s="2">
        <v>0.879</v>
      </c>
      <c r="Q596" s="2">
        <v>0.26300000000000001</v>
      </c>
      <c r="R596" s="11">
        <v>361230482</v>
      </c>
      <c r="S596" s="11">
        <v>1775879</v>
      </c>
      <c r="T596">
        <v>2017</v>
      </c>
      <c r="U596">
        <v>9</v>
      </c>
      <c r="V596">
        <f t="shared" si="54"/>
        <v>750000</v>
      </c>
      <c r="W596">
        <f t="shared" si="55"/>
        <v>18429897</v>
      </c>
      <c r="X596">
        <f t="shared" si="56"/>
        <v>17679897</v>
      </c>
      <c r="Y596">
        <f t="shared" si="57"/>
        <v>-25769845.5</v>
      </c>
      <c r="Z596">
        <f t="shared" si="58"/>
        <v>44949742.5</v>
      </c>
      <c r="AA596" t="str">
        <f t="shared" si="59"/>
        <v>Normal</v>
      </c>
      <c r="AE596" s="2"/>
      <c r="AF596" s="2"/>
    </row>
    <row r="597" spans="1:32" x14ac:dyDescent="0.35">
      <c r="A597">
        <v>596</v>
      </c>
      <c r="B597" s="1">
        <v>42990</v>
      </c>
      <c r="C597" s="9" t="s">
        <v>365</v>
      </c>
      <c r="D597" s="9" t="s">
        <v>4988</v>
      </c>
      <c r="E597" s="9" t="s">
        <v>6171</v>
      </c>
      <c r="F597" s="9" t="s">
        <v>27</v>
      </c>
      <c r="G597" s="9" t="s">
        <v>856</v>
      </c>
      <c r="H597" s="9" t="s">
        <v>86</v>
      </c>
      <c r="I597" s="11">
        <v>100000</v>
      </c>
      <c r="J597" s="11">
        <v>4014088</v>
      </c>
      <c r="K597" s="11">
        <v>10874854</v>
      </c>
      <c r="L597" s="3">
        <v>254</v>
      </c>
      <c r="M597" s="3">
        <v>2847</v>
      </c>
      <c r="N597" s="3">
        <v>1851251</v>
      </c>
      <c r="O597" s="2">
        <v>0.03</v>
      </c>
      <c r="P597" s="2">
        <v>0.45299999999999996</v>
      </c>
      <c r="Q597" s="2">
        <v>0.31900000000000001</v>
      </c>
      <c r="R597" s="11">
        <v>25799316</v>
      </c>
      <c r="S597" s="11">
        <v>902768</v>
      </c>
      <c r="T597">
        <v>2017</v>
      </c>
      <c r="U597">
        <v>9</v>
      </c>
      <c r="V597">
        <f t="shared" si="54"/>
        <v>750000</v>
      </c>
      <c r="W597">
        <f t="shared" si="55"/>
        <v>18429897</v>
      </c>
      <c r="X597">
        <f t="shared" si="56"/>
        <v>17679897</v>
      </c>
      <c r="Y597">
        <f t="shared" si="57"/>
        <v>-25769845.5</v>
      </c>
      <c r="Z597">
        <f t="shared" si="58"/>
        <v>44949742.5</v>
      </c>
      <c r="AA597" t="str">
        <f t="shared" si="59"/>
        <v>Normal</v>
      </c>
      <c r="AE597" s="2"/>
      <c r="AF597" s="2"/>
    </row>
    <row r="598" spans="1:32" x14ac:dyDescent="0.35">
      <c r="A598">
        <v>597</v>
      </c>
      <c r="B598" s="1">
        <v>42990</v>
      </c>
      <c r="C598" s="9" t="s">
        <v>1139</v>
      </c>
      <c r="D598" s="9" t="s">
        <v>4930</v>
      </c>
      <c r="E598" s="9" t="s">
        <v>6172</v>
      </c>
      <c r="F598" s="9" t="s">
        <v>15</v>
      </c>
      <c r="G598" s="9" t="s">
        <v>1140</v>
      </c>
      <c r="H598" s="9" t="s">
        <v>105</v>
      </c>
      <c r="I598" s="11">
        <v>17000000</v>
      </c>
      <c r="J598" s="11">
        <v>2905235</v>
      </c>
      <c r="K598" s="11">
        <v>10153449</v>
      </c>
      <c r="L598" s="3">
        <v>273</v>
      </c>
      <c r="M598" s="3">
        <v>4693</v>
      </c>
      <c r="N598" s="3">
        <v>718835</v>
      </c>
      <c r="O598" s="2">
        <v>-0.127</v>
      </c>
      <c r="P598" s="2">
        <v>1.073</v>
      </c>
      <c r="Q598" s="2">
        <v>0.161</v>
      </c>
      <c r="R598" s="11">
        <v>60523570</v>
      </c>
      <c r="S598" s="11">
        <v>1959535</v>
      </c>
      <c r="T598">
        <v>2017</v>
      </c>
      <c r="U598">
        <v>9</v>
      </c>
      <c r="V598">
        <f t="shared" si="54"/>
        <v>750000</v>
      </c>
      <c r="W598">
        <f t="shared" si="55"/>
        <v>18429897</v>
      </c>
      <c r="X598">
        <f t="shared" si="56"/>
        <v>17679897</v>
      </c>
      <c r="Y598">
        <f t="shared" si="57"/>
        <v>-25769845.5</v>
      </c>
      <c r="Z598">
        <f t="shared" si="58"/>
        <v>44949742.5</v>
      </c>
      <c r="AA598" t="str">
        <f t="shared" si="59"/>
        <v>Normal</v>
      </c>
      <c r="AE598" s="2"/>
      <c r="AF598" s="2"/>
    </row>
    <row r="599" spans="1:32" x14ac:dyDescent="0.35">
      <c r="A599">
        <v>598</v>
      </c>
      <c r="B599" s="1">
        <v>42990</v>
      </c>
      <c r="C599" s="9" t="s">
        <v>1141</v>
      </c>
      <c r="D599" s="9" t="s">
        <v>4988</v>
      </c>
      <c r="E599" s="9" t="s">
        <v>6173</v>
      </c>
      <c r="F599" s="9" t="s">
        <v>27</v>
      </c>
      <c r="G599" s="9" t="s">
        <v>1142</v>
      </c>
      <c r="H599" s="9" t="s">
        <v>105</v>
      </c>
      <c r="I599" s="11">
        <v>3000000</v>
      </c>
      <c r="J599" s="11">
        <v>3901798</v>
      </c>
      <c r="K599" s="11">
        <v>10153449</v>
      </c>
      <c r="L599" s="3">
        <v>167</v>
      </c>
      <c r="M599" s="3">
        <v>1304</v>
      </c>
      <c r="N599" s="3">
        <v>988322</v>
      </c>
      <c r="O599" s="2">
        <v>1.9E-2</v>
      </c>
      <c r="P599" s="2">
        <v>0.73799999999999999</v>
      </c>
      <c r="Q599" s="2">
        <v>-0.2</v>
      </c>
      <c r="R599" s="11">
        <v>272118383</v>
      </c>
      <c r="S599" s="11">
        <v>1008193.5</v>
      </c>
      <c r="T599">
        <v>2017</v>
      </c>
      <c r="U599">
        <v>9</v>
      </c>
      <c r="V599">
        <f t="shared" si="54"/>
        <v>750000</v>
      </c>
      <c r="W599">
        <f t="shared" si="55"/>
        <v>18429897</v>
      </c>
      <c r="X599">
        <f t="shared" si="56"/>
        <v>17679897</v>
      </c>
      <c r="Y599">
        <f t="shared" si="57"/>
        <v>-25769845.5</v>
      </c>
      <c r="Z599">
        <f t="shared" si="58"/>
        <v>44949742.5</v>
      </c>
      <c r="AA599" t="str">
        <f t="shared" si="59"/>
        <v>Normal</v>
      </c>
      <c r="AE599" s="2"/>
      <c r="AF599" s="2"/>
    </row>
    <row r="600" spans="1:32" x14ac:dyDescent="0.35">
      <c r="A600">
        <v>599</v>
      </c>
      <c r="B600" s="1">
        <v>42991</v>
      </c>
      <c r="C600" s="9" t="s">
        <v>999</v>
      </c>
      <c r="D600" s="9" t="s">
        <v>4930</v>
      </c>
      <c r="E600" s="9" t="s">
        <v>6174</v>
      </c>
      <c r="F600" s="9" t="s">
        <v>310</v>
      </c>
      <c r="G600" s="9" t="s">
        <v>1143</v>
      </c>
      <c r="H600" s="9" t="s">
        <v>86</v>
      </c>
      <c r="I600" s="11">
        <v>18429897</v>
      </c>
      <c r="J600" s="11">
        <v>3146540</v>
      </c>
      <c r="K600" s="11">
        <v>201474</v>
      </c>
      <c r="L600" s="3">
        <v>160</v>
      </c>
      <c r="M600" s="3">
        <v>821</v>
      </c>
      <c r="N600" s="3">
        <v>1234117</v>
      </c>
      <c r="O600" s="2">
        <v>2.7000000000000003E-2</v>
      </c>
      <c r="P600" s="2">
        <v>0.50800000000000001</v>
      </c>
      <c r="Q600" s="2">
        <v>5.2000000000000005E-2</v>
      </c>
      <c r="R600" s="11">
        <v>403020415</v>
      </c>
      <c r="S600" s="11">
        <v>1858542</v>
      </c>
      <c r="T600">
        <v>2017</v>
      </c>
      <c r="U600">
        <v>9</v>
      </c>
      <c r="V600">
        <f t="shared" si="54"/>
        <v>750000</v>
      </c>
      <c r="W600">
        <f t="shared" si="55"/>
        <v>18429897</v>
      </c>
      <c r="X600">
        <f t="shared" si="56"/>
        <v>17679897</v>
      </c>
      <c r="Y600">
        <f t="shared" si="57"/>
        <v>-25769845.5</v>
      </c>
      <c r="Z600">
        <f t="shared" si="58"/>
        <v>44949742.5</v>
      </c>
      <c r="AA600" t="str">
        <f t="shared" si="59"/>
        <v>Normal</v>
      </c>
      <c r="AE600" s="2"/>
      <c r="AF600" s="2"/>
    </row>
    <row r="601" spans="1:32" x14ac:dyDescent="0.35">
      <c r="A601">
        <v>600</v>
      </c>
      <c r="B601" s="1">
        <v>42991</v>
      </c>
      <c r="C601" s="9" t="s">
        <v>252</v>
      </c>
      <c r="D601" s="9" t="s">
        <v>4988</v>
      </c>
      <c r="E601" s="9" t="s">
        <v>1144</v>
      </c>
      <c r="F601" s="9" t="s">
        <v>15</v>
      </c>
      <c r="G601" s="9" t="s">
        <v>853</v>
      </c>
      <c r="H601" s="9" t="s">
        <v>105</v>
      </c>
      <c r="I601" s="11">
        <v>2000000</v>
      </c>
      <c r="J601" s="11">
        <v>3219566</v>
      </c>
      <c r="K601" s="11">
        <v>5827822</v>
      </c>
      <c r="L601" s="3">
        <v>346</v>
      </c>
      <c r="M601" s="3">
        <v>2505.5</v>
      </c>
      <c r="N601" s="3">
        <v>354021</v>
      </c>
      <c r="O601" s="2">
        <v>-0.04</v>
      </c>
      <c r="P601" s="2">
        <v>0.25700000000000001</v>
      </c>
      <c r="Q601" s="2">
        <v>-8.900000000000001E-2</v>
      </c>
      <c r="R601" s="11">
        <v>200221101</v>
      </c>
      <c r="S601" s="11">
        <v>998332</v>
      </c>
      <c r="T601">
        <v>2017</v>
      </c>
      <c r="U601">
        <v>9</v>
      </c>
      <c r="V601">
        <f t="shared" si="54"/>
        <v>750000</v>
      </c>
      <c r="W601">
        <f t="shared" si="55"/>
        <v>18429897</v>
      </c>
      <c r="X601">
        <f t="shared" si="56"/>
        <v>17679897</v>
      </c>
      <c r="Y601">
        <f t="shared" si="57"/>
        <v>-25769845.5</v>
      </c>
      <c r="Z601">
        <f t="shared" si="58"/>
        <v>44949742.5</v>
      </c>
      <c r="AA601" t="str">
        <f t="shared" si="59"/>
        <v>Normal</v>
      </c>
      <c r="AE601" s="2"/>
      <c r="AF601" s="2"/>
    </row>
    <row r="602" spans="1:32" x14ac:dyDescent="0.35">
      <c r="A602">
        <v>601</v>
      </c>
      <c r="B602" s="1">
        <v>42991</v>
      </c>
      <c r="C602" s="9" t="s">
        <v>291</v>
      </c>
      <c r="D602" s="9" t="s">
        <v>4988</v>
      </c>
      <c r="E602" s="9" t="s">
        <v>1145</v>
      </c>
      <c r="F602" s="9" t="s">
        <v>19</v>
      </c>
      <c r="G602" s="9" t="s">
        <v>1146</v>
      </c>
      <c r="H602" s="9" t="s">
        <v>105</v>
      </c>
      <c r="I602" s="11">
        <v>10000000</v>
      </c>
      <c r="J602" s="11">
        <v>3089094</v>
      </c>
      <c r="K602" s="11">
        <v>11429993</v>
      </c>
      <c r="L602" s="3">
        <v>160</v>
      </c>
      <c r="M602" s="3">
        <v>3697</v>
      </c>
      <c r="N602" s="3">
        <v>839933</v>
      </c>
      <c r="O602" s="2">
        <v>0.27600000000000002</v>
      </c>
      <c r="P602" s="2">
        <v>0.26100000000000001</v>
      </c>
      <c r="Q602" s="2">
        <v>7.400000000000001E-2</v>
      </c>
      <c r="R602" s="11">
        <v>250264963</v>
      </c>
      <c r="S602" s="11">
        <v>716183</v>
      </c>
      <c r="T602">
        <v>2017</v>
      </c>
      <c r="U602">
        <v>9</v>
      </c>
      <c r="V602">
        <f t="shared" si="54"/>
        <v>750000</v>
      </c>
      <c r="W602">
        <f t="shared" si="55"/>
        <v>18429897</v>
      </c>
      <c r="X602">
        <f t="shared" si="56"/>
        <v>17679897</v>
      </c>
      <c r="Y602">
        <f t="shared" si="57"/>
        <v>-25769845.5</v>
      </c>
      <c r="Z602">
        <f t="shared" si="58"/>
        <v>44949742.5</v>
      </c>
      <c r="AA602" t="str">
        <f t="shared" si="59"/>
        <v>Normal</v>
      </c>
      <c r="AE602" s="2"/>
      <c r="AF602" s="2"/>
    </row>
    <row r="603" spans="1:32" x14ac:dyDescent="0.35">
      <c r="A603">
        <v>602</v>
      </c>
      <c r="B603" s="1">
        <v>42991</v>
      </c>
      <c r="C603" s="9" t="s">
        <v>273</v>
      </c>
      <c r="D603" s="9" t="s">
        <v>4988</v>
      </c>
      <c r="E603" s="9" t="s">
        <v>5512</v>
      </c>
      <c r="F603" s="9" t="s">
        <v>31</v>
      </c>
      <c r="G603" s="9" t="s">
        <v>1147</v>
      </c>
      <c r="H603" s="9" t="s">
        <v>105</v>
      </c>
      <c r="I603" s="11">
        <v>11500000</v>
      </c>
      <c r="J603" s="11">
        <v>2531926</v>
      </c>
      <c r="K603" s="11">
        <v>16255752</v>
      </c>
      <c r="L603" s="3">
        <v>375</v>
      </c>
      <c r="M603" s="3">
        <v>102</v>
      </c>
      <c r="N603" s="3">
        <v>1800002</v>
      </c>
      <c r="O603" s="2">
        <v>0.315</v>
      </c>
      <c r="P603" s="2">
        <v>0.77900000000000003</v>
      </c>
      <c r="Q603" s="2">
        <v>0.313</v>
      </c>
      <c r="R603" s="11">
        <v>77184793</v>
      </c>
      <c r="S603" s="11">
        <v>1765133</v>
      </c>
      <c r="T603">
        <v>2017</v>
      </c>
      <c r="U603">
        <v>9</v>
      </c>
      <c r="V603">
        <f t="shared" si="54"/>
        <v>750000</v>
      </c>
      <c r="W603">
        <f t="shared" si="55"/>
        <v>18429897</v>
      </c>
      <c r="X603">
        <f t="shared" si="56"/>
        <v>17679897</v>
      </c>
      <c r="Y603">
        <f t="shared" si="57"/>
        <v>-25769845.5</v>
      </c>
      <c r="Z603">
        <f t="shared" si="58"/>
        <v>44949742.5</v>
      </c>
      <c r="AA603" t="str">
        <f t="shared" si="59"/>
        <v>Normal</v>
      </c>
      <c r="AE603" s="2"/>
      <c r="AF603" s="2"/>
    </row>
    <row r="604" spans="1:32" x14ac:dyDescent="0.35">
      <c r="A604">
        <v>603</v>
      </c>
      <c r="B604" s="1">
        <v>42991</v>
      </c>
      <c r="C604" s="9" t="s">
        <v>1148</v>
      </c>
      <c r="D604" s="9" t="s">
        <v>4930</v>
      </c>
      <c r="E604" s="9" t="s">
        <v>6175</v>
      </c>
      <c r="F604" s="9" t="s">
        <v>35</v>
      </c>
      <c r="G604" s="9" t="s">
        <v>1149</v>
      </c>
      <c r="H604" s="9" t="s">
        <v>86</v>
      </c>
      <c r="I604" s="11">
        <v>780000</v>
      </c>
      <c r="J604" s="11">
        <v>3700433</v>
      </c>
      <c r="K604" s="11">
        <v>8953977</v>
      </c>
      <c r="L604" s="3">
        <v>373</v>
      </c>
      <c r="M604" s="3">
        <v>3554</v>
      </c>
      <c r="N604" s="3">
        <v>950202</v>
      </c>
      <c r="O604" s="2">
        <v>-0.27200000000000002</v>
      </c>
      <c r="P604" s="2">
        <v>1.0070000000000001</v>
      </c>
      <c r="Q604" s="2">
        <v>0.70699999999999996</v>
      </c>
      <c r="R604" s="11">
        <v>239131242</v>
      </c>
      <c r="S604" s="11">
        <v>156656</v>
      </c>
      <c r="T604">
        <v>2017</v>
      </c>
      <c r="U604">
        <v>9</v>
      </c>
      <c r="V604">
        <f t="shared" si="54"/>
        <v>750000</v>
      </c>
      <c r="W604">
        <f t="shared" si="55"/>
        <v>18429897</v>
      </c>
      <c r="X604">
        <f t="shared" si="56"/>
        <v>17679897</v>
      </c>
      <c r="Y604">
        <f t="shared" si="57"/>
        <v>-25769845.5</v>
      </c>
      <c r="Z604">
        <f t="shared" si="58"/>
        <v>44949742.5</v>
      </c>
      <c r="AA604" t="str">
        <f t="shared" si="59"/>
        <v>Normal</v>
      </c>
      <c r="AE604" s="2"/>
      <c r="AF604" s="2"/>
    </row>
    <row r="605" spans="1:32" x14ac:dyDescent="0.35">
      <c r="A605">
        <v>604</v>
      </c>
      <c r="B605" s="1">
        <v>42992</v>
      </c>
      <c r="C605" s="9" t="s">
        <v>1150</v>
      </c>
      <c r="D605" s="9" t="s">
        <v>4988</v>
      </c>
      <c r="E605" s="9" t="s">
        <v>1151</v>
      </c>
      <c r="F605" s="9" t="s">
        <v>27</v>
      </c>
      <c r="G605" s="9" t="s">
        <v>1152</v>
      </c>
      <c r="H605" s="9" t="s">
        <v>86</v>
      </c>
      <c r="I605" s="11">
        <v>18429897</v>
      </c>
      <c r="J605" s="11">
        <v>690069</v>
      </c>
      <c r="K605" s="11">
        <v>17151278</v>
      </c>
      <c r="L605" s="3">
        <v>476</v>
      </c>
      <c r="M605" s="3">
        <v>4427</v>
      </c>
      <c r="N605" s="3">
        <v>1862229</v>
      </c>
      <c r="O605" s="2">
        <v>1.6E-2</v>
      </c>
      <c r="P605" s="2">
        <v>0.95299999999999996</v>
      </c>
      <c r="Q605" s="2">
        <v>-0.20100000000000001</v>
      </c>
      <c r="R605" s="11">
        <v>227945454</v>
      </c>
      <c r="S605" s="11">
        <v>236759</v>
      </c>
      <c r="T605">
        <v>2017</v>
      </c>
      <c r="U605">
        <v>9</v>
      </c>
      <c r="V605">
        <f t="shared" si="54"/>
        <v>750000</v>
      </c>
      <c r="W605">
        <f t="shared" si="55"/>
        <v>18429897</v>
      </c>
      <c r="X605">
        <f t="shared" si="56"/>
        <v>17679897</v>
      </c>
      <c r="Y605">
        <f t="shared" si="57"/>
        <v>-25769845.5</v>
      </c>
      <c r="Z605">
        <f t="shared" si="58"/>
        <v>44949742.5</v>
      </c>
      <c r="AA605" t="str">
        <f t="shared" si="59"/>
        <v>Normal</v>
      </c>
      <c r="AE605" s="2"/>
      <c r="AF605" s="2"/>
    </row>
    <row r="606" spans="1:32" x14ac:dyDescent="0.35">
      <c r="A606">
        <v>605</v>
      </c>
      <c r="B606" s="1">
        <v>42992</v>
      </c>
      <c r="C606" s="9" t="s">
        <v>1008</v>
      </c>
      <c r="D606" s="9" t="s">
        <v>4930</v>
      </c>
      <c r="E606" s="9" t="s">
        <v>6176</v>
      </c>
      <c r="F606" s="9" t="s">
        <v>31</v>
      </c>
      <c r="G606" s="9" t="s">
        <v>1153</v>
      </c>
      <c r="H606" s="9" t="s">
        <v>105</v>
      </c>
      <c r="I606" s="11">
        <v>44000000</v>
      </c>
      <c r="J606" s="11">
        <v>4133753</v>
      </c>
      <c r="K606" s="11">
        <v>15937572</v>
      </c>
      <c r="L606" s="3">
        <v>70</v>
      </c>
      <c r="M606" s="3">
        <v>3423</v>
      </c>
      <c r="N606" s="3">
        <v>1018455</v>
      </c>
      <c r="O606" s="2">
        <v>3.1E-2</v>
      </c>
      <c r="P606" s="2">
        <v>1.141E-2</v>
      </c>
      <c r="Q606" s="2">
        <v>0.41700000000000004</v>
      </c>
      <c r="R606" s="11">
        <v>118187244</v>
      </c>
      <c r="S606" s="11">
        <v>1530563</v>
      </c>
      <c r="T606">
        <v>2017</v>
      </c>
      <c r="U606">
        <v>9</v>
      </c>
      <c r="V606">
        <f t="shared" si="54"/>
        <v>748750</v>
      </c>
      <c r="W606">
        <f t="shared" si="55"/>
        <v>18429897</v>
      </c>
      <c r="X606">
        <f t="shared" si="56"/>
        <v>17681147</v>
      </c>
      <c r="Y606">
        <f t="shared" si="57"/>
        <v>-25772970.5</v>
      </c>
      <c r="Z606">
        <f t="shared" si="58"/>
        <v>44951617.5</v>
      </c>
      <c r="AA606" t="str">
        <f t="shared" si="59"/>
        <v>Normal</v>
      </c>
      <c r="AE606" s="2"/>
      <c r="AF606" s="2"/>
    </row>
    <row r="607" spans="1:32" x14ac:dyDescent="0.35">
      <c r="A607">
        <v>606</v>
      </c>
      <c r="B607" s="1">
        <v>42992</v>
      </c>
      <c r="C607" s="9" t="s">
        <v>1154</v>
      </c>
      <c r="D607" s="9" t="s">
        <v>4999</v>
      </c>
      <c r="E607" s="9" t="s">
        <v>5468</v>
      </c>
      <c r="F607" s="9" t="s">
        <v>15</v>
      </c>
      <c r="G607" s="9" t="s">
        <v>387</v>
      </c>
      <c r="H607" s="9" t="s">
        <v>86</v>
      </c>
      <c r="I607" s="11">
        <v>120000</v>
      </c>
      <c r="J607" s="11">
        <v>2689618</v>
      </c>
      <c r="K607" s="11">
        <v>5417621</v>
      </c>
      <c r="L607" s="3">
        <v>184</v>
      </c>
      <c r="M607" s="3">
        <v>894</v>
      </c>
      <c r="N607" s="3">
        <v>340032</v>
      </c>
      <c r="O607" s="2">
        <v>8.5999999999999993E-2</v>
      </c>
      <c r="P607" s="2">
        <v>0.50800000000000001</v>
      </c>
      <c r="Q607" s="2">
        <v>0.19600000000000001</v>
      </c>
      <c r="R607" s="11">
        <v>82417888</v>
      </c>
      <c r="S607" s="11">
        <v>1838261</v>
      </c>
      <c r="T607">
        <v>2017</v>
      </c>
      <c r="U607">
        <v>9</v>
      </c>
      <c r="V607">
        <f t="shared" si="54"/>
        <v>747500</v>
      </c>
      <c r="W607">
        <f t="shared" si="55"/>
        <v>18429897</v>
      </c>
      <c r="X607">
        <f t="shared" si="56"/>
        <v>17682397</v>
      </c>
      <c r="Y607">
        <f t="shared" si="57"/>
        <v>-25776095.5</v>
      </c>
      <c r="Z607">
        <f t="shared" si="58"/>
        <v>44953492.5</v>
      </c>
      <c r="AA607" t="str">
        <f t="shared" si="59"/>
        <v>Normal</v>
      </c>
      <c r="AE607" s="2"/>
      <c r="AF607" s="2"/>
    </row>
    <row r="608" spans="1:32" x14ac:dyDescent="0.35">
      <c r="A608">
        <v>607</v>
      </c>
      <c r="B608" s="1">
        <v>42992</v>
      </c>
      <c r="C608" s="9" t="s">
        <v>1155</v>
      </c>
      <c r="D608" s="9" t="s">
        <v>4988</v>
      </c>
      <c r="E608" s="9" t="s">
        <v>6177</v>
      </c>
      <c r="F608" s="9" t="s">
        <v>27</v>
      </c>
      <c r="G608" s="9" t="s">
        <v>1156</v>
      </c>
      <c r="H608" s="9" t="s">
        <v>105</v>
      </c>
      <c r="I608" s="11">
        <v>18429897</v>
      </c>
      <c r="J608" s="11">
        <v>1628955</v>
      </c>
      <c r="K608" s="11">
        <v>3979596</v>
      </c>
      <c r="L608" s="3">
        <v>386</v>
      </c>
      <c r="M608" s="3">
        <v>3331</v>
      </c>
      <c r="N608" s="3">
        <v>915984</v>
      </c>
      <c r="O608" s="2">
        <v>0.46100000000000002</v>
      </c>
      <c r="P608" s="2">
        <v>0.82099999999999995</v>
      </c>
      <c r="Q608" s="2">
        <v>-0.3</v>
      </c>
      <c r="R608" s="11">
        <v>77631306</v>
      </c>
      <c r="S608" s="11">
        <v>577217</v>
      </c>
      <c r="T608">
        <v>2017</v>
      </c>
      <c r="U608">
        <v>9</v>
      </c>
      <c r="V608">
        <f t="shared" si="54"/>
        <v>750000</v>
      </c>
      <c r="W608">
        <f t="shared" si="55"/>
        <v>18429897</v>
      </c>
      <c r="X608">
        <f t="shared" si="56"/>
        <v>17679897</v>
      </c>
      <c r="Y608">
        <f t="shared" si="57"/>
        <v>-25769845.5</v>
      </c>
      <c r="Z608">
        <f t="shared" si="58"/>
        <v>44949742.5</v>
      </c>
      <c r="AA608" t="str">
        <f t="shared" si="59"/>
        <v>Normal</v>
      </c>
      <c r="AE608" s="2"/>
      <c r="AF608" s="2"/>
    </row>
    <row r="609" spans="1:32" x14ac:dyDescent="0.35">
      <c r="A609">
        <v>608</v>
      </c>
      <c r="B609" s="1">
        <v>42996</v>
      </c>
      <c r="C609" s="9" t="s">
        <v>1157</v>
      </c>
      <c r="D609" s="9" t="s">
        <v>4925</v>
      </c>
      <c r="E609" s="9" t="s">
        <v>6178</v>
      </c>
      <c r="F609" s="9" t="s">
        <v>19</v>
      </c>
      <c r="G609" s="9" t="s">
        <v>1158</v>
      </c>
      <c r="H609" s="9" t="s">
        <v>105</v>
      </c>
      <c r="I609" s="11">
        <v>1000000</v>
      </c>
      <c r="J609" s="11">
        <v>1000000000</v>
      </c>
      <c r="K609" s="11">
        <v>18066082</v>
      </c>
      <c r="L609" s="3">
        <v>217</v>
      </c>
      <c r="M609" s="3">
        <v>2242</v>
      </c>
      <c r="N609" s="3">
        <v>732524</v>
      </c>
      <c r="O609" s="2">
        <v>-4.2999999999999997E-2</v>
      </c>
      <c r="P609" s="2">
        <v>0.82699999999999996</v>
      </c>
      <c r="Q609" s="2">
        <v>7.5999999999999998E-2</v>
      </c>
      <c r="R609" s="11">
        <v>343149643</v>
      </c>
      <c r="S609" s="11">
        <v>1227202</v>
      </c>
      <c r="T609">
        <v>2017</v>
      </c>
      <c r="U609">
        <v>9</v>
      </c>
      <c r="V609">
        <f t="shared" si="54"/>
        <v>750000</v>
      </c>
      <c r="W609">
        <f t="shared" si="55"/>
        <v>18429897</v>
      </c>
      <c r="X609">
        <f t="shared" si="56"/>
        <v>17679897</v>
      </c>
      <c r="Y609">
        <f t="shared" si="57"/>
        <v>-25769845.5</v>
      </c>
      <c r="Z609">
        <f t="shared" si="58"/>
        <v>44949742.5</v>
      </c>
      <c r="AA609" t="str">
        <f t="shared" si="59"/>
        <v>Normal</v>
      </c>
      <c r="AE609" s="2"/>
      <c r="AF609" s="2"/>
    </row>
    <row r="610" spans="1:32" x14ac:dyDescent="0.35">
      <c r="A610">
        <v>609</v>
      </c>
      <c r="B610" s="1">
        <v>42997</v>
      </c>
      <c r="C610" s="9" t="s">
        <v>1159</v>
      </c>
      <c r="D610" s="9" t="s">
        <v>4930</v>
      </c>
      <c r="E610" s="9" t="s">
        <v>1160</v>
      </c>
      <c r="F610" s="9" t="s">
        <v>15</v>
      </c>
      <c r="G610" s="9" t="s">
        <v>1161</v>
      </c>
      <c r="H610" s="9" t="s">
        <v>86</v>
      </c>
      <c r="I610" s="11">
        <v>18429897</v>
      </c>
      <c r="J610" s="11">
        <v>4835577</v>
      </c>
      <c r="K610" s="11">
        <v>11825205</v>
      </c>
      <c r="L610" s="3">
        <v>329</v>
      </c>
      <c r="M610" s="3">
        <v>160</v>
      </c>
      <c r="N610" s="3">
        <v>1899886</v>
      </c>
      <c r="O610" s="2">
        <v>0.432</v>
      </c>
      <c r="P610" s="2">
        <v>0.57999999999999996</v>
      </c>
      <c r="Q610" s="2">
        <v>5.5E-2</v>
      </c>
      <c r="R610" s="11">
        <v>46775519</v>
      </c>
      <c r="S610" s="11">
        <v>397181</v>
      </c>
      <c r="T610">
        <v>2017</v>
      </c>
      <c r="U610">
        <v>9</v>
      </c>
      <c r="V610">
        <f t="shared" si="54"/>
        <v>748750</v>
      </c>
      <c r="W610">
        <f t="shared" si="55"/>
        <v>18429897</v>
      </c>
      <c r="X610">
        <f t="shared" si="56"/>
        <v>17681147</v>
      </c>
      <c r="Y610">
        <f t="shared" si="57"/>
        <v>-25772970.5</v>
      </c>
      <c r="Z610">
        <f t="shared" si="58"/>
        <v>44951617.5</v>
      </c>
      <c r="AA610" t="str">
        <f t="shared" si="59"/>
        <v>Normal</v>
      </c>
      <c r="AE610" s="2"/>
      <c r="AF610" s="2"/>
    </row>
    <row r="611" spans="1:32" x14ac:dyDescent="0.35">
      <c r="A611">
        <v>610</v>
      </c>
      <c r="B611" s="1">
        <v>42997</v>
      </c>
      <c r="C611" s="9" t="s">
        <v>1162</v>
      </c>
      <c r="D611" s="9" t="s">
        <v>4930</v>
      </c>
      <c r="E611" s="9" t="s">
        <v>6179</v>
      </c>
      <c r="F611" s="9" t="s">
        <v>124</v>
      </c>
      <c r="G611" s="9" t="s">
        <v>1163</v>
      </c>
      <c r="H611" s="9" t="s">
        <v>105</v>
      </c>
      <c r="I611" s="11">
        <v>50000000</v>
      </c>
      <c r="J611" s="11">
        <v>4290709</v>
      </c>
      <c r="K611" s="11">
        <v>16989781</v>
      </c>
      <c r="L611" s="3">
        <v>368</v>
      </c>
      <c r="M611" s="3">
        <v>1028</v>
      </c>
      <c r="N611" s="3">
        <v>672015</v>
      </c>
      <c r="O611" s="2">
        <v>9.0999999999999998E-2</v>
      </c>
      <c r="P611" s="2">
        <v>0.20300000000000001</v>
      </c>
      <c r="Q611" s="2">
        <v>0.1</v>
      </c>
      <c r="R611" s="11">
        <v>187209686</v>
      </c>
      <c r="S611" s="11">
        <v>1008193.5</v>
      </c>
      <c r="T611">
        <v>2017</v>
      </c>
      <c r="U611">
        <v>9</v>
      </c>
      <c r="V611">
        <f t="shared" si="54"/>
        <v>747500</v>
      </c>
      <c r="W611">
        <f t="shared" si="55"/>
        <v>18429897</v>
      </c>
      <c r="X611">
        <f t="shared" si="56"/>
        <v>17682397</v>
      </c>
      <c r="Y611">
        <f t="shared" si="57"/>
        <v>-25776095.5</v>
      </c>
      <c r="Z611">
        <f t="shared" si="58"/>
        <v>44953492.5</v>
      </c>
      <c r="AA611" t="str">
        <f t="shared" si="59"/>
        <v>Outlier</v>
      </c>
      <c r="AE611" s="2"/>
      <c r="AF611" s="2"/>
    </row>
    <row r="612" spans="1:32" x14ac:dyDescent="0.35">
      <c r="A612">
        <v>611</v>
      </c>
      <c r="B612" s="1">
        <v>42998</v>
      </c>
      <c r="C612" s="9" t="s">
        <v>1164</v>
      </c>
      <c r="D612" s="9" t="s">
        <v>2539</v>
      </c>
      <c r="E612" s="9" t="s">
        <v>6180</v>
      </c>
      <c r="F612" s="9" t="s">
        <v>31</v>
      </c>
      <c r="G612" s="9" t="s">
        <v>856</v>
      </c>
      <c r="H612" s="9" t="s">
        <v>86</v>
      </c>
      <c r="I612" s="11">
        <v>18429897</v>
      </c>
      <c r="J612" s="11">
        <v>4171818</v>
      </c>
      <c r="K612" s="11">
        <v>18450547</v>
      </c>
      <c r="L612" s="3">
        <v>442</v>
      </c>
      <c r="M612" s="3">
        <v>3723</v>
      </c>
      <c r="N612" s="3">
        <v>970436</v>
      </c>
      <c r="O612" s="2">
        <v>0.434</v>
      </c>
      <c r="P612" s="2">
        <v>1.039E-2</v>
      </c>
      <c r="Q612" s="2">
        <v>0.36199999999999999</v>
      </c>
      <c r="R612" s="11">
        <v>112101654</v>
      </c>
      <c r="S612" s="11">
        <v>923995</v>
      </c>
      <c r="T612">
        <v>2017</v>
      </c>
      <c r="U612">
        <v>9</v>
      </c>
      <c r="V612">
        <f t="shared" si="54"/>
        <v>746250</v>
      </c>
      <c r="W612">
        <f t="shared" si="55"/>
        <v>18429897</v>
      </c>
      <c r="X612">
        <f t="shared" si="56"/>
        <v>17683647</v>
      </c>
      <c r="Y612">
        <f t="shared" si="57"/>
        <v>-25779220.5</v>
      </c>
      <c r="Z612">
        <f t="shared" si="58"/>
        <v>44955367.5</v>
      </c>
      <c r="AA612" t="str">
        <f t="shared" si="59"/>
        <v>Normal</v>
      </c>
      <c r="AE612" s="2"/>
      <c r="AF612" s="2"/>
    </row>
    <row r="613" spans="1:32" x14ac:dyDescent="0.35">
      <c r="A613">
        <v>612</v>
      </c>
      <c r="B613" s="1">
        <v>42999</v>
      </c>
      <c r="C613" s="9" t="s">
        <v>1165</v>
      </c>
      <c r="D613" s="9" t="s">
        <v>4933</v>
      </c>
      <c r="E613" s="9" t="s">
        <v>1166</v>
      </c>
      <c r="F613" s="9" t="s">
        <v>1167</v>
      </c>
      <c r="G613" s="9" t="s">
        <v>1168</v>
      </c>
      <c r="H613" s="9" t="s">
        <v>105</v>
      </c>
      <c r="I613" s="11">
        <v>6000000</v>
      </c>
      <c r="J613" s="11">
        <v>2324740</v>
      </c>
      <c r="K613" s="11">
        <v>8547286</v>
      </c>
      <c r="L613" s="3">
        <v>116</v>
      </c>
      <c r="M613" s="3">
        <v>2826</v>
      </c>
      <c r="N613" s="3">
        <v>1380792</v>
      </c>
      <c r="O613" s="2">
        <v>5.8000000000000003E-2</v>
      </c>
      <c r="P613" s="2">
        <v>0.26700000000000002</v>
      </c>
      <c r="Q613" s="2">
        <v>0.59399999999999997</v>
      </c>
      <c r="R613" s="11">
        <v>408228469</v>
      </c>
      <c r="S613" s="11">
        <v>1897964</v>
      </c>
      <c r="T613">
        <v>2017</v>
      </c>
      <c r="U613">
        <v>9</v>
      </c>
      <c r="V613">
        <f t="shared" si="54"/>
        <v>745000</v>
      </c>
      <c r="W613">
        <f t="shared" si="55"/>
        <v>18429897</v>
      </c>
      <c r="X613">
        <f t="shared" si="56"/>
        <v>17684897</v>
      </c>
      <c r="Y613">
        <f t="shared" si="57"/>
        <v>-25782345.5</v>
      </c>
      <c r="Z613">
        <f t="shared" si="58"/>
        <v>44957242.5</v>
      </c>
      <c r="AA613" t="str">
        <f t="shared" si="59"/>
        <v>Normal</v>
      </c>
      <c r="AE613" s="2"/>
      <c r="AF613" s="2"/>
    </row>
    <row r="614" spans="1:32" x14ac:dyDescent="0.35">
      <c r="A614">
        <v>613</v>
      </c>
      <c r="B614" s="1">
        <v>42999</v>
      </c>
      <c r="C614" s="9" t="s">
        <v>1169</v>
      </c>
      <c r="D614" s="9" t="s">
        <v>4988</v>
      </c>
      <c r="E614" s="9" t="s">
        <v>6181</v>
      </c>
      <c r="F614" s="9" t="s">
        <v>27</v>
      </c>
      <c r="G614" s="9" t="s">
        <v>1170</v>
      </c>
      <c r="H614" s="9" t="s">
        <v>105</v>
      </c>
      <c r="I614" s="11">
        <v>18429897</v>
      </c>
      <c r="J614" s="11">
        <v>2531926</v>
      </c>
      <c r="K614" s="11">
        <v>1010093</v>
      </c>
      <c r="L614" s="3">
        <v>133</v>
      </c>
      <c r="M614" s="3">
        <v>2523</v>
      </c>
      <c r="N614" s="3">
        <v>1923649</v>
      </c>
      <c r="O614" s="2">
        <v>3.4000000000000002E-2</v>
      </c>
      <c r="P614" s="2">
        <v>1.159</v>
      </c>
      <c r="Q614" s="2">
        <v>0.42399999999999999</v>
      </c>
      <c r="R614" s="11">
        <v>179692404</v>
      </c>
      <c r="S614" s="11">
        <v>170615</v>
      </c>
      <c r="T614">
        <v>2017</v>
      </c>
      <c r="U614">
        <v>9</v>
      </c>
      <c r="V614">
        <f t="shared" si="54"/>
        <v>743750</v>
      </c>
      <c r="W614">
        <f t="shared" si="55"/>
        <v>18429897</v>
      </c>
      <c r="X614">
        <f t="shared" si="56"/>
        <v>17686147</v>
      </c>
      <c r="Y614">
        <f t="shared" si="57"/>
        <v>-25785470.5</v>
      </c>
      <c r="Z614">
        <f t="shared" si="58"/>
        <v>44959117.5</v>
      </c>
      <c r="AA614" t="str">
        <f t="shared" si="59"/>
        <v>Normal</v>
      </c>
      <c r="AE614" s="2"/>
      <c r="AF614" s="2"/>
    </row>
    <row r="615" spans="1:32" x14ac:dyDescent="0.35">
      <c r="A615">
        <v>614</v>
      </c>
      <c r="B615" s="1">
        <v>42999</v>
      </c>
      <c r="C615" s="9" t="s">
        <v>1171</v>
      </c>
      <c r="D615" s="9" t="s">
        <v>4988</v>
      </c>
      <c r="E615" s="9" t="s">
        <v>1373</v>
      </c>
      <c r="F615" s="9" t="s">
        <v>27</v>
      </c>
      <c r="G615" s="9" t="s">
        <v>1172</v>
      </c>
      <c r="H615" s="9" t="s">
        <v>105</v>
      </c>
      <c r="I615" s="11">
        <v>18429897</v>
      </c>
      <c r="J615" s="11">
        <v>1937745</v>
      </c>
      <c r="K615" s="11">
        <v>18189104</v>
      </c>
      <c r="L615" s="3">
        <v>238</v>
      </c>
      <c r="M615" s="3">
        <v>3892</v>
      </c>
      <c r="N615" s="3">
        <v>1092494</v>
      </c>
      <c r="O615" s="2">
        <v>0.115</v>
      </c>
      <c r="P615" s="2">
        <v>1.044</v>
      </c>
      <c r="Q615" s="2">
        <v>0.153</v>
      </c>
      <c r="R615" s="11">
        <v>413126049</v>
      </c>
      <c r="S615" s="11">
        <v>1798757</v>
      </c>
      <c r="T615">
        <v>2017</v>
      </c>
      <c r="U615">
        <v>9</v>
      </c>
      <c r="V615">
        <f t="shared" si="54"/>
        <v>742500</v>
      </c>
      <c r="W615">
        <f t="shared" si="55"/>
        <v>18429897</v>
      </c>
      <c r="X615">
        <f t="shared" si="56"/>
        <v>17687397</v>
      </c>
      <c r="Y615">
        <f t="shared" si="57"/>
        <v>-25788595.5</v>
      </c>
      <c r="Z615">
        <f t="shared" si="58"/>
        <v>44960992.5</v>
      </c>
      <c r="AA615" t="str">
        <f t="shared" si="59"/>
        <v>Normal</v>
      </c>
      <c r="AE615" s="2"/>
      <c r="AF615" s="2"/>
    </row>
    <row r="616" spans="1:32" x14ac:dyDescent="0.35">
      <c r="A616">
        <v>615</v>
      </c>
      <c r="B616" s="1">
        <v>42999</v>
      </c>
      <c r="C616" s="9" t="s">
        <v>1173</v>
      </c>
      <c r="D616" s="9" t="s">
        <v>4925</v>
      </c>
      <c r="E616" s="9" t="s">
        <v>6182</v>
      </c>
      <c r="F616" s="9" t="s">
        <v>15</v>
      </c>
      <c r="G616" s="9" t="s">
        <v>1174</v>
      </c>
      <c r="H616" s="9" t="s">
        <v>105</v>
      </c>
      <c r="I616" s="11">
        <v>1000000</v>
      </c>
      <c r="J616" s="11">
        <v>3437104</v>
      </c>
      <c r="K616" s="11">
        <v>11713124</v>
      </c>
      <c r="L616" s="3">
        <v>255</v>
      </c>
      <c r="M616" s="3">
        <v>2644</v>
      </c>
      <c r="N616" s="3">
        <v>1695391</v>
      </c>
      <c r="O616" s="2">
        <v>0.378</v>
      </c>
      <c r="P616" s="2">
        <v>0.30399999999999999</v>
      </c>
      <c r="Q616" s="2">
        <v>0.18099999999999999</v>
      </c>
      <c r="R616" s="11">
        <v>69961753</v>
      </c>
      <c r="S616" s="11">
        <v>59082</v>
      </c>
      <c r="T616">
        <v>2017</v>
      </c>
      <c r="U616">
        <v>9</v>
      </c>
      <c r="V616">
        <f t="shared" si="54"/>
        <v>741250</v>
      </c>
      <c r="W616">
        <f t="shared" si="55"/>
        <v>18429897</v>
      </c>
      <c r="X616">
        <f t="shared" si="56"/>
        <v>17688647</v>
      </c>
      <c r="Y616">
        <f t="shared" si="57"/>
        <v>-25791720.5</v>
      </c>
      <c r="Z616">
        <f t="shared" si="58"/>
        <v>44962867.5</v>
      </c>
      <c r="AA616" t="str">
        <f t="shared" si="59"/>
        <v>Normal</v>
      </c>
      <c r="AE616" s="2"/>
      <c r="AF616" s="2"/>
    </row>
    <row r="617" spans="1:32" x14ac:dyDescent="0.35">
      <c r="A617">
        <v>616</v>
      </c>
      <c r="B617" s="1">
        <v>43000</v>
      </c>
      <c r="C617" s="9" t="s">
        <v>1175</v>
      </c>
      <c r="D617" s="9" t="s">
        <v>4925</v>
      </c>
      <c r="E617" s="9" t="s">
        <v>6183</v>
      </c>
      <c r="F617" s="9" t="s">
        <v>19</v>
      </c>
      <c r="G617" s="9" t="s">
        <v>1176</v>
      </c>
      <c r="H617" s="9" t="s">
        <v>59</v>
      </c>
      <c r="I617" s="11">
        <v>15400000</v>
      </c>
      <c r="J617" s="11">
        <v>3205025</v>
      </c>
      <c r="K617" s="11">
        <v>2496735</v>
      </c>
      <c r="L617" s="3">
        <v>453</v>
      </c>
      <c r="M617" s="3">
        <v>4842</v>
      </c>
      <c r="N617" s="3">
        <v>234131</v>
      </c>
      <c r="O617" s="2">
        <v>0.152</v>
      </c>
      <c r="P617" s="2">
        <v>0.32200000000000001</v>
      </c>
      <c r="Q617" s="2">
        <v>0.62</v>
      </c>
      <c r="R617" s="11">
        <v>85201137</v>
      </c>
      <c r="S617" s="11">
        <v>1994156</v>
      </c>
      <c r="T617">
        <v>2017</v>
      </c>
      <c r="U617">
        <v>9</v>
      </c>
      <c r="V617">
        <f t="shared" si="54"/>
        <v>740000</v>
      </c>
      <c r="W617">
        <f t="shared" si="55"/>
        <v>18429897</v>
      </c>
      <c r="X617">
        <f t="shared" si="56"/>
        <v>17689897</v>
      </c>
      <c r="Y617">
        <f t="shared" si="57"/>
        <v>-25794845.5</v>
      </c>
      <c r="Z617">
        <f t="shared" si="58"/>
        <v>44964742.5</v>
      </c>
      <c r="AA617" t="str">
        <f t="shared" si="59"/>
        <v>Normal</v>
      </c>
      <c r="AE617" s="2"/>
      <c r="AF617" s="2"/>
    </row>
    <row r="618" spans="1:32" x14ac:dyDescent="0.35">
      <c r="A618">
        <v>617</v>
      </c>
      <c r="B618" s="1">
        <v>43000</v>
      </c>
      <c r="C618" s="9" t="s">
        <v>1177</v>
      </c>
      <c r="D618" s="9" t="s">
        <v>4930</v>
      </c>
      <c r="E618" s="9" t="s">
        <v>6184</v>
      </c>
      <c r="F618" s="9" t="s">
        <v>15</v>
      </c>
      <c r="G618" s="9" t="s">
        <v>376</v>
      </c>
      <c r="H618" s="9" t="s">
        <v>105</v>
      </c>
      <c r="I618" s="11">
        <v>18429897</v>
      </c>
      <c r="J618" s="11">
        <v>1263997</v>
      </c>
      <c r="K618" s="11">
        <v>10642915</v>
      </c>
      <c r="L618" s="3">
        <v>24</v>
      </c>
      <c r="M618" s="3">
        <v>301</v>
      </c>
      <c r="N618" s="3">
        <v>1781865</v>
      </c>
      <c r="O618" s="2">
        <v>0.16200000000000001</v>
      </c>
      <c r="P618" s="2">
        <v>0.93700000000000006</v>
      </c>
      <c r="Q618" s="2">
        <v>-0.16500000000000001</v>
      </c>
      <c r="R618" s="11">
        <v>150673465</v>
      </c>
      <c r="S618" s="11">
        <v>1013109</v>
      </c>
      <c r="T618">
        <v>2017</v>
      </c>
      <c r="U618">
        <v>9</v>
      </c>
      <c r="V618">
        <f t="shared" si="54"/>
        <v>738500</v>
      </c>
      <c r="W618">
        <f t="shared" si="55"/>
        <v>18429897</v>
      </c>
      <c r="X618">
        <f t="shared" si="56"/>
        <v>17691397</v>
      </c>
      <c r="Y618">
        <f t="shared" si="57"/>
        <v>-25798595.5</v>
      </c>
      <c r="Z618">
        <f t="shared" si="58"/>
        <v>44966992.5</v>
      </c>
      <c r="AA618" t="str">
        <f t="shared" si="59"/>
        <v>Normal</v>
      </c>
      <c r="AE618" s="2"/>
      <c r="AF618" s="2"/>
    </row>
    <row r="619" spans="1:32" x14ac:dyDescent="0.35">
      <c r="A619">
        <v>618</v>
      </c>
      <c r="B619" s="1">
        <v>43003</v>
      </c>
      <c r="C619" s="9" t="s">
        <v>1178</v>
      </c>
      <c r="D619" s="9" t="s">
        <v>4988</v>
      </c>
      <c r="E619" s="9" t="s">
        <v>6185</v>
      </c>
      <c r="F619" s="9" t="s">
        <v>15</v>
      </c>
      <c r="G619" s="9" t="s">
        <v>1179</v>
      </c>
      <c r="H619" s="9" t="s">
        <v>86</v>
      </c>
      <c r="I619" s="11">
        <v>18429897</v>
      </c>
      <c r="J619" s="11">
        <v>1346987</v>
      </c>
      <c r="K619" s="11">
        <v>656932</v>
      </c>
      <c r="L619" s="3">
        <v>126</v>
      </c>
      <c r="M619" s="3">
        <v>1467</v>
      </c>
      <c r="N619" s="3">
        <v>415061</v>
      </c>
      <c r="O619" s="2">
        <v>0.247</v>
      </c>
      <c r="P619" s="2">
        <v>0.74400000000000011</v>
      </c>
      <c r="Q619" s="2">
        <v>0.41100000000000003</v>
      </c>
      <c r="R619" s="11">
        <v>326336758</v>
      </c>
      <c r="S619" s="11">
        <v>1617849</v>
      </c>
      <c r="T619">
        <v>2017</v>
      </c>
      <c r="U619">
        <v>9</v>
      </c>
      <c r="V619">
        <f t="shared" si="54"/>
        <v>737000</v>
      </c>
      <c r="W619">
        <f t="shared" si="55"/>
        <v>18429897</v>
      </c>
      <c r="X619">
        <f t="shared" si="56"/>
        <v>17692897</v>
      </c>
      <c r="Y619">
        <f t="shared" si="57"/>
        <v>-25802345.5</v>
      </c>
      <c r="Z619">
        <f t="shared" si="58"/>
        <v>44969242.5</v>
      </c>
      <c r="AA619" t="str">
        <f t="shared" si="59"/>
        <v>Normal</v>
      </c>
      <c r="AE619" s="2"/>
      <c r="AF619" s="2"/>
    </row>
    <row r="620" spans="1:32" x14ac:dyDescent="0.35">
      <c r="A620">
        <v>619</v>
      </c>
      <c r="B620" s="1">
        <v>43003</v>
      </c>
      <c r="C620" s="9" t="s">
        <v>1180</v>
      </c>
      <c r="D620" s="9" t="s">
        <v>4930</v>
      </c>
      <c r="E620" s="9" t="s">
        <v>6186</v>
      </c>
      <c r="F620" s="9" t="s">
        <v>15</v>
      </c>
      <c r="G620" s="9" t="s">
        <v>1181</v>
      </c>
      <c r="H620" s="9" t="s">
        <v>105</v>
      </c>
      <c r="I620" s="11">
        <v>6000000</v>
      </c>
      <c r="J620" s="11">
        <v>324443</v>
      </c>
      <c r="K620" s="11">
        <v>5867009</v>
      </c>
      <c r="L620" s="3">
        <v>456</v>
      </c>
      <c r="M620" s="3">
        <v>982</v>
      </c>
      <c r="N620" s="3">
        <v>1526574</v>
      </c>
      <c r="O620" s="2">
        <v>-5.6000000000000001E-2</v>
      </c>
      <c r="P620" s="2">
        <v>0.84900000000000009</v>
      </c>
      <c r="Q620" s="2">
        <v>-0.187</v>
      </c>
      <c r="R620" s="11">
        <v>159103005</v>
      </c>
      <c r="S620" s="11">
        <v>1261619</v>
      </c>
      <c r="T620">
        <v>2017</v>
      </c>
      <c r="U620">
        <v>9</v>
      </c>
      <c r="V620">
        <f t="shared" si="54"/>
        <v>735500</v>
      </c>
      <c r="W620">
        <f t="shared" si="55"/>
        <v>18429897</v>
      </c>
      <c r="X620">
        <f t="shared" si="56"/>
        <v>17694397</v>
      </c>
      <c r="Y620">
        <f t="shared" si="57"/>
        <v>-25806095.5</v>
      </c>
      <c r="Z620">
        <f t="shared" si="58"/>
        <v>44971492.5</v>
      </c>
      <c r="AA620" t="str">
        <f t="shared" si="59"/>
        <v>Normal</v>
      </c>
      <c r="AE620" s="2"/>
      <c r="AF620" s="2"/>
    </row>
    <row r="621" spans="1:32" x14ac:dyDescent="0.35">
      <c r="A621">
        <v>620</v>
      </c>
      <c r="B621" s="1">
        <v>43003</v>
      </c>
      <c r="C621" s="9" t="s">
        <v>1182</v>
      </c>
      <c r="D621" s="9" t="s">
        <v>4988</v>
      </c>
      <c r="E621" s="9" t="s">
        <v>5267</v>
      </c>
      <c r="F621" s="9" t="s">
        <v>124</v>
      </c>
      <c r="G621" s="9" t="s">
        <v>1183</v>
      </c>
      <c r="H621" s="9" t="s">
        <v>105</v>
      </c>
      <c r="I621" s="11">
        <v>18429897</v>
      </c>
      <c r="J621" s="11">
        <v>716046</v>
      </c>
      <c r="K621" s="11">
        <v>10153449</v>
      </c>
      <c r="L621" s="3">
        <v>309</v>
      </c>
      <c r="M621" s="3">
        <v>2098</v>
      </c>
      <c r="N621" s="3">
        <v>1068153</v>
      </c>
      <c r="O621" s="2">
        <v>0.187</v>
      </c>
      <c r="P621" s="2">
        <v>0.49</v>
      </c>
      <c r="Q621" s="2">
        <v>-0.28100000000000003</v>
      </c>
      <c r="R621" s="11">
        <v>201997424</v>
      </c>
      <c r="S621" s="11">
        <v>1688607</v>
      </c>
      <c r="T621">
        <v>2017</v>
      </c>
      <c r="U621">
        <v>9</v>
      </c>
      <c r="V621">
        <f t="shared" si="54"/>
        <v>734000</v>
      </c>
      <c r="W621">
        <f t="shared" si="55"/>
        <v>18429897</v>
      </c>
      <c r="X621">
        <f t="shared" si="56"/>
        <v>17695897</v>
      </c>
      <c r="Y621">
        <f t="shared" si="57"/>
        <v>-25809845.5</v>
      </c>
      <c r="Z621">
        <f t="shared" si="58"/>
        <v>44973742.5</v>
      </c>
      <c r="AA621" t="str">
        <f t="shared" si="59"/>
        <v>Normal</v>
      </c>
      <c r="AE621" s="2"/>
      <c r="AF621" s="2"/>
    </row>
    <row r="622" spans="1:32" x14ac:dyDescent="0.35">
      <c r="A622">
        <v>621</v>
      </c>
      <c r="B622" s="1">
        <v>43003</v>
      </c>
      <c r="C622" s="9" t="s">
        <v>1184</v>
      </c>
      <c r="D622" s="9" t="s">
        <v>4930</v>
      </c>
      <c r="E622" s="9" t="s">
        <v>6187</v>
      </c>
      <c r="F622" s="9" t="s">
        <v>15</v>
      </c>
      <c r="G622" s="9" t="s">
        <v>1185</v>
      </c>
      <c r="H622" s="9" t="s">
        <v>105</v>
      </c>
      <c r="I622" s="11">
        <v>18429897</v>
      </c>
      <c r="J622" s="11">
        <v>2179420</v>
      </c>
      <c r="K622" s="11">
        <v>10153449</v>
      </c>
      <c r="L622" s="3">
        <v>339</v>
      </c>
      <c r="M622" s="3">
        <v>4559</v>
      </c>
      <c r="N622" s="3">
        <v>1209090</v>
      </c>
      <c r="O622" s="2">
        <v>-0.6</v>
      </c>
      <c r="P622" s="2">
        <v>1.0840000000000001E-2</v>
      </c>
      <c r="Q622" s="2">
        <v>0.25800000000000001</v>
      </c>
      <c r="R622" s="11">
        <v>50977809</v>
      </c>
      <c r="S622" s="11">
        <v>1224139</v>
      </c>
      <c r="T622">
        <v>2017</v>
      </c>
      <c r="U622">
        <v>9</v>
      </c>
      <c r="V622">
        <f t="shared" si="54"/>
        <v>725500</v>
      </c>
      <c r="W622">
        <f t="shared" si="55"/>
        <v>18429897</v>
      </c>
      <c r="X622">
        <f t="shared" si="56"/>
        <v>17704397</v>
      </c>
      <c r="Y622">
        <f t="shared" si="57"/>
        <v>-25831095.5</v>
      </c>
      <c r="Z622">
        <f t="shared" si="58"/>
        <v>44986492.5</v>
      </c>
      <c r="AA622" t="str">
        <f t="shared" si="59"/>
        <v>Normal</v>
      </c>
      <c r="AE622" s="2"/>
      <c r="AF622" s="2"/>
    </row>
    <row r="623" spans="1:32" x14ac:dyDescent="0.35">
      <c r="A623">
        <v>622</v>
      </c>
      <c r="B623" s="1">
        <v>43003</v>
      </c>
      <c r="C623" s="9" t="s">
        <v>984</v>
      </c>
      <c r="D623" s="9" t="s">
        <v>4988</v>
      </c>
      <c r="E623" s="9" t="s">
        <v>6188</v>
      </c>
      <c r="F623" s="9" t="s">
        <v>15</v>
      </c>
      <c r="G623" s="9" t="s">
        <v>1186</v>
      </c>
      <c r="H623" s="9" t="s">
        <v>86</v>
      </c>
      <c r="I623" s="11">
        <v>422000</v>
      </c>
      <c r="J623" s="11">
        <v>2399828</v>
      </c>
      <c r="K623" s="11">
        <v>11352170</v>
      </c>
      <c r="L623" s="3">
        <v>128</v>
      </c>
      <c r="M623" s="3">
        <v>2076</v>
      </c>
      <c r="N623" s="3">
        <v>185397</v>
      </c>
      <c r="O623" s="2">
        <v>0.41399999999999998</v>
      </c>
      <c r="P623" s="2">
        <v>0.74299999999999999</v>
      </c>
      <c r="Q623" s="2">
        <v>-0.314</v>
      </c>
      <c r="R623" s="11">
        <v>250264963</v>
      </c>
      <c r="S623" s="11">
        <v>318982</v>
      </c>
      <c r="T623">
        <v>2017</v>
      </c>
      <c r="U623">
        <v>9</v>
      </c>
      <c r="V623">
        <f t="shared" si="54"/>
        <v>717000</v>
      </c>
      <c r="W623">
        <f t="shared" si="55"/>
        <v>18429897</v>
      </c>
      <c r="X623">
        <f t="shared" si="56"/>
        <v>17712897</v>
      </c>
      <c r="Y623">
        <f t="shared" si="57"/>
        <v>-25852345.5</v>
      </c>
      <c r="Z623">
        <f t="shared" si="58"/>
        <v>44999242.5</v>
      </c>
      <c r="AA623" t="str">
        <f t="shared" si="59"/>
        <v>Normal</v>
      </c>
      <c r="AE623" s="2"/>
      <c r="AF623" s="2"/>
    </row>
    <row r="624" spans="1:32" x14ac:dyDescent="0.35">
      <c r="A624">
        <v>623</v>
      </c>
      <c r="B624" s="1">
        <v>43003</v>
      </c>
      <c r="C624" s="9" t="s">
        <v>1187</v>
      </c>
      <c r="D624" s="9" t="s">
        <v>4988</v>
      </c>
      <c r="E624" s="9" t="s">
        <v>6189</v>
      </c>
      <c r="F624" s="9" t="s">
        <v>31</v>
      </c>
      <c r="G624" s="9" t="s">
        <v>1188</v>
      </c>
      <c r="H624" s="9" t="s">
        <v>86</v>
      </c>
      <c r="I624" s="11">
        <v>150000</v>
      </c>
      <c r="J624" s="11">
        <v>842301</v>
      </c>
      <c r="K624" s="11">
        <v>16803953</v>
      </c>
      <c r="L624" s="3">
        <v>313</v>
      </c>
      <c r="M624" s="3">
        <v>1611</v>
      </c>
      <c r="N624" s="3">
        <v>1065382</v>
      </c>
      <c r="O624" s="2">
        <v>0.20399999999999999</v>
      </c>
      <c r="P624" s="2">
        <v>0.76500000000000001</v>
      </c>
      <c r="Q624" s="2">
        <v>2E-3</v>
      </c>
      <c r="R624" s="11">
        <v>26571109</v>
      </c>
      <c r="S624" s="11">
        <v>60224</v>
      </c>
      <c r="T624">
        <v>2017</v>
      </c>
      <c r="U624">
        <v>9</v>
      </c>
      <c r="V624">
        <f t="shared" si="54"/>
        <v>735500</v>
      </c>
      <c r="W624">
        <f t="shared" si="55"/>
        <v>18429897</v>
      </c>
      <c r="X624">
        <f t="shared" si="56"/>
        <v>17694397</v>
      </c>
      <c r="Y624">
        <f t="shared" si="57"/>
        <v>-25806095.5</v>
      </c>
      <c r="Z624">
        <f t="shared" si="58"/>
        <v>44971492.5</v>
      </c>
      <c r="AA624" t="str">
        <f t="shared" si="59"/>
        <v>Normal</v>
      </c>
      <c r="AE624" s="2"/>
      <c r="AF624" s="2"/>
    </row>
    <row r="625" spans="1:32" x14ac:dyDescent="0.35">
      <c r="A625">
        <v>624</v>
      </c>
      <c r="B625" s="1">
        <v>43004</v>
      </c>
      <c r="C625" s="9" t="s">
        <v>1189</v>
      </c>
      <c r="D625" s="9" t="s">
        <v>4988</v>
      </c>
      <c r="E625" s="9" t="s">
        <v>5187</v>
      </c>
      <c r="F625" s="9" t="s">
        <v>15</v>
      </c>
      <c r="G625" s="9" t="s">
        <v>1190</v>
      </c>
      <c r="H625" s="9" t="s">
        <v>105</v>
      </c>
      <c r="I625" s="11">
        <v>18429897</v>
      </c>
      <c r="J625" s="11">
        <v>2096109</v>
      </c>
      <c r="K625" s="11">
        <v>7093708</v>
      </c>
      <c r="L625" s="3">
        <v>188</v>
      </c>
      <c r="M625" s="3">
        <v>468</v>
      </c>
      <c r="N625" s="3">
        <v>172929</v>
      </c>
      <c r="O625" s="2">
        <v>0.25900000000000001</v>
      </c>
      <c r="P625" s="2">
        <v>1.191E-2</v>
      </c>
      <c r="Q625" s="2">
        <v>0.44400000000000001</v>
      </c>
      <c r="R625" s="11">
        <v>125029926</v>
      </c>
      <c r="S625" s="11">
        <v>1665210</v>
      </c>
      <c r="T625">
        <v>2017</v>
      </c>
      <c r="U625">
        <v>9</v>
      </c>
      <c r="V625">
        <f t="shared" si="54"/>
        <v>740000</v>
      </c>
      <c r="W625">
        <f t="shared" si="55"/>
        <v>18429897</v>
      </c>
      <c r="X625">
        <f t="shared" si="56"/>
        <v>17689897</v>
      </c>
      <c r="Y625">
        <f t="shared" si="57"/>
        <v>-25794845.5</v>
      </c>
      <c r="Z625">
        <f t="shared" si="58"/>
        <v>44964742.5</v>
      </c>
      <c r="AA625" t="str">
        <f t="shared" si="59"/>
        <v>Normal</v>
      </c>
      <c r="AE625" s="2"/>
      <c r="AF625" s="2"/>
    </row>
    <row r="626" spans="1:32" x14ac:dyDescent="0.35">
      <c r="A626">
        <v>625</v>
      </c>
      <c r="B626" s="1">
        <v>43004</v>
      </c>
      <c r="C626" s="9" t="s">
        <v>1191</v>
      </c>
      <c r="D626" s="9" t="s">
        <v>4988</v>
      </c>
      <c r="E626" s="9" t="s">
        <v>6190</v>
      </c>
      <c r="F626" s="9" t="s">
        <v>19</v>
      </c>
      <c r="G626" s="9" t="s">
        <v>1192</v>
      </c>
      <c r="H626" s="9" t="s">
        <v>86</v>
      </c>
      <c r="I626" s="11">
        <v>18429897</v>
      </c>
      <c r="J626" s="11">
        <v>3028804</v>
      </c>
      <c r="K626" s="11">
        <v>14733019</v>
      </c>
      <c r="L626" s="3">
        <v>367</v>
      </c>
      <c r="M626" s="3">
        <v>1999</v>
      </c>
      <c r="N626" s="3">
        <v>1103355</v>
      </c>
      <c r="O626" s="2">
        <v>1.6E-2</v>
      </c>
      <c r="P626" s="2">
        <v>0.50800000000000001</v>
      </c>
      <c r="Q626" s="2">
        <v>-0.128</v>
      </c>
      <c r="R626" s="11">
        <v>364373123</v>
      </c>
      <c r="S626" s="11">
        <v>183135</v>
      </c>
      <c r="T626">
        <v>2017</v>
      </c>
      <c r="U626">
        <v>9</v>
      </c>
      <c r="V626">
        <f t="shared" si="54"/>
        <v>738500</v>
      </c>
      <c r="W626">
        <f t="shared" si="55"/>
        <v>18429897</v>
      </c>
      <c r="X626">
        <f t="shared" si="56"/>
        <v>17691397</v>
      </c>
      <c r="Y626">
        <f t="shared" si="57"/>
        <v>-25798595.5</v>
      </c>
      <c r="Z626">
        <f t="shared" si="58"/>
        <v>44966992.5</v>
      </c>
      <c r="AA626" t="str">
        <f t="shared" si="59"/>
        <v>Normal</v>
      </c>
      <c r="AE626" s="2"/>
      <c r="AF626" s="2"/>
    </row>
    <row r="627" spans="1:32" x14ac:dyDescent="0.35">
      <c r="A627">
        <v>626</v>
      </c>
      <c r="B627" s="1">
        <v>43004</v>
      </c>
      <c r="C627" s="9" t="s">
        <v>1193</v>
      </c>
      <c r="D627" s="9" t="s">
        <v>4988</v>
      </c>
      <c r="E627" s="9" t="s">
        <v>6191</v>
      </c>
      <c r="F627" s="9" t="s">
        <v>15</v>
      </c>
      <c r="G627" s="9" t="s">
        <v>1194</v>
      </c>
      <c r="H627" s="9" t="s">
        <v>86</v>
      </c>
      <c r="I627" s="11">
        <v>18429897</v>
      </c>
      <c r="J627" s="11">
        <v>1178198</v>
      </c>
      <c r="K627" s="11">
        <v>18847147</v>
      </c>
      <c r="L627" s="3">
        <v>49</v>
      </c>
      <c r="M627" s="3">
        <v>1182</v>
      </c>
      <c r="N627" s="3">
        <v>812876</v>
      </c>
      <c r="O627" s="2">
        <v>0.26100000000000001</v>
      </c>
      <c r="P627" s="2">
        <v>0.88900000000000001</v>
      </c>
      <c r="Q627" s="2">
        <v>0.54899999999999993</v>
      </c>
      <c r="R627" s="11">
        <v>181972061</v>
      </c>
      <c r="S627" s="11">
        <v>1451373</v>
      </c>
      <c r="T627">
        <v>2017</v>
      </c>
      <c r="U627">
        <v>9</v>
      </c>
      <c r="V627">
        <f t="shared" si="54"/>
        <v>737000</v>
      </c>
      <c r="W627">
        <f t="shared" si="55"/>
        <v>18429897</v>
      </c>
      <c r="X627">
        <f t="shared" si="56"/>
        <v>17692897</v>
      </c>
      <c r="Y627">
        <f t="shared" si="57"/>
        <v>-25802345.5</v>
      </c>
      <c r="Z627">
        <f t="shared" si="58"/>
        <v>44969242.5</v>
      </c>
      <c r="AA627" t="str">
        <f t="shared" si="59"/>
        <v>Normal</v>
      </c>
      <c r="AE627" s="2"/>
      <c r="AF627" s="2"/>
    </row>
    <row r="628" spans="1:32" x14ac:dyDescent="0.35">
      <c r="A628">
        <v>627</v>
      </c>
      <c r="B628" s="1">
        <v>43005</v>
      </c>
      <c r="C628" s="9" t="s">
        <v>1195</v>
      </c>
      <c r="D628" s="9" t="s">
        <v>4930</v>
      </c>
      <c r="E628" s="9" t="s">
        <v>6192</v>
      </c>
      <c r="F628" s="9" t="s">
        <v>31</v>
      </c>
      <c r="G628" s="9" t="s">
        <v>1196</v>
      </c>
      <c r="H628" s="9" t="s">
        <v>105</v>
      </c>
      <c r="I628" s="11">
        <v>1600000</v>
      </c>
      <c r="J628" s="11">
        <v>1704419</v>
      </c>
      <c r="K628" s="11">
        <v>14995494</v>
      </c>
      <c r="L628" s="3">
        <v>145</v>
      </c>
      <c r="M628" s="3">
        <v>986</v>
      </c>
      <c r="N628" s="3">
        <v>402989</v>
      </c>
      <c r="O628" s="2">
        <v>8.4000000000000005E-2</v>
      </c>
      <c r="P628" s="2">
        <v>1.0669999999999999E-2</v>
      </c>
      <c r="Q628" s="2">
        <v>-0.46399999999999997</v>
      </c>
      <c r="R628" s="11">
        <v>481384955</v>
      </c>
      <c r="S628" s="11">
        <v>379552</v>
      </c>
      <c r="T628">
        <v>2017</v>
      </c>
      <c r="U628">
        <v>9</v>
      </c>
      <c r="V628">
        <f t="shared" si="54"/>
        <v>735500</v>
      </c>
      <c r="W628">
        <f t="shared" si="55"/>
        <v>18429897</v>
      </c>
      <c r="X628">
        <f t="shared" si="56"/>
        <v>17694397</v>
      </c>
      <c r="Y628">
        <f t="shared" si="57"/>
        <v>-25806095.5</v>
      </c>
      <c r="Z628">
        <f t="shared" si="58"/>
        <v>44971492.5</v>
      </c>
      <c r="AA628" t="str">
        <f t="shared" si="59"/>
        <v>Normal</v>
      </c>
      <c r="AE628" s="2"/>
      <c r="AF628" s="2"/>
    </row>
    <row r="629" spans="1:32" x14ac:dyDescent="0.35">
      <c r="A629">
        <v>628</v>
      </c>
      <c r="B629" s="1">
        <v>43005</v>
      </c>
      <c r="C629" s="9" t="s">
        <v>1197</v>
      </c>
      <c r="D629" s="9" t="s">
        <v>4988</v>
      </c>
      <c r="E629" s="9" t="s">
        <v>6193</v>
      </c>
      <c r="F629" s="9" t="s">
        <v>19</v>
      </c>
      <c r="G629" s="9" t="s">
        <v>1198</v>
      </c>
      <c r="H629" s="9" t="s">
        <v>105</v>
      </c>
      <c r="I629" s="11">
        <v>18429897</v>
      </c>
      <c r="J629" s="11">
        <v>1850208</v>
      </c>
      <c r="K629" s="11">
        <v>5168733</v>
      </c>
      <c r="L629" s="3">
        <v>324</v>
      </c>
      <c r="M629" s="3">
        <v>712</v>
      </c>
      <c r="N629" s="3">
        <v>982263</v>
      </c>
      <c r="O629" s="2">
        <v>-0.16699999999999998</v>
      </c>
      <c r="P629" s="2">
        <v>1.1909999999999998</v>
      </c>
      <c r="Q629" s="2">
        <v>0.36099999999999999</v>
      </c>
      <c r="R629" s="11">
        <v>455198021</v>
      </c>
      <c r="S629" s="11">
        <v>1008193.5</v>
      </c>
      <c r="T629">
        <v>2017</v>
      </c>
      <c r="U629">
        <v>9</v>
      </c>
      <c r="V629">
        <f t="shared" si="54"/>
        <v>734000</v>
      </c>
      <c r="W629">
        <f t="shared" si="55"/>
        <v>18429897</v>
      </c>
      <c r="X629">
        <f t="shared" si="56"/>
        <v>17695897</v>
      </c>
      <c r="Y629">
        <f t="shared" si="57"/>
        <v>-25809845.5</v>
      </c>
      <c r="Z629">
        <f t="shared" si="58"/>
        <v>44973742.5</v>
      </c>
      <c r="AA629" t="str">
        <f t="shared" si="59"/>
        <v>Normal</v>
      </c>
      <c r="AE629" s="2"/>
      <c r="AF629" s="2"/>
    </row>
    <row r="630" spans="1:32" x14ac:dyDescent="0.35">
      <c r="A630">
        <v>629</v>
      </c>
      <c r="B630" s="1">
        <v>43005</v>
      </c>
      <c r="C630" s="9" t="s">
        <v>1199</v>
      </c>
      <c r="D630" s="9" t="s">
        <v>4988</v>
      </c>
      <c r="E630" s="9" t="s">
        <v>6194</v>
      </c>
      <c r="F630" s="9" t="s">
        <v>15</v>
      </c>
      <c r="G630" s="9" t="s">
        <v>1200</v>
      </c>
      <c r="H630" s="9" t="s">
        <v>105</v>
      </c>
      <c r="I630" s="11">
        <v>1000000</v>
      </c>
      <c r="J630" s="11">
        <v>2531926</v>
      </c>
      <c r="K630" s="11">
        <v>13586867</v>
      </c>
      <c r="L630" s="3">
        <v>303</v>
      </c>
      <c r="M630" s="3">
        <v>3179</v>
      </c>
      <c r="N630" s="3">
        <v>1018455</v>
      </c>
      <c r="O630" s="2">
        <v>0.13900000000000001</v>
      </c>
      <c r="P630" s="2">
        <v>1.0129999999999998E-2</v>
      </c>
      <c r="Q630" s="2">
        <v>-0.24600000000000002</v>
      </c>
      <c r="R630" s="11">
        <v>393373483</v>
      </c>
      <c r="S630" s="11">
        <v>1008193.5</v>
      </c>
      <c r="T630">
        <v>2017</v>
      </c>
      <c r="U630">
        <v>9</v>
      </c>
      <c r="V630">
        <f t="shared" si="54"/>
        <v>725500</v>
      </c>
      <c r="W630">
        <f t="shared" si="55"/>
        <v>18429897</v>
      </c>
      <c r="X630">
        <f t="shared" si="56"/>
        <v>17704397</v>
      </c>
      <c r="Y630">
        <f t="shared" si="57"/>
        <v>-25831095.5</v>
      </c>
      <c r="Z630">
        <f t="shared" si="58"/>
        <v>44986492.5</v>
      </c>
      <c r="AA630" t="str">
        <f t="shared" si="59"/>
        <v>Normal</v>
      </c>
      <c r="AE630" s="2"/>
      <c r="AF630" s="2"/>
    </row>
    <row r="631" spans="1:32" x14ac:dyDescent="0.35">
      <c r="A631">
        <v>630</v>
      </c>
      <c r="B631" s="1">
        <v>43005</v>
      </c>
      <c r="C631" s="9" t="s">
        <v>1201</v>
      </c>
      <c r="D631" s="9" t="s">
        <v>4988</v>
      </c>
      <c r="E631" s="9" t="s">
        <v>6195</v>
      </c>
      <c r="F631" s="9" t="s">
        <v>19</v>
      </c>
      <c r="G631" s="9" t="s">
        <v>1202</v>
      </c>
      <c r="H631" s="9" t="s">
        <v>86</v>
      </c>
      <c r="I631" s="11">
        <v>18429897</v>
      </c>
      <c r="J631" s="11">
        <v>1844634</v>
      </c>
      <c r="K631" s="11">
        <v>5696146</v>
      </c>
      <c r="L631" s="3">
        <v>420</v>
      </c>
      <c r="M631" s="3">
        <v>3558</v>
      </c>
      <c r="N631" s="3">
        <v>1018455</v>
      </c>
      <c r="O631" s="2">
        <v>-0.184</v>
      </c>
      <c r="P631" s="2">
        <v>1.0059999999999999E-2</v>
      </c>
      <c r="Q631" s="2">
        <v>5.0999999999999997E-2</v>
      </c>
      <c r="R631" s="11">
        <v>250264963</v>
      </c>
      <c r="S631" s="11">
        <v>1768073</v>
      </c>
      <c r="T631">
        <v>2017</v>
      </c>
      <c r="U631">
        <v>9</v>
      </c>
      <c r="V631">
        <f t="shared" si="54"/>
        <v>717000</v>
      </c>
      <c r="W631">
        <f t="shared" si="55"/>
        <v>18429897</v>
      </c>
      <c r="X631">
        <f t="shared" si="56"/>
        <v>17712897</v>
      </c>
      <c r="Y631">
        <f t="shared" si="57"/>
        <v>-25852345.5</v>
      </c>
      <c r="Z631">
        <f t="shared" si="58"/>
        <v>44999242.5</v>
      </c>
      <c r="AA631" t="str">
        <f t="shared" si="59"/>
        <v>Normal</v>
      </c>
      <c r="AE631" s="2"/>
      <c r="AF631" s="2"/>
    </row>
    <row r="632" spans="1:32" x14ac:dyDescent="0.35">
      <c r="A632">
        <v>631</v>
      </c>
      <c r="B632" s="1">
        <v>43005</v>
      </c>
      <c r="C632" s="9" t="s">
        <v>421</v>
      </c>
      <c r="D632" s="9" t="s">
        <v>4988</v>
      </c>
      <c r="E632" s="9" t="s">
        <v>6196</v>
      </c>
      <c r="F632" s="9" t="s">
        <v>27</v>
      </c>
      <c r="G632" s="9" t="s">
        <v>575</v>
      </c>
      <c r="H632" s="9" t="s">
        <v>86</v>
      </c>
      <c r="I632" s="11">
        <v>300000</v>
      </c>
      <c r="J632" s="11">
        <v>3689984</v>
      </c>
      <c r="K632" s="11">
        <v>9610451</v>
      </c>
      <c r="L632" s="3">
        <v>401</v>
      </c>
      <c r="M632" s="3">
        <v>3716</v>
      </c>
      <c r="N632" s="3">
        <v>68420</v>
      </c>
      <c r="O632" s="2">
        <v>0.24199999999999999</v>
      </c>
      <c r="P632" s="2">
        <v>0.39100000000000001</v>
      </c>
      <c r="Q632" s="2">
        <v>0.154</v>
      </c>
      <c r="R632" s="11">
        <v>361005694</v>
      </c>
      <c r="S632" s="11">
        <v>1459798</v>
      </c>
      <c r="T632">
        <v>2017</v>
      </c>
      <c r="U632">
        <v>9</v>
      </c>
      <c r="V632">
        <f t="shared" si="54"/>
        <v>708500</v>
      </c>
      <c r="W632">
        <f t="shared" si="55"/>
        <v>18429897</v>
      </c>
      <c r="X632">
        <f t="shared" si="56"/>
        <v>17721397</v>
      </c>
      <c r="Y632">
        <f t="shared" si="57"/>
        <v>-25873595.5</v>
      </c>
      <c r="Z632">
        <f t="shared" si="58"/>
        <v>45011992.5</v>
      </c>
      <c r="AA632" t="str">
        <f t="shared" si="59"/>
        <v>Normal</v>
      </c>
      <c r="AE632" s="2"/>
      <c r="AF632" s="2"/>
    </row>
    <row r="633" spans="1:32" x14ac:dyDescent="0.35">
      <c r="A633">
        <v>632</v>
      </c>
      <c r="B633" s="1">
        <v>43006</v>
      </c>
      <c r="C633" s="9" t="s">
        <v>1203</v>
      </c>
      <c r="D633" s="9" t="s">
        <v>4930</v>
      </c>
      <c r="E633" s="9" t="s">
        <v>6197</v>
      </c>
      <c r="F633" s="9" t="s">
        <v>15</v>
      </c>
      <c r="G633" s="9" t="s">
        <v>1204</v>
      </c>
      <c r="H633" s="9" t="s">
        <v>105</v>
      </c>
      <c r="I633" s="11">
        <v>1000000</v>
      </c>
      <c r="J633" s="11">
        <v>1650927</v>
      </c>
      <c r="K633" s="11">
        <v>12733069</v>
      </c>
      <c r="L633" s="3">
        <v>12</v>
      </c>
      <c r="M633" s="3">
        <v>315</v>
      </c>
      <c r="N633" s="3">
        <v>682845</v>
      </c>
      <c r="O633" s="2">
        <v>0.40700000000000003</v>
      </c>
      <c r="P633" s="2">
        <v>1.073</v>
      </c>
      <c r="Q633" s="2">
        <v>2.8999999999999998E-2</v>
      </c>
      <c r="R633" s="11">
        <v>223884402</v>
      </c>
      <c r="S633" s="11">
        <v>959807</v>
      </c>
      <c r="T633">
        <v>2017</v>
      </c>
      <c r="U633">
        <v>9</v>
      </c>
      <c r="V633">
        <f t="shared" si="54"/>
        <v>734000</v>
      </c>
      <c r="W633">
        <f t="shared" si="55"/>
        <v>18429897</v>
      </c>
      <c r="X633">
        <f t="shared" si="56"/>
        <v>17695897</v>
      </c>
      <c r="Y633">
        <f t="shared" si="57"/>
        <v>-25809845.5</v>
      </c>
      <c r="Z633">
        <f t="shared" si="58"/>
        <v>44973742.5</v>
      </c>
      <c r="AA633" t="str">
        <f t="shared" si="59"/>
        <v>Normal</v>
      </c>
      <c r="AE633" s="2"/>
      <c r="AF633" s="2"/>
    </row>
    <row r="634" spans="1:32" x14ac:dyDescent="0.35">
      <c r="A634">
        <v>633</v>
      </c>
      <c r="B634" s="1">
        <v>42948</v>
      </c>
      <c r="C634" s="9" t="s">
        <v>1205</v>
      </c>
      <c r="D634" s="9" t="s">
        <v>4930</v>
      </c>
      <c r="E634" s="9" t="s">
        <v>6198</v>
      </c>
      <c r="F634" s="9" t="s">
        <v>15</v>
      </c>
      <c r="G634" s="9" t="s">
        <v>1190</v>
      </c>
      <c r="H634" s="9" t="s">
        <v>105</v>
      </c>
      <c r="I634" s="11">
        <v>1300000</v>
      </c>
      <c r="J634" s="11">
        <v>2180805</v>
      </c>
      <c r="K634" s="11">
        <v>5935250</v>
      </c>
      <c r="L634" s="3">
        <v>49</v>
      </c>
      <c r="M634" s="3">
        <v>4610</v>
      </c>
      <c r="N634" s="3">
        <v>1491146</v>
      </c>
      <c r="O634" s="2">
        <v>-0.23799999999999999</v>
      </c>
      <c r="P634" s="2">
        <v>1.081</v>
      </c>
      <c r="Q634" s="2">
        <v>3.5999999999999997E-2</v>
      </c>
      <c r="R634" s="11">
        <v>99708509</v>
      </c>
      <c r="S634" s="11">
        <v>60130</v>
      </c>
      <c r="T634">
        <v>2017</v>
      </c>
      <c r="U634">
        <v>8</v>
      </c>
      <c r="V634">
        <f t="shared" si="54"/>
        <v>725500</v>
      </c>
      <c r="W634">
        <f t="shared" si="55"/>
        <v>18429897</v>
      </c>
      <c r="X634">
        <f t="shared" si="56"/>
        <v>17704397</v>
      </c>
      <c r="Y634">
        <f t="shared" si="57"/>
        <v>-25831095.5</v>
      </c>
      <c r="Z634">
        <f t="shared" si="58"/>
        <v>44986492.5</v>
      </c>
      <c r="AA634" t="str">
        <f t="shared" si="59"/>
        <v>Normal</v>
      </c>
      <c r="AE634" s="2"/>
      <c r="AF634" s="2"/>
    </row>
    <row r="635" spans="1:32" x14ac:dyDescent="0.35">
      <c r="A635">
        <v>634</v>
      </c>
      <c r="B635" s="1">
        <v>42949</v>
      </c>
      <c r="C635" s="9" t="s">
        <v>1206</v>
      </c>
      <c r="D635" s="9" t="s">
        <v>4930</v>
      </c>
      <c r="E635" s="9" t="s">
        <v>6199</v>
      </c>
      <c r="F635" s="9" t="s">
        <v>31</v>
      </c>
      <c r="G635" s="9" t="s">
        <v>1207</v>
      </c>
      <c r="H635" s="9" t="s">
        <v>105</v>
      </c>
      <c r="I635" s="11">
        <v>18429897</v>
      </c>
      <c r="J635" s="11">
        <v>1909731</v>
      </c>
      <c r="K635" s="11">
        <v>176891</v>
      </c>
      <c r="L635" s="3">
        <v>180</v>
      </c>
      <c r="M635" s="3">
        <v>2560</v>
      </c>
      <c r="N635" s="3">
        <v>1152857</v>
      </c>
      <c r="O635" s="2">
        <v>0.114</v>
      </c>
      <c r="P635" s="2">
        <v>0.79700000000000004</v>
      </c>
      <c r="Q635" s="2">
        <v>-0.26300000000000001</v>
      </c>
      <c r="R635" s="11">
        <v>1000000000</v>
      </c>
      <c r="S635" s="11">
        <v>627339</v>
      </c>
      <c r="T635">
        <v>2017</v>
      </c>
      <c r="U635">
        <v>8</v>
      </c>
      <c r="V635">
        <f t="shared" si="54"/>
        <v>717000</v>
      </c>
      <c r="W635">
        <f t="shared" si="55"/>
        <v>18429897</v>
      </c>
      <c r="X635">
        <f t="shared" si="56"/>
        <v>17712897</v>
      </c>
      <c r="Y635">
        <f t="shared" si="57"/>
        <v>-25852345.5</v>
      </c>
      <c r="Z635">
        <f t="shared" si="58"/>
        <v>44999242.5</v>
      </c>
      <c r="AA635" t="str">
        <f t="shared" si="59"/>
        <v>Normal</v>
      </c>
      <c r="AE635" s="2"/>
      <c r="AF635" s="2"/>
    </row>
    <row r="636" spans="1:32" x14ac:dyDescent="0.35">
      <c r="A636">
        <v>635</v>
      </c>
      <c r="B636" s="1">
        <v>42949</v>
      </c>
      <c r="C636" s="9" t="s">
        <v>941</v>
      </c>
      <c r="D636" s="9" t="s">
        <v>4988</v>
      </c>
      <c r="E636" s="9" t="s">
        <v>5977</v>
      </c>
      <c r="F636" s="9" t="s">
        <v>27</v>
      </c>
      <c r="G636" s="9" t="s">
        <v>1208</v>
      </c>
      <c r="H636" s="9" t="s">
        <v>86</v>
      </c>
      <c r="I636" s="11">
        <v>18429897</v>
      </c>
      <c r="J636" s="11">
        <v>930920</v>
      </c>
      <c r="K636" s="11">
        <v>16759553</v>
      </c>
      <c r="L636" s="3">
        <v>479</v>
      </c>
      <c r="M636" s="3">
        <v>2832</v>
      </c>
      <c r="N636" s="3">
        <v>249814</v>
      </c>
      <c r="O636" s="2">
        <v>8.6999999999999994E-2</v>
      </c>
      <c r="P636" s="2">
        <v>0.85099999999999998</v>
      </c>
      <c r="Q636" s="2">
        <v>0.45399999999999996</v>
      </c>
      <c r="R636" s="11">
        <v>203105620</v>
      </c>
      <c r="S636" s="11">
        <v>382918</v>
      </c>
      <c r="T636">
        <v>2017</v>
      </c>
      <c r="U636">
        <v>8</v>
      </c>
      <c r="V636">
        <f t="shared" si="54"/>
        <v>708500</v>
      </c>
      <c r="W636">
        <f t="shared" si="55"/>
        <v>18429897</v>
      </c>
      <c r="X636">
        <f t="shared" si="56"/>
        <v>17721397</v>
      </c>
      <c r="Y636">
        <f t="shared" si="57"/>
        <v>-25873595.5</v>
      </c>
      <c r="Z636">
        <f t="shared" si="58"/>
        <v>45011992.5</v>
      </c>
      <c r="AA636" t="str">
        <f t="shared" si="59"/>
        <v>Normal</v>
      </c>
      <c r="AE636" s="2"/>
      <c r="AF636" s="2"/>
    </row>
    <row r="637" spans="1:32" x14ac:dyDescent="0.35">
      <c r="A637">
        <v>636</v>
      </c>
      <c r="B637" s="1">
        <v>42949</v>
      </c>
      <c r="C637" s="9" t="s">
        <v>1209</v>
      </c>
      <c r="D637" s="9" t="s">
        <v>4988</v>
      </c>
      <c r="E637" s="9" t="s">
        <v>6200</v>
      </c>
      <c r="F637" s="9" t="s">
        <v>31</v>
      </c>
      <c r="G637" s="9" t="s">
        <v>1210</v>
      </c>
      <c r="H637" s="9" t="s">
        <v>86</v>
      </c>
      <c r="I637" s="11">
        <v>500000</v>
      </c>
      <c r="J637" s="11">
        <v>3435001</v>
      </c>
      <c r="K637" s="11">
        <v>14578385</v>
      </c>
      <c r="L637" s="3">
        <v>241</v>
      </c>
      <c r="M637" s="3">
        <v>4393</v>
      </c>
      <c r="N637" s="3">
        <v>887694</v>
      </c>
      <c r="O637" s="2">
        <v>-0.27800000000000002</v>
      </c>
      <c r="P637" s="2">
        <v>0.82400000000000007</v>
      </c>
      <c r="Q637" s="2">
        <v>-0.20699999999999999</v>
      </c>
      <c r="R637" s="11">
        <v>484534390</v>
      </c>
      <c r="S637" s="11">
        <v>1490937</v>
      </c>
      <c r="T637">
        <v>2017</v>
      </c>
      <c r="U637">
        <v>8</v>
      </c>
      <c r="V637">
        <f t="shared" si="54"/>
        <v>700000</v>
      </c>
      <c r="W637">
        <f t="shared" si="55"/>
        <v>18429897</v>
      </c>
      <c r="X637">
        <f t="shared" si="56"/>
        <v>17729897</v>
      </c>
      <c r="Y637">
        <f t="shared" si="57"/>
        <v>-25894845.5</v>
      </c>
      <c r="Z637">
        <f t="shared" si="58"/>
        <v>45024742.5</v>
      </c>
      <c r="AA637" t="str">
        <f t="shared" si="59"/>
        <v>Normal</v>
      </c>
      <c r="AE637" s="2"/>
      <c r="AF637" s="2"/>
    </row>
    <row r="638" spans="1:32" x14ac:dyDescent="0.35">
      <c r="A638">
        <v>637</v>
      </c>
      <c r="B638" s="1">
        <v>42949</v>
      </c>
      <c r="C638" s="9" t="s">
        <v>1211</v>
      </c>
      <c r="D638" s="9" t="s">
        <v>4988</v>
      </c>
      <c r="E638" s="9" t="s">
        <v>1212</v>
      </c>
      <c r="F638" s="9" t="s">
        <v>124</v>
      </c>
      <c r="G638" s="9" t="s">
        <v>1213</v>
      </c>
      <c r="H638" s="9" t="s">
        <v>86</v>
      </c>
      <c r="I638" s="11">
        <v>850000</v>
      </c>
      <c r="J638" s="11">
        <v>1192521</v>
      </c>
      <c r="K638" s="11">
        <v>2550392</v>
      </c>
      <c r="L638" s="3">
        <v>254</v>
      </c>
      <c r="M638" s="3">
        <v>1414</v>
      </c>
      <c r="N638" s="3">
        <v>1164340</v>
      </c>
      <c r="O638" s="2">
        <v>0.30299999999999999</v>
      </c>
      <c r="P638" s="2">
        <v>0.745</v>
      </c>
      <c r="Q638" s="2">
        <v>-0.20800000000000002</v>
      </c>
      <c r="R638" s="11">
        <v>78267993</v>
      </c>
      <c r="S638" s="11">
        <v>1490830</v>
      </c>
      <c r="T638">
        <v>2017</v>
      </c>
      <c r="U638">
        <v>8</v>
      </c>
      <c r="V638">
        <f t="shared" si="54"/>
        <v>725500</v>
      </c>
      <c r="W638">
        <f t="shared" si="55"/>
        <v>18429897</v>
      </c>
      <c r="X638">
        <f t="shared" si="56"/>
        <v>17704397</v>
      </c>
      <c r="Y638">
        <f t="shared" si="57"/>
        <v>-25831095.5</v>
      </c>
      <c r="Z638">
        <f t="shared" si="58"/>
        <v>44986492.5</v>
      </c>
      <c r="AA638" t="str">
        <f t="shared" si="59"/>
        <v>Normal</v>
      </c>
      <c r="AE638" s="2"/>
      <c r="AF638" s="2"/>
    </row>
    <row r="639" spans="1:32" x14ac:dyDescent="0.35">
      <c r="A639">
        <v>638</v>
      </c>
      <c r="B639" s="1">
        <v>42950</v>
      </c>
      <c r="C639" s="9" t="s">
        <v>1214</v>
      </c>
      <c r="D639" s="9" t="s">
        <v>4928</v>
      </c>
      <c r="E639" s="9" t="s">
        <v>2406</v>
      </c>
      <c r="F639" s="9" t="s">
        <v>31</v>
      </c>
      <c r="G639" s="9" t="s">
        <v>1215</v>
      </c>
      <c r="H639" s="9" t="s">
        <v>86</v>
      </c>
      <c r="I639" s="11">
        <v>300000</v>
      </c>
      <c r="J639" s="11">
        <v>1498444</v>
      </c>
      <c r="K639" s="11">
        <v>10153449</v>
      </c>
      <c r="L639" s="3">
        <v>34</v>
      </c>
      <c r="M639" s="3">
        <v>2541</v>
      </c>
      <c r="N639" s="3">
        <v>467847</v>
      </c>
      <c r="O639" s="2">
        <v>0.245</v>
      </c>
      <c r="P639" s="2">
        <v>0.38299999999999995</v>
      </c>
      <c r="Q639" s="2">
        <v>7.5999999999999998E-2</v>
      </c>
      <c r="R639" s="11">
        <v>258516270</v>
      </c>
      <c r="S639" s="11">
        <v>854042</v>
      </c>
      <c r="T639">
        <v>2017</v>
      </c>
      <c r="U639">
        <v>8</v>
      </c>
      <c r="V639">
        <f t="shared" si="54"/>
        <v>717000</v>
      </c>
      <c r="W639">
        <f t="shared" si="55"/>
        <v>18429897</v>
      </c>
      <c r="X639">
        <f t="shared" si="56"/>
        <v>17712897</v>
      </c>
      <c r="Y639">
        <f t="shared" si="57"/>
        <v>-25852345.5</v>
      </c>
      <c r="Z639">
        <f t="shared" si="58"/>
        <v>44999242.5</v>
      </c>
      <c r="AA639" t="str">
        <f t="shared" si="59"/>
        <v>Normal</v>
      </c>
      <c r="AE639" s="2"/>
      <c r="AF639" s="2"/>
    </row>
    <row r="640" spans="1:32" x14ac:dyDescent="0.35">
      <c r="A640">
        <v>639</v>
      </c>
      <c r="B640" s="1">
        <v>42950</v>
      </c>
      <c r="C640" s="9" t="s">
        <v>1216</v>
      </c>
      <c r="D640" s="9" t="s">
        <v>4988</v>
      </c>
      <c r="E640" s="9" t="s">
        <v>6201</v>
      </c>
      <c r="F640" s="9" t="s">
        <v>294</v>
      </c>
      <c r="G640" s="9" t="s">
        <v>1217</v>
      </c>
      <c r="H640" s="9" t="s">
        <v>86</v>
      </c>
      <c r="I640" s="11">
        <v>18429897</v>
      </c>
      <c r="J640" s="11">
        <v>3967904</v>
      </c>
      <c r="K640" s="11">
        <v>5307693</v>
      </c>
      <c r="L640" s="3">
        <v>481</v>
      </c>
      <c r="M640" s="3">
        <v>2505.5</v>
      </c>
      <c r="N640" s="3">
        <v>275932</v>
      </c>
      <c r="O640" s="2">
        <v>0.52500000000000002</v>
      </c>
      <c r="P640" s="2">
        <v>0.85799999999999998</v>
      </c>
      <c r="Q640" s="2">
        <v>-7.400000000000001E-2</v>
      </c>
      <c r="R640" s="11">
        <v>381160494</v>
      </c>
      <c r="S640" s="11">
        <v>784004</v>
      </c>
      <c r="T640">
        <v>2017</v>
      </c>
      <c r="U640">
        <v>8</v>
      </c>
      <c r="V640">
        <f t="shared" si="54"/>
        <v>735500</v>
      </c>
      <c r="W640">
        <f t="shared" si="55"/>
        <v>18429897</v>
      </c>
      <c r="X640">
        <f t="shared" si="56"/>
        <v>17694397</v>
      </c>
      <c r="Y640">
        <f t="shared" si="57"/>
        <v>-25806095.5</v>
      </c>
      <c r="Z640">
        <f t="shared" si="58"/>
        <v>44971492.5</v>
      </c>
      <c r="AA640" t="str">
        <f t="shared" si="59"/>
        <v>Normal</v>
      </c>
      <c r="AE640" s="2"/>
      <c r="AF640" s="2"/>
    </row>
    <row r="641" spans="1:32" x14ac:dyDescent="0.35">
      <c r="A641">
        <v>640</v>
      </c>
      <c r="B641" s="1">
        <v>42950</v>
      </c>
      <c r="C641" s="9" t="s">
        <v>1218</v>
      </c>
      <c r="D641" s="9" t="s">
        <v>4988</v>
      </c>
      <c r="E641" s="9" t="s">
        <v>6202</v>
      </c>
      <c r="F641" s="9" t="s">
        <v>15</v>
      </c>
      <c r="G641" s="9" t="s">
        <v>1219</v>
      </c>
      <c r="H641" s="9" t="s">
        <v>105</v>
      </c>
      <c r="I641" s="11">
        <v>18429897</v>
      </c>
      <c r="J641" s="11">
        <v>4745312</v>
      </c>
      <c r="K641" s="11">
        <v>19557182</v>
      </c>
      <c r="L641" s="3">
        <v>35</v>
      </c>
      <c r="M641" s="3">
        <v>2487</v>
      </c>
      <c r="N641" s="3">
        <v>497753</v>
      </c>
      <c r="O641" s="2">
        <v>0.21899999999999997</v>
      </c>
      <c r="P641" s="2">
        <v>0.57899999999999996</v>
      </c>
      <c r="Q641" s="2">
        <v>0.31</v>
      </c>
      <c r="R641" s="11">
        <v>267714443</v>
      </c>
      <c r="S641" s="11">
        <v>1153546</v>
      </c>
      <c r="T641">
        <v>2017</v>
      </c>
      <c r="U641">
        <v>8</v>
      </c>
      <c r="V641">
        <f t="shared" si="54"/>
        <v>734000</v>
      </c>
      <c r="W641">
        <f t="shared" si="55"/>
        <v>18429897</v>
      </c>
      <c r="X641">
        <f t="shared" si="56"/>
        <v>17695897</v>
      </c>
      <c r="Y641">
        <f t="shared" si="57"/>
        <v>-25809845.5</v>
      </c>
      <c r="Z641">
        <f t="shared" si="58"/>
        <v>44973742.5</v>
      </c>
      <c r="AA641" t="str">
        <f t="shared" si="59"/>
        <v>Normal</v>
      </c>
      <c r="AE641" s="2"/>
      <c r="AF641" s="2"/>
    </row>
    <row r="642" spans="1:32" x14ac:dyDescent="0.35">
      <c r="A642">
        <v>641</v>
      </c>
      <c r="B642" s="1">
        <v>42950</v>
      </c>
      <c r="C642" s="9" t="s">
        <v>501</v>
      </c>
      <c r="D642" s="9" t="s">
        <v>4988</v>
      </c>
      <c r="E642" s="9" t="s">
        <v>6203</v>
      </c>
      <c r="F642" s="9" t="s">
        <v>31</v>
      </c>
      <c r="G642" s="9" t="s">
        <v>1220</v>
      </c>
      <c r="H642" s="9" t="s">
        <v>105</v>
      </c>
      <c r="I642" s="11">
        <v>18429897</v>
      </c>
      <c r="J642" s="11">
        <v>3360798</v>
      </c>
      <c r="K642" s="11">
        <v>18841982</v>
      </c>
      <c r="L642" s="3">
        <v>405</v>
      </c>
      <c r="M642" s="3">
        <v>1367</v>
      </c>
      <c r="N642" s="3">
        <v>133186</v>
      </c>
      <c r="O642" s="2">
        <v>-5.5999999999999994E-2</v>
      </c>
      <c r="P642" s="2">
        <v>0.73699999999999999</v>
      </c>
      <c r="Q642" s="2">
        <v>-3.3000000000000002E-2</v>
      </c>
      <c r="R642" s="11">
        <v>371225176</v>
      </c>
      <c r="S642" s="11">
        <v>914505</v>
      </c>
      <c r="T642">
        <v>2017</v>
      </c>
      <c r="U642">
        <v>8</v>
      </c>
      <c r="V642">
        <f t="shared" ref="V642:V705" si="60">_xlfn.PERCENTILE.INC(I642:I3685,0.25)</f>
        <v>725500</v>
      </c>
      <c r="W642">
        <f t="shared" ref="W642:W705" si="61">_xlfn.PERCENTILE.INC(I642:I3685,0.75)</f>
        <v>18429897</v>
      </c>
      <c r="X642">
        <f t="shared" ref="X642:X705" si="62">W642-V642</f>
        <v>17704397</v>
      </c>
      <c r="Y642">
        <f t="shared" ref="Y642:Y705" si="63">V642-1.5*X642</f>
        <v>-25831095.5</v>
      </c>
      <c r="Z642">
        <f t="shared" ref="Z642:Z705" si="64">W642+1.5*X642</f>
        <v>44986492.5</v>
      </c>
      <c r="AA642" t="str">
        <f t="shared" ref="AA642:AA705" si="65">IF(OR(I642&lt;$Y$2, I642&gt;$Z$2), "Outlier", "Normal")</f>
        <v>Normal</v>
      </c>
      <c r="AE642" s="2"/>
      <c r="AF642" s="2"/>
    </row>
    <row r="643" spans="1:32" x14ac:dyDescent="0.35">
      <c r="A643">
        <v>642</v>
      </c>
      <c r="B643" s="1">
        <v>42951</v>
      </c>
      <c r="C643" s="9" t="s">
        <v>1221</v>
      </c>
      <c r="D643" s="9" t="s">
        <v>4930</v>
      </c>
      <c r="E643" s="9" t="s">
        <v>6204</v>
      </c>
      <c r="F643" s="9" t="s">
        <v>27</v>
      </c>
      <c r="G643" s="9" t="s">
        <v>1222</v>
      </c>
      <c r="H643" s="9" t="s">
        <v>105</v>
      </c>
      <c r="I643" s="11">
        <v>18429897</v>
      </c>
      <c r="J643" s="11">
        <v>4583413</v>
      </c>
      <c r="K643" s="11">
        <v>13859210</v>
      </c>
      <c r="L643" s="3">
        <v>439</v>
      </c>
      <c r="M643" s="3">
        <v>952</v>
      </c>
      <c r="N643" s="3">
        <v>484587</v>
      </c>
      <c r="O643" s="2">
        <v>0.223</v>
      </c>
      <c r="P643" s="2">
        <v>1.1009999999999999E-2</v>
      </c>
      <c r="Q643" s="2">
        <v>0.1</v>
      </c>
      <c r="R643" s="11">
        <v>10777086</v>
      </c>
      <c r="S643" s="11">
        <v>1008193.5</v>
      </c>
      <c r="T643">
        <v>2017</v>
      </c>
      <c r="U643">
        <v>8</v>
      </c>
      <c r="V643">
        <f t="shared" si="60"/>
        <v>717000</v>
      </c>
      <c r="W643">
        <f t="shared" si="61"/>
        <v>18429897</v>
      </c>
      <c r="X643">
        <f t="shared" si="62"/>
        <v>17712897</v>
      </c>
      <c r="Y643">
        <f t="shared" si="63"/>
        <v>-25852345.5</v>
      </c>
      <c r="Z643">
        <f t="shared" si="64"/>
        <v>44999242.5</v>
      </c>
      <c r="AA643" t="str">
        <f t="shared" si="65"/>
        <v>Normal</v>
      </c>
      <c r="AE643" s="2"/>
      <c r="AF643" s="2"/>
    </row>
    <row r="644" spans="1:32" x14ac:dyDescent="0.35">
      <c r="A644">
        <v>643</v>
      </c>
      <c r="B644" s="1">
        <v>42951</v>
      </c>
      <c r="C644" s="9" t="s">
        <v>1223</v>
      </c>
      <c r="D644" s="9" t="s">
        <v>4925</v>
      </c>
      <c r="E644" s="9" t="s">
        <v>6205</v>
      </c>
      <c r="F644" s="9" t="s">
        <v>31</v>
      </c>
      <c r="G644" s="9" t="s">
        <v>1224</v>
      </c>
      <c r="H644" s="9" t="s">
        <v>86</v>
      </c>
      <c r="I644" s="11">
        <v>18429897</v>
      </c>
      <c r="J644" s="11">
        <v>4273869</v>
      </c>
      <c r="K644" s="11">
        <v>8871374</v>
      </c>
      <c r="L644" s="3">
        <v>150</v>
      </c>
      <c r="M644" s="3">
        <v>3110</v>
      </c>
      <c r="N644" s="3">
        <v>1067235</v>
      </c>
      <c r="O644" s="2">
        <v>0.377</v>
      </c>
      <c r="P644" s="2">
        <v>0.309</v>
      </c>
      <c r="Q644" s="2">
        <v>0.129</v>
      </c>
      <c r="R644" s="11">
        <v>62037015</v>
      </c>
      <c r="S644" s="11">
        <v>215260</v>
      </c>
      <c r="T644">
        <v>2017</v>
      </c>
      <c r="U644">
        <v>8</v>
      </c>
      <c r="V644">
        <f t="shared" si="60"/>
        <v>708500</v>
      </c>
      <c r="W644">
        <f t="shared" si="61"/>
        <v>18429897</v>
      </c>
      <c r="X644">
        <f t="shared" si="62"/>
        <v>17721397</v>
      </c>
      <c r="Y644">
        <f t="shared" si="63"/>
        <v>-25873595.5</v>
      </c>
      <c r="Z644">
        <f t="shared" si="64"/>
        <v>45011992.5</v>
      </c>
      <c r="AA644" t="str">
        <f t="shared" si="65"/>
        <v>Normal</v>
      </c>
      <c r="AE644" s="2"/>
      <c r="AF644" s="2"/>
    </row>
    <row r="645" spans="1:32" x14ac:dyDescent="0.35">
      <c r="A645">
        <v>644</v>
      </c>
      <c r="B645" s="1">
        <v>42951</v>
      </c>
      <c r="C645" s="9" t="s">
        <v>1225</v>
      </c>
      <c r="D645" s="9" t="s">
        <v>4928</v>
      </c>
      <c r="E645" s="9" t="s">
        <v>6206</v>
      </c>
      <c r="F645" s="9" t="s">
        <v>31</v>
      </c>
      <c r="G645" s="9" t="s">
        <v>1226</v>
      </c>
      <c r="H645" s="9" t="s">
        <v>86</v>
      </c>
      <c r="I645" s="11">
        <v>18429897</v>
      </c>
      <c r="J645" s="11">
        <v>2414933</v>
      </c>
      <c r="K645" s="11">
        <v>1139077</v>
      </c>
      <c r="L645" s="3">
        <v>153</v>
      </c>
      <c r="M645" s="3">
        <v>693</v>
      </c>
      <c r="N645" s="3">
        <v>1603109</v>
      </c>
      <c r="O645" s="2">
        <v>2.7E-2</v>
      </c>
      <c r="P645" s="2">
        <v>0.50800000000000001</v>
      </c>
      <c r="Q645" s="2">
        <v>0.34299999999999997</v>
      </c>
      <c r="R645" s="11">
        <v>22843327</v>
      </c>
      <c r="S645" s="11">
        <v>1746535</v>
      </c>
      <c r="T645">
        <v>2017</v>
      </c>
      <c r="U645">
        <v>8</v>
      </c>
      <c r="V645">
        <f t="shared" si="60"/>
        <v>700000</v>
      </c>
      <c r="W645">
        <f t="shared" si="61"/>
        <v>18429897</v>
      </c>
      <c r="X645">
        <f t="shared" si="62"/>
        <v>17729897</v>
      </c>
      <c r="Y645">
        <f t="shared" si="63"/>
        <v>-25894845.5</v>
      </c>
      <c r="Z645">
        <f t="shared" si="64"/>
        <v>45024742.5</v>
      </c>
      <c r="AA645" t="str">
        <f t="shared" si="65"/>
        <v>Normal</v>
      </c>
      <c r="AE645" s="2"/>
      <c r="AF645" s="2"/>
    </row>
    <row r="646" spans="1:32" x14ac:dyDescent="0.35">
      <c r="A646">
        <v>645</v>
      </c>
      <c r="B646" s="1">
        <v>42952</v>
      </c>
      <c r="C646" s="9" t="s">
        <v>1227</v>
      </c>
      <c r="D646" s="9" t="s">
        <v>2539</v>
      </c>
      <c r="E646" s="9" t="s">
        <v>6207</v>
      </c>
      <c r="F646" s="9" t="s">
        <v>35</v>
      </c>
      <c r="G646" s="9" t="s">
        <v>208</v>
      </c>
      <c r="H646" s="9" t="s">
        <v>105</v>
      </c>
      <c r="I646" s="11">
        <v>18429897</v>
      </c>
      <c r="J646" s="11">
        <v>3856045</v>
      </c>
      <c r="K646" s="11">
        <v>5013710</v>
      </c>
      <c r="L646" s="3">
        <v>292</v>
      </c>
      <c r="M646" s="3">
        <v>4871</v>
      </c>
      <c r="N646" s="3">
        <v>1746204</v>
      </c>
      <c r="O646" s="2">
        <v>0.28999999999999998</v>
      </c>
      <c r="P646" s="2">
        <v>0.76800000000000002</v>
      </c>
      <c r="Q646" s="2">
        <v>-3.2000000000000001E-2</v>
      </c>
      <c r="R646" s="11">
        <v>372738311</v>
      </c>
      <c r="S646" s="11">
        <v>601200</v>
      </c>
      <c r="T646">
        <v>2017</v>
      </c>
      <c r="U646">
        <v>8</v>
      </c>
      <c r="V646">
        <f t="shared" si="60"/>
        <v>700000</v>
      </c>
      <c r="W646">
        <f t="shared" si="61"/>
        <v>18429897</v>
      </c>
      <c r="X646">
        <f t="shared" si="62"/>
        <v>17729897</v>
      </c>
      <c r="Y646">
        <f t="shared" si="63"/>
        <v>-25894845.5</v>
      </c>
      <c r="Z646">
        <f t="shared" si="64"/>
        <v>45024742.5</v>
      </c>
      <c r="AA646" t="str">
        <f t="shared" si="65"/>
        <v>Normal</v>
      </c>
      <c r="AE646" s="2"/>
      <c r="AF646" s="2"/>
    </row>
    <row r="647" spans="1:32" x14ac:dyDescent="0.35">
      <c r="A647">
        <v>646</v>
      </c>
      <c r="B647" s="1">
        <v>42955</v>
      </c>
      <c r="C647" s="9" t="s">
        <v>1228</v>
      </c>
      <c r="D647" s="9" t="s">
        <v>4930</v>
      </c>
      <c r="E647" s="9" t="s">
        <v>6208</v>
      </c>
      <c r="F647" s="9" t="s">
        <v>35</v>
      </c>
      <c r="G647" s="9" t="s">
        <v>856</v>
      </c>
      <c r="H647" s="9" t="s">
        <v>86</v>
      </c>
      <c r="I647" s="11">
        <v>243000</v>
      </c>
      <c r="J647" s="11">
        <v>1655238</v>
      </c>
      <c r="K647" s="11">
        <v>1943293</v>
      </c>
      <c r="L647" s="3">
        <v>362</v>
      </c>
      <c r="M647" s="3">
        <v>1200</v>
      </c>
      <c r="N647" s="3">
        <v>1346118</v>
      </c>
      <c r="O647" s="2">
        <v>-0.35099999999999998</v>
      </c>
      <c r="P647" s="2">
        <v>1.1499999999999999</v>
      </c>
      <c r="Q647" s="2">
        <v>-0.318</v>
      </c>
      <c r="R647" s="11">
        <v>337525856</v>
      </c>
      <c r="S647" s="11">
        <v>805232</v>
      </c>
      <c r="T647">
        <v>2017</v>
      </c>
      <c r="U647">
        <v>8</v>
      </c>
      <c r="V647">
        <f t="shared" si="60"/>
        <v>700000</v>
      </c>
      <c r="W647">
        <f t="shared" si="61"/>
        <v>18429897</v>
      </c>
      <c r="X647">
        <f t="shared" si="62"/>
        <v>17729897</v>
      </c>
      <c r="Y647">
        <f t="shared" si="63"/>
        <v>-25894845.5</v>
      </c>
      <c r="Z647">
        <f t="shared" si="64"/>
        <v>45024742.5</v>
      </c>
      <c r="AA647" t="str">
        <f t="shared" si="65"/>
        <v>Normal</v>
      </c>
      <c r="AE647" s="2"/>
      <c r="AF647" s="2"/>
    </row>
    <row r="648" spans="1:32" x14ac:dyDescent="0.35">
      <c r="A648">
        <v>647</v>
      </c>
      <c r="B648" s="1">
        <v>42955</v>
      </c>
      <c r="C648" s="9" t="s">
        <v>1229</v>
      </c>
      <c r="D648" s="9" t="s">
        <v>4988</v>
      </c>
      <c r="E648" s="9" t="s">
        <v>1230</v>
      </c>
      <c r="F648" s="9" t="s">
        <v>27</v>
      </c>
      <c r="G648" s="9" t="s">
        <v>1231</v>
      </c>
      <c r="H648" s="9" t="s">
        <v>86</v>
      </c>
      <c r="I648" s="11">
        <v>220000</v>
      </c>
      <c r="J648" s="11">
        <v>2313275</v>
      </c>
      <c r="K648" s="11">
        <v>15810898</v>
      </c>
      <c r="L648" s="3">
        <v>64</v>
      </c>
      <c r="M648" s="3">
        <v>442</v>
      </c>
      <c r="N648" s="3">
        <v>712093</v>
      </c>
      <c r="O648" s="2">
        <v>0.41499999999999998</v>
      </c>
      <c r="P648" s="2">
        <v>0.40100000000000002</v>
      </c>
      <c r="Q648" s="2">
        <v>-0.10199999999999999</v>
      </c>
      <c r="R648" s="11">
        <v>250264963</v>
      </c>
      <c r="S648" s="11">
        <v>685700</v>
      </c>
      <c r="T648">
        <v>2017</v>
      </c>
      <c r="U648">
        <v>8</v>
      </c>
      <c r="V648">
        <f t="shared" si="60"/>
        <v>708500</v>
      </c>
      <c r="W648">
        <f t="shared" si="61"/>
        <v>18429897</v>
      </c>
      <c r="X648">
        <f t="shared" si="62"/>
        <v>17721397</v>
      </c>
      <c r="Y648">
        <f t="shared" si="63"/>
        <v>-25873595.5</v>
      </c>
      <c r="Z648">
        <f t="shared" si="64"/>
        <v>45011992.5</v>
      </c>
      <c r="AA648" t="str">
        <f t="shared" si="65"/>
        <v>Normal</v>
      </c>
      <c r="AE648" s="2"/>
      <c r="AF648" s="2"/>
    </row>
    <row r="649" spans="1:32" x14ac:dyDescent="0.35">
      <c r="A649">
        <v>648</v>
      </c>
      <c r="B649" s="1">
        <v>42956</v>
      </c>
      <c r="C649" s="9" t="s">
        <v>1232</v>
      </c>
      <c r="D649" s="9" t="s">
        <v>4928</v>
      </c>
      <c r="E649" s="9" t="s">
        <v>6209</v>
      </c>
      <c r="F649" s="9" t="s">
        <v>27</v>
      </c>
      <c r="G649" s="9" t="s">
        <v>1233</v>
      </c>
      <c r="H649" s="9" t="s">
        <v>86</v>
      </c>
      <c r="I649" s="11">
        <v>3100000</v>
      </c>
      <c r="J649" s="11">
        <v>2686465</v>
      </c>
      <c r="K649" s="11">
        <v>1854545</v>
      </c>
      <c r="L649" s="3">
        <v>122</v>
      </c>
      <c r="M649" s="3">
        <v>2260</v>
      </c>
      <c r="N649" s="3">
        <v>1867818</v>
      </c>
      <c r="O649" s="2">
        <v>0.28000000000000003</v>
      </c>
      <c r="P649" s="2">
        <v>0.254</v>
      </c>
      <c r="Q649" s="2">
        <v>0.38400000000000001</v>
      </c>
      <c r="R649" s="11">
        <v>211169447</v>
      </c>
      <c r="S649" s="11">
        <v>1914895</v>
      </c>
      <c r="T649">
        <v>2017</v>
      </c>
      <c r="U649">
        <v>8</v>
      </c>
      <c r="V649">
        <f t="shared" si="60"/>
        <v>734000</v>
      </c>
      <c r="W649">
        <f t="shared" si="61"/>
        <v>18429897</v>
      </c>
      <c r="X649">
        <f t="shared" si="62"/>
        <v>17695897</v>
      </c>
      <c r="Y649">
        <f t="shared" si="63"/>
        <v>-25809845.5</v>
      </c>
      <c r="Z649">
        <f t="shared" si="64"/>
        <v>44973742.5</v>
      </c>
      <c r="AA649" t="str">
        <f t="shared" si="65"/>
        <v>Normal</v>
      </c>
      <c r="AE649" s="2"/>
      <c r="AF649" s="2"/>
    </row>
    <row r="650" spans="1:32" x14ac:dyDescent="0.35">
      <c r="A650">
        <v>649</v>
      </c>
      <c r="B650" s="1">
        <v>42956</v>
      </c>
      <c r="C650" s="9" t="s">
        <v>1234</v>
      </c>
      <c r="D650" s="9" t="s">
        <v>4930</v>
      </c>
      <c r="E650" s="9" t="s">
        <v>6210</v>
      </c>
      <c r="F650" s="9" t="s">
        <v>19</v>
      </c>
      <c r="G650" s="9" t="s">
        <v>1235</v>
      </c>
      <c r="H650" s="9" t="s">
        <v>86</v>
      </c>
      <c r="I650" s="11">
        <v>783000</v>
      </c>
      <c r="J650" s="11">
        <v>4803255</v>
      </c>
      <c r="K650" s="11">
        <v>13582467</v>
      </c>
      <c r="L650" s="3">
        <v>378</v>
      </c>
      <c r="M650" s="3">
        <v>2505.5</v>
      </c>
      <c r="N650" s="3">
        <v>1838463</v>
      </c>
      <c r="O650" s="2">
        <v>-0.38900000000000001</v>
      </c>
      <c r="P650" s="2">
        <v>0.82099999999999995</v>
      </c>
      <c r="Q650" s="2">
        <v>0.187</v>
      </c>
      <c r="R650" s="11">
        <v>490372556</v>
      </c>
      <c r="S650" s="11">
        <v>1916104</v>
      </c>
      <c r="T650">
        <v>2017</v>
      </c>
      <c r="U650">
        <v>8</v>
      </c>
      <c r="V650">
        <f t="shared" si="60"/>
        <v>725500</v>
      </c>
      <c r="W650">
        <f t="shared" si="61"/>
        <v>18429897</v>
      </c>
      <c r="X650">
        <f t="shared" si="62"/>
        <v>17704397</v>
      </c>
      <c r="Y650">
        <f t="shared" si="63"/>
        <v>-25831095.5</v>
      </c>
      <c r="Z650">
        <f t="shared" si="64"/>
        <v>44986492.5</v>
      </c>
      <c r="AA650" t="str">
        <f t="shared" si="65"/>
        <v>Normal</v>
      </c>
      <c r="AE650" s="2"/>
      <c r="AF650" s="2"/>
    </row>
    <row r="651" spans="1:32" x14ac:dyDescent="0.35">
      <c r="A651">
        <v>650</v>
      </c>
      <c r="B651" s="1">
        <v>42956</v>
      </c>
      <c r="C651" s="9" t="s">
        <v>1236</v>
      </c>
      <c r="D651" s="9" t="s">
        <v>4988</v>
      </c>
      <c r="E651" s="9" t="s">
        <v>6211</v>
      </c>
      <c r="F651" s="9" t="s">
        <v>15</v>
      </c>
      <c r="G651" s="9" t="s">
        <v>1237</v>
      </c>
      <c r="H651" s="9" t="s">
        <v>86</v>
      </c>
      <c r="I651" s="11">
        <v>18429897</v>
      </c>
      <c r="J651" s="11">
        <v>4245831</v>
      </c>
      <c r="K651" s="11">
        <v>19057182</v>
      </c>
      <c r="L651" s="3">
        <v>404</v>
      </c>
      <c r="M651" s="3">
        <v>3306</v>
      </c>
      <c r="N651" s="3">
        <v>715779</v>
      </c>
      <c r="O651" s="2">
        <v>0.19699999999999998</v>
      </c>
      <c r="P651" s="2">
        <v>0.50800000000000001</v>
      </c>
      <c r="Q651" s="2">
        <v>7.0000000000000001E-3</v>
      </c>
      <c r="R651" s="11">
        <v>239312942</v>
      </c>
      <c r="S651" s="11">
        <v>1827109</v>
      </c>
      <c r="T651">
        <v>2017</v>
      </c>
      <c r="U651">
        <v>8</v>
      </c>
      <c r="V651">
        <f t="shared" si="60"/>
        <v>717000</v>
      </c>
      <c r="W651">
        <f t="shared" si="61"/>
        <v>18429897</v>
      </c>
      <c r="X651">
        <f t="shared" si="62"/>
        <v>17712897</v>
      </c>
      <c r="Y651">
        <f t="shared" si="63"/>
        <v>-25852345.5</v>
      </c>
      <c r="Z651">
        <f t="shared" si="64"/>
        <v>44999242.5</v>
      </c>
      <c r="AA651" t="str">
        <f t="shared" si="65"/>
        <v>Normal</v>
      </c>
      <c r="AE651" s="2"/>
      <c r="AF651" s="2"/>
    </row>
    <row r="652" spans="1:32" x14ac:dyDescent="0.35">
      <c r="A652">
        <v>651</v>
      </c>
      <c r="B652" s="1">
        <v>42957</v>
      </c>
      <c r="C652" s="9" t="s">
        <v>1238</v>
      </c>
      <c r="D652" s="9" t="s">
        <v>4988</v>
      </c>
      <c r="E652" s="9" t="s">
        <v>6212</v>
      </c>
      <c r="F652" s="9" t="s">
        <v>15</v>
      </c>
      <c r="G652" s="9" t="s">
        <v>1239</v>
      </c>
      <c r="H652" s="9" t="s">
        <v>105</v>
      </c>
      <c r="I652" s="11">
        <v>18429897</v>
      </c>
      <c r="J652" s="11">
        <v>2456479</v>
      </c>
      <c r="K652" s="11">
        <v>6227914</v>
      </c>
      <c r="L652" s="3">
        <v>81</v>
      </c>
      <c r="M652" s="3">
        <v>3352</v>
      </c>
      <c r="N652" s="3">
        <v>20713</v>
      </c>
      <c r="O652" s="2">
        <v>1.6E-2</v>
      </c>
      <c r="P652" s="2">
        <v>0.93500000000000005</v>
      </c>
      <c r="Q652" s="2">
        <v>0.115</v>
      </c>
      <c r="R652" s="11">
        <v>70859390</v>
      </c>
      <c r="S652" s="11">
        <v>1115986</v>
      </c>
      <c r="T652">
        <v>2017</v>
      </c>
      <c r="U652">
        <v>8</v>
      </c>
      <c r="V652">
        <f t="shared" si="60"/>
        <v>708500</v>
      </c>
      <c r="W652">
        <f t="shared" si="61"/>
        <v>18429897</v>
      </c>
      <c r="X652">
        <f t="shared" si="62"/>
        <v>17721397</v>
      </c>
      <c r="Y652">
        <f t="shared" si="63"/>
        <v>-25873595.5</v>
      </c>
      <c r="Z652">
        <f t="shared" si="64"/>
        <v>45011992.5</v>
      </c>
      <c r="AA652" t="str">
        <f t="shared" si="65"/>
        <v>Normal</v>
      </c>
      <c r="AE652" s="2"/>
      <c r="AF652" s="2"/>
    </row>
    <row r="653" spans="1:32" x14ac:dyDescent="0.35">
      <c r="A653">
        <v>652</v>
      </c>
      <c r="B653" s="1">
        <v>42958</v>
      </c>
      <c r="C653" s="9" t="s">
        <v>398</v>
      </c>
      <c r="D653" s="9" t="s">
        <v>4925</v>
      </c>
      <c r="E653" s="9" t="s">
        <v>4976</v>
      </c>
      <c r="F653" s="9" t="s">
        <v>15</v>
      </c>
      <c r="G653" s="9" t="s">
        <v>1240</v>
      </c>
      <c r="H653" s="9" t="s">
        <v>105</v>
      </c>
      <c r="I653" s="11">
        <v>200000000</v>
      </c>
      <c r="J653" s="11">
        <v>3269884</v>
      </c>
      <c r="K653" s="11">
        <v>13712625</v>
      </c>
      <c r="L653" s="3">
        <v>445</v>
      </c>
      <c r="M653" s="3">
        <v>2505.5</v>
      </c>
      <c r="N653" s="3">
        <v>867650</v>
      </c>
      <c r="O653" s="2">
        <v>-0.2</v>
      </c>
      <c r="P653" s="2">
        <v>0.80099999999999993</v>
      </c>
      <c r="Q653" s="2">
        <v>3.4000000000000002E-2</v>
      </c>
      <c r="R653" s="11">
        <v>250264963</v>
      </c>
      <c r="S653" s="11">
        <v>668305</v>
      </c>
      <c r="T653">
        <v>2017</v>
      </c>
      <c r="U653">
        <v>8</v>
      </c>
      <c r="V653">
        <f t="shared" si="60"/>
        <v>700000</v>
      </c>
      <c r="W653">
        <f t="shared" si="61"/>
        <v>18429897</v>
      </c>
      <c r="X653">
        <f t="shared" si="62"/>
        <v>17729897</v>
      </c>
      <c r="Y653">
        <f t="shared" si="63"/>
        <v>-25894845.5</v>
      </c>
      <c r="Z653">
        <f t="shared" si="64"/>
        <v>45024742.5</v>
      </c>
      <c r="AA653" t="str">
        <f t="shared" si="65"/>
        <v>Outlier</v>
      </c>
      <c r="AE653" s="2"/>
      <c r="AF653" s="2"/>
    </row>
    <row r="654" spans="1:32" x14ac:dyDescent="0.35">
      <c r="A654">
        <v>653</v>
      </c>
      <c r="B654" s="1">
        <v>42958</v>
      </c>
      <c r="C654" s="9" t="s">
        <v>1241</v>
      </c>
      <c r="D654" s="9" t="s">
        <v>4930</v>
      </c>
      <c r="E654" s="9" t="s">
        <v>6213</v>
      </c>
      <c r="F654" s="9" t="s">
        <v>27</v>
      </c>
      <c r="G654" s="9" t="s">
        <v>1242</v>
      </c>
      <c r="H654" s="9" t="s">
        <v>105</v>
      </c>
      <c r="I654" s="11">
        <v>18429897</v>
      </c>
      <c r="J654" s="11">
        <v>1027735</v>
      </c>
      <c r="K654" s="11">
        <v>10153449</v>
      </c>
      <c r="L654" s="3">
        <v>434</v>
      </c>
      <c r="M654" s="3">
        <v>2894</v>
      </c>
      <c r="N654" s="3">
        <v>1018455</v>
      </c>
      <c r="O654" s="2">
        <v>0.25600000000000001</v>
      </c>
      <c r="P654" s="2">
        <v>0.71400000000000008</v>
      </c>
      <c r="Q654" s="2">
        <v>0.29699999999999999</v>
      </c>
      <c r="R654" s="11">
        <v>408662481</v>
      </c>
      <c r="S654" s="11">
        <v>274620</v>
      </c>
      <c r="T654">
        <v>2017</v>
      </c>
      <c r="U654">
        <v>8</v>
      </c>
      <c r="V654">
        <f t="shared" si="60"/>
        <v>700000</v>
      </c>
      <c r="W654">
        <f t="shared" si="61"/>
        <v>18429897</v>
      </c>
      <c r="X654">
        <f t="shared" si="62"/>
        <v>17729897</v>
      </c>
      <c r="Y654">
        <f t="shared" si="63"/>
        <v>-25894845.5</v>
      </c>
      <c r="Z654">
        <f t="shared" si="64"/>
        <v>45024742.5</v>
      </c>
      <c r="AA654" t="str">
        <f t="shared" si="65"/>
        <v>Normal</v>
      </c>
      <c r="AE654" s="2"/>
      <c r="AF654" s="2"/>
    </row>
    <row r="655" spans="1:32" x14ac:dyDescent="0.35">
      <c r="A655">
        <v>654</v>
      </c>
      <c r="B655" s="1">
        <v>42958</v>
      </c>
      <c r="C655" s="9" t="s">
        <v>182</v>
      </c>
      <c r="D655" s="9" t="s">
        <v>4988</v>
      </c>
      <c r="E655" s="9" t="s">
        <v>6214</v>
      </c>
      <c r="F655" s="9" t="s">
        <v>19</v>
      </c>
      <c r="G655" s="9" t="s">
        <v>1243</v>
      </c>
      <c r="H655" s="9" t="s">
        <v>105</v>
      </c>
      <c r="I655" s="11">
        <v>36000000</v>
      </c>
      <c r="J655" s="11">
        <v>4025871</v>
      </c>
      <c r="K655" s="11">
        <v>8609359</v>
      </c>
      <c r="L655" s="3">
        <v>434</v>
      </c>
      <c r="M655" s="3">
        <v>3896</v>
      </c>
      <c r="N655" s="3">
        <v>1353817</v>
      </c>
      <c r="O655" s="2">
        <v>9.3000000000000013E-2</v>
      </c>
      <c r="P655" s="2">
        <v>1.103</v>
      </c>
      <c r="Q655" s="2">
        <v>0.184</v>
      </c>
      <c r="R655" s="11">
        <v>418490996</v>
      </c>
      <c r="S655" s="11">
        <v>1109310</v>
      </c>
      <c r="T655">
        <v>2017</v>
      </c>
      <c r="U655">
        <v>8</v>
      </c>
      <c r="V655">
        <f t="shared" si="60"/>
        <v>700000</v>
      </c>
      <c r="W655">
        <f t="shared" si="61"/>
        <v>18429897</v>
      </c>
      <c r="X655">
        <f t="shared" si="62"/>
        <v>17729897</v>
      </c>
      <c r="Y655">
        <f t="shared" si="63"/>
        <v>-25894845.5</v>
      </c>
      <c r="Z655">
        <f t="shared" si="64"/>
        <v>45024742.5</v>
      </c>
      <c r="AA655" t="str">
        <f t="shared" si="65"/>
        <v>Normal</v>
      </c>
      <c r="AE655" s="2"/>
      <c r="AF655" s="2"/>
    </row>
    <row r="656" spans="1:32" x14ac:dyDescent="0.35">
      <c r="A656">
        <v>655</v>
      </c>
      <c r="B656" s="1">
        <v>42961</v>
      </c>
      <c r="C656" s="9" t="s">
        <v>1244</v>
      </c>
      <c r="D656" s="9" t="s">
        <v>4988</v>
      </c>
      <c r="E656" s="9" t="s">
        <v>6215</v>
      </c>
      <c r="F656" s="9" t="s">
        <v>27</v>
      </c>
      <c r="G656" s="9" t="s">
        <v>135</v>
      </c>
      <c r="H656" s="9" t="s">
        <v>105</v>
      </c>
      <c r="I656" s="11">
        <v>18429897</v>
      </c>
      <c r="J656" s="11">
        <v>2774129</v>
      </c>
      <c r="K656" s="11">
        <v>9031987</v>
      </c>
      <c r="L656" s="3">
        <v>124</v>
      </c>
      <c r="M656" s="3">
        <v>3275</v>
      </c>
      <c r="N656" s="3">
        <v>293614</v>
      </c>
      <c r="O656" s="2">
        <v>0.371</v>
      </c>
      <c r="P656" s="2">
        <v>0.52300000000000002</v>
      </c>
      <c r="Q656" s="2">
        <v>0.03</v>
      </c>
      <c r="R656" s="11">
        <v>322587826</v>
      </c>
      <c r="S656" s="11">
        <v>1500072</v>
      </c>
      <c r="T656">
        <v>2017</v>
      </c>
      <c r="U656">
        <v>8</v>
      </c>
      <c r="V656">
        <f t="shared" si="60"/>
        <v>700000</v>
      </c>
      <c r="W656">
        <f t="shared" si="61"/>
        <v>18429897</v>
      </c>
      <c r="X656">
        <f t="shared" si="62"/>
        <v>17729897</v>
      </c>
      <c r="Y656">
        <f t="shared" si="63"/>
        <v>-25894845.5</v>
      </c>
      <c r="Z656">
        <f t="shared" si="64"/>
        <v>45024742.5</v>
      </c>
      <c r="AA656" t="str">
        <f t="shared" si="65"/>
        <v>Normal</v>
      </c>
      <c r="AE656" s="2"/>
      <c r="AF656" s="2"/>
    </row>
    <row r="657" spans="1:32" x14ac:dyDescent="0.35">
      <c r="A657">
        <v>656</v>
      </c>
      <c r="B657" s="1">
        <v>42961</v>
      </c>
      <c r="C657" s="9" t="s">
        <v>1245</v>
      </c>
      <c r="D657" s="9" t="s">
        <v>4930</v>
      </c>
      <c r="E657" s="9" t="s">
        <v>6216</v>
      </c>
      <c r="F657" s="9" t="s">
        <v>31</v>
      </c>
      <c r="G657" s="9" t="s">
        <v>1246</v>
      </c>
      <c r="H657" s="9" t="s">
        <v>86</v>
      </c>
      <c r="I657" s="11">
        <v>312000</v>
      </c>
      <c r="J657" s="11">
        <v>2672956</v>
      </c>
      <c r="K657" s="11">
        <v>4089605</v>
      </c>
      <c r="L657" s="3">
        <v>336</v>
      </c>
      <c r="M657" s="3">
        <v>740</v>
      </c>
      <c r="N657" s="3">
        <v>1089450</v>
      </c>
      <c r="O657" s="2">
        <v>0.13300000000000001</v>
      </c>
      <c r="P657" s="2">
        <v>0.50800000000000001</v>
      </c>
      <c r="Q657" s="2">
        <v>0.32899999999999996</v>
      </c>
      <c r="R657" s="11">
        <v>80681420</v>
      </c>
      <c r="S657" s="11">
        <v>1359937</v>
      </c>
      <c r="T657">
        <v>2017</v>
      </c>
      <c r="U657">
        <v>8</v>
      </c>
      <c r="V657">
        <f t="shared" si="60"/>
        <v>700000</v>
      </c>
      <c r="W657">
        <f t="shared" si="61"/>
        <v>18429897</v>
      </c>
      <c r="X657">
        <f t="shared" si="62"/>
        <v>17729897</v>
      </c>
      <c r="Y657">
        <f t="shared" si="63"/>
        <v>-25894845.5</v>
      </c>
      <c r="Z657">
        <f t="shared" si="64"/>
        <v>45024742.5</v>
      </c>
      <c r="AA657" t="str">
        <f t="shared" si="65"/>
        <v>Normal</v>
      </c>
      <c r="AE657" s="2"/>
      <c r="AF657" s="2"/>
    </row>
    <row r="658" spans="1:32" x14ac:dyDescent="0.35">
      <c r="A658">
        <v>657</v>
      </c>
      <c r="B658" s="1">
        <v>42962</v>
      </c>
      <c r="C658" s="9" t="s">
        <v>1247</v>
      </c>
      <c r="D658" s="9" t="s">
        <v>4988</v>
      </c>
      <c r="E658" s="9" t="s">
        <v>6217</v>
      </c>
      <c r="F658" s="9" t="s">
        <v>15</v>
      </c>
      <c r="G658" s="9" t="s">
        <v>1248</v>
      </c>
      <c r="H658" s="9" t="s">
        <v>86</v>
      </c>
      <c r="I658" s="11">
        <v>385000</v>
      </c>
      <c r="J658" s="11">
        <v>3836091</v>
      </c>
      <c r="K658" s="11">
        <v>8607400</v>
      </c>
      <c r="L658" s="3">
        <v>84</v>
      </c>
      <c r="M658" s="3">
        <v>2505.5</v>
      </c>
      <c r="N658" s="3">
        <v>631629</v>
      </c>
      <c r="O658" s="2">
        <v>0.113</v>
      </c>
      <c r="P658" s="2">
        <v>1.004E-2</v>
      </c>
      <c r="Q658" s="2">
        <v>0.39399999999999996</v>
      </c>
      <c r="R658" s="11">
        <v>200326381</v>
      </c>
      <c r="S658" s="11">
        <v>1858453</v>
      </c>
      <c r="T658">
        <v>2017</v>
      </c>
      <c r="U658">
        <v>8</v>
      </c>
      <c r="V658">
        <f t="shared" si="60"/>
        <v>700000</v>
      </c>
      <c r="W658">
        <f t="shared" si="61"/>
        <v>18429897</v>
      </c>
      <c r="X658">
        <f t="shared" si="62"/>
        <v>17729897</v>
      </c>
      <c r="Y658">
        <f t="shared" si="63"/>
        <v>-25894845.5</v>
      </c>
      <c r="Z658">
        <f t="shared" si="64"/>
        <v>45024742.5</v>
      </c>
      <c r="AA658" t="str">
        <f t="shared" si="65"/>
        <v>Normal</v>
      </c>
      <c r="AE658" s="2"/>
      <c r="AF658" s="2"/>
    </row>
    <row r="659" spans="1:32" x14ac:dyDescent="0.35">
      <c r="A659">
        <v>658</v>
      </c>
      <c r="B659" s="1">
        <v>42964</v>
      </c>
      <c r="C659" s="9" t="s">
        <v>1249</v>
      </c>
      <c r="D659" s="9" t="s">
        <v>4988</v>
      </c>
      <c r="E659" s="9" t="s">
        <v>6218</v>
      </c>
      <c r="F659" s="9" t="s">
        <v>31</v>
      </c>
      <c r="G659" s="9" t="s">
        <v>1250</v>
      </c>
      <c r="H659" s="9" t="s">
        <v>86</v>
      </c>
      <c r="I659" s="11">
        <v>18429897</v>
      </c>
      <c r="J659" s="11">
        <v>3171929</v>
      </c>
      <c r="K659" s="11">
        <v>17485430</v>
      </c>
      <c r="L659" s="3">
        <v>102</v>
      </c>
      <c r="M659" s="3">
        <v>3454</v>
      </c>
      <c r="N659" s="3">
        <v>990853</v>
      </c>
      <c r="O659" s="2">
        <v>0.34</v>
      </c>
      <c r="P659" s="2">
        <v>0.55200000000000005</v>
      </c>
      <c r="Q659" s="2">
        <v>-0.13</v>
      </c>
      <c r="R659" s="11">
        <v>275160231</v>
      </c>
      <c r="S659" s="11">
        <v>1939698</v>
      </c>
      <c r="T659">
        <v>2017</v>
      </c>
      <c r="U659">
        <v>8</v>
      </c>
      <c r="V659">
        <f t="shared" si="60"/>
        <v>717000</v>
      </c>
      <c r="W659">
        <f t="shared" si="61"/>
        <v>18429897</v>
      </c>
      <c r="X659">
        <f t="shared" si="62"/>
        <v>17712897</v>
      </c>
      <c r="Y659">
        <f t="shared" si="63"/>
        <v>-25852345.5</v>
      </c>
      <c r="Z659">
        <f t="shared" si="64"/>
        <v>44999242.5</v>
      </c>
      <c r="AA659" t="str">
        <f t="shared" si="65"/>
        <v>Normal</v>
      </c>
      <c r="AE659" s="2"/>
      <c r="AF659" s="2"/>
    </row>
    <row r="660" spans="1:32" x14ac:dyDescent="0.35">
      <c r="A660">
        <v>659</v>
      </c>
      <c r="B660" s="1">
        <v>42967</v>
      </c>
      <c r="C660" s="9" t="s">
        <v>1251</v>
      </c>
      <c r="D660" s="9" t="s">
        <v>4925</v>
      </c>
      <c r="E660" s="9" t="s">
        <v>6219</v>
      </c>
      <c r="F660" s="9" t="s">
        <v>27</v>
      </c>
      <c r="G660" s="9" t="s">
        <v>1252</v>
      </c>
      <c r="H660" s="9" t="s">
        <v>86</v>
      </c>
      <c r="I660" s="11">
        <v>187000</v>
      </c>
      <c r="J660" s="11">
        <v>380886</v>
      </c>
      <c r="K660" s="11">
        <v>13300645</v>
      </c>
      <c r="L660" s="3">
        <v>40</v>
      </c>
      <c r="M660" s="3">
        <v>1371</v>
      </c>
      <c r="N660" s="3">
        <v>47561</v>
      </c>
      <c r="O660" s="2">
        <v>5.2000000000000005E-2</v>
      </c>
      <c r="P660" s="2">
        <v>0.76300000000000001</v>
      </c>
      <c r="Q660" s="2">
        <v>-0.125</v>
      </c>
      <c r="R660" s="11">
        <v>401662769</v>
      </c>
      <c r="S660" s="11">
        <v>81626</v>
      </c>
      <c r="T660">
        <v>2017</v>
      </c>
      <c r="U660">
        <v>8</v>
      </c>
      <c r="V660">
        <f t="shared" si="60"/>
        <v>708500</v>
      </c>
      <c r="W660">
        <f t="shared" si="61"/>
        <v>18429897</v>
      </c>
      <c r="X660">
        <f t="shared" si="62"/>
        <v>17721397</v>
      </c>
      <c r="Y660">
        <f t="shared" si="63"/>
        <v>-25873595.5</v>
      </c>
      <c r="Z660">
        <f t="shared" si="64"/>
        <v>45011992.5</v>
      </c>
      <c r="AA660" t="str">
        <f t="shared" si="65"/>
        <v>Normal</v>
      </c>
      <c r="AE660" s="2"/>
      <c r="AF660" s="2"/>
    </row>
    <row r="661" spans="1:32" x14ac:dyDescent="0.35">
      <c r="A661">
        <v>660</v>
      </c>
      <c r="B661" s="1">
        <v>42968</v>
      </c>
      <c r="C661" s="9" t="s">
        <v>153</v>
      </c>
      <c r="D661" s="9" t="s">
        <v>4930</v>
      </c>
      <c r="E661" s="9" t="s">
        <v>1253</v>
      </c>
      <c r="F661" s="9" t="s">
        <v>35</v>
      </c>
      <c r="G661" s="9" t="s">
        <v>877</v>
      </c>
      <c r="H661" s="9" t="s">
        <v>105</v>
      </c>
      <c r="I661" s="11">
        <v>6800000</v>
      </c>
      <c r="J661" s="11">
        <v>2531926</v>
      </c>
      <c r="K661" s="11">
        <v>4110962</v>
      </c>
      <c r="L661" s="3">
        <v>249</v>
      </c>
      <c r="M661" s="3">
        <v>4325</v>
      </c>
      <c r="N661" s="3">
        <v>1056763</v>
      </c>
      <c r="O661" s="2">
        <v>0.115</v>
      </c>
      <c r="P661" s="2">
        <v>0.81400000000000006</v>
      </c>
      <c r="Q661" s="2">
        <v>0.7</v>
      </c>
      <c r="R661" s="11">
        <v>252813370</v>
      </c>
      <c r="S661" s="11">
        <v>832551</v>
      </c>
      <c r="T661">
        <v>2017</v>
      </c>
      <c r="U661">
        <v>8</v>
      </c>
      <c r="V661">
        <f t="shared" si="60"/>
        <v>734000</v>
      </c>
      <c r="W661">
        <f t="shared" si="61"/>
        <v>18429897</v>
      </c>
      <c r="X661">
        <f t="shared" si="62"/>
        <v>17695897</v>
      </c>
      <c r="Y661">
        <f t="shared" si="63"/>
        <v>-25809845.5</v>
      </c>
      <c r="Z661">
        <f t="shared" si="64"/>
        <v>44973742.5</v>
      </c>
      <c r="AA661" t="str">
        <f t="shared" si="65"/>
        <v>Normal</v>
      </c>
      <c r="AE661" s="2"/>
      <c r="AF661" s="2"/>
    </row>
    <row r="662" spans="1:32" x14ac:dyDescent="0.35">
      <c r="A662">
        <v>661</v>
      </c>
      <c r="B662" s="1">
        <v>42968</v>
      </c>
      <c r="C662" s="9" t="s">
        <v>1254</v>
      </c>
      <c r="D662" s="9" t="s">
        <v>4988</v>
      </c>
      <c r="E662" s="9" t="s">
        <v>6220</v>
      </c>
      <c r="F662" s="9" t="s">
        <v>1255</v>
      </c>
      <c r="G662" s="9" t="s">
        <v>4834</v>
      </c>
      <c r="H662" s="9" t="s">
        <v>86</v>
      </c>
      <c r="I662" s="11">
        <v>734000</v>
      </c>
      <c r="J662" s="11">
        <v>900060</v>
      </c>
      <c r="K662" s="11">
        <v>10578157</v>
      </c>
      <c r="L662" s="3">
        <v>357</v>
      </c>
      <c r="M662" s="3">
        <v>2439</v>
      </c>
      <c r="N662" s="3">
        <v>70791</v>
      </c>
      <c r="O662" s="2">
        <v>0.14099999999999999</v>
      </c>
      <c r="P662" s="2">
        <v>0.49399999999999999</v>
      </c>
      <c r="Q662" s="2">
        <v>0.25700000000000001</v>
      </c>
      <c r="R662" s="11">
        <v>137301419</v>
      </c>
      <c r="S662" s="11">
        <v>1050176</v>
      </c>
      <c r="T662">
        <v>2017</v>
      </c>
      <c r="U662">
        <v>8</v>
      </c>
      <c r="V662">
        <f t="shared" si="60"/>
        <v>725500</v>
      </c>
      <c r="W662">
        <f t="shared" si="61"/>
        <v>18429897</v>
      </c>
      <c r="X662">
        <f t="shared" si="62"/>
        <v>17704397</v>
      </c>
      <c r="Y662">
        <f t="shared" si="63"/>
        <v>-25831095.5</v>
      </c>
      <c r="Z662">
        <f t="shared" si="64"/>
        <v>44986492.5</v>
      </c>
      <c r="AA662" t="str">
        <f t="shared" si="65"/>
        <v>Normal</v>
      </c>
      <c r="AE662" s="2"/>
      <c r="AF662" s="2"/>
    </row>
    <row r="663" spans="1:32" x14ac:dyDescent="0.35">
      <c r="A663">
        <v>662</v>
      </c>
      <c r="B663" s="1">
        <v>42969</v>
      </c>
      <c r="C663" s="9" t="s">
        <v>1256</v>
      </c>
      <c r="D663" s="9" t="s">
        <v>4988</v>
      </c>
      <c r="E663" s="9" t="s">
        <v>1257</v>
      </c>
      <c r="F663" s="9" t="s">
        <v>31</v>
      </c>
      <c r="G663" s="9" t="s">
        <v>1258</v>
      </c>
      <c r="H663" s="9" t="s">
        <v>86</v>
      </c>
      <c r="I663" s="11">
        <v>18429897</v>
      </c>
      <c r="J663" s="11">
        <v>2531926</v>
      </c>
      <c r="K663" s="11">
        <v>14162916</v>
      </c>
      <c r="L663" s="3">
        <v>103</v>
      </c>
      <c r="M663" s="3">
        <v>1640</v>
      </c>
      <c r="N663" s="3">
        <v>1706436</v>
      </c>
      <c r="O663" s="2">
        <v>0.106</v>
      </c>
      <c r="P663" s="2">
        <v>0.55600000000000005</v>
      </c>
      <c r="Q663" s="2">
        <v>0.51700000000000002</v>
      </c>
      <c r="R663" s="11">
        <v>12777854</v>
      </c>
      <c r="S663" s="11">
        <v>1191203</v>
      </c>
      <c r="T663">
        <v>2017</v>
      </c>
      <c r="U663">
        <v>8</v>
      </c>
      <c r="V663">
        <f t="shared" si="60"/>
        <v>720000</v>
      </c>
      <c r="W663">
        <f t="shared" si="61"/>
        <v>18429897</v>
      </c>
      <c r="X663">
        <f t="shared" si="62"/>
        <v>17709897</v>
      </c>
      <c r="Y663">
        <f t="shared" si="63"/>
        <v>-25844845.5</v>
      </c>
      <c r="Z663">
        <f t="shared" si="64"/>
        <v>44994742.5</v>
      </c>
      <c r="AA663" t="str">
        <f t="shared" si="65"/>
        <v>Normal</v>
      </c>
      <c r="AE663" s="2"/>
      <c r="AF663" s="2"/>
    </row>
    <row r="664" spans="1:32" x14ac:dyDescent="0.35">
      <c r="A664">
        <v>663</v>
      </c>
      <c r="B664" s="1">
        <v>42969</v>
      </c>
      <c r="C664" s="9" t="s">
        <v>1259</v>
      </c>
      <c r="D664" s="9" t="s">
        <v>4988</v>
      </c>
      <c r="E664" s="9" t="s">
        <v>6221</v>
      </c>
      <c r="F664" s="9" t="s">
        <v>63</v>
      </c>
      <c r="G664" s="9" t="s">
        <v>1260</v>
      </c>
      <c r="H664" s="9" t="s">
        <v>86</v>
      </c>
      <c r="I664" s="11">
        <v>18429897</v>
      </c>
      <c r="J664" s="11">
        <v>2531926</v>
      </c>
      <c r="K664" s="11">
        <v>1639090</v>
      </c>
      <c r="L664" s="3">
        <v>97</v>
      </c>
      <c r="M664" s="3">
        <v>1938</v>
      </c>
      <c r="N664" s="3">
        <v>1425656</v>
      </c>
      <c r="O664" s="2">
        <v>0.35199999999999998</v>
      </c>
      <c r="P664" s="2">
        <v>0.24099999999999999</v>
      </c>
      <c r="Q664" s="2">
        <v>0.32299999999999995</v>
      </c>
      <c r="R664" s="11">
        <v>361193338</v>
      </c>
      <c r="S664" s="11">
        <v>814777</v>
      </c>
      <c r="T664">
        <v>2017</v>
      </c>
      <c r="U664">
        <v>8</v>
      </c>
      <c r="V664">
        <f t="shared" si="60"/>
        <v>710000</v>
      </c>
      <c r="W664">
        <f t="shared" si="61"/>
        <v>18429897</v>
      </c>
      <c r="X664">
        <f t="shared" si="62"/>
        <v>17719897</v>
      </c>
      <c r="Y664">
        <f t="shared" si="63"/>
        <v>-25869845.5</v>
      </c>
      <c r="Z664">
        <f t="shared" si="64"/>
        <v>45009742.5</v>
      </c>
      <c r="AA664" t="str">
        <f t="shared" si="65"/>
        <v>Normal</v>
      </c>
      <c r="AE664" s="2"/>
      <c r="AF664" s="2"/>
    </row>
    <row r="665" spans="1:32" x14ac:dyDescent="0.35">
      <c r="A665">
        <v>664</v>
      </c>
      <c r="B665" s="1">
        <v>42970</v>
      </c>
      <c r="C665" s="9" t="s">
        <v>323</v>
      </c>
      <c r="D665" s="9" t="s">
        <v>4988</v>
      </c>
      <c r="E665" s="9" t="s">
        <v>5109</v>
      </c>
      <c r="F665" s="9" t="s">
        <v>19</v>
      </c>
      <c r="G665" s="9" t="s">
        <v>1261</v>
      </c>
      <c r="H665" s="9" t="s">
        <v>86</v>
      </c>
      <c r="I665" s="11">
        <v>18429897</v>
      </c>
      <c r="J665" s="11">
        <v>1027974</v>
      </c>
      <c r="K665" s="11">
        <v>15290154</v>
      </c>
      <c r="L665" s="3">
        <v>142</v>
      </c>
      <c r="M665" s="3">
        <v>3114</v>
      </c>
      <c r="N665" s="3">
        <v>1018455</v>
      </c>
      <c r="O665" s="2">
        <v>-1.3000000000000001E-2</v>
      </c>
      <c r="P665" s="2">
        <v>0.48</v>
      </c>
      <c r="Q665" s="2">
        <v>0.215</v>
      </c>
      <c r="R665" s="11">
        <v>31171227</v>
      </c>
      <c r="S665" s="11">
        <v>1325943</v>
      </c>
      <c r="T665">
        <v>2017</v>
      </c>
      <c r="U665">
        <v>8</v>
      </c>
      <c r="V665">
        <f t="shared" si="60"/>
        <v>700000</v>
      </c>
      <c r="W665">
        <f t="shared" si="61"/>
        <v>18429897</v>
      </c>
      <c r="X665">
        <f t="shared" si="62"/>
        <v>17729897</v>
      </c>
      <c r="Y665">
        <f t="shared" si="63"/>
        <v>-25894845.5</v>
      </c>
      <c r="Z665">
        <f t="shared" si="64"/>
        <v>45024742.5</v>
      </c>
      <c r="AA665" t="str">
        <f t="shared" si="65"/>
        <v>Normal</v>
      </c>
      <c r="AE665" s="2"/>
      <c r="AF665" s="2"/>
    </row>
    <row r="666" spans="1:32" x14ac:dyDescent="0.35">
      <c r="A666">
        <v>665</v>
      </c>
      <c r="B666" s="1">
        <v>42970</v>
      </c>
      <c r="C666" s="9" t="s">
        <v>1262</v>
      </c>
      <c r="D666" s="9" t="s">
        <v>4930</v>
      </c>
      <c r="E666" s="9" t="s">
        <v>6222</v>
      </c>
      <c r="F666" s="9" t="s">
        <v>41</v>
      </c>
      <c r="G666" s="9" t="s">
        <v>1263</v>
      </c>
      <c r="H666" s="9" t="s">
        <v>105</v>
      </c>
      <c r="I666" s="11">
        <v>80000000</v>
      </c>
      <c r="J666" s="11">
        <v>2995276</v>
      </c>
      <c r="K666" s="11">
        <v>4104851</v>
      </c>
      <c r="L666" s="3">
        <v>102</v>
      </c>
      <c r="M666" s="3">
        <v>3561</v>
      </c>
      <c r="N666" s="3">
        <v>1309114</v>
      </c>
      <c r="O666" s="2">
        <v>-4.5999999999999999E-2</v>
      </c>
      <c r="P666" s="2">
        <v>0.52600000000000002</v>
      </c>
      <c r="Q666" s="2">
        <v>-0.434</v>
      </c>
      <c r="R666" s="11">
        <v>268157722</v>
      </c>
      <c r="S666" s="11">
        <v>1246980</v>
      </c>
      <c r="T666">
        <v>2017</v>
      </c>
      <c r="U666">
        <v>8</v>
      </c>
      <c r="V666">
        <f t="shared" si="60"/>
        <v>700000</v>
      </c>
      <c r="W666">
        <f t="shared" si="61"/>
        <v>18429897</v>
      </c>
      <c r="X666">
        <f t="shared" si="62"/>
        <v>17729897</v>
      </c>
      <c r="Y666">
        <f t="shared" si="63"/>
        <v>-25894845.5</v>
      </c>
      <c r="Z666">
        <f t="shared" si="64"/>
        <v>45024742.5</v>
      </c>
      <c r="AA666" t="str">
        <f t="shared" si="65"/>
        <v>Outlier</v>
      </c>
      <c r="AE666" s="2"/>
      <c r="AF666" s="2"/>
    </row>
    <row r="667" spans="1:32" x14ac:dyDescent="0.35">
      <c r="A667">
        <v>666</v>
      </c>
      <c r="B667" s="1">
        <v>42970</v>
      </c>
      <c r="C667" s="9" t="s">
        <v>1264</v>
      </c>
      <c r="D667" s="9" t="s">
        <v>4925</v>
      </c>
      <c r="E667" s="9" t="s">
        <v>6223</v>
      </c>
      <c r="F667" s="9" t="s">
        <v>27</v>
      </c>
      <c r="G667" s="9" t="s">
        <v>614</v>
      </c>
      <c r="H667" s="9" t="s">
        <v>105</v>
      </c>
      <c r="I667" s="11">
        <v>2300000</v>
      </c>
      <c r="J667" s="11">
        <v>3480094</v>
      </c>
      <c r="K667" s="11">
        <v>5963656</v>
      </c>
      <c r="L667" s="3">
        <v>417</v>
      </c>
      <c r="M667" s="3">
        <v>1315</v>
      </c>
      <c r="N667" s="3">
        <v>1957734</v>
      </c>
      <c r="O667" s="2">
        <v>1.6E-2</v>
      </c>
      <c r="P667" s="2">
        <v>0.217</v>
      </c>
      <c r="Q667" s="2">
        <v>-0.20499999999999999</v>
      </c>
      <c r="R667" s="11">
        <v>222100271</v>
      </c>
      <c r="S667" s="11">
        <v>1060784</v>
      </c>
      <c r="T667">
        <v>2017</v>
      </c>
      <c r="U667">
        <v>8</v>
      </c>
      <c r="V667">
        <f t="shared" si="60"/>
        <v>700000</v>
      </c>
      <c r="W667">
        <f t="shared" si="61"/>
        <v>18429897</v>
      </c>
      <c r="X667">
        <f t="shared" si="62"/>
        <v>17729897</v>
      </c>
      <c r="Y667">
        <f t="shared" si="63"/>
        <v>-25894845.5</v>
      </c>
      <c r="Z667">
        <f t="shared" si="64"/>
        <v>45024742.5</v>
      </c>
      <c r="AA667" t="str">
        <f t="shared" si="65"/>
        <v>Normal</v>
      </c>
      <c r="AE667" s="2"/>
      <c r="AF667" s="2"/>
    </row>
    <row r="668" spans="1:32" x14ac:dyDescent="0.35">
      <c r="A668">
        <v>667</v>
      </c>
      <c r="B668" s="1">
        <v>42970</v>
      </c>
      <c r="C668" s="9" t="s">
        <v>1265</v>
      </c>
      <c r="D668" s="9" t="s">
        <v>4930</v>
      </c>
      <c r="E668" s="9" t="s">
        <v>6224</v>
      </c>
      <c r="F668" s="9" t="s">
        <v>15</v>
      </c>
      <c r="G668" s="9" t="s">
        <v>1266</v>
      </c>
      <c r="H668" s="9" t="s">
        <v>86</v>
      </c>
      <c r="I668" s="11">
        <v>18429897</v>
      </c>
      <c r="J668" s="11">
        <v>2526458</v>
      </c>
      <c r="K668" s="11">
        <v>8385257</v>
      </c>
      <c r="L668" s="3">
        <v>88</v>
      </c>
      <c r="M668" s="3">
        <v>899</v>
      </c>
      <c r="N668" s="3">
        <v>416750</v>
      </c>
      <c r="O668" s="2">
        <v>-0.308</v>
      </c>
      <c r="P668" s="2">
        <v>1.0229999999999999</v>
      </c>
      <c r="Q668" s="2">
        <v>0.26300000000000001</v>
      </c>
      <c r="R668" s="11">
        <v>311237777</v>
      </c>
      <c r="S668" s="11">
        <v>223515</v>
      </c>
      <c r="T668">
        <v>2017</v>
      </c>
      <c r="U668">
        <v>8</v>
      </c>
      <c r="V668">
        <f t="shared" si="60"/>
        <v>700000</v>
      </c>
      <c r="W668">
        <f t="shared" si="61"/>
        <v>18429897</v>
      </c>
      <c r="X668">
        <f t="shared" si="62"/>
        <v>17729897</v>
      </c>
      <c r="Y668">
        <f t="shared" si="63"/>
        <v>-25894845.5</v>
      </c>
      <c r="Z668">
        <f t="shared" si="64"/>
        <v>45024742.5</v>
      </c>
      <c r="AA668" t="str">
        <f t="shared" si="65"/>
        <v>Normal</v>
      </c>
      <c r="AE668" s="2"/>
      <c r="AF668" s="2"/>
    </row>
    <row r="669" spans="1:32" x14ac:dyDescent="0.35">
      <c r="A669">
        <v>668</v>
      </c>
      <c r="B669" s="1">
        <v>42970</v>
      </c>
      <c r="C669" s="9" t="s">
        <v>1267</v>
      </c>
      <c r="D669" s="9" t="s">
        <v>4930</v>
      </c>
      <c r="E669" s="9" t="s">
        <v>6225</v>
      </c>
      <c r="F669" s="9" t="s">
        <v>15</v>
      </c>
      <c r="G669" s="9" t="s">
        <v>1268</v>
      </c>
      <c r="H669" s="9" t="s">
        <v>86</v>
      </c>
      <c r="I669" s="11">
        <v>500000</v>
      </c>
      <c r="J669" s="11">
        <v>4306380</v>
      </c>
      <c r="K669" s="11">
        <v>10147803</v>
      </c>
      <c r="L669" s="3">
        <v>142</v>
      </c>
      <c r="M669" s="3">
        <v>503</v>
      </c>
      <c r="N669" s="3">
        <v>12147</v>
      </c>
      <c r="O669" s="2">
        <v>0.41700000000000004</v>
      </c>
      <c r="P669" s="2">
        <v>1.085</v>
      </c>
      <c r="Q669" s="2">
        <v>-0.126</v>
      </c>
      <c r="R669" s="11">
        <v>299020183</v>
      </c>
      <c r="S669" s="11">
        <v>564147</v>
      </c>
      <c r="T669">
        <v>2017</v>
      </c>
      <c r="U669">
        <v>8</v>
      </c>
      <c r="V669">
        <f t="shared" si="60"/>
        <v>700000</v>
      </c>
      <c r="W669">
        <f t="shared" si="61"/>
        <v>18429897</v>
      </c>
      <c r="X669">
        <f t="shared" si="62"/>
        <v>17729897</v>
      </c>
      <c r="Y669">
        <f t="shared" si="63"/>
        <v>-25894845.5</v>
      </c>
      <c r="Z669">
        <f t="shared" si="64"/>
        <v>45024742.5</v>
      </c>
      <c r="AA669" t="str">
        <f t="shared" si="65"/>
        <v>Normal</v>
      </c>
      <c r="AE669" s="2"/>
      <c r="AF669" s="2"/>
    </row>
    <row r="670" spans="1:32" x14ac:dyDescent="0.35">
      <c r="A670">
        <v>669</v>
      </c>
      <c r="B670" s="1">
        <v>42971</v>
      </c>
      <c r="C670" s="9" t="s">
        <v>1269</v>
      </c>
      <c r="D670" s="9" t="s">
        <v>4930</v>
      </c>
      <c r="E670" s="9" t="s">
        <v>6226</v>
      </c>
      <c r="F670" s="9" t="s">
        <v>15</v>
      </c>
      <c r="G670" s="9" t="s">
        <v>1270</v>
      </c>
      <c r="H670" s="9" t="s">
        <v>105</v>
      </c>
      <c r="I670" s="11">
        <v>16000000</v>
      </c>
      <c r="J670" s="11">
        <v>4596321</v>
      </c>
      <c r="K670" s="11">
        <v>18328662</v>
      </c>
      <c r="L670" s="3">
        <v>156</v>
      </c>
      <c r="M670" s="3">
        <v>2505</v>
      </c>
      <c r="N670" s="3">
        <v>1802307</v>
      </c>
      <c r="O670" s="2">
        <v>-0.06</v>
      </c>
      <c r="P670" s="2">
        <v>0.377</v>
      </c>
      <c r="Q670" s="2">
        <v>6.3E-2</v>
      </c>
      <c r="R670" s="11">
        <v>345718532</v>
      </c>
      <c r="S670" s="11">
        <v>311832</v>
      </c>
      <c r="T670">
        <v>2017</v>
      </c>
      <c r="U670">
        <v>8</v>
      </c>
      <c r="V670">
        <f t="shared" si="60"/>
        <v>700000</v>
      </c>
      <c r="W670">
        <f t="shared" si="61"/>
        <v>18429897</v>
      </c>
      <c r="X670">
        <f t="shared" si="62"/>
        <v>17729897</v>
      </c>
      <c r="Y670">
        <f t="shared" si="63"/>
        <v>-25894845.5</v>
      </c>
      <c r="Z670">
        <f t="shared" si="64"/>
        <v>45024742.5</v>
      </c>
      <c r="AA670" t="str">
        <f t="shared" si="65"/>
        <v>Normal</v>
      </c>
      <c r="AE670" s="2"/>
      <c r="AF670" s="2"/>
    </row>
    <row r="671" spans="1:32" x14ac:dyDescent="0.35">
      <c r="A671">
        <v>670</v>
      </c>
      <c r="B671" s="1">
        <v>42972</v>
      </c>
      <c r="C671" s="9" t="s">
        <v>1271</v>
      </c>
      <c r="D671" s="9" t="s">
        <v>4988</v>
      </c>
      <c r="E671" s="9" t="s">
        <v>5372</v>
      </c>
      <c r="F671" s="9" t="s">
        <v>35</v>
      </c>
      <c r="G671" s="9" t="s">
        <v>1272</v>
      </c>
      <c r="H671" s="9" t="s">
        <v>86</v>
      </c>
      <c r="I671" s="11">
        <v>750000</v>
      </c>
      <c r="J671" s="11">
        <v>677872</v>
      </c>
      <c r="K671" s="11">
        <v>4537486</v>
      </c>
      <c r="L671" s="3">
        <v>105</v>
      </c>
      <c r="M671" s="3">
        <v>4639</v>
      </c>
      <c r="N671" s="3">
        <v>1319369</v>
      </c>
      <c r="O671" s="2">
        <v>7.2000000000000008E-2</v>
      </c>
      <c r="P671" s="2">
        <v>0.80500000000000005</v>
      </c>
      <c r="Q671" s="2">
        <v>0.32799999999999996</v>
      </c>
      <c r="R671" s="11">
        <v>43505645</v>
      </c>
      <c r="S671" s="11">
        <v>704300</v>
      </c>
      <c r="T671">
        <v>2017</v>
      </c>
      <c r="U671">
        <v>8</v>
      </c>
      <c r="V671">
        <f t="shared" si="60"/>
        <v>700000</v>
      </c>
      <c r="W671">
        <f t="shared" si="61"/>
        <v>18429897</v>
      </c>
      <c r="X671">
        <f t="shared" si="62"/>
        <v>17729897</v>
      </c>
      <c r="Y671">
        <f t="shared" si="63"/>
        <v>-25894845.5</v>
      </c>
      <c r="Z671">
        <f t="shared" si="64"/>
        <v>45024742.5</v>
      </c>
      <c r="AA671" t="str">
        <f t="shared" si="65"/>
        <v>Normal</v>
      </c>
      <c r="AE671" s="2"/>
      <c r="AF671" s="2"/>
    </row>
    <row r="672" spans="1:32" x14ac:dyDescent="0.35">
      <c r="A672">
        <v>671</v>
      </c>
      <c r="B672" s="1">
        <v>42972</v>
      </c>
      <c r="C672" s="9" t="s">
        <v>1273</v>
      </c>
      <c r="D672" s="9" t="s">
        <v>4988</v>
      </c>
      <c r="E672" s="9" t="s">
        <v>6155</v>
      </c>
      <c r="F672" s="9" t="s">
        <v>15</v>
      </c>
      <c r="G672" s="9" t="s">
        <v>1274</v>
      </c>
      <c r="H672" s="9" t="s">
        <v>86</v>
      </c>
      <c r="I672" s="11">
        <v>125000</v>
      </c>
      <c r="J672" s="11">
        <v>4763505</v>
      </c>
      <c r="K672" s="11">
        <v>5191363</v>
      </c>
      <c r="L672" s="3">
        <v>470</v>
      </c>
      <c r="M672" s="3">
        <v>4797</v>
      </c>
      <c r="N672" s="3">
        <v>1018455</v>
      </c>
      <c r="O672" s="2">
        <v>0.43200000000000005</v>
      </c>
      <c r="P672" s="2">
        <v>0.64200000000000002</v>
      </c>
      <c r="Q672" s="2">
        <v>0.13400000000000001</v>
      </c>
      <c r="R672" s="11">
        <v>202537253</v>
      </c>
      <c r="S672" s="11">
        <v>1110555</v>
      </c>
      <c r="T672">
        <v>2017</v>
      </c>
      <c r="U672">
        <v>8</v>
      </c>
      <c r="V672">
        <f t="shared" si="60"/>
        <v>700000</v>
      </c>
      <c r="W672">
        <f t="shared" si="61"/>
        <v>18429897</v>
      </c>
      <c r="X672">
        <f t="shared" si="62"/>
        <v>17729897</v>
      </c>
      <c r="Y672">
        <f t="shared" si="63"/>
        <v>-25894845.5</v>
      </c>
      <c r="Z672">
        <f t="shared" si="64"/>
        <v>45024742.5</v>
      </c>
      <c r="AA672" t="str">
        <f t="shared" si="65"/>
        <v>Normal</v>
      </c>
      <c r="AE672" s="2"/>
      <c r="AF672" s="2"/>
    </row>
    <row r="673" spans="1:32" x14ac:dyDescent="0.35">
      <c r="A673">
        <v>672</v>
      </c>
      <c r="B673" s="1">
        <v>42975</v>
      </c>
      <c r="C673" s="9" t="s">
        <v>1275</v>
      </c>
      <c r="D673" s="9" t="s">
        <v>4930</v>
      </c>
      <c r="E673" s="9" t="s">
        <v>6227</v>
      </c>
      <c r="F673" s="9" t="s">
        <v>41</v>
      </c>
      <c r="G673" s="9" t="s">
        <v>1276</v>
      </c>
      <c r="H673" s="9" t="s">
        <v>105</v>
      </c>
      <c r="I673" s="11">
        <v>7000000</v>
      </c>
      <c r="J673" s="11">
        <v>3079611</v>
      </c>
      <c r="K673" s="11">
        <v>7640700</v>
      </c>
      <c r="L673" s="3">
        <v>108</v>
      </c>
      <c r="M673" s="3">
        <v>2820</v>
      </c>
      <c r="N673" s="3">
        <v>580411</v>
      </c>
      <c r="O673" s="2">
        <v>9.1999999999999998E-2</v>
      </c>
      <c r="P673" s="2">
        <v>0.32799999999999996</v>
      </c>
      <c r="Q673" s="2">
        <v>0.2</v>
      </c>
      <c r="R673" s="11">
        <v>158372135</v>
      </c>
      <c r="S673" s="11">
        <v>755095</v>
      </c>
      <c r="T673">
        <v>2017</v>
      </c>
      <c r="U673">
        <v>8</v>
      </c>
      <c r="V673">
        <f t="shared" si="60"/>
        <v>700000</v>
      </c>
      <c r="W673">
        <f t="shared" si="61"/>
        <v>18429897</v>
      </c>
      <c r="X673">
        <f t="shared" si="62"/>
        <v>17729897</v>
      </c>
      <c r="Y673">
        <f t="shared" si="63"/>
        <v>-25894845.5</v>
      </c>
      <c r="Z673">
        <f t="shared" si="64"/>
        <v>45024742.5</v>
      </c>
      <c r="AA673" t="str">
        <f t="shared" si="65"/>
        <v>Normal</v>
      </c>
      <c r="AE673" s="2"/>
      <c r="AF673" s="2"/>
    </row>
    <row r="674" spans="1:32" x14ac:dyDescent="0.35">
      <c r="A674">
        <v>673</v>
      </c>
      <c r="B674" s="1">
        <v>42976</v>
      </c>
      <c r="C674" s="9" t="s">
        <v>857</v>
      </c>
      <c r="D674" s="9" t="s">
        <v>4988</v>
      </c>
      <c r="E674" s="9" t="s">
        <v>6228</v>
      </c>
      <c r="F674" s="9" t="s">
        <v>15</v>
      </c>
      <c r="G674" s="9" t="s">
        <v>4835</v>
      </c>
      <c r="H674" s="9" t="s">
        <v>105</v>
      </c>
      <c r="I674" s="11">
        <v>25000000</v>
      </c>
      <c r="J674" s="11">
        <v>3188371</v>
      </c>
      <c r="K674" s="11">
        <v>17159802</v>
      </c>
      <c r="L674" s="3">
        <v>245</v>
      </c>
      <c r="M674" s="3">
        <v>2682</v>
      </c>
      <c r="N674" s="3">
        <v>672412</v>
      </c>
      <c r="O674" s="2">
        <v>0.223</v>
      </c>
      <c r="P674" s="2">
        <v>0.22500000000000001</v>
      </c>
      <c r="Q674" s="2">
        <v>0.44700000000000001</v>
      </c>
      <c r="R674" s="11">
        <v>21204892</v>
      </c>
      <c r="S674" s="11">
        <v>979342</v>
      </c>
      <c r="T674">
        <v>2017</v>
      </c>
      <c r="U674">
        <v>8</v>
      </c>
      <c r="V674">
        <f t="shared" si="60"/>
        <v>700000</v>
      </c>
      <c r="W674">
        <f t="shared" si="61"/>
        <v>18429897</v>
      </c>
      <c r="X674">
        <f t="shared" si="62"/>
        <v>17729897</v>
      </c>
      <c r="Y674">
        <f t="shared" si="63"/>
        <v>-25894845.5</v>
      </c>
      <c r="Z674">
        <f t="shared" si="64"/>
        <v>45024742.5</v>
      </c>
      <c r="AA674" t="str">
        <f t="shared" si="65"/>
        <v>Normal</v>
      </c>
      <c r="AE674" s="2"/>
      <c r="AF674" s="2"/>
    </row>
    <row r="675" spans="1:32" x14ac:dyDescent="0.35">
      <c r="A675">
        <v>674</v>
      </c>
      <c r="B675" s="1">
        <v>42976</v>
      </c>
      <c r="C675" s="9" t="s">
        <v>641</v>
      </c>
      <c r="D675" s="9" t="s">
        <v>4930</v>
      </c>
      <c r="E675" s="9" t="s">
        <v>6229</v>
      </c>
      <c r="F675" s="9" t="s">
        <v>31</v>
      </c>
      <c r="G675" s="9" t="s">
        <v>1277</v>
      </c>
      <c r="H675" s="9" t="s">
        <v>86</v>
      </c>
      <c r="I675" s="11">
        <v>750000</v>
      </c>
      <c r="J675" s="11">
        <v>493576</v>
      </c>
      <c r="K675" s="11">
        <v>19306174</v>
      </c>
      <c r="L675" s="3">
        <v>285</v>
      </c>
      <c r="M675" s="3">
        <v>2541</v>
      </c>
      <c r="N675" s="3">
        <v>1357988</v>
      </c>
      <c r="O675" s="2">
        <v>-0.16399999999999998</v>
      </c>
      <c r="P675" s="2">
        <v>0.8640000000000001</v>
      </c>
      <c r="Q675" s="2">
        <v>0.47200000000000003</v>
      </c>
      <c r="R675" s="11">
        <v>483488676</v>
      </c>
      <c r="S675" s="11">
        <v>584172</v>
      </c>
      <c r="T675">
        <v>2017</v>
      </c>
      <c r="U675">
        <v>8</v>
      </c>
      <c r="V675">
        <f t="shared" si="60"/>
        <v>700000</v>
      </c>
      <c r="W675">
        <f t="shared" si="61"/>
        <v>18429897</v>
      </c>
      <c r="X675">
        <f t="shared" si="62"/>
        <v>17729897</v>
      </c>
      <c r="Y675">
        <f t="shared" si="63"/>
        <v>-25894845.5</v>
      </c>
      <c r="Z675">
        <f t="shared" si="64"/>
        <v>45024742.5</v>
      </c>
      <c r="AA675" t="str">
        <f t="shared" si="65"/>
        <v>Normal</v>
      </c>
      <c r="AE675" s="2"/>
      <c r="AF675" s="2"/>
    </row>
    <row r="676" spans="1:32" x14ac:dyDescent="0.35">
      <c r="A676">
        <v>675</v>
      </c>
      <c r="B676" s="1">
        <v>42976</v>
      </c>
      <c r="C676" s="9" t="s">
        <v>1278</v>
      </c>
      <c r="D676" s="9" t="s">
        <v>4930</v>
      </c>
      <c r="E676" s="9" t="s">
        <v>6230</v>
      </c>
      <c r="F676" s="9" t="s">
        <v>19</v>
      </c>
      <c r="G676" s="9" t="s">
        <v>1279</v>
      </c>
      <c r="H676" s="9" t="s">
        <v>59</v>
      </c>
      <c r="I676" s="11">
        <v>18429897</v>
      </c>
      <c r="J676" s="11">
        <v>3116921</v>
      </c>
      <c r="K676" s="11">
        <v>9144405</v>
      </c>
      <c r="L676" s="3">
        <v>134</v>
      </c>
      <c r="M676" s="3">
        <v>1224</v>
      </c>
      <c r="N676" s="3">
        <v>1000000000</v>
      </c>
      <c r="O676" s="2">
        <v>0.4</v>
      </c>
      <c r="P676" s="2">
        <v>0.28000000000000003</v>
      </c>
      <c r="Q676" s="2">
        <v>8.5999999999999993E-2</v>
      </c>
      <c r="R676" s="11">
        <v>129221006</v>
      </c>
      <c r="S676" s="11">
        <v>1400241</v>
      </c>
      <c r="T676">
        <v>2017</v>
      </c>
      <c r="U676">
        <v>8</v>
      </c>
      <c r="V676">
        <f t="shared" si="60"/>
        <v>700000</v>
      </c>
      <c r="W676">
        <f t="shared" si="61"/>
        <v>18429897</v>
      </c>
      <c r="X676">
        <f t="shared" si="62"/>
        <v>17729897</v>
      </c>
      <c r="Y676">
        <f t="shared" si="63"/>
        <v>-25894845.5</v>
      </c>
      <c r="Z676">
        <f t="shared" si="64"/>
        <v>45024742.5</v>
      </c>
      <c r="AA676" t="str">
        <f t="shared" si="65"/>
        <v>Normal</v>
      </c>
      <c r="AE676" s="2"/>
      <c r="AF676" s="2"/>
    </row>
    <row r="677" spans="1:32" x14ac:dyDescent="0.35">
      <c r="A677">
        <v>676</v>
      </c>
      <c r="B677" s="1">
        <v>42977</v>
      </c>
      <c r="C677" s="9" t="s">
        <v>593</v>
      </c>
      <c r="D677" s="9" t="s">
        <v>4988</v>
      </c>
      <c r="E677" s="9" t="s">
        <v>6231</v>
      </c>
      <c r="F677" s="9" t="s">
        <v>15</v>
      </c>
      <c r="G677" s="9" t="s">
        <v>1280</v>
      </c>
      <c r="H677" s="9" t="s">
        <v>105</v>
      </c>
      <c r="I677" s="11">
        <v>34000000</v>
      </c>
      <c r="J677" s="11">
        <v>2531926</v>
      </c>
      <c r="K677" s="11">
        <v>13893446</v>
      </c>
      <c r="L677" s="3">
        <v>238</v>
      </c>
      <c r="M677" s="3">
        <v>2108</v>
      </c>
      <c r="N677" s="3">
        <v>152276</v>
      </c>
      <c r="O677" s="2">
        <v>9.6000000000000002E-2</v>
      </c>
      <c r="P677" s="2">
        <v>0.50800000000000001</v>
      </c>
      <c r="Q677" s="2">
        <v>0.41799999999999998</v>
      </c>
      <c r="R677" s="11">
        <v>36133326</v>
      </c>
      <c r="S677" s="11">
        <v>1018349</v>
      </c>
      <c r="T677">
        <v>2017</v>
      </c>
      <c r="U677">
        <v>8</v>
      </c>
      <c r="V677">
        <f t="shared" si="60"/>
        <v>700000</v>
      </c>
      <c r="W677">
        <f t="shared" si="61"/>
        <v>18429897</v>
      </c>
      <c r="X677">
        <f t="shared" si="62"/>
        <v>17729897</v>
      </c>
      <c r="Y677">
        <f t="shared" si="63"/>
        <v>-25894845.5</v>
      </c>
      <c r="Z677">
        <f t="shared" si="64"/>
        <v>45024742.5</v>
      </c>
      <c r="AA677" t="str">
        <f t="shared" si="65"/>
        <v>Normal</v>
      </c>
      <c r="AE677" s="2"/>
      <c r="AF677" s="2"/>
    </row>
    <row r="678" spans="1:32" x14ac:dyDescent="0.35">
      <c r="A678">
        <v>677</v>
      </c>
      <c r="B678" s="1">
        <v>42977</v>
      </c>
      <c r="C678" s="9" t="s">
        <v>670</v>
      </c>
      <c r="D678" s="9" t="s">
        <v>4930</v>
      </c>
      <c r="E678" s="9" t="s">
        <v>6232</v>
      </c>
      <c r="F678" s="9" t="s">
        <v>15</v>
      </c>
      <c r="G678" s="9" t="s">
        <v>1281</v>
      </c>
      <c r="H678" s="9" t="s">
        <v>105</v>
      </c>
      <c r="I678" s="11">
        <v>30000000</v>
      </c>
      <c r="J678" s="11">
        <v>2912339</v>
      </c>
      <c r="K678" s="11">
        <v>18353537</v>
      </c>
      <c r="L678" s="3">
        <v>89</v>
      </c>
      <c r="M678" s="3">
        <v>4682</v>
      </c>
      <c r="N678" s="3">
        <v>585182</v>
      </c>
      <c r="O678" s="2">
        <v>-8.4000000000000005E-2</v>
      </c>
      <c r="P678" s="2">
        <v>0.99</v>
      </c>
      <c r="Q678" s="2">
        <v>0.36749999999999999</v>
      </c>
      <c r="R678" s="11">
        <v>88222944</v>
      </c>
      <c r="S678" s="11">
        <v>1440680</v>
      </c>
      <c r="T678">
        <v>2017</v>
      </c>
      <c r="U678">
        <v>8</v>
      </c>
      <c r="V678">
        <f t="shared" si="60"/>
        <v>700000</v>
      </c>
      <c r="W678">
        <f t="shared" si="61"/>
        <v>18429897</v>
      </c>
      <c r="X678">
        <f t="shared" si="62"/>
        <v>17729897</v>
      </c>
      <c r="Y678">
        <f t="shared" si="63"/>
        <v>-25894845.5</v>
      </c>
      <c r="Z678">
        <f t="shared" si="64"/>
        <v>45024742.5</v>
      </c>
      <c r="AA678" t="str">
        <f t="shared" si="65"/>
        <v>Normal</v>
      </c>
      <c r="AE678" s="2"/>
      <c r="AF678" s="2"/>
    </row>
    <row r="679" spans="1:32" x14ac:dyDescent="0.35">
      <c r="A679">
        <v>678</v>
      </c>
      <c r="B679" s="1">
        <v>42917</v>
      </c>
      <c r="C679" s="9" t="s">
        <v>1282</v>
      </c>
      <c r="D679" s="9" t="s">
        <v>4988</v>
      </c>
      <c r="E679" s="9" t="s">
        <v>5546</v>
      </c>
      <c r="F679" s="9" t="s">
        <v>15</v>
      </c>
      <c r="G679" s="9" t="s">
        <v>1283</v>
      </c>
      <c r="H679" s="9" t="s">
        <v>86</v>
      </c>
      <c r="I679" s="11">
        <v>1000000</v>
      </c>
      <c r="J679" s="11">
        <v>440776</v>
      </c>
      <c r="K679" s="11">
        <v>16947622</v>
      </c>
      <c r="L679" s="3">
        <v>243</v>
      </c>
      <c r="M679" s="3">
        <v>3099</v>
      </c>
      <c r="N679" s="3">
        <v>768725</v>
      </c>
      <c r="O679" s="2">
        <v>1.6E-2</v>
      </c>
      <c r="P679" s="2">
        <v>0.50800000000000001</v>
      </c>
      <c r="Q679" s="2">
        <v>0.157</v>
      </c>
      <c r="R679" s="11">
        <v>362175458</v>
      </c>
      <c r="S679" s="11">
        <v>132698</v>
      </c>
      <c r="T679">
        <v>2017</v>
      </c>
      <c r="U679">
        <v>7</v>
      </c>
      <c r="V679">
        <f t="shared" si="60"/>
        <v>700000</v>
      </c>
      <c r="W679">
        <f t="shared" si="61"/>
        <v>18429897</v>
      </c>
      <c r="X679">
        <f t="shared" si="62"/>
        <v>17729897</v>
      </c>
      <c r="Y679">
        <f t="shared" si="63"/>
        <v>-25894845.5</v>
      </c>
      <c r="Z679">
        <f t="shared" si="64"/>
        <v>45024742.5</v>
      </c>
      <c r="AA679" t="str">
        <f t="shared" si="65"/>
        <v>Normal</v>
      </c>
      <c r="AE679" s="2"/>
      <c r="AF679" s="2"/>
    </row>
    <row r="680" spans="1:32" x14ac:dyDescent="0.35">
      <c r="A680">
        <v>679</v>
      </c>
      <c r="B680" s="1">
        <v>42919</v>
      </c>
      <c r="C680" s="9" t="s">
        <v>1284</v>
      </c>
      <c r="D680" s="9" t="s">
        <v>4930</v>
      </c>
      <c r="E680" s="9" t="s">
        <v>6233</v>
      </c>
      <c r="F680" s="9" t="s">
        <v>408</v>
      </c>
      <c r="G680" s="9" t="s">
        <v>1285</v>
      </c>
      <c r="H680" s="9" t="s">
        <v>105</v>
      </c>
      <c r="I680" s="11">
        <v>2600000</v>
      </c>
      <c r="J680" s="11">
        <v>2625672</v>
      </c>
      <c r="K680" s="11">
        <v>13657221</v>
      </c>
      <c r="L680" s="3">
        <v>14</v>
      </c>
      <c r="M680" s="3">
        <v>1258</v>
      </c>
      <c r="N680" s="3">
        <v>1661213</v>
      </c>
      <c r="O680" s="2">
        <v>0.45800000000000002</v>
      </c>
      <c r="P680" s="2">
        <v>1.043E-2</v>
      </c>
      <c r="Q680" s="2">
        <v>0.24199999999999999</v>
      </c>
      <c r="R680" s="11">
        <v>376795717</v>
      </c>
      <c r="S680" s="11">
        <v>1646826</v>
      </c>
      <c r="T680">
        <v>2017</v>
      </c>
      <c r="U680">
        <v>7</v>
      </c>
      <c r="V680">
        <f t="shared" si="60"/>
        <v>700000</v>
      </c>
      <c r="W680">
        <f t="shared" si="61"/>
        <v>18429897</v>
      </c>
      <c r="X680">
        <f t="shared" si="62"/>
        <v>17729897</v>
      </c>
      <c r="Y680">
        <f t="shared" si="63"/>
        <v>-25894845.5</v>
      </c>
      <c r="Z680">
        <f t="shared" si="64"/>
        <v>45024742.5</v>
      </c>
      <c r="AA680" t="str">
        <f t="shared" si="65"/>
        <v>Normal</v>
      </c>
      <c r="AE680" s="2"/>
      <c r="AF680" s="2"/>
    </row>
    <row r="681" spans="1:32" x14ac:dyDescent="0.35">
      <c r="A681">
        <v>680</v>
      </c>
      <c r="B681" s="1">
        <v>42920</v>
      </c>
      <c r="C681" s="9" t="s">
        <v>354</v>
      </c>
      <c r="D681" s="9" t="s">
        <v>4925</v>
      </c>
      <c r="E681" s="9" t="s">
        <v>6234</v>
      </c>
      <c r="F681" s="9" t="s">
        <v>19</v>
      </c>
      <c r="G681" s="9" t="s">
        <v>1286</v>
      </c>
      <c r="H681" s="9" t="s">
        <v>105</v>
      </c>
      <c r="I681" s="11">
        <v>20000000</v>
      </c>
      <c r="J681" s="11">
        <v>4680980</v>
      </c>
      <c r="K681" s="11">
        <v>10857931</v>
      </c>
      <c r="L681" s="3">
        <v>222</v>
      </c>
      <c r="M681" s="3">
        <v>483</v>
      </c>
      <c r="N681" s="3">
        <v>687919</v>
      </c>
      <c r="O681" s="2">
        <v>3.0000000000000001E-3</v>
      </c>
      <c r="P681" s="2">
        <v>0.307</v>
      </c>
      <c r="Q681" s="2">
        <v>7.400000000000001E-2</v>
      </c>
      <c r="R681" s="11">
        <v>107218883</v>
      </c>
      <c r="S681" s="11">
        <v>1008193.5</v>
      </c>
      <c r="T681">
        <v>2017</v>
      </c>
      <c r="U681">
        <v>7</v>
      </c>
      <c r="V681">
        <f t="shared" si="60"/>
        <v>700000</v>
      </c>
      <c r="W681">
        <f t="shared" si="61"/>
        <v>18429897</v>
      </c>
      <c r="X681">
        <f t="shared" si="62"/>
        <v>17729897</v>
      </c>
      <c r="Y681">
        <f t="shared" si="63"/>
        <v>-25894845.5</v>
      </c>
      <c r="Z681">
        <f t="shared" si="64"/>
        <v>45024742.5</v>
      </c>
      <c r="AA681" t="str">
        <f t="shared" si="65"/>
        <v>Normal</v>
      </c>
      <c r="AE681" s="2"/>
      <c r="AF681" s="2"/>
    </row>
    <row r="682" spans="1:32" x14ac:dyDescent="0.35">
      <c r="A682">
        <v>681</v>
      </c>
      <c r="B682" s="1">
        <v>42921</v>
      </c>
      <c r="C682" s="9" t="s">
        <v>1287</v>
      </c>
      <c r="D682" s="9" t="s">
        <v>4925</v>
      </c>
      <c r="E682" s="9" t="s">
        <v>1288</v>
      </c>
      <c r="F682" s="9" t="s">
        <v>15</v>
      </c>
      <c r="G682" s="9" t="s">
        <v>1289</v>
      </c>
      <c r="H682" s="9" t="s">
        <v>105</v>
      </c>
      <c r="I682" s="11">
        <v>8500000</v>
      </c>
      <c r="J682" s="11">
        <v>3622614</v>
      </c>
      <c r="K682" s="11">
        <v>19688516</v>
      </c>
      <c r="L682" s="3">
        <v>185</v>
      </c>
      <c r="M682" s="3">
        <v>3768</v>
      </c>
      <c r="N682" s="3">
        <v>987970</v>
      </c>
      <c r="O682" s="2">
        <v>-7.9000000000000001E-2</v>
      </c>
      <c r="P682" s="2">
        <v>0.82700000000000007</v>
      </c>
      <c r="Q682" s="2">
        <v>4.4000000000000004E-2</v>
      </c>
      <c r="R682" s="11">
        <v>125190643</v>
      </c>
      <c r="S682" s="11">
        <v>1503497</v>
      </c>
      <c r="T682">
        <v>2017</v>
      </c>
      <c r="U682">
        <v>7</v>
      </c>
      <c r="V682">
        <f t="shared" si="60"/>
        <v>700000</v>
      </c>
      <c r="W682">
        <f t="shared" si="61"/>
        <v>18429897</v>
      </c>
      <c r="X682">
        <f t="shared" si="62"/>
        <v>17729897</v>
      </c>
      <c r="Y682">
        <f t="shared" si="63"/>
        <v>-25894845.5</v>
      </c>
      <c r="Z682">
        <f t="shared" si="64"/>
        <v>45024742.5</v>
      </c>
      <c r="AA682" t="str">
        <f t="shared" si="65"/>
        <v>Normal</v>
      </c>
      <c r="AE682" s="2"/>
      <c r="AF682" s="2"/>
    </row>
    <row r="683" spans="1:32" x14ac:dyDescent="0.35">
      <c r="A683">
        <v>682</v>
      </c>
      <c r="B683" s="1">
        <v>42921</v>
      </c>
      <c r="C683" s="9" t="s">
        <v>190</v>
      </c>
      <c r="D683" s="9" t="s">
        <v>4925</v>
      </c>
      <c r="E683" s="9" t="s">
        <v>6235</v>
      </c>
      <c r="F683" s="9" t="s">
        <v>63</v>
      </c>
      <c r="G683" s="9" t="s">
        <v>1290</v>
      </c>
      <c r="H683" s="9" t="s">
        <v>105</v>
      </c>
      <c r="I683" s="11">
        <v>12000000</v>
      </c>
      <c r="J683" s="11">
        <v>704291</v>
      </c>
      <c r="K683" s="11">
        <v>4856890</v>
      </c>
      <c r="L683" s="3">
        <v>178</v>
      </c>
      <c r="M683" s="3">
        <v>4519</v>
      </c>
      <c r="N683" s="3">
        <v>1195946</v>
      </c>
      <c r="O683" s="2">
        <v>3.3000000000000002E-2</v>
      </c>
      <c r="P683" s="2">
        <v>0.40600000000000003</v>
      </c>
      <c r="Q683" s="2">
        <v>-0.18</v>
      </c>
      <c r="R683" s="11">
        <v>245272349</v>
      </c>
      <c r="S683" s="11">
        <v>15057</v>
      </c>
      <c r="T683">
        <v>2017</v>
      </c>
      <c r="U683">
        <v>7</v>
      </c>
      <c r="V683">
        <f t="shared" si="60"/>
        <v>700000</v>
      </c>
      <c r="W683">
        <f t="shared" si="61"/>
        <v>18429897</v>
      </c>
      <c r="X683">
        <f t="shared" si="62"/>
        <v>17729897</v>
      </c>
      <c r="Y683">
        <f t="shared" si="63"/>
        <v>-25894845.5</v>
      </c>
      <c r="Z683">
        <f t="shared" si="64"/>
        <v>45024742.5</v>
      </c>
      <c r="AA683" t="str">
        <f t="shared" si="65"/>
        <v>Normal</v>
      </c>
      <c r="AE683" s="2"/>
      <c r="AF683" s="2"/>
    </row>
    <row r="684" spans="1:32" x14ac:dyDescent="0.35">
      <c r="A684">
        <v>683</v>
      </c>
      <c r="B684" s="1">
        <v>42921</v>
      </c>
      <c r="C684" s="9" t="s">
        <v>1291</v>
      </c>
      <c r="D684" s="9" t="s">
        <v>4988</v>
      </c>
      <c r="E684" s="9" t="s">
        <v>6236</v>
      </c>
      <c r="F684" s="9" t="s">
        <v>31</v>
      </c>
      <c r="G684" s="9" t="s">
        <v>1292</v>
      </c>
      <c r="H684" s="9" t="s">
        <v>105</v>
      </c>
      <c r="I684" s="11">
        <v>1000000</v>
      </c>
      <c r="J684" s="11">
        <v>4800493</v>
      </c>
      <c r="K684" s="11">
        <v>7319008</v>
      </c>
      <c r="L684" s="3">
        <v>59</v>
      </c>
      <c r="M684" s="3">
        <v>592</v>
      </c>
      <c r="N684" s="3">
        <v>270701</v>
      </c>
      <c r="O684" s="2">
        <v>0.129</v>
      </c>
      <c r="P684" s="2">
        <v>0.72</v>
      </c>
      <c r="Q684" s="2">
        <v>9.0999999999999998E-2</v>
      </c>
      <c r="R684" s="11">
        <v>182934703</v>
      </c>
      <c r="S684" s="11">
        <v>1892694</v>
      </c>
      <c r="T684">
        <v>2017</v>
      </c>
      <c r="U684">
        <v>7</v>
      </c>
      <c r="V684">
        <f t="shared" si="60"/>
        <v>700000</v>
      </c>
      <c r="W684">
        <f t="shared" si="61"/>
        <v>18429897</v>
      </c>
      <c r="X684">
        <f t="shared" si="62"/>
        <v>17729897</v>
      </c>
      <c r="Y684">
        <f t="shared" si="63"/>
        <v>-25894845.5</v>
      </c>
      <c r="Z684">
        <f t="shared" si="64"/>
        <v>45024742.5</v>
      </c>
      <c r="AA684" t="str">
        <f t="shared" si="65"/>
        <v>Normal</v>
      </c>
      <c r="AE684" s="2"/>
      <c r="AF684" s="2"/>
    </row>
    <row r="685" spans="1:32" x14ac:dyDescent="0.35">
      <c r="A685">
        <v>684</v>
      </c>
      <c r="B685" s="1">
        <v>42922</v>
      </c>
      <c r="C685" s="9" t="s">
        <v>1293</v>
      </c>
      <c r="D685" s="9" t="s">
        <v>4930</v>
      </c>
      <c r="E685" s="9" t="s">
        <v>6237</v>
      </c>
      <c r="F685" s="9" t="s">
        <v>15</v>
      </c>
      <c r="G685" s="9" t="s">
        <v>1294</v>
      </c>
      <c r="H685" s="9" t="s">
        <v>86</v>
      </c>
      <c r="I685" s="11">
        <v>18429897</v>
      </c>
      <c r="J685" s="11">
        <v>4795223</v>
      </c>
      <c r="K685" s="11">
        <v>14286309</v>
      </c>
      <c r="L685" s="3">
        <v>499</v>
      </c>
      <c r="M685" s="3">
        <v>1907</v>
      </c>
      <c r="N685" s="3">
        <v>1164176</v>
      </c>
      <c r="O685" s="2">
        <v>0.15</v>
      </c>
      <c r="P685" s="2">
        <v>0.55900000000000005</v>
      </c>
      <c r="Q685" s="2">
        <v>-0.30199999999999999</v>
      </c>
      <c r="R685" s="11">
        <v>299484401</v>
      </c>
      <c r="S685" s="11">
        <v>1291698</v>
      </c>
      <c r="T685">
        <v>2017</v>
      </c>
      <c r="U685">
        <v>7</v>
      </c>
      <c r="V685">
        <f t="shared" si="60"/>
        <v>700000</v>
      </c>
      <c r="W685">
        <f t="shared" si="61"/>
        <v>18429897</v>
      </c>
      <c r="X685">
        <f t="shared" si="62"/>
        <v>17729897</v>
      </c>
      <c r="Y685">
        <f t="shared" si="63"/>
        <v>-25894845.5</v>
      </c>
      <c r="Z685">
        <f t="shared" si="64"/>
        <v>45024742.5</v>
      </c>
      <c r="AA685" t="str">
        <f t="shared" si="65"/>
        <v>Normal</v>
      </c>
      <c r="AE685" s="2"/>
      <c r="AF685" s="2"/>
    </row>
    <row r="686" spans="1:32" x14ac:dyDescent="0.35">
      <c r="A686">
        <v>685</v>
      </c>
      <c r="B686" s="1">
        <v>42922</v>
      </c>
      <c r="C686" s="9" t="s">
        <v>1295</v>
      </c>
      <c r="D686" s="9" t="s">
        <v>4988</v>
      </c>
      <c r="E686" s="9" t="s">
        <v>4836</v>
      </c>
      <c r="F686" s="9" t="s">
        <v>19</v>
      </c>
      <c r="G686" s="9" t="s">
        <v>58</v>
      </c>
      <c r="H686" s="9" t="s">
        <v>86</v>
      </c>
      <c r="I686" s="11">
        <v>18429897</v>
      </c>
      <c r="J686" s="11">
        <v>863589</v>
      </c>
      <c r="K686" s="11">
        <v>515774</v>
      </c>
      <c r="L686" s="3">
        <v>18</v>
      </c>
      <c r="M686" s="3">
        <v>4267</v>
      </c>
      <c r="N686" s="3">
        <v>403507</v>
      </c>
      <c r="O686" s="2">
        <v>0.20899999999999999</v>
      </c>
      <c r="P686" s="2">
        <v>0.32200000000000001</v>
      </c>
      <c r="Q686" s="2">
        <v>6.7000000000000004E-2</v>
      </c>
      <c r="R686" s="11">
        <v>223324020</v>
      </c>
      <c r="S686" s="11">
        <v>1200593</v>
      </c>
      <c r="T686">
        <v>2017</v>
      </c>
      <c r="U686">
        <v>7</v>
      </c>
      <c r="V686">
        <f t="shared" si="60"/>
        <v>700000</v>
      </c>
      <c r="W686">
        <f t="shared" si="61"/>
        <v>18429897</v>
      </c>
      <c r="X686">
        <f t="shared" si="62"/>
        <v>17729897</v>
      </c>
      <c r="Y686">
        <f t="shared" si="63"/>
        <v>-25894845.5</v>
      </c>
      <c r="Z686">
        <f t="shared" si="64"/>
        <v>45024742.5</v>
      </c>
      <c r="AA686" t="str">
        <f t="shared" si="65"/>
        <v>Normal</v>
      </c>
      <c r="AE686" s="2"/>
      <c r="AF686" s="2"/>
    </row>
    <row r="687" spans="1:32" x14ac:dyDescent="0.35">
      <c r="A687">
        <v>686</v>
      </c>
      <c r="B687" s="1">
        <v>42923</v>
      </c>
      <c r="C687" s="9" t="s">
        <v>1296</v>
      </c>
      <c r="D687" s="9" t="s">
        <v>4988</v>
      </c>
      <c r="E687" s="9" t="s">
        <v>6238</v>
      </c>
      <c r="F687" s="9" t="s">
        <v>15</v>
      </c>
      <c r="G687" s="9" t="s">
        <v>1297</v>
      </c>
      <c r="H687" s="9" t="s">
        <v>86</v>
      </c>
      <c r="I687" s="11">
        <v>1000000</v>
      </c>
      <c r="J687" s="11">
        <v>4008403</v>
      </c>
      <c r="K687" s="11">
        <v>10061302</v>
      </c>
      <c r="L687" s="3">
        <v>77</v>
      </c>
      <c r="M687" s="3">
        <v>1303</v>
      </c>
      <c r="N687" s="3">
        <v>1756231</v>
      </c>
      <c r="O687" s="2">
        <v>0.16699999999999998</v>
      </c>
      <c r="P687" s="2">
        <v>0.93500000000000005</v>
      </c>
      <c r="Q687" s="2">
        <v>0.115</v>
      </c>
      <c r="R687" s="11">
        <v>258893534</v>
      </c>
      <c r="S687" s="11">
        <v>141107</v>
      </c>
      <c r="T687">
        <v>2017</v>
      </c>
      <c r="U687">
        <v>7</v>
      </c>
      <c r="V687">
        <f t="shared" si="60"/>
        <v>700000</v>
      </c>
      <c r="W687">
        <f t="shared" si="61"/>
        <v>18429897</v>
      </c>
      <c r="X687">
        <f t="shared" si="62"/>
        <v>17729897</v>
      </c>
      <c r="Y687">
        <f t="shared" si="63"/>
        <v>-25894845.5</v>
      </c>
      <c r="Z687">
        <f t="shared" si="64"/>
        <v>45024742.5</v>
      </c>
      <c r="AA687" t="str">
        <f t="shared" si="65"/>
        <v>Normal</v>
      </c>
      <c r="AE687" s="2"/>
      <c r="AF687" s="2"/>
    </row>
    <row r="688" spans="1:32" x14ac:dyDescent="0.35">
      <c r="A688">
        <v>687</v>
      </c>
      <c r="B688" s="1">
        <v>42923</v>
      </c>
      <c r="C688" s="9" t="s">
        <v>1298</v>
      </c>
      <c r="D688" s="9" t="s">
        <v>4988</v>
      </c>
      <c r="E688" s="9" t="s">
        <v>6239</v>
      </c>
      <c r="F688" s="9" t="s">
        <v>15</v>
      </c>
      <c r="G688" s="9" t="s">
        <v>1299</v>
      </c>
      <c r="H688" s="9" t="s">
        <v>86</v>
      </c>
      <c r="I688" s="11">
        <v>18429897</v>
      </c>
      <c r="J688" s="11">
        <v>2045451</v>
      </c>
      <c r="K688" s="11">
        <v>17103247</v>
      </c>
      <c r="L688" s="3">
        <v>55</v>
      </c>
      <c r="M688" s="3">
        <v>943</v>
      </c>
      <c r="N688" s="3">
        <v>593228</v>
      </c>
      <c r="O688" s="2">
        <v>0.249</v>
      </c>
      <c r="P688" s="2">
        <v>0.502</v>
      </c>
      <c r="Q688" s="2">
        <v>0.28600000000000003</v>
      </c>
      <c r="R688" s="11">
        <v>417711182</v>
      </c>
      <c r="S688" s="11">
        <v>1545445</v>
      </c>
      <c r="T688">
        <v>2017</v>
      </c>
      <c r="U688">
        <v>7</v>
      </c>
      <c r="V688">
        <f t="shared" si="60"/>
        <v>700000</v>
      </c>
      <c r="W688">
        <f t="shared" si="61"/>
        <v>18429897</v>
      </c>
      <c r="X688">
        <f t="shared" si="62"/>
        <v>17729897</v>
      </c>
      <c r="Y688">
        <f t="shared" si="63"/>
        <v>-25894845.5</v>
      </c>
      <c r="Z688">
        <f t="shared" si="64"/>
        <v>45024742.5</v>
      </c>
      <c r="AA688" t="str">
        <f t="shared" si="65"/>
        <v>Normal</v>
      </c>
      <c r="AE688" s="2"/>
      <c r="AF688" s="2"/>
    </row>
    <row r="689" spans="1:32" x14ac:dyDescent="0.35">
      <c r="A689">
        <v>688</v>
      </c>
      <c r="B689" s="1">
        <v>42926</v>
      </c>
      <c r="C689" s="9" t="s">
        <v>1300</v>
      </c>
      <c r="D689" s="9" t="s">
        <v>4930</v>
      </c>
      <c r="E689" s="9" t="s">
        <v>6240</v>
      </c>
      <c r="F689" s="9" t="s">
        <v>124</v>
      </c>
      <c r="G689" s="9" t="s">
        <v>1301</v>
      </c>
      <c r="H689" s="9" t="s">
        <v>105</v>
      </c>
      <c r="I689" s="11">
        <v>3000000</v>
      </c>
      <c r="J689" s="11">
        <v>2976536</v>
      </c>
      <c r="K689" s="11">
        <v>3619292</v>
      </c>
      <c r="L689" s="3">
        <v>488</v>
      </c>
      <c r="M689" s="3">
        <v>2001</v>
      </c>
      <c r="N689" s="3">
        <v>608993</v>
      </c>
      <c r="O689" s="2">
        <v>6.5000000000000002E-2</v>
      </c>
      <c r="P689" s="2">
        <v>0.50800000000000001</v>
      </c>
      <c r="Q689" s="2">
        <v>-0.19399999999999998</v>
      </c>
      <c r="R689" s="11">
        <v>327718614</v>
      </c>
      <c r="S689" s="11">
        <v>1912479</v>
      </c>
      <c r="T689">
        <v>2017</v>
      </c>
      <c r="U689">
        <v>7</v>
      </c>
      <c r="V689">
        <f t="shared" si="60"/>
        <v>700000</v>
      </c>
      <c r="W689">
        <f t="shared" si="61"/>
        <v>18429897</v>
      </c>
      <c r="X689">
        <f t="shared" si="62"/>
        <v>17729897</v>
      </c>
      <c r="Y689">
        <f t="shared" si="63"/>
        <v>-25894845.5</v>
      </c>
      <c r="Z689">
        <f t="shared" si="64"/>
        <v>45024742.5</v>
      </c>
      <c r="AA689" t="str">
        <f t="shared" si="65"/>
        <v>Normal</v>
      </c>
      <c r="AE689" s="2"/>
      <c r="AF689" s="2"/>
    </row>
    <row r="690" spans="1:32" x14ac:dyDescent="0.35">
      <c r="A690">
        <v>689</v>
      </c>
      <c r="B690" s="1">
        <v>42927</v>
      </c>
      <c r="C690" s="9" t="s">
        <v>1302</v>
      </c>
      <c r="D690" s="9" t="s">
        <v>4988</v>
      </c>
      <c r="E690" s="9" t="s">
        <v>6241</v>
      </c>
      <c r="F690" s="9" t="s">
        <v>41</v>
      </c>
      <c r="G690" s="9" t="s">
        <v>1303</v>
      </c>
      <c r="H690" s="9" t="s">
        <v>105</v>
      </c>
      <c r="I690" s="11">
        <v>2250000</v>
      </c>
      <c r="J690" s="11">
        <v>2237027</v>
      </c>
      <c r="K690" s="11">
        <v>16081752</v>
      </c>
      <c r="L690" s="3">
        <v>162</v>
      </c>
      <c r="M690" s="3">
        <v>2001</v>
      </c>
      <c r="N690" s="3">
        <v>806366</v>
      </c>
      <c r="O690" s="2">
        <v>0.53400000000000003</v>
      </c>
      <c r="P690" s="2">
        <v>1.0789999999999999E-2</v>
      </c>
      <c r="Q690" s="2">
        <v>0.185</v>
      </c>
      <c r="R690" s="11">
        <v>422320102</v>
      </c>
      <c r="S690" s="11">
        <v>1829143</v>
      </c>
      <c r="T690">
        <v>2017</v>
      </c>
      <c r="U690">
        <v>7</v>
      </c>
      <c r="V690">
        <f t="shared" si="60"/>
        <v>700000</v>
      </c>
      <c r="W690">
        <f t="shared" si="61"/>
        <v>18429897</v>
      </c>
      <c r="X690">
        <f t="shared" si="62"/>
        <v>17729897</v>
      </c>
      <c r="Y690">
        <f t="shared" si="63"/>
        <v>-25894845.5</v>
      </c>
      <c r="Z690">
        <f t="shared" si="64"/>
        <v>45024742.5</v>
      </c>
      <c r="AA690" t="str">
        <f t="shared" si="65"/>
        <v>Normal</v>
      </c>
      <c r="AE690" s="2"/>
      <c r="AF690" s="2"/>
    </row>
    <row r="691" spans="1:32" x14ac:dyDescent="0.35">
      <c r="A691">
        <v>690</v>
      </c>
      <c r="B691" s="1">
        <v>42927</v>
      </c>
      <c r="C691" s="9" t="s">
        <v>1304</v>
      </c>
      <c r="D691" s="9" t="s">
        <v>4988</v>
      </c>
      <c r="E691" s="9" t="s">
        <v>6242</v>
      </c>
      <c r="F691" s="9" t="s">
        <v>31</v>
      </c>
      <c r="G691" s="9" t="s">
        <v>1305</v>
      </c>
      <c r="H691" s="9" t="s">
        <v>86</v>
      </c>
      <c r="I691" s="11">
        <v>464000</v>
      </c>
      <c r="J691" s="11">
        <v>3917468</v>
      </c>
      <c r="K691" s="11">
        <v>8307354</v>
      </c>
      <c r="L691" s="3">
        <v>218</v>
      </c>
      <c r="M691" s="3">
        <v>2505.5</v>
      </c>
      <c r="N691" s="3">
        <v>720919</v>
      </c>
      <c r="O691" s="2">
        <v>2.2000000000000002E-2</v>
      </c>
      <c r="P691" s="2">
        <v>0.33500000000000002</v>
      </c>
      <c r="Q691" s="2">
        <v>0.24199999999999999</v>
      </c>
      <c r="R691" s="11">
        <v>117850453</v>
      </c>
      <c r="S691" s="11">
        <v>1174432</v>
      </c>
      <c r="T691">
        <v>2017</v>
      </c>
      <c r="U691">
        <v>7</v>
      </c>
      <c r="V691">
        <f t="shared" si="60"/>
        <v>700000</v>
      </c>
      <c r="W691">
        <f t="shared" si="61"/>
        <v>18429897</v>
      </c>
      <c r="X691">
        <f t="shared" si="62"/>
        <v>17729897</v>
      </c>
      <c r="Y691">
        <f t="shared" si="63"/>
        <v>-25894845.5</v>
      </c>
      <c r="Z691">
        <f t="shared" si="64"/>
        <v>45024742.5</v>
      </c>
      <c r="AA691" t="str">
        <f t="shared" si="65"/>
        <v>Normal</v>
      </c>
      <c r="AE691" s="2"/>
      <c r="AF691" s="2"/>
    </row>
    <row r="692" spans="1:32" x14ac:dyDescent="0.35">
      <c r="A692">
        <v>691</v>
      </c>
      <c r="B692" s="1">
        <v>42927</v>
      </c>
      <c r="C692" s="9" t="s">
        <v>1306</v>
      </c>
      <c r="D692" s="9" t="s">
        <v>4988</v>
      </c>
      <c r="E692" s="9" t="s">
        <v>6243</v>
      </c>
      <c r="F692" s="9" t="s">
        <v>15</v>
      </c>
      <c r="G692" s="9" t="s">
        <v>1307</v>
      </c>
      <c r="H692" s="9" t="s">
        <v>86</v>
      </c>
      <c r="I692" s="11">
        <v>18429897</v>
      </c>
      <c r="J692" s="11">
        <v>4983366</v>
      </c>
      <c r="K692" s="11">
        <v>17224179</v>
      </c>
      <c r="L692" s="3">
        <v>254</v>
      </c>
      <c r="M692" s="3">
        <v>2505.5</v>
      </c>
      <c r="N692" s="3">
        <v>1185320</v>
      </c>
      <c r="O692" s="2">
        <v>0.39</v>
      </c>
      <c r="P692" s="2">
        <v>0.50800000000000001</v>
      </c>
      <c r="Q692" s="2">
        <v>9.4E-2</v>
      </c>
      <c r="R692" s="11">
        <v>246422678</v>
      </c>
      <c r="S692" s="11">
        <v>1008193.5</v>
      </c>
      <c r="T692">
        <v>2017</v>
      </c>
      <c r="U692">
        <v>7</v>
      </c>
      <c r="V692">
        <f t="shared" si="60"/>
        <v>700000</v>
      </c>
      <c r="W692">
        <f t="shared" si="61"/>
        <v>18429897</v>
      </c>
      <c r="X692">
        <f t="shared" si="62"/>
        <v>17729897</v>
      </c>
      <c r="Y692">
        <f t="shared" si="63"/>
        <v>-25894845.5</v>
      </c>
      <c r="Z692">
        <f t="shared" si="64"/>
        <v>45024742.5</v>
      </c>
      <c r="AA692" t="str">
        <f t="shared" si="65"/>
        <v>Normal</v>
      </c>
      <c r="AE692" s="2"/>
      <c r="AF692" s="2"/>
    </row>
    <row r="693" spans="1:32" x14ac:dyDescent="0.35">
      <c r="A693">
        <v>692</v>
      </c>
      <c r="B693" s="1">
        <v>42928</v>
      </c>
      <c r="C693" s="9" t="s">
        <v>1308</v>
      </c>
      <c r="D693" s="9" t="s">
        <v>4930</v>
      </c>
      <c r="E693" s="9" t="s">
        <v>6244</v>
      </c>
      <c r="F693" s="9" t="s">
        <v>15</v>
      </c>
      <c r="G693" s="9" t="s">
        <v>1309</v>
      </c>
      <c r="H693" s="9" t="s">
        <v>105</v>
      </c>
      <c r="I693" s="11">
        <v>18500000</v>
      </c>
      <c r="J693" s="11">
        <v>3979671</v>
      </c>
      <c r="K693" s="11">
        <v>12733320</v>
      </c>
      <c r="L693" s="3">
        <v>29</v>
      </c>
      <c r="M693" s="3">
        <v>4863</v>
      </c>
      <c r="N693" s="3">
        <v>1445944</v>
      </c>
      <c r="O693" s="2">
        <v>0</v>
      </c>
      <c r="P693" s="2">
        <v>0.22399999999999998</v>
      </c>
      <c r="Q693" s="2">
        <v>0.21199999999999999</v>
      </c>
      <c r="R693" s="11">
        <v>204470538</v>
      </c>
      <c r="S693" s="11">
        <v>845745</v>
      </c>
      <c r="T693">
        <v>2017</v>
      </c>
      <c r="U693">
        <v>7</v>
      </c>
      <c r="V693">
        <f t="shared" si="60"/>
        <v>700000</v>
      </c>
      <c r="W693">
        <f t="shared" si="61"/>
        <v>18429897</v>
      </c>
      <c r="X693">
        <f t="shared" si="62"/>
        <v>17729897</v>
      </c>
      <c r="Y693">
        <f t="shared" si="63"/>
        <v>-25894845.5</v>
      </c>
      <c r="Z693">
        <f t="shared" si="64"/>
        <v>45024742.5</v>
      </c>
      <c r="AA693" t="str">
        <f t="shared" si="65"/>
        <v>Normal</v>
      </c>
      <c r="AE693" s="2"/>
      <c r="AF693" s="2"/>
    </row>
    <row r="694" spans="1:32" x14ac:dyDescent="0.35">
      <c r="A694">
        <v>693</v>
      </c>
      <c r="B694" s="1">
        <v>42928</v>
      </c>
      <c r="C694" s="9" t="s">
        <v>1310</v>
      </c>
      <c r="D694" s="9" t="s">
        <v>4928</v>
      </c>
      <c r="E694" s="9" t="s">
        <v>6245</v>
      </c>
      <c r="F694" s="9" t="s">
        <v>124</v>
      </c>
      <c r="G694" s="9" t="s">
        <v>1311</v>
      </c>
      <c r="H694" s="9" t="s">
        <v>105</v>
      </c>
      <c r="I694" s="11">
        <v>18429897</v>
      </c>
      <c r="J694" s="11">
        <v>2531926</v>
      </c>
      <c r="K694" s="11">
        <v>10153449</v>
      </c>
      <c r="L694" s="3">
        <v>38</v>
      </c>
      <c r="M694" s="3">
        <v>2918</v>
      </c>
      <c r="N694" s="3">
        <v>1928333</v>
      </c>
      <c r="O694" s="2">
        <v>-0.16600000000000001</v>
      </c>
      <c r="P694" s="2">
        <v>0.71900000000000008</v>
      </c>
      <c r="Q694" s="2">
        <v>0.16700000000000001</v>
      </c>
      <c r="R694" s="11">
        <v>418052906</v>
      </c>
      <c r="S694" s="11">
        <v>245848</v>
      </c>
      <c r="T694">
        <v>2017</v>
      </c>
      <c r="U694">
        <v>7</v>
      </c>
      <c r="V694">
        <f t="shared" si="60"/>
        <v>700000</v>
      </c>
      <c r="W694">
        <f t="shared" si="61"/>
        <v>18429897</v>
      </c>
      <c r="X694">
        <f t="shared" si="62"/>
        <v>17729897</v>
      </c>
      <c r="Y694">
        <f t="shared" si="63"/>
        <v>-25894845.5</v>
      </c>
      <c r="Z694">
        <f t="shared" si="64"/>
        <v>45024742.5</v>
      </c>
      <c r="AA694" t="str">
        <f t="shared" si="65"/>
        <v>Normal</v>
      </c>
      <c r="AE694" s="2"/>
      <c r="AF694" s="2"/>
    </row>
    <row r="695" spans="1:32" x14ac:dyDescent="0.35">
      <c r="A695">
        <v>694</v>
      </c>
      <c r="B695" s="1">
        <v>42928</v>
      </c>
      <c r="C695" s="9" t="s">
        <v>1312</v>
      </c>
      <c r="D695" s="9" t="s">
        <v>4930</v>
      </c>
      <c r="E695" s="9" t="s">
        <v>6246</v>
      </c>
      <c r="F695" s="9" t="s">
        <v>15</v>
      </c>
      <c r="G695" s="9" t="s">
        <v>1313</v>
      </c>
      <c r="H695" s="9" t="s">
        <v>86</v>
      </c>
      <c r="I695" s="11">
        <v>18429897</v>
      </c>
      <c r="J695" s="11">
        <v>4731214</v>
      </c>
      <c r="K695" s="11">
        <v>14733103</v>
      </c>
      <c r="L695" s="3">
        <v>95</v>
      </c>
      <c r="M695" s="3">
        <v>422</v>
      </c>
      <c r="N695" s="3">
        <v>1776235</v>
      </c>
      <c r="O695" s="2">
        <v>-0.21299999999999999</v>
      </c>
      <c r="P695" s="2">
        <v>1.0249999999999999</v>
      </c>
      <c r="Q695" s="2">
        <v>-0.55000000000000004</v>
      </c>
      <c r="R695" s="11">
        <v>219393547</v>
      </c>
      <c r="S695" s="11">
        <v>757688</v>
      </c>
      <c r="T695">
        <v>2017</v>
      </c>
      <c r="U695">
        <v>7</v>
      </c>
      <c r="V695">
        <f t="shared" si="60"/>
        <v>700000</v>
      </c>
      <c r="W695">
        <f t="shared" si="61"/>
        <v>18429897</v>
      </c>
      <c r="X695">
        <f t="shared" si="62"/>
        <v>17729897</v>
      </c>
      <c r="Y695">
        <f t="shared" si="63"/>
        <v>-25894845.5</v>
      </c>
      <c r="Z695">
        <f t="shared" si="64"/>
        <v>45024742.5</v>
      </c>
      <c r="AA695" t="str">
        <f t="shared" si="65"/>
        <v>Normal</v>
      </c>
      <c r="AE695" s="2"/>
      <c r="AF695" s="2"/>
    </row>
    <row r="696" spans="1:32" x14ac:dyDescent="0.35">
      <c r="A696">
        <v>695</v>
      </c>
      <c r="B696" s="1">
        <v>42928</v>
      </c>
      <c r="C696" s="9" t="s">
        <v>1314</v>
      </c>
      <c r="D696" s="9" t="s">
        <v>4930</v>
      </c>
      <c r="E696" s="9" t="s">
        <v>6247</v>
      </c>
      <c r="F696" s="9" t="s">
        <v>41</v>
      </c>
      <c r="G696" s="9" t="s">
        <v>1315</v>
      </c>
      <c r="H696" s="9" t="s">
        <v>86</v>
      </c>
      <c r="I696" s="11">
        <v>18429897</v>
      </c>
      <c r="J696" s="11">
        <v>468725</v>
      </c>
      <c r="K696" s="11">
        <v>1217430</v>
      </c>
      <c r="L696" s="3">
        <v>340</v>
      </c>
      <c r="M696" s="3">
        <v>1356</v>
      </c>
      <c r="N696" s="3">
        <v>523931</v>
      </c>
      <c r="O696" s="2">
        <v>0.18100000000000002</v>
      </c>
      <c r="P696" s="2">
        <v>1.0509999999999999</v>
      </c>
      <c r="Q696" s="2">
        <v>-0.13100000000000001</v>
      </c>
      <c r="R696" s="11">
        <v>488025762</v>
      </c>
      <c r="S696" s="11">
        <v>1008193.5</v>
      </c>
      <c r="T696">
        <v>2017</v>
      </c>
      <c r="U696">
        <v>7</v>
      </c>
      <c r="V696">
        <f t="shared" si="60"/>
        <v>700000</v>
      </c>
      <c r="W696">
        <f t="shared" si="61"/>
        <v>18429897</v>
      </c>
      <c r="X696">
        <f t="shared" si="62"/>
        <v>17729897</v>
      </c>
      <c r="Y696">
        <f t="shared" si="63"/>
        <v>-25894845.5</v>
      </c>
      <c r="Z696">
        <f t="shared" si="64"/>
        <v>45024742.5</v>
      </c>
      <c r="AA696" t="str">
        <f t="shared" si="65"/>
        <v>Normal</v>
      </c>
      <c r="AE696" s="2"/>
      <c r="AF696" s="2"/>
    </row>
    <row r="697" spans="1:32" x14ac:dyDescent="0.35">
      <c r="A697">
        <v>696</v>
      </c>
      <c r="B697" s="1">
        <v>42930</v>
      </c>
      <c r="C697" s="9" t="s">
        <v>1316</v>
      </c>
      <c r="D697" s="9" t="s">
        <v>4930</v>
      </c>
      <c r="E697" s="9" t="s">
        <v>6248</v>
      </c>
      <c r="F697" s="9" t="s">
        <v>15</v>
      </c>
      <c r="G697" s="9" t="s">
        <v>1317</v>
      </c>
      <c r="H697" s="9" t="s">
        <v>86</v>
      </c>
      <c r="I697" s="11">
        <v>540000</v>
      </c>
      <c r="J697" s="11">
        <v>1281849</v>
      </c>
      <c r="K697" s="11">
        <v>4940093</v>
      </c>
      <c r="L697" s="3">
        <v>489</v>
      </c>
      <c r="M697" s="3">
        <v>944</v>
      </c>
      <c r="N697" s="3">
        <v>1207700</v>
      </c>
      <c r="O697" s="2">
        <v>0.35200000000000004</v>
      </c>
      <c r="P697" s="2">
        <v>0.94400000000000006</v>
      </c>
      <c r="Q697" s="2">
        <v>0.63600000000000001</v>
      </c>
      <c r="R697" s="11">
        <v>165554780</v>
      </c>
      <c r="S697" s="11">
        <v>1873339</v>
      </c>
      <c r="T697">
        <v>2017</v>
      </c>
      <c r="U697">
        <v>7</v>
      </c>
      <c r="V697">
        <f t="shared" si="60"/>
        <v>700000</v>
      </c>
      <c r="W697">
        <f t="shared" si="61"/>
        <v>18429897</v>
      </c>
      <c r="X697">
        <f t="shared" si="62"/>
        <v>17729897</v>
      </c>
      <c r="Y697">
        <f t="shared" si="63"/>
        <v>-25894845.5</v>
      </c>
      <c r="Z697">
        <f t="shared" si="64"/>
        <v>45024742.5</v>
      </c>
      <c r="AA697" t="str">
        <f t="shared" si="65"/>
        <v>Normal</v>
      </c>
      <c r="AE697" s="2"/>
      <c r="AF697" s="2"/>
    </row>
    <row r="698" spans="1:32" x14ac:dyDescent="0.35">
      <c r="A698">
        <v>697</v>
      </c>
      <c r="B698" s="1">
        <v>42930</v>
      </c>
      <c r="C698" s="9" t="s">
        <v>1009</v>
      </c>
      <c r="D698" s="9" t="s">
        <v>4925</v>
      </c>
      <c r="E698" s="9" t="s">
        <v>6249</v>
      </c>
      <c r="F698" s="9" t="s">
        <v>15</v>
      </c>
      <c r="G698" s="9" t="s">
        <v>1318</v>
      </c>
      <c r="H698" s="9" t="s">
        <v>105</v>
      </c>
      <c r="I698" s="11">
        <v>1700000</v>
      </c>
      <c r="J698" s="11">
        <v>2531926</v>
      </c>
      <c r="K698" s="11">
        <v>17778985</v>
      </c>
      <c r="L698" s="3">
        <v>312</v>
      </c>
      <c r="M698" s="3">
        <v>53</v>
      </c>
      <c r="N698" s="3">
        <v>656874</v>
      </c>
      <c r="O698" s="2">
        <v>-0.11</v>
      </c>
      <c r="P698" s="2">
        <v>0.50800000000000001</v>
      </c>
      <c r="Q698" s="2">
        <v>0.26400000000000001</v>
      </c>
      <c r="R698" s="11">
        <v>266805055</v>
      </c>
      <c r="S698" s="11">
        <v>245298</v>
      </c>
      <c r="T698">
        <v>2017</v>
      </c>
      <c r="U698">
        <v>7</v>
      </c>
      <c r="V698">
        <f t="shared" si="60"/>
        <v>700000</v>
      </c>
      <c r="W698">
        <f t="shared" si="61"/>
        <v>18429897</v>
      </c>
      <c r="X698">
        <f t="shared" si="62"/>
        <v>17729897</v>
      </c>
      <c r="Y698">
        <f t="shared" si="63"/>
        <v>-25894845.5</v>
      </c>
      <c r="Z698">
        <f t="shared" si="64"/>
        <v>45024742.5</v>
      </c>
      <c r="AA698" t="str">
        <f t="shared" si="65"/>
        <v>Normal</v>
      </c>
      <c r="AE698" s="2"/>
      <c r="AF698" s="2"/>
    </row>
    <row r="699" spans="1:32" x14ac:dyDescent="0.35">
      <c r="A699">
        <v>698</v>
      </c>
      <c r="B699" s="1">
        <v>42933</v>
      </c>
      <c r="C699" s="9" t="s">
        <v>283</v>
      </c>
      <c r="D699" s="9" t="s">
        <v>4930</v>
      </c>
      <c r="E699" s="9" t="s">
        <v>6250</v>
      </c>
      <c r="F699" s="9" t="s">
        <v>15</v>
      </c>
      <c r="G699" s="9" t="s">
        <v>1319</v>
      </c>
      <c r="H699" s="9" t="s">
        <v>86</v>
      </c>
      <c r="I699" s="11">
        <v>2000000</v>
      </c>
      <c r="J699" s="11">
        <v>2958577</v>
      </c>
      <c r="K699" s="11">
        <v>17532347</v>
      </c>
      <c r="L699" s="3">
        <v>436</v>
      </c>
      <c r="M699" s="3">
        <v>1944</v>
      </c>
      <c r="N699" s="3">
        <v>1610985</v>
      </c>
      <c r="O699" s="2">
        <v>-5.5E-2</v>
      </c>
      <c r="P699" s="2">
        <v>1.089</v>
      </c>
      <c r="Q699" s="2">
        <v>-0.05</v>
      </c>
      <c r="R699" s="11">
        <v>232320375</v>
      </c>
      <c r="S699" s="11">
        <v>379189</v>
      </c>
      <c r="T699">
        <v>2017</v>
      </c>
      <c r="U699">
        <v>7</v>
      </c>
      <c r="V699">
        <f t="shared" si="60"/>
        <v>700000</v>
      </c>
      <c r="W699">
        <f t="shared" si="61"/>
        <v>18429897</v>
      </c>
      <c r="X699">
        <f t="shared" si="62"/>
        <v>17729897</v>
      </c>
      <c r="Y699">
        <f t="shared" si="63"/>
        <v>-25894845.5</v>
      </c>
      <c r="Z699">
        <f t="shared" si="64"/>
        <v>45024742.5</v>
      </c>
      <c r="AA699" t="str">
        <f t="shared" si="65"/>
        <v>Normal</v>
      </c>
      <c r="AE699" s="2"/>
      <c r="AF699" s="2"/>
    </row>
    <row r="700" spans="1:32" x14ac:dyDescent="0.35">
      <c r="A700">
        <v>699</v>
      </c>
      <c r="B700" s="1">
        <v>42933</v>
      </c>
      <c r="C700" s="9" t="s">
        <v>1320</v>
      </c>
      <c r="D700" s="9" t="s">
        <v>4930</v>
      </c>
      <c r="E700" s="9" t="s">
        <v>6251</v>
      </c>
      <c r="F700" s="9" t="s">
        <v>41</v>
      </c>
      <c r="G700" s="9" t="s">
        <v>1321</v>
      </c>
      <c r="H700" s="9" t="s">
        <v>105</v>
      </c>
      <c r="I700" s="11">
        <v>4000000</v>
      </c>
      <c r="J700" s="11">
        <v>269727</v>
      </c>
      <c r="K700" s="11">
        <v>1022099</v>
      </c>
      <c r="L700" s="3">
        <v>441</v>
      </c>
      <c r="M700" s="3">
        <v>83</v>
      </c>
      <c r="N700" s="3">
        <v>48001</v>
      </c>
      <c r="O700" s="2">
        <v>0.19699999999999998</v>
      </c>
      <c r="P700" s="2">
        <v>0.96700000000000008</v>
      </c>
      <c r="Q700" s="2">
        <v>0.192</v>
      </c>
      <c r="R700" s="11">
        <v>106760432</v>
      </c>
      <c r="S700" s="11">
        <v>674159</v>
      </c>
      <c r="T700">
        <v>2017</v>
      </c>
      <c r="U700">
        <v>7</v>
      </c>
      <c r="V700">
        <f t="shared" si="60"/>
        <v>700000</v>
      </c>
      <c r="W700">
        <f t="shared" si="61"/>
        <v>18429897</v>
      </c>
      <c r="X700">
        <f t="shared" si="62"/>
        <v>17729897</v>
      </c>
      <c r="Y700">
        <f t="shared" si="63"/>
        <v>-25894845.5</v>
      </c>
      <c r="Z700">
        <f t="shared" si="64"/>
        <v>45024742.5</v>
      </c>
      <c r="AA700" t="str">
        <f t="shared" si="65"/>
        <v>Normal</v>
      </c>
      <c r="AE700" s="2"/>
      <c r="AF700" s="2"/>
    </row>
    <row r="701" spans="1:32" x14ac:dyDescent="0.35">
      <c r="A701">
        <v>700</v>
      </c>
      <c r="B701" s="1">
        <v>42934</v>
      </c>
      <c r="C701" s="9" t="s">
        <v>1322</v>
      </c>
      <c r="D701" s="9" t="s">
        <v>4930</v>
      </c>
      <c r="E701" s="9" t="s">
        <v>6252</v>
      </c>
      <c r="F701" s="9" t="s">
        <v>63</v>
      </c>
      <c r="G701" s="9" t="s">
        <v>166</v>
      </c>
      <c r="H701" s="9" t="s">
        <v>105</v>
      </c>
      <c r="I701" s="11">
        <v>18429897</v>
      </c>
      <c r="J701" s="11">
        <v>493345</v>
      </c>
      <c r="K701" s="11">
        <v>7653067</v>
      </c>
      <c r="L701" s="3">
        <v>141</v>
      </c>
      <c r="M701" s="3">
        <v>2892</v>
      </c>
      <c r="N701" s="3">
        <v>1989883</v>
      </c>
      <c r="O701" s="2">
        <v>0.11899999999999999</v>
      </c>
      <c r="P701" s="2">
        <v>0.50800000000000001</v>
      </c>
      <c r="Q701" s="2">
        <v>0.27800000000000002</v>
      </c>
      <c r="R701" s="11">
        <v>45766853</v>
      </c>
      <c r="S701" s="11">
        <v>936702</v>
      </c>
      <c r="T701">
        <v>2017</v>
      </c>
      <c r="U701">
        <v>7</v>
      </c>
      <c r="V701">
        <f t="shared" si="60"/>
        <v>700000</v>
      </c>
      <c r="W701">
        <f t="shared" si="61"/>
        <v>18429897</v>
      </c>
      <c r="X701">
        <f t="shared" si="62"/>
        <v>17729897</v>
      </c>
      <c r="Y701">
        <f t="shared" si="63"/>
        <v>-25894845.5</v>
      </c>
      <c r="Z701">
        <f t="shared" si="64"/>
        <v>45024742.5</v>
      </c>
      <c r="AA701" t="str">
        <f t="shared" si="65"/>
        <v>Normal</v>
      </c>
      <c r="AE701" s="2"/>
      <c r="AF701" s="2"/>
    </row>
    <row r="702" spans="1:32" x14ac:dyDescent="0.35">
      <c r="A702">
        <v>701</v>
      </c>
      <c r="B702" s="1">
        <v>42934</v>
      </c>
      <c r="C702" s="9" t="s">
        <v>1323</v>
      </c>
      <c r="D702" s="9" t="s">
        <v>4988</v>
      </c>
      <c r="E702" s="9" t="s">
        <v>6253</v>
      </c>
      <c r="F702" s="9" t="s">
        <v>124</v>
      </c>
      <c r="G702" s="9" t="s">
        <v>1324</v>
      </c>
      <c r="H702" s="9" t="s">
        <v>86</v>
      </c>
      <c r="I702" s="11">
        <v>18429897</v>
      </c>
      <c r="J702" s="11">
        <v>2531926</v>
      </c>
      <c r="K702" s="11">
        <v>1973244</v>
      </c>
      <c r="L702" s="3">
        <v>96</v>
      </c>
      <c r="M702" s="3">
        <v>1409</v>
      </c>
      <c r="N702" s="3">
        <v>745166</v>
      </c>
      <c r="O702" s="2">
        <v>0.3</v>
      </c>
      <c r="P702" s="2">
        <v>0.439</v>
      </c>
      <c r="Q702" s="2">
        <v>0.48499999999999999</v>
      </c>
      <c r="R702" s="11">
        <v>428068074</v>
      </c>
      <c r="S702" s="11">
        <v>1569708</v>
      </c>
      <c r="T702">
        <v>2017</v>
      </c>
      <c r="U702">
        <v>7</v>
      </c>
      <c r="V702">
        <f t="shared" si="60"/>
        <v>700000</v>
      </c>
      <c r="W702">
        <f t="shared" si="61"/>
        <v>18429897</v>
      </c>
      <c r="X702">
        <f t="shared" si="62"/>
        <v>17729897</v>
      </c>
      <c r="Y702">
        <f t="shared" si="63"/>
        <v>-25894845.5</v>
      </c>
      <c r="Z702">
        <f t="shared" si="64"/>
        <v>45024742.5</v>
      </c>
      <c r="AA702" t="str">
        <f t="shared" si="65"/>
        <v>Normal</v>
      </c>
      <c r="AE702" s="2"/>
      <c r="AF702" s="2"/>
    </row>
    <row r="703" spans="1:32" x14ac:dyDescent="0.35">
      <c r="A703">
        <v>702</v>
      </c>
      <c r="B703" s="1">
        <v>42934</v>
      </c>
      <c r="C703" s="9" t="s">
        <v>1325</v>
      </c>
      <c r="D703" s="9" t="s">
        <v>4988</v>
      </c>
      <c r="E703" s="9" t="s">
        <v>5913</v>
      </c>
      <c r="F703" s="9" t="s">
        <v>554</v>
      </c>
      <c r="G703" s="9" t="s">
        <v>1326</v>
      </c>
      <c r="H703" s="9" t="s">
        <v>86</v>
      </c>
      <c r="I703" s="11">
        <v>18429897</v>
      </c>
      <c r="J703" s="11">
        <v>3088505</v>
      </c>
      <c r="K703" s="11">
        <v>10153449</v>
      </c>
      <c r="L703" s="3">
        <v>84</v>
      </c>
      <c r="M703" s="3">
        <v>3637</v>
      </c>
      <c r="N703" s="3">
        <v>1489123</v>
      </c>
      <c r="O703" s="2">
        <v>-0.13600000000000001</v>
      </c>
      <c r="P703" s="2">
        <v>0.80099999999999993</v>
      </c>
      <c r="Q703" s="2">
        <v>0.3</v>
      </c>
      <c r="R703" s="11">
        <v>126017771</v>
      </c>
      <c r="S703" s="11">
        <v>1156391</v>
      </c>
      <c r="T703">
        <v>2017</v>
      </c>
      <c r="U703">
        <v>7</v>
      </c>
      <c r="V703">
        <f t="shared" si="60"/>
        <v>700000</v>
      </c>
      <c r="W703">
        <f t="shared" si="61"/>
        <v>18429897</v>
      </c>
      <c r="X703">
        <f t="shared" si="62"/>
        <v>17729897</v>
      </c>
      <c r="Y703">
        <f t="shared" si="63"/>
        <v>-25894845.5</v>
      </c>
      <c r="Z703">
        <f t="shared" si="64"/>
        <v>45024742.5</v>
      </c>
      <c r="AA703" t="str">
        <f t="shared" si="65"/>
        <v>Normal</v>
      </c>
      <c r="AE703" s="2"/>
      <c r="AF703" s="2"/>
    </row>
    <row r="704" spans="1:32" x14ac:dyDescent="0.35">
      <c r="A704">
        <v>703</v>
      </c>
      <c r="B704" s="1">
        <v>42934</v>
      </c>
      <c r="C704" s="9" t="s">
        <v>1327</v>
      </c>
      <c r="D704" s="9" t="s">
        <v>4930</v>
      </c>
      <c r="E704" s="9" t="s">
        <v>6254</v>
      </c>
      <c r="F704" s="9" t="s">
        <v>15</v>
      </c>
      <c r="G704" s="9" t="s">
        <v>1190</v>
      </c>
      <c r="H704" s="9" t="s">
        <v>86</v>
      </c>
      <c r="I704" s="11">
        <v>18429897</v>
      </c>
      <c r="J704" s="11">
        <v>855242</v>
      </c>
      <c r="K704" s="11">
        <v>19352348</v>
      </c>
      <c r="L704" s="3">
        <v>398</v>
      </c>
      <c r="M704" s="3">
        <v>2657</v>
      </c>
      <c r="N704" s="3">
        <v>1350187</v>
      </c>
      <c r="O704" s="2">
        <v>0.182</v>
      </c>
      <c r="P704" s="2">
        <v>0.222</v>
      </c>
      <c r="Q704" s="2">
        <v>-4.9000000000000002E-2</v>
      </c>
      <c r="R704" s="11">
        <v>431743755</v>
      </c>
      <c r="S704" s="11">
        <v>428282</v>
      </c>
      <c r="T704">
        <v>2017</v>
      </c>
      <c r="U704">
        <v>7</v>
      </c>
      <c r="V704">
        <f t="shared" si="60"/>
        <v>700000</v>
      </c>
      <c r="W704">
        <f t="shared" si="61"/>
        <v>18429897</v>
      </c>
      <c r="X704">
        <f t="shared" si="62"/>
        <v>17729897</v>
      </c>
      <c r="Y704">
        <f t="shared" si="63"/>
        <v>-25894845.5</v>
      </c>
      <c r="Z704">
        <f t="shared" si="64"/>
        <v>45024742.5</v>
      </c>
      <c r="AA704" t="str">
        <f t="shared" si="65"/>
        <v>Normal</v>
      </c>
      <c r="AE704" s="2"/>
      <c r="AF704" s="2"/>
    </row>
    <row r="705" spans="1:32" x14ac:dyDescent="0.35">
      <c r="A705">
        <v>704</v>
      </c>
      <c r="B705" s="1">
        <v>42935</v>
      </c>
      <c r="C705" s="9" t="s">
        <v>1328</v>
      </c>
      <c r="D705" s="9" t="s">
        <v>4988</v>
      </c>
      <c r="E705" s="9" t="s">
        <v>6255</v>
      </c>
      <c r="F705" s="9" t="s">
        <v>15</v>
      </c>
      <c r="G705" s="9" t="s">
        <v>1329</v>
      </c>
      <c r="H705" s="9" t="s">
        <v>105</v>
      </c>
      <c r="I705" s="11">
        <v>10000000</v>
      </c>
      <c r="J705" s="11">
        <v>873030</v>
      </c>
      <c r="K705" s="11">
        <v>3982889</v>
      </c>
      <c r="L705" s="3">
        <v>336</v>
      </c>
      <c r="M705" s="3">
        <v>4756</v>
      </c>
      <c r="N705" s="3">
        <v>1018455</v>
      </c>
      <c r="O705" s="2">
        <v>0.251</v>
      </c>
      <c r="P705" s="2">
        <v>0.72099999999999997</v>
      </c>
      <c r="Q705" s="2">
        <v>-2.4E-2</v>
      </c>
      <c r="R705" s="11">
        <v>452721404</v>
      </c>
      <c r="S705" s="11">
        <v>276987</v>
      </c>
      <c r="T705">
        <v>2017</v>
      </c>
      <c r="U705">
        <v>7</v>
      </c>
      <c r="V705">
        <f t="shared" si="60"/>
        <v>700000</v>
      </c>
      <c r="W705">
        <f t="shared" si="61"/>
        <v>18429897</v>
      </c>
      <c r="X705">
        <f t="shared" si="62"/>
        <v>17729897</v>
      </c>
      <c r="Y705">
        <f t="shared" si="63"/>
        <v>-25894845.5</v>
      </c>
      <c r="Z705">
        <f t="shared" si="64"/>
        <v>45024742.5</v>
      </c>
      <c r="AA705" t="str">
        <f t="shared" si="65"/>
        <v>Normal</v>
      </c>
      <c r="AE705" s="2"/>
      <c r="AF705" s="2"/>
    </row>
    <row r="706" spans="1:32" x14ac:dyDescent="0.35">
      <c r="A706">
        <v>705</v>
      </c>
      <c r="B706" s="1">
        <v>42935</v>
      </c>
      <c r="C706" s="9" t="s">
        <v>1330</v>
      </c>
      <c r="D706" s="9" t="s">
        <v>4988</v>
      </c>
      <c r="E706" s="9" t="s">
        <v>6256</v>
      </c>
      <c r="F706" s="9" t="s">
        <v>15</v>
      </c>
      <c r="G706" s="9" t="s">
        <v>1331</v>
      </c>
      <c r="H706" s="9" t="s">
        <v>86</v>
      </c>
      <c r="I706" s="11">
        <v>18429897</v>
      </c>
      <c r="J706" s="11">
        <v>664114</v>
      </c>
      <c r="K706" s="11">
        <v>12864888</v>
      </c>
      <c r="L706" s="3">
        <v>433</v>
      </c>
      <c r="M706" s="3">
        <v>2450</v>
      </c>
      <c r="N706" s="3">
        <v>1926126</v>
      </c>
      <c r="O706" s="2">
        <v>0.218</v>
      </c>
      <c r="P706" s="2">
        <v>1.077</v>
      </c>
      <c r="Q706" s="2">
        <v>-4.2999999999999997E-2</v>
      </c>
      <c r="R706" s="11">
        <v>331790578</v>
      </c>
      <c r="S706" s="11">
        <v>434281</v>
      </c>
      <c r="T706">
        <v>2017</v>
      </c>
      <c r="U706">
        <v>7</v>
      </c>
      <c r="V706">
        <f t="shared" ref="V706:V769" si="66">_xlfn.PERCENTILE.INC(I706:I3749,0.25)</f>
        <v>700000</v>
      </c>
      <c r="W706">
        <f t="shared" ref="W706:W769" si="67">_xlfn.PERCENTILE.INC(I706:I3749,0.75)</f>
        <v>18429897</v>
      </c>
      <c r="X706">
        <f t="shared" ref="X706:X769" si="68">W706-V706</f>
        <v>17729897</v>
      </c>
      <c r="Y706">
        <f t="shared" ref="Y706:Y769" si="69">V706-1.5*X706</f>
        <v>-25894845.5</v>
      </c>
      <c r="Z706">
        <f t="shared" ref="Z706:Z769" si="70">W706+1.5*X706</f>
        <v>45024742.5</v>
      </c>
      <c r="AA706" t="str">
        <f t="shared" ref="AA706:AA769" si="71">IF(OR(I706&lt;$Y$2, I706&gt;$Z$2), "Outlier", "Normal")</f>
        <v>Normal</v>
      </c>
      <c r="AE706" s="2"/>
      <c r="AF706" s="2"/>
    </row>
    <row r="707" spans="1:32" x14ac:dyDescent="0.35">
      <c r="A707">
        <v>706</v>
      </c>
      <c r="B707" s="1">
        <v>42935</v>
      </c>
      <c r="C707" s="9" t="s">
        <v>1332</v>
      </c>
      <c r="D707" s="9" t="s">
        <v>4930</v>
      </c>
      <c r="E707" s="9" t="s">
        <v>6257</v>
      </c>
      <c r="F707" s="9" t="s">
        <v>15</v>
      </c>
      <c r="G707" s="9" t="s">
        <v>1333</v>
      </c>
      <c r="H707" s="9" t="s">
        <v>86</v>
      </c>
      <c r="I707" s="11">
        <v>600000</v>
      </c>
      <c r="J707" s="11">
        <v>2833454</v>
      </c>
      <c r="K707" s="11">
        <v>16103009</v>
      </c>
      <c r="L707" s="3">
        <v>256</v>
      </c>
      <c r="M707" s="3">
        <v>824</v>
      </c>
      <c r="N707" s="3">
        <v>534445</v>
      </c>
      <c r="O707" s="2">
        <v>0.125</v>
      </c>
      <c r="P707" s="2">
        <v>0.93799999999999994</v>
      </c>
      <c r="Q707" s="2">
        <v>-5.0999999999999997E-2</v>
      </c>
      <c r="R707" s="11">
        <v>494084650</v>
      </c>
      <c r="S707" s="11">
        <v>384869</v>
      </c>
      <c r="T707">
        <v>2017</v>
      </c>
      <c r="U707">
        <v>7</v>
      </c>
      <c r="V707">
        <f t="shared" si="66"/>
        <v>700000</v>
      </c>
      <c r="W707">
        <f t="shared" si="67"/>
        <v>18429897</v>
      </c>
      <c r="X707">
        <f t="shared" si="68"/>
        <v>17729897</v>
      </c>
      <c r="Y707">
        <f t="shared" si="69"/>
        <v>-25894845.5</v>
      </c>
      <c r="Z707">
        <f t="shared" si="70"/>
        <v>45024742.5</v>
      </c>
      <c r="AA707" t="str">
        <f t="shared" si="71"/>
        <v>Normal</v>
      </c>
      <c r="AE707" s="2"/>
      <c r="AF707" s="2"/>
    </row>
    <row r="708" spans="1:32" x14ac:dyDescent="0.35">
      <c r="A708">
        <v>707</v>
      </c>
      <c r="B708" s="1">
        <v>42936</v>
      </c>
      <c r="C708" s="9" t="s">
        <v>1334</v>
      </c>
      <c r="D708" s="9" t="s">
        <v>4930</v>
      </c>
      <c r="E708" s="9" t="s">
        <v>6258</v>
      </c>
      <c r="F708" s="9" t="s">
        <v>19</v>
      </c>
      <c r="G708" s="9" t="s">
        <v>1335</v>
      </c>
      <c r="H708" s="9" t="s">
        <v>86</v>
      </c>
      <c r="I708" s="11">
        <v>700000</v>
      </c>
      <c r="J708" s="11">
        <v>59111</v>
      </c>
      <c r="K708" s="11">
        <v>17631482</v>
      </c>
      <c r="L708" s="3">
        <v>488</v>
      </c>
      <c r="M708" s="3">
        <v>2505.5</v>
      </c>
      <c r="N708" s="3">
        <v>1480405</v>
      </c>
      <c r="O708" s="2">
        <v>-9.0999999999999998E-2</v>
      </c>
      <c r="P708" s="2">
        <v>0.97599999999999998</v>
      </c>
      <c r="Q708" s="2">
        <v>0.14699999999999999</v>
      </c>
      <c r="R708" s="11">
        <v>266855030</v>
      </c>
      <c r="S708" s="11">
        <v>1657364</v>
      </c>
      <c r="T708">
        <v>2017</v>
      </c>
      <c r="U708">
        <v>7</v>
      </c>
      <c r="V708">
        <f t="shared" si="66"/>
        <v>700000</v>
      </c>
      <c r="W708">
        <f t="shared" si="67"/>
        <v>18429897</v>
      </c>
      <c r="X708">
        <f t="shared" si="68"/>
        <v>17729897</v>
      </c>
      <c r="Y708">
        <f t="shared" si="69"/>
        <v>-25894845.5</v>
      </c>
      <c r="Z708">
        <f t="shared" si="70"/>
        <v>45024742.5</v>
      </c>
      <c r="AA708" t="str">
        <f t="shared" si="71"/>
        <v>Normal</v>
      </c>
      <c r="AE708" s="2"/>
      <c r="AF708" s="2"/>
    </row>
    <row r="709" spans="1:32" x14ac:dyDescent="0.35">
      <c r="A709">
        <v>708</v>
      </c>
      <c r="B709" s="1">
        <v>42937</v>
      </c>
      <c r="C709" s="9" t="s">
        <v>1336</v>
      </c>
      <c r="D709" s="9" t="s">
        <v>4925</v>
      </c>
      <c r="E709" s="9" t="s">
        <v>6259</v>
      </c>
      <c r="F709" s="9" t="s">
        <v>19</v>
      </c>
      <c r="G709" s="9" t="s">
        <v>1337</v>
      </c>
      <c r="H709" s="9" t="s">
        <v>86</v>
      </c>
      <c r="I709" s="11">
        <v>200000</v>
      </c>
      <c r="J709" s="11">
        <v>2870703</v>
      </c>
      <c r="K709" s="11">
        <v>7147875</v>
      </c>
      <c r="L709" s="3">
        <v>447</v>
      </c>
      <c r="M709" s="3">
        <v>1579</v>
      </c>
      <c r="N709" s="3">
        <v>1857393</v>
      </c>
      <c r="O709" s="2">
        <v>0.183</v>
      </c>
      <c r="P709" s="2">
        <v>0.51700000000000002</v>
      </c>
      <c r="Q709" s="2">
        <v>-0.5</v>
      </c>
      <c r="R709" s="11">
        <v>148536622</v>
      </c>
      <c r="S709" s="11">
        <v>228022</v>
      </c>
      <c r="T709">
        <v>2017</v>
      </c>
      <c r="U709">
        <v>7</v>
      </c>
      <c r="V709">
        <f t="shared" si="66"/>
        <v>700000</v>
      </c>
      <c r="W709">
        <f t="shared" si="67"/>
        <v>18429897</v>
      </c>
      <c r="X709">
        <f t="shared" si="68"/>
        <v>17729897</v>
      </c>
      <c r="Y709">
        <f t="shared" si="69"/>
        <v>-25894845.5</v>
      </c>
      <c r="Z709">
        <f t="shared" si="70"/>
        <v>45024742.5</v>
      </c>
      <c r="AA709" t="str">
        <f t="shared" si="71"/>
        <v>Normal</v>
      </c>
      <c r="AE709" s="2"/>
      <c r="AF709" s="2"/>
    </row>
    <row r="710" spans="1:32" x14ac:dyDescent="0.35">
      <c r="A710">
        <v>709</v>
      </c>
      <c r="B710" s="1">
        <v>42937</v>
      </c>
      <c r="C710" s="9" t="s">
        <v>1338</v>
      </c>
      <c r="D710" s="9" t="s">
        <v>4925</v>
      </c>
      <c r="E710" s="9" t="s">
        <v>6260</v>
      </c>
      <c r="F710" s="9" t="s">
        <v>27</v>
      </c>
      <c r="G710" s="9" t="s">
        <v>1339</v>
      </c>
      <c r="H710" s="9" t="s">
        <v>86</v>
      </c>
      <c r="I710" s="11">
        <v>18429897</v>
      </c>
      <c r="J710" s="11">
        <v>2390124</v>
      </c>
      <c r="K710" s="11">
        <v>13967739</v>
      </c>
      <c r="L710" s="3">
        <v>405</v>
      </c>
      <c r="M710" s="3">
        <v>3832</v>
      </c>
      <c r="N710" s="3">
        <v>236081</v>
      </c>
      <c r="O710" s="2">
        <v>0.16800000000000001</v>
      </c>
      <c r="P710" s="2">
        <v>0.50800000000000001</v>
      </c>
      <c r="Q710" s="2">
        <v>8.4000000000000005E-2</v>
      </c>
      <c r="R710" s="11">
        <v>407572228</v>
      </c>
      <c r="S710" s="11">
        <v>687270</v>
      </c>
      <c r="T710">
        <v>2017</v>
      </c>
      <c r="U710">
        <v>7</v>
      </c>
      <c r="V710">
        <f t="shared" si="66"/>
        <v>700000</v>
      </c>
      <c r="W710">
        <f t="shared" si="67"/>
        <v>18429897</v>
      </c>
      <c r="X710">
        <f t="shared" si="68"/>
        <v>17729897</v>
      </c>
      <c r="Y710">
        <f t="shared" si="69"/>
        <v>-25894845.5</v>
      </c>
      <c r="Z710">
        <f t="shared" si="70"/>
        <v>45024742.5</v>
      </c>
      <c r="AA710" t="str">
        <f t="shared" si="71"/>
        <v>Normal</v>
      </c>
      <c r="AE710" s="2"/>
      <c r="AF710" s="2"/>
    </row>
    <row r="711" spans="1:32" x14ac:dyDescent="0.35">
      <c r="A711">
        <v>710</v>
      </c>
      <c r="B711" s="1">
        <v>42937</v>
      </c>
      <c r="C711" s="9" t="s">
        <v>1340</v>
      </c>
      <c r="D711" s="9" t="s">
        <v>4930</v>
      </c>
      <c r="E711" s="9" t="s">
        <v>6261</v>
      </c>
      <c r="F711" s="9" t="s">
        <v>27</v>
      </c>
      <c r="G711" s="9" t="s">
        <v>1341</v>
      </c>
      <c r="H711" s="9" t="s">
        <v>86</v>
      </c>
      <c r="I711" s="11">
        <v>18429897</v>
      </c>
      <c r="J711" s="11">
        <v>2340606</v>
      </c>
      <c r="K711" s="11">
        <v>9719640</v>
      </c>
      <c r="L711" s="3">
        <v>402</v>
      </c>
      <c r="M711" s="3">
        <v>3924</v>
      </c>
      <c r="N711" s="3">
        <v>1834080</v>
      </c>
      <c r="O711" s="2">
        <v>-0.14300000000000002</v>
      </c>
      <c r="P711" s="2">
        <v>1.1859999999999999</v>
      </c>
      <c r="Q711" s="2">
        <v>0.56799999999999995</v>
      </c>
      <c r="R711" s="11">
        <v>434525093</v>
      </c>
      <c r="S711" s="11">
        <v>1707760</v>
      </c>
      <c r="T711">
        <v>2017</v>
      </c>
      <c r="U711">
        <v>7</v>
      </c>
      <c r="V711">
        <f t="shared" si="66"/>
        <v>700000</v>
      </c>
      <c r="W711">
        <f t="shared" si="67"/>
        <v>18429897</v>
      </c>
      <c r="X711">
        <f t="shared" si="68"/>
        <v>17729897</v>
      </c>
      <c r="Y711">
        <f t="shared" si="69"/>
        <v>-25894845.5</v>
      </c>
      <c r="Z711">
        <f t="shared" si="70"/>
        <v>45024742.5</v>
      </c>
      <c r="AA711" t="str">
        <f t="shared" si="71"/>
        <v>Normal</v>
      </c>
      <c r="AE711" s="2"/>
      <c r="AF711" s="2"/>
    </row>
    <row r="712" spans="1:32" x14ac:dyDescent="0.35">
      <c r="A712">
        <v>711</v>
      </c>
      <c r="B712" s="1">
        <v>42937</v>
      </c>
      <c r="C712" s="9" t="s">
        <v>1342</v>
      </c>
      <c r="D712" s="9" t="s">
        <v>4988</v>
      </c>
      <c r="E712" s="9" t="s">
        <v>6262</v>
      </c>
      <c r="F712" s="9" t="s">
        <v>15</v>
      </c>
      <c r="G712" s="9" t="s">
        <v>1343</v>
      </c>
      <c r="H712" s="9" t="s">
        <v>86</v>
      </c>
      <c r="I712" s="11">
        <v>18429897</v>
      </c>
      <c r="J712" s="11">
        <v>3402795</v>
      </c>
      <c r="K712" s="11">
        <v>2235990</v>
      </c>
      <c r="L712" s="3">
        <v>66</v>
      </c>
      <c r="M712" s="3">
        <v>4627</v>
      </c>
      <c r="N712" s="3">
        <v>1780088</v>
      </c>
      <c r="O712" s="2">
        <v>0.06</v>
      </c>
      <c r="P712" s="2">
        <v>0.46700000000000003</v>
      </c>
      <c r="Q712" s="2">
        <v>-0.13900000000000001</v>
      </c>
      <c r="R712" s="11">
        <v>365314015</v>
      </c>
      <c r="S712" s="11">
        <v>1024462</v>
      </c>
      <c r="T712">
        <v>2017</v>
      </c>
      <c r="U712">
        <v>7</v>
      </c>
      <c r="V712">
        <f t="shared" si="66"/>
        <v>700000</v>
      </c>
      <c r="W712">
        <f t="shared" si="67"/>
        <v>18429897</v>
      </c>
      <c r="X712">
        <f t="shared" si="68"/>
        <v>17729897</v>
      </c>
      <c r="Y712">
        <f t="shared" si="69"/>
        <v>-25894845.5</v>
      </c>
      <c r="Z712">
        <f t="shared" si="70"/>
        <v>45024742.5</v>
      </c>
      <c r="AA712" t="str">
        <f t="shared" si="71"/>
        <v>Normal</v>
      </c>
      <c r="AE712" s="2"/>
      <c r="AF712" s="2"/>
    </row>
    <row r="713" spans="1:32" x14ac:dyDescent="0.35">
      <c r="A713">
        <v>712</v>
      </c>
      <c r="B713" s="1">
        <v>42941</v>
      </c>
      <c r="C713" s="9" t="s">
        <v>1159</v>
      </c>
      <c r="D713" s="9" t="s">
        <v>4988</v>
      </c>
      <c r="E713" s="9" t="s">
        <v>6263</v>
      </c>
      <c r="F713" s="9" t="s">
        <v>15</v>
      </c>
      <c r="G713" s="9" t="s">
        <v>300</v>
      </c>
      <c r="H713" s="9" t="s">
        <v>105</v>
      </c>
      <c r="I713" s="11">
        <v>1200000</v>
      </c>
      <c r="J713" s="11">
        <v>2622706</v>
      </c>
      <c r="K713" s="11">
        <v>4534114</v>
      </c>
      <c r="L713" s="3">
        <v>373</v>
      </c>
      <c r="M713" s="3">
        <v>2505.5</v>
      </c>
      <c r="N713" s="3">
        <v>759634</v>
      </c>
      <c r="O713" s="2">
        <v>0.193</v>
      </c>
      <c r="P713" s="2">
        <v>0.28599999999999998</v>
      </c>
      <c r="Q713" s="2">
        <v>0.184</v>
      </c>
      <c r="R713" s="11">
        <v>402196865</v>
      </c>
      <c r="S713" s="11">
        <v>98306</v>
      </c>
      <c r="T713">
        <v>2017</v>
      </c>
      <c r="U713">
        <v>7</v>
      </c>
      <c r="V713">
        <f t="shared" si="66"/>
        <v>700000</v>
      </c>
      <c r="W713">
        <f t="shared" si="67"/>
        <v>18429897</v>
      </c>
      <c r="X713">
        <f t="shared" si="68"/>
        <v>17729897</v>
      </c>
      <c r="Y713">
        <f t="shared" si="69"/>
        <v>-25894845.5</v>
      </c>
      <c r="Z713">
        <f t="shared" si="70"/>
        <v>45024742.5</v>
      </c>
      <c r="AA713" t="str">
        <f t="shared" si="71"/>
        <v>Normal</v>
      </c>
      <c r="AE713" s="2"/>
      <c r="AF713" s="2"/>
    </row>
    <row r="714" spans="1:32" x14ac:dyDescent="0.35">
      <c r="A714">
        <v>713</v>
      </c>
      <c r="B714" s="1">
        <v>42941</v>
      </c>
      <c r="C714" s="9" t="s">
        <v>1344</v>
      </c>
      <c r="D714" s="9" t="s">
        <v>4988</v>
      </c>
      <c r="E714" s="9" t="s">
        <v>6264</v>
      </c>
      <c r="F714" s="9" t="s">
        <v>15</v>
      </c>
      <c r="G714" s="9" t="s">
        <v>1345</v>
      </c>
      <c r="H714" s="9" t="s">
        <v>105</v>
      </c>
      <c r="I714" s="11">
        <v>35000000</v>
      </c>
      <c r="J714" s="11">
        <v>3644188</v>
      </c>
      <c r="K714" s="11">
        <v>14988579</v>
      </c>
      <c r="L714" s="3">
        <v>473</v>
      </c>
      <c r="M714" s="3">
        <v>2583</v>
      </c>
      <c r="N714" s="3">
        <v>1677374</v>
      </c>
      <c r="O714" s="2">
        <v>1.6E-2</v>
      </c>
      <c r="P714" s="2">
        <v>0.58899999999999997</v>
      </c>
      <c r="Q714" s="2">
        <v>-0.184</v>
      </c>
      <c r="R714" s="11">
        <v>297857794</v>
      </c>
      <c r="S714" s="11">
        <v>531391</v>
      </c>
      <c r="T714">
        <v>2017</v>
      </c>
      <c r="U714">
        <v>7</v>
      </c>
      <c r="V714">
        <f t="shared" si="66"/>
        <v>700000</v>
      </c>
      <c r="W714">
        <f t="shared" si="67"/>
        <v>18429897</v>
      </c>
      <c r="X714">
        <f t="shared" si="68"/>
        <v>17729897</v>
      </c>
      <c r="Y714">
        <f t="shared" si="69"/>
        <v>-25894845.5</v>
      </c>
      <c r="Z714">
        <f t="shared" si="70"/>
        <v>45024742.5</v>
      </c>
      <c r="AA714" t="str">
        <f t="shared" si="71"/>
        <v>Normal</v>
      </c>
      <c r="AE714" s="2"/>
      <c r="AF714" s="2"/>
    </row>
    <row r="715" spans="1:32" x14ac:dyDescent="0.35">
      <c r="A715">
        <v>714</v>
      </c>
      <c r="B715" s="1">
        <v>42942</v>
      </c>
      <c r="C715" s="9" t="s">
        <v>1346</v>
      </c>
      <c r="D715" s="9" t="s">
        <v>5000</v>
      </c>
      <c r="E715" s="9" t="s">
        <v>1151</v>
      </c>
      <c r="F715" s="9" t="s">
        <v>27</v>
      </c>
      <c r="G715" s="9" t="s">
        <v>1347</v>
      </c>
      <c r="H715" s="9" t="s">
        <v>86</v>
      </c>
      <c r="I715" s="11">
        <v>18429897</v>
      </c>
      <c r="J715" s="11">
        <v>3824338</v>
      </c>
      <c r="K715" s="11">
        <v>13753212</v>
      </c>
      <c r="L715" s="3">
        <v>149</v>
      </c>
      <c r="M715" s="3">
        <v>1955</v>
      </c>
      <c r="N715" s="3">
        <v>12790</v>
      </c>
      <c r="O715" s="2">
        <v>-0.27200000000000002</v>
      </c>
      <c r="P715" s="2">
        <v>0.50800000000000001</v>
      </c>
      <c r="Q715" s="2">
        <v>0.33200000000000002</v>
      </c>
      <c r="R715" s="11">
        <v>42942819</v>
      </c>
      <c r="S715" s="11">
        <v>392243</v>
      </c>
      <c r="T715">
        <v>2017</v>
      </c>
      <c r="U715">
        <v>7</v>
      </c>
      <c r="V715">
        <f t="shared" si="66"/>
        <v>700000</v>
      </c>
      <c r="W715">
        <f t="shared" si="67"/>
        <v>18429897</v>
      </c>
      <c r="X715">
        <f t="shared" si="68"/>
        <v>17729897</v>
      </c>
      <c r="Y715">
        <f t="shared" si="69"/>
        <v>-25894845.5</v>
      </c>
      <c r="Z715">
        <f t="shared" si="70"/>
        <v>45024742.5</v>
      </c>
      <c r="AA715" t="str">
        <f t="shared" si="71"/>
        <v>Normal</v>
      </c>
      <c r="AE715" s="2"/>
      <c r="AF715" s="2"/>
    </row>
    <row r="716" spans="1:32" x14ac:dyDescent="0.35">
      <c r="A716">
        <v>715</v>
      </c>
      <c r="B716" s="1">
        <v>42942</v>
      </c>
      <c r="C716" s="9" t="s">
        <v>209</v>
      </c>
      <c r="D716" s="9" t="s">
        <v>4988</v>
      </c>
      <c r="E716" s="9" t="s">
        <v>6265</v>
      </c>
      <c r="F716" s="9" t="s">
        <v>27</v>
      </c>
      <c r="G716" s="9" t="s">
        <v>1348</v>
      </c>
      <c r="H716" s="9" t="s">
        <v>105</v>
      </c>
      <c r="I716" s="11">
        <v>25000000</v>
      </c>
      <c r="J716" s="11">
        <v>4602186</v>
      </c>
      <c r="K716" s="11">
        <v>10469761</v>
      </c>
      <c r="L716" s="3">
        <v>408</v>
      </c>
      <c r="M716" s="3">
        <v>2260</v>
      </c>
      <c r="N716" s="3">
        <v>378125</v>
      </c>
      <c r="O716" s="2">
        <v>1.6E-2</v>
      </c>
      <c r="P716" s="2">
        <v>0.72400000000000009</v>
      </c>
      <c r="Q716" s="2">
        <v>0.38</v>
      </c>
      <c r="R716" s="11">
        <v>65993372</v>
      </c>
      <c r="S716" s="11">
        <v>736600</v>
      </c>
      <c r="T716">
        <v>2017</v>
      </c>
      <c r="U716">
        <v>7</v>
      </c>
      <c r="V716">
        <f t="shared" si="66"/>
        <v>700000</v>
      </c>
      <c r="W716">
        <f t="shared" si="67"/>
        <v>18429897</v>
      </c>
      <c r="X716">
        <f t="shared" si="68"/>
        <v>17729897</v>
      </c>
      <c r="Y716">
        <f t="shared" si="69"/>
        <v>-25894845.5</v>
      </c>
      <c r="Z716">
        <f t="shared" si="70"/>
        <v>45024742.5</v>
      </c>
      <c r="AA716" t="str">
        <f t="shared" si="71"/>
        <v>Normal</v>
      </c>
      <c r="AE716" s="2"/>
      <c r="AF716" s="2"/>
    </row>
    <row r="717" spans="1:32" x14ac:dyDescent="0.35">
      <c r="A717">
        <v>716</v>
      </c>
      <c r="B717" s="1">
        <v>42942</v>
      </c>
      <c r="C717" s="9" t="s">
        <v>1349</v>
      </c>
      <c r="D717" s="9" t="s">
        <v>4988</v>
      </c>
      <c r="E717" s="9" t="s">
        <v>6266</v>
      </c>
      <c r="F717" s="9" t="s">
        <v>15</v>
      </c>
      <c r="G717" s="9" t="s">
        <v>1350</v>
      </c>
      <c r="H717" s="9" t="s">
        <v>86</v>
      </c>
      <c r="I717" s="11">
        <v>200000</v>
      </c>
      <c r="J717" s="11">
        <v>4000238</v>
      </c>
      <c r="K717" s="11">
        <v>15642564</v>
      </c>
      <c r="L717" s="3">
        <v>178</v>
      </c>
      <c r="M717" s="3">
        <v>3912</v>
      </c>
      <c r="N717" s="3">
        <v>1504868</v>
      </c>
      <c r="O717" s="2">
        <v>-2.1000000000000001E-2</v>
      </c>
      <c r="P717" s="2">
        <v>0.24399999999999999</v>
      </c>
      <c r="Q717" s="2">
        <v>-0.11700000000000001</v>
      </c>
      <c r="R717" s="11">
        <v>401338185</v>
      </c>
      <c r="S717" s="11">
        <v>1017179</v>
      </c>
      <c r="T717">
        <v>2017</v>
      </c>
      <c r="U717">
        <v>7</v>
      </c>
      <c r="V717">
        <f t="shared" si="66"/>
        <v>700000</v>
      </c>
      <c r="W717">
        <f t="shared" si="67"/>
        <v>18429897</v>
      </c>
      <c r="X717">
        <f t="shared" si="68"/>
        <v>17729897</v>
      </c>
      <c r="Y717">
        <f t="shared" si="69"/>
        <v>-25894845.5</v>
      </c>
      <c r="Z717">
        <f t="shared" si="70"/>
        <v>45024742.5</v>
      </c>
      <c r="AA717" t="str">
        <f t="shared" si="71"/>
        <v>Normal</v>
      </c>
      <c r="AE717" s="2"/>
      <c r="AF717" s="2"/>
    </row>
    <row r="718" spans="1:32" x14ac:dyDescent="0.35">
      <c r="A718">
        <v>717</v>
      </c>
      <c r="B718" s="1">
        <v>42943</v>
      </c>
      <c r="C718" s="9" t="s">
        <v>652</v>
      </c>
      <c r="D718" s="9" t="s">
        <v>4925</v>
      </c>
      <c r="E718" s="9" t="s">
        <v>5243</v>
      </c>
      <c r="F718" s="9" t="s">
        <v>19</v>
      </c>
      <c r="G718" s="9" t="s">
        <v>1351</v>
      </c>
      <c r="H718" s="9" t="s">
        <v>105</v>
      </c>
      <c r="I718" s="11">
        <v>15000000</v>
      </c>
      <c r="J718" s="11">
        <v>2598176</v>
      </c>
      <c r="K718" s="11">
        <v>10153449</v>
      </c>
      <c r="L718" s="3">
        <v>110</v>
      </c>
      <c r="M718" s="3">
        <v>2852</v>
      </c>
      <c r="N718" s="3">
        <v>1868692</v>
      </c>
      <c r="O718" s="2">
        <v>0.23199999999999998</v>
      </c>
      <c r="P718" s="2">
        <v>0.86499999999999999</v>
      </c>
      <c r="Q718" s="2">
        <v>-7.400000000000001E-2</v>
      </c>
      <c r="R718" s="11">
        <v>475532161</v>
      </c>
      <c r="S718" s="11">
        <v>1567263</v>
      </c>
      <c r="T718">
        <v>2017</v>
      </c>
      <c r="U718">
        <v>7</v>
      </c>
      <c r="V718">
        <f t="shared" si="66"/>
        <v>700000</v>
      </c>
      <c r="W718">
        <f t="shared" si="67"/>
        <v>18429897</v>
      </c>
      <c r="X718">
        <f t="shared" si="68"/>
        <v>17729897</v>
      </c>
      <c r="Y718">
        <f t="shared" si="69"/>
        <v>-25894845.5</v>
      </c>
      <c r="Z718">
        <f t="shared" si="70"/>
        <v>45024742.5</v>
      </c>
      <c r="AA718" t="str">
        <f t="shared" si="71"/>
        <v>Normal</v>
      </c>
      <c r="AE718" s="2"/>
      <c r="AF718" s="2"/>
    </row>
    <row r="719" spans="1:32" x14ac:dyDescent="0.35">
      <c r="A719">
        <v>718</v>
      </c>
      <c r="B719" s="1">
        <v>42944</v>
      </c>
      <c r="C719" s="9" t="s">
        <v>1352</v>
      </c>
      <c r="D719" s="9" t="s">
        <v>4988</v>
      </c>
      <c r="E719" s="9" t="s">
        <v>6267</v>
      </c>
      <c r="F719" s="9" t="s">
        <v>31</v>
      </c>
      <c r="G719" s="9" t="s">
        <v>1353</v>
      </c>
      <c r="H719" s="9" t="s">
        <v>86</v>
      </c>
      <c r="I719" s="11">
        <v>18429897</v>
      </c>
      <c r="J719" s="11">
        <v>2470923</v>
      </c>
      <c r="K719" s="11">
        <v>6854562</v>
      </c>
      <c r="L719" s="3">
        <v>366</v>
      </c>
      <c r="M719" s="3">
        <v>293</v>
      </c>
      <c r="N719" s="3">
        <v>252094</v>
      </c>
      <c r="O719" s="2">
        <v>1.6E-2</v>
      </c>
      <c r="P719" s="2">
        <v>0.93600000000000005</v>
      </c>
      <c r="Q719" s="2">
        <v>0.26700000000000002</v>
      </c>
      <c r="R719" s="11">
        <v>415752902</v>
      </c>
      <c r="S719" s="11">
        <v>1889937</v>
      </c>
      <c r="T719">
        <v>2017</v>
      </c>
      <c r="U719">
        <v>7</v>
      </c>
      <c r="V719">
        <f t="shared" si="66"/>
        <v>700000</v>
      </c>
      <c r="W719">
        <f t="shared" si="67"/>
        <v>18429897</v>
      </c>
      <c r="X719">
        <f t="shared" si="68"/>
        <v>17729897</v>
      </c>
      <c r="Y719">
        <f t="shared" si="69"/>
        <v>-25894845.5</v>
      </c>
      <c r="Z719">
        <f t="shared" si="70"/>
        <v>45024742.5</v>
      </c>
      <c r="AA719" t="str">
        <f t="shared" si="71"/>
        <v>Normal</v>
      </c>
      <c r="AE719" s="2"/>
      <c r="AF719" s="2"/>
    </row>
    <row r="720" spans="1:32" x14ac:dyDescent="0.35">
      <c r="A720">
        <v>719</v>
      </c>
      <c r="B720" s="1">
        <v>42944</v>
      </c>
      <c r="C720" s="9" t="s">
        <v>1354</v>
      </c>
      <c r="D720" s="9" t="s">
        <v>4988</v>
      </c>
      <c r="E720" s="9" t="s">
        <v>6268</v>
      </c>
      <c r="F720" s="9" t="s">
        <v>31</v>
      </c>
      <c r="G720" s="9" t="s">
        <v>436</v>
      </c>
      <c r="H720" s="9" t="s">
        <v>105</v>
      </c>
      <c r="I720" s="11">
        <v>1250000</v>
      </c>
      <c r="J720" s="11">
        <v>2531926</v>
      </c>
      <c r="K720" s="11">
        <v>5949659</v>
      </c>
      <c r="L720" s="3">
        <v>86</v>
      </c>
      <c r="M720" s="3">
        <v>1892</v>
      </c>
      <c r="N720" s="3">
        <v>1428226</v>
      </c>
      <c r="O720" s="2">
        <v>0.14699999999999999</v>
      </c>
      <c r="P720" s="2">
        <v>0.80300000000000005</v>
      </c>
      <c r="Q720" s="2">
        <v>3.1E-2</v>
      </c>
      <c r="R720" s="11">
        <v>354273168</v>
      </c>
      <c r="S720" s="11">
        <v>1724413</v>
      </c>
      <c r="T720">
        <v>2017</v>
      </c>
      <c r="U720">
        <v>7</v>
      </c>
      <c r="V720">
        <f t="shared" si="66"/>
        <v>700000</v>
      </c>
      <c r="W720">
        <f t="shared" si="67"/>
        <v>18429897</v>
      </c>
      <c r="X720">
        <f t="shared" si="68"/>
        <v>17729897</v>
      </c>
      <c r="Y720">
        <f t="shared" si="69"/>
        <v>-25894845.5</v>
      </c>
      <c r="Z720">
        <f t="shared" si="70"/>
        <v>45024742.5</v>
      </c>
      <c r="AA720" t="str">
        <f t="shared" si="71"/>
        <v>Normal</v>
      </c>
      <c r="AE720" s="2"/>
      <c r="AF720" s="2"/>
    </row>
    <row r="721" spans="1:32" x14ac:dyDescent="0.35">
      <c r="A721">
        <v>720</v>
      </c>
      <c r="B721" s="1">
        <v>42944</v>
      </c>
      <c r="C721" s="9" t="s">
        <v>1355</v>
      </c>
      <c r="D721" s="9" t="s">
        <v>4988</v>
      </c>
      <c r="E721" s="9" t="s">
        <v>1356</v>
      </c>
      <c r="F721" s="9" t="s">
        <v>15</v>
      </c>
      <c r="G721" s="9" t="s">
        <v>1357</v>
      </c>
      <c r="H721" s="9" t="s">
        <v>86</v>
      </c>
      <c r="I721" s="11">
        <v>18429897</v>
      </c>
      <c r="J721" s="11">
        <v>3005975</v>
      </c>
      <c r="K721" s="11">
        <v>18907079</v>
      </c>
      <c r="L721" s="3">
        <v>243</v>
      </c>
      <c r="M721" s="3">
        <v>4574</v>
      </c>
      <c r="N721" s="3">
        <v>205964</v>
      </c>
      <c r="O721" s="2">
        <v>-0.12</v>
      </c>
      <c r="P721" s="2">
        <v>0.371</v>
      </c>
      <c r="Q721" s="2">
        <v>0.45399999999999996</v>
      </c>
      <c r="R721" s="11">
        <v>265340479</v>
      </c>
      <c r="S721" s="11">
        <v>1005953</v>
      </c>
      <c r="T721">
        <v>2017</v>
      </c>
      <c r="U721">
        <v>7</v>
      </c>
      <c r="V721">
        <f t="shared" si="66"/>
        <v>700000</v>
      </c>
      <c r="W721">
        <f t="shared" si="67"/>
        <v>18429897</v>
      </c>
      <c r="X721">
        <f t="shared" si="68"/>
        <v>17729897</v>
      </c>
      <c r="Y721">
        <f t="shared" si="69"/>
        <v>-25894845.5</v>
      </c>
      <c r="Z721">
        <f t="shared" si="70"/>
        <v>45024742.5</v>
      </c>
      <c r="AA721" t="str">
        <f t="shared" si="71"/>
        <v>Normal</v>
      </c>
      <c r="AE721" s="2"/>
      <c r="AF721" s="2"/>
    </row>
    <row r="722" spans="1:32" x14ac:dyDescent="0.35">
      <c r="A722">
        <v>721</v>
      </c>
      <c r="B722" s="1">
        <v>42887</v>
      </c>
      <c r="C722" s="9" t="s">
        <v>1358</v>
      </c>
      <c r="D722" s="9" t="s">
        <v>4930</v>
      </c>
      <c r="E722" s="9" t="s">
        <v>6269</v>
      </c>
      <c r="F722" s="9" t="s">
        <v>15</v>
      </c>
      <c r="G722" s="9" t="s">
        <v>1359</v>
      </c>
      <c r="H722" s="9" t="s">
        <v>86</v>
      </c>
      <c r="I722" s="11">
        <v>18429897</v>
      </c>
      <c r="J722" s="11">
        <v>712894</v>
      </c>
      <c r="K722" s="11">
        <v>19439598</v>
      </c>
      <c r="L722" s="3">
        <v>468</v>
      </c>
      <c r="M722" s="3">
        <v>1093</v>
      </c>
      <c r="N722" s="3">
        <v>1565656</v>
      </c>
      <c r="O722" s="2">
        <v>8.8000000000000009E-2</v>
      </c>
      <c r="P722" s="2">
        <v>0.39100000000000001</v>
      </c>
      <c r="Q722" s="2">
        <v>-0.2</v>
      </c>
      <c r="R722" s="11">
        <v>51280351</v>
      </c>
      <c r="S722" s="11">
        <v>943938</v>
      </c>
      <c r="T722">
        <v>2017</v>
      </c>
      <c r="U722">
        <v>6</v>
      </c>
      <c r="V722">
        <f t="shared" si="66"/>
        <v>693750</v>
      </c>
      <c r="W722">
        <f t="shared" si="67"/>
        <v>18429897</v>
      </c>
      <c r="X722">
        <f t="shared" si="68"/>
        <v>17736147</v>
      </c>
      <c r="Y722">
        <f t="shared" si="69"/>
        <v>-25910470.5</v>
      </c>
      <c r="Z722">
        <f t="shared" si="70"/>
        <v>45034117.5</v>
      </c>
      <c r="AA722" t="str">
        <f t="shared" si="71"/>
        <v>Normal</v>
      </c>
      <c r="AE722" s="2"/>
      <c r="AF722" s="2"/>
    </row>
    <row r="723" spans="1:32" x14ac:dyDescent="0.35">
      <c r="A723">
        <v>722</v>
      </c>
      <c r="B723" s="1">
        <v>42888</v>
      </c>
      <c r="C723" s="9" t="s">
        <v>1360</v>
      </c>
      <c r="D723" s="9" t="s">
        <v>4925</v>
      </c>
      <c r="E723" s="9" t="s">
        <v>6270</v>
      </c>
      <c r="F723" s="9" t="s">
        <v>15</v>
      </c>
      <c r="G723" s="9" t="s">
        <v>1361</v>
      </c>
      <c r="H723" s="9" t="s">
        <v>86</v>
      </c>
      <c r="I723" s="11">
        <v>234000</v>
      </c>
      <c r="J723" s="11">
        <v>4657556</v>
      </c>
      <c r="K723" s="11">
        <v>709151</v>
      </c>
      <c r="L723" s="3">
        <v>82</v>
      </c>
      <c r="M723" s="3">
        <v>2387</v>
      </c>
      <c r="N723" s="3">
        <v>1792637</v>
      </c>
      <c r="O723" s="2">
        <v>1.6E-2</v>
      </c>
      <c r="P723" s="2">
        <v>0.60699999999999998</v>
      </c>
      <c r="Q723" s="2">
        <v>0.36749999999999999</v>
      </c>
      <c r="R723" s="11">
        <v>136704848</v>
      </c>
      <c r="S723" s="11">
        <v>1008193.5</v>
      </c>
      <c r="T723">
        <v>2017</v>
      </c>
      <c r="U723">
        <v>6</v>
      </c>
      <c r="V723">
        <f t="shared" si="66"/>
        <v>687500</v>
      </c>
      <c r="W723">
        <f t="shared" si="67"/>
        <v>18429897</v>
      </c>
      <c r="X723">
        <f t="shared" si="68"/>
        <v>17742397</v>
      </c>
      <c r="Y723">
        <f t="shared" si="69"/>
        <v>-25926095.5</v>
      </c>
      <c r="Z723">
        <f t="shared" si="70"/>
        <v>45043492.5</v>
      </c>
      <c r="AA723" t="str">
        <f t="shared" si="71"/>
        <v>Normal</v>
      </c>
      <c r="AE723" s="2"/>
      <c r="AF723" s="2"/>
    </row>
    <row r="724" spans="1:32" x14ac:dyDescent="0.35">
      <c r="A724">
        <v>723</v>
      </c>
      <c r="B724" s="1">
        <v>42891</v>
      </c>
      <c r="C724" s="9" t="s">
        <v>1362</v>
      </c>
      <c r="D724" s="9" t="s">
        <v>4988</v>
      </c>
      <c r="E724" s="9" t="s">
        <v>6271</v>
      </c>
      <c r="F724" s="9" t="s">
        <v>31</v>
      </c>
      <c r="G724" s="9" t="s">
        <v>1363</v>
      </c>
      <c r="H724" s="9" t="s">
        <v>105</v>
      </c>
      <c r="I724" s="11">
        <v>50000000</v>
      </c>
      <c r="J724" s="11">
        <v>4228320</v>
      </c>
      <c r="K724" s="11">
        <v>10153449</v>
      </c>
      <c r="L724" s="3">
        <v>82</v>
      </c>
      <c r="M724" s="3">
        <v>4191</v>
      </c>
      <c r="N724" s="3">
        <v>918333</v>
      </c>
      <c r="O724" s="2">
        <v>0.27100000000000002</v>
      </c>
      <c r="P724" s="2">
        <v>0.55800000000000005</v>
      </c>
      <c r="Q724" s="2">
        <v>0.36749999999999999</v>
      </c>
      <c r="R724" s="11">
        <v>486088852</v>
      </c>
      <c r="S724" s="11">
        <v>1006494</v>
      </c>
      <c r="T724">
        <v>2017</v>
      </c>
      <c r="U724">
        <v>6</v>
      </c>
      <c r="V724">
        <f t="shared" si="66"/>
        <v>700000</v>
      </c>
      <c r="W724">
        <f t="shared" si="67"/>
        <v>18429897</v>
      </c>
      <c r="X724">
        <f t="shared" si="68"/>
        <v>17729897</v>
      </c>
      <c r="Y724">
        <f t="shared" si="69"/>
        <v>-25894845.5</v>
      </c>
      <c r="Z724">
        <f t="shared" si="70"/>
        <v>45024742.5</v>
      </c>
      <c r="AA724" t="str">
        <f t="shared" si="71"/>
        <v>Outlier</v>
      </c>
      <c r="AE724" s="2"/>
      <c r="AF724" s="2"/>
    </row>
    <row r="725" spans="1:32" x14ac:dyDescent="0.35">
      <c r="A725">
        <v>724</v>
      </c>
      <c r="B725" s="1">
        <v>42891</v>
      </c>
      <c r="C725" s="9" t="s">
        <v>1364</v>
      </c>
      <c r="D725" s="9" t="s">
        <v>4988</v>
      </c>
      <c r="E725" s="9" t="s">
        <v>6272</v>
      </c>
      <c r="F725" s="9" t="s">
        <v>31</v>
      </c>
      <c r="G725" s="9" t="s">
        <v>1365</v>
      </c>
      <c r="H725" s="9" t="s">
        <v>105</v>
      </c>
      <c r="I725" s="11">
        <v>18429897</v>
      </c>
      <c r="J725" s="11">
        <v>616273</v>
      </c>
      <c r="K725" s="11">
        <v>2745567</v>
      </c>
      <c r="L725" s="3">
        <v>471</v>
      </c>
      <c r="M725" s="3">
        <v>1487</v>
      </c>
      <c r="N725" s="3">
        <v>201610</v>
      </c>
      <c r="O725" s="2">
        <v>0.36799999999999999</v>
      </c>
      <c r="P725" s="2">
        <v>0.30199999999999999</v>
      </c>
      <c r="Q725" s="2">
        <v>0.19800000000000001</v>
      </c>
      <c r="R725" s="11">
        <v>430534642</v>
      </c>
      <c r="S725" s="11">
        <v>280393</v>
      </c>
      <c r="T725">
        <v>2017</v>
      </c>
      <c r="U725">
        <v>6</v>
      </c>
      <c r="V725">
        <f t="shared" si="66"/>
        <v>700000</v>
      </c>
      <c r="W725">
        <f t="shared" si="67"/>
        <v>18429897</v>
      </c>
      <c r="X725">
        <f t="shared" si="68"/>
        <v>17729897</v>
      </c>
      <c r="Y725">
        <f t="shared" si="69"/>
        <v>-25894845.5</v>
      </c>
      <c r="Z725">
        <f t="shared" si="70"/>
        <v>45024742.5</v>
      </c>
      <c r="AA725" t="str">
        <f t="shared" si="71"/>
        <v>Normal</v>
      </c>
      <c r="AE725" s="2"/>
      <c r="AF725" s="2"/>
    </row>
    <row r="726" spans="1:32" x14ac:dyDescent="0.35">
      <c r="A726">
        <v>725</v>
      </c>
      <c r="B726" s="1">
        <v>42892</v>
      </c>
      <c r="C726" s="9" t="s">
        <v>1366</v>
      </c>
      <c r="D726" s="9" t="s">
        <v>4925</v>
      </c>
      <c r="E726" s="9" t="s">
        <v>5855</v>
      </c>
      <c r="F726" s="9" t="s">
        <v>19</v>
      </c>
      <c r="G726" s="9" t="s">
        <v>1367</v>
      </c>
      <c r="H726" s="9" t="s">
        <v>105</v>
      </c>
      <c r="I726" s="11">
        <v>1000000</v>
      </c>
      <c r="J726" s="11">
        <v>3934060</v>
      </c>
      <c r="K726" s="11">
        <v>17238444</v>
      </c>
      <c r="L726" s="3">
        <v>389</v>
      </c>
      <c r="M726" s="3">
        <v>3418</v>
      </c>
      <c r="N726" s="3">
        <v>401447</v>
      </c>
      <c r="O726" s="2">
        <v>0.39800000000000002</v>
      </c>
      <c r="P726" s="2">
        <v>0.50800000000000001</v>
      </c>
      <c r="Q726" s="2">
        <v>-5.9000000000000004E-2</v>
      </c>
      <c r="R726" s="11">
        <v>219032100</v>
      </c>
      <c r="S726" s="11">
        <v>1365790</v>
      </c>
      <c r="T726">
        <v>2017</v>
      </c>
      <c r="U726">
        <v>6</v>
      </c>
      <c r="V726">
        <f t="shared" si="66"/>
        <v>693750</v>
      </c>
      <c r="W726">
        <f t="shared" si="67"/>
        <v>18429897</v>
      </c>
      <c r="X726">
        <f t="shared" si="68"/>
        <v>17736147</v>
      </c>
      <c r="Y726">
        <f t="shared" si="69"/>
        <v>-25910470.5</v>
      </c>
      <c r="Z726">
        <f t="shared" si="70"/>
        <v>45034117.5</v>
      </c>
      <c r="AA726" t="str">
        <f t="shared" si="71"/>
        <v>Normal</v>
      </c>
      <c r="AE726" s="2"/>
      <c r="AF726" s="2"/>
    </row>
    <row r="727" spans="1:32" x14ac:dyDescent="0.35">
      <c r="A727">
        <v>726</v>
      </c>
      <c r="B727" s="1">
        <v>42892</v>
      </c>
      <c r="C727" s="9" t="s">
        <v>1368</v>
      </c>
      <c r="D727" s="9" t="s">
        <v>4988</v>
      </c>
      <c r="E727" s="9" t="s">
        <v>6273</v>
      </c>
      <c r="F727" s="9" t="s">
        <v>554</v>
      </c>
      <c r="G727" s="9" t="s">
        <v>1369</v>
      </c>
      <c r="H727" s="9" t="s">
        <v>86</v>
      </c>
      <c r="I727" s="11">
        <v>18429897</v>
      </c>
      <c r="J727" s="11">
        <v>603175</v>
      </c>
      <c r="K727" s="11">
        <v>11816861</v>
      </c>
      <c r="L727" s="3">
        <v>233</v>
      </c>
      <c r="M727" s="3">
        <v>3936</v>
      </c>
      <c r="N727" s="3">
        <v>1014196</v>
      </c>
      <c r="O727" s="2">
        <v>0.22699999999999998</v>
      </c>
      <c r="P727" s="2">
        <v>1.125</v>
      </c>
      <c r="Q727" s="2">
        <v>-9.4E-2</v>
      </c>
      <c r="R727" s="11">
        <v>44729595</v>
      </c>
      <c r="S727" s="11">
        <v>250313</v>
      </c>
      <c r="T727">
        <v>2017</v>
      </c>
      <c r="U727">
        <v>6</v>
      </c>
      <c r="V727">
        <f t="shared" si="66"/>
        <v>687500</v>
      </c>
      <c r="W727">
        <f t="shared" si="67"/>
        <v>18429897</v>
      </c>
      <c r="X727">
        <f t="shared" si="68"/>
        <v>17742397</v>
      </c>
      <c r="Y727">
        <f t="shared" si="69"/>
        <v>-25926095.5</v>
      </c>
      <c r="Z727">
        <f t="shared" si="70"/>
        <v>45043492.5</v>
      </c>
      <c r="AA727" t="str">
        <f t="shared" si="71"/>
        <v>Normal</v>
      </c>
      <c r="AE727" s="2"/>
      <c r="AF727" s="2"/>
    </row>
    <row r="728" spans="1:32" x14ac:dyDescent="0.35">
      <c r="A728">
        <v>727</v>
      </c>
      <c r="B728" s="1">
        <v>42892</v>
      </c>
      <c r="C728" s="9" t="s">
        <v>1370</v>
      </c>
      <c r="D728" s="9" t="s">
        <v>4988</v>
      </c>
      <c r="E728" s="9" t="s">
        <v>6274</v>
      </c>
      <c r="F728" s="9" t="s">
        <v>31</v>
      </c>
      <c r="G728" s="9" t="s">
        <v>1371</v>
      </c>
      <c r="H728" s="9" t="s">
        <v>105</v>
      </c>
      <c r="I728" s="11">
        <v>18429897</v>
      </c>
      <c r="J728" s="11">
        <v>3611701</v>
      </c>
      <c r="K728" s="11">
        <v>13786710</v>
      </c>
      <c r="L728" s="3">
        <v>205</v>
      </c>
      <c r="M728" s="3">
        <v>1662</v>
      </c>
      <c r="N728" s="3">
        <v>1598230</v>
      </c>
      <c r="O728" s="2">
        <v>1.6E-2</v>
      </c>
      <c r="P728" s="2">
        <v>0.34399999999999997</v>
      </c>
      <c r="Q728" s="2">
        <v>5.9000000000000004E-2</v>
      </c>
      <c r="R728" s="11">
        <v>109313180</v>
      </c>
      <c r="S728" s="11">
        <v>573744</v>
      </c>
      <c r="T728">
        <v>2017</v>
      </c>
      <c r="U728">
        <v>6</v>
      </c>
      <c r="V728">
        <f t="shared" si="66"/>
        <v>681250</v>
      </c>
      <c r="W728">
        <f t="shared" si="67"/>
        <v>18429897</v>
      </c>
      <c r="X728">
        <f t="shared" si="68"/>
        <v>17748647</v>
      </c>
      <c r="Y728">
        <f t="shared" si="69"/>
        <v>-25941720.5</v>
      </c>
      <c r="Z728">
        <f t="shared" si="70"/>
        <v>45052867.5</v>
      </c>
      <c r="AA728" t="str">
        <f t="shared" si="71"/>
        <v>Normal</v>
      </c>
      <c r="AE728" s="2"/>
      <c r="AF728" s="2"/>
    </row>
    <row r="729" spans="1:32" x14ac:dyDescent="0.35">
      <c r="A729">
        <v>728</v>
      </c>
      <c r="B729" s="1">
        <v>42892</v>
      </c>
      <c r="C729" s="9" t="s">
        <v>1372</v>
      </c>
      <c r="D729" s="9" t="s">
        <v>4988</v>
      </c>
      <c r="E729" s="9" t="s">
        <v>1373</v>
      </c>
      <c r="F729" s="9" t="s">
        <v>15</v>
      </c>
      <c r="G729" s="9" t="s">
        <v>198</v>
      </c>
      <c r="H729" s="9" t="s">
        <v>105</v>
      </c>
      <c r="I729" s="11">
        <v>1200000</v>
      </c>
      <c r="J729" s="11">
        <v>456790</v>
      </c>
      <c r="K729" s="11">
        <v>14057996</v>
      </c>
      <c r="L729" s="3">
        <v>482</v>
      </c>
      <c r="M729" s="3">
        <v>4483</v>
      </c>
      <c r="N729" s="3">
        <v>1039204</v>
      </c>
      <c r="O729" s="2">
        <v>0.41700000000000004</v>
      </c>
      <c r="P729" s="2">
        <v>0.76200000000000001</v>
      </c>
      <c r="Q729" s="2">
        <v>0.26899999999999996</v>
      </c>
      <c r="R729" s="11">
        <v>390944715</v>
      </c>
      <c r="S729" s="11">
        <v>1635985</v>
      </c>
      <c r="T729">
        <v>2017</v>
      </c>
      <c r="U729">
        <v>6</v>
      </c>
      <c r="V729">
        <f t="shared" si="66"/>
        <v>675000</v>
      </c>
      <c r="W729">
        <f t="shared" si="67"/>
        <v>18429897</v>
      </c>
      <c r="X729">
        <f t="shared" si="68"/>
        <v>17754897</v>
      </c>
      <c r="Y729">
        <f t="shared" si="69"/>
        <v>-25957345.5</v>
      </c>
      <c r="Z729">
        <f t="shared" si="70"/>
        <v>45062242.5</v>
      </c>
      <c r="AA729" t="str">
        <f t="shared" si="71"/>
        <v>Normal</v>
      </c>
      <c r="AE729" s="2"/>
      <c r="AF729" s="2"/>
    </row>
    <row r="730" spans="1:32" x14ac:dyDescent="0.35">
      <c r="A730">
        <v>729</v>
      </c>
      <c r="B730" s="1">
        <v>42892</v>
      </c>
      <c r="C730" s="9" t="s">
        <v>1374</v>
      </c>
      <c r="D730" s="9" t="s">
        <v>4988</v>
      </c>
      <c r="E730" s="9" t="s">
        <v>6275</v>
      </c>
      <c r="F730" s="9" t="s">
        <v>27</v>
      </c>
      <c r="G730" s="9" t="s">
        <v>1375</v>
      </c>
      <c r="H730" s="9" t="s">
        <v>86</v>
      </c>
      <c r="I730" s="11">
        <v>1000000</v>
      </c>
      <c r="J730" s="11">
        <v>2451203</v>
      </c>
      <c r="K730" s="11">
        <v>12137896</v>
      </c>
      <c r="L730" s="3">
        <v>363</v>
      </c>
      <c r="M730" s="3">
        <v>2259</v>
      </c>
      <c r="N730" s="3">
        <v>954937</v>
      </c>
      <c r="O730" s="2">
        <v>0.05</v>
      </c>
      <c r="P730" s="2">
        <v>0.63</v>
      </c>
      <c r="Q730" s="2">
        <v>-0.27300000000000002</v>
      </c>
      <c r="R730" s="11">
        <v>355527332</v>
      </c>
      <c r="S730" s="11">
        <v>1515879</v>
      </c>
      <c r="T730">
        <v>2017</v>
      </c>
      <c r="U730">
        <v>6</v>
      </c>
      <c r="V730">
        <f t="shared" si="66"/>
        <v>673750</v>
      </c>
      <c r="W730">
        <f t="shared" si="67"/>
        <v>18429897</v>
      </c>
      <c r="X730">
        <f t="shared" si="68"/>
        <v>17756147</v>
      </c>
      <c r="Y730">
        <f t="shared" si="69"/>
        <v>-25960470.5</v>
      </c>
      <c r="Z730">
        <f t="shared" si="70"/>
        <v>45064117.5</v>
      </c>
      <c r="AA730" t="str">
        <f t="shared" si="71"/>
        <v>Normal</v>
      </c>
      <c r="AE730" s="2"/>
      <c r="AF730" s="2"/>
    </row>
    <row r="731" spans="1:32" x14ac:dyDescent="0.35">
      <c r="A731">
        <v>730</v>
      </c>
      <c r="B731" s="1">
        <v>42892</v>
      </c>
      <c r="C731" s="9" t="s">
        <v>1376</v>
      </c>
      <c r="D731" s="9" t="s">
        <v>4988</v>
      </c>
      <c r="E731" s="9" t="s">
        <v>5419</v>
      </c>
      <c r="F731" s="9" t="s">
        <v>27</v>
      </c>
      <c r="G731" s="9" t="s">
        <v>1377</v>
      </c>
      <c r="H731" s="9" t="s">
        <v>105</v>
      </c>
      <c r="I731" s="11">
        <v>18429897</v>
      </c>
      <c r="J731" s="11">
        <v>3296159</v>
      </c>
      <c r="K731" s="11">
        <v>5088591</v>
      </c>
      <c r="L731" s="3">
        <v>454</v>
      </c>
      <c r="M731" s="3">
        <v>1515</v>
      </c>
      <c r="N731" s="3">
        <v>1200746</v>
      </c>
      <c r="O731" s="2">
        <v>0.13100000000000001</v>
      </c>
      <c r="P731" s="2">
        <v>0.50800000000000001</v>
      </c>
      <c r="Q731" s="2">
        <v>2.3E-2</v>
      </c>
      <c r="R731" s="11">
        <v>426509770</v>
      </c>
      <c r="S731" s="11">
        <v>736798</v>
      </c>
      <c r="T731">
        <v>2017</v>
      </c>
      <c r="U731">
        <v>6</v>
      </c>
      <c r="V731">
        <f t="shared" si="66"/>
        <v>672500</v>
      </c>
      <c r="W731">
        <f t="shared" si="67"/>
        <v>18429897</v>
      </c>
      <c r="X731">
        <f t="shared" si="68"/>
        <v>17757397</v>
      </c>
      <c r="Y731">
        <f t="shared" si="69"/>
        <v>-25963595.5</v>
      </c>
      <c r="Z731">
        <f t="shared" si="70"/>
        <v>45065992.5</v>
      </c>
      <c r="AA731" t="str">
        <f t="shared" si="71"/>
        <v>Normal</v>
      </c>
      <c r="AE731" s="2"/>
      <c r="AF731" s="2"/>
    </row>
    <row r="732" spans="1:32" x14ac:dyDescent="0.35">
      <c r="A732">
        <v>731</v>
      </c>
      <c r="B732" s="1">
        <v>42892</v>
      </c>
      <c r="C732" s="9" t="s">
        <v>967</v>
      </c>
      <c r="D732" s="9" t="s">
        <v>4988</v>
      </c>
      <c r="E732" s="9" t="s">
        <v>6276</v>
      </c>
      <c r="F732" s="9" t="s">
        <v>19</v>
      </c>
      <c r="G732" s="9" t="s">
        <v>1378</v>
      </c>
      <c r="H732" s="9" t="s">
        <v>105</v>
      </c>
      <c r="I732" s="11">
        <v>18429897</v>
      </c>
      <c r="J732" s="11">
        <v>3649477</v>
      </c>
      <c r="K732" s="11">
        <v>16163060</v>
      </c>
      <c r="L732" s="3">
        <v>50</v>
      </c>
      <c r="M732" s="3">
        <v>1165</v>
      </c>
      <c r="N732" s="3">
        <v>1934863</v>
      </c>
      <c r="O732" s="2">
        <v>7.0999999999999994E-2</v>
      </c>
      <c r="P732" s="2">
        <v>0.78</v>
      </c>
      <c r="Q732" s="2">
        <v>0.13300000000000001</v>
      </c>
      <c r="R732" s="11">
        <v>387367143</v>
      </c>
      <c r="S732" s="11">
        <v>1892057</v>
      </c>
      <c r="T732">
        <v>2017</v>
      </c>
      <c r="U732">
        <v>6</v>
      </c>
      <c r="V732">
        <f t="shared" si="66"/>
        <v>671250</v>
      </c>
      <c r="W732">
        <f t="shared" si="67"/>
        <v>18429897</v>
      </c>
      <c r="X732">
        <f t="shared" si="68"/>
        <v>17758647</v>
      </c>
      <c r="Y732">
        <f t="shared" si="69"/>
        <v>-25966720.5</v>
      </c>
      <c r="Z732">
        <f t="shared" si="70"/>
        <v>45067867.5</v>
      </c>
      <c r="AA732" t="str">
        <f t="shared" si="71"/>
        <v>Normal</v>
      </c>
      <c r="AE732" s="2"/>
      <c r="AF732" s="2"/>
    </row>
    <row r="733" spans="1:32" x14ac:dyDescent="0.35">
      <c r="A733">
        <v>732</v>
      </c>
      <c r="B733" s="1">
        <v>42893</v>
      </c>
      <c r="C733" s="9" t="s">
        <v>1084</v>
      </c>
      <c r="D733" s="9" t="s">
        <v>4988</v>
      </c>
      <c r="E733" s="9" t="s">
        <v>1111</v>
      </c>
      <c r="F733" s="9" t="s">
        <v>27</v>
      </c>
      <c r="G733" s="9" t="s">
        <v>178</v>
      </c>
      <c r="H733" s="9" t="s">
        <v>86</v>
      </c>
      <c r="I733" s="11">
        <v>650000</v>
      </c>
      <c r="J733" s="11">
        <v>2104669</v>
      </c>
      <c r="K733" s="11">
        <v>11126014</v>
      </c>
      <c r="L733" s="3">
        <v>267</v>
      </c>
      <c r="M733" s="3">
        <v>1369</v>
      </c>
      <c r="N733" s="3">
        <v>1578910</v>
      </c>
      <c r="O733" s="2">
        <v>-0.30599999999999999</v>
      </c>
      <c r="P733" s="2">
        <v>0.65500000000000003</v>
      </c>
      <c r="Q733" s="2">
        <v>0.36749999999999999</v>
      </c>
      <c r="R733" s="11">
        <v>388938595</v>
      </c>
      <c r="S733" s="11">
        <v>963828</v>
      </c>
      <c r="T733">
        <v>2017</v>
      </c>
      <c r="U733">
        <v>6</v>
      </c>
      <c r="V733">
        <f t="shared" si="66"/>
        <v>670000</v>
      </c>
      <c r="W733">
        <f t="shared" si="67"/>
        <v>18429897</v>
      </c>
      <c r="X733">
        <f t="shared" si="68"/>
        <v>17759897</v>
      </c>
      <c r="Y733">
        <f t="shared" si="69"/>
        <v>-25969845.5</v>
      </c>
      <c r="Z733">
        <f t="shared" si="70"/>
        <v>45069742.5</v>
      </c>
      <c r="AA733" t="str">
        <f t="shared" si="71"/>
        <v>Normal</v>
      </c>
      <c r="AE733" s="2"/>
      <c r="AF733" s="2"/>
    </row>
    <row r="734" spans="1:32" x14ac:dyDescent="0.35">
      <c r="A734">
        <v>733</v>
      </c>
      <c r="B734" s="1">
        <v>42893</v>
      </c>
      <c r="C734" s="9" t="s">
        <v>1379</v>
      </c>
      <c r="D734" s="9" t="s">
        <v>4988</v>
      </c>
      <c r="E734" s="9" t="s">
        <v>1380</v>
      </c>
      <c r="F734" s="9" t="s">
        <v>31</v>
      </c>
      <c r="G734" s="9" t="s">
        <v>1381</v>
      </c>
      <c r="H734" s="9" t="s">
        <v>86</v>
      </c>
      <c r="I734" s="11">
        <v>600000</v>
      </c>
      <c r="J734" s="11">
        <v>4609684</v>
      </c>
      <c r="K734" s="11">
        <v>10946647</v>
      </c>
      <c r="L734" s="3">
        <v>363</v>
      </c>
      <c r="M734" s="3">
        <v>2836</v>
      </c>
      <c r="N734" s="3">
        <v>306753</v>
      </c>
      <c r="O734" s="2">
        <v>0.374</v>
      </c>
      <c r="P734" s="2">
        <v>0.65200000000000002</v>
      </c>
      <c r="Q734" s="2">
        <v>0.56499999999999995</v>
      </c>
      <c r="R734" s="11">
        <v>771787</v>
      </c>
      <c r="S734" s="11">
        <v>351009</v>
      </c>
      <c r="T734">
        <v>2017</v>
      </c>
      <c r="U734">
        <v>6</v>
      </c>
      <c r="V734">
        <f t="shared" si="66"/>
        <v>673750</v>
      </c>
      <c r="W734">
        <f t="shared" si="67"/>
        <v>18429897</v>
      </c>
      <c r="X734">
        <f t="shared" si="68"/>
        <v>17756147</v>
      </c>
      <c r="Y734">
        <f t="shared" si="69"/>
        <v>-25960470.5</v>
      </c>
      <c r="Z734">
        <f t="shared" si="70"/>
        <v>45064117.5</v>
      </c>
      <c r="AA734" t="str">
        <f t="shared" si="71"/>
        <v>Normal</v>
      </c>
      <c r="AE734" s="2"/>
      <c r="AF734" s="2"/>
    </row>
    <row r="735" spans="1:32" x14ac:dyDescent="0.35">
      <c r="A735">
        <v>734</v>
      </c>
      <c r="B735" s="1">
        <v>42894</v>
      </c>
      <c r="C735" s="9" t="s">
        <v>1382</v>
      </c>
      <c r="D735" s="9" t="s">
        <v>4988</v>
      </c>
      <c r="E735" s="9" t="s">
        <v>6277</v>
      </c>
      <c r="F735" s="9" t="s">
        <v>124</v>
      </c>
      <c r="G735" s="9" t="s">
        <v>1383</v>
      </c>
      <c r="H735" s="9" t="s">
        <v>86</v>
      </c>
      <c r="I735" s="11">
        <v>232000</v>
      </c>
      <c r="J735" s="11">
        <v>3876120</v>
      </c>
      <c r="K735" s="11">
        <v>6435886</v>
      </c>
      <c r="L735" s="3">
        <v>254</v>
      </c>
      <c r="M735" s="3">
        <v>1165</v>
      </c>
      <c r="N735" s="3">
        <v>393074</v>
      </c>
      <c r="O735" s="2">
        <v>0.255</v>
      </c>
      <c r="P735" s="2">
        <v>0.34399999999999997</v>
      </c>
      <c r="Q735" s="2">
        <v>6.7000000000000004E-2</v>
      </c>
      <c r="R735" s="11">
        <v>133503420</v>
      </c>
      <c r="S735" s="11">
        <v>1878685</v>
      </c>
      <c r="T735">
        <v>2017</v>
      </c>
      <c r="U735">
        <v>6</v>
      </c>
      <c r="V735">
        <f t="shared" si="66"/>
        <v>687500</v>
      </c>
      <c r="W735">
        <f t="shared" si="67"/>
        <v>18429897</v>
      </c>
      <c r="X735">
        <f t="shared" si="68"/>
        <v>17742397</v>
      </c>
      <c r="Y735">
        <f t="shared" si="69"/>
        <v>-25926095.5</v>
      </c>
      <c r="Z735">
        <f t="shared" si="70"/>
        <v>45043492.5</v>
      </c>
      <c r="AA735" t="str">
        <f t="shared" si="71"/>
        <v>Normal</v>
      </c>
      <c r="AE735" s="2"/>
      <c r="AF735" s="2"/>
    </row>
    <row r="736" spans="1:32" x14ac:dyDescent="0.35">
      <c r="A736">
        <v>735</v>
      </c>
      <c r="B736" s="1">
        <v>42894</v>
      </c>
      <c r="C736" s="9" t="s">
        <v>1384</v>
      </c>
      <c r="D736" s="9" t="s">
        <v>4930</v>
      </c>
      <c r="E736" s="9" t="s">
        <v>6278</v>
      </c>
      <c r="F736" s="9" t="s">
        <v>124</v>
      </c>
      <c r="G736" s="9" t="s">
        <v>1385</v>
      </c>
      <c r="H736" s="9" t="s">
        <v>105</v>
      </c>
      <c r="I736" s="11">
        <v>1500000</v>
      </c>
      <c r="J736" s="11">
        <v>1057158</v>
      </c>
      <c r="K736" s="11">
        <v>299821</v>
      </c>
      <c r="L736" s="3">
        <v>258</v>
      </c>
      <c r="M736" s="3">
        <v>2505.5</v>
      </c>
      <c r="N736" s="3">
        <v>710871</v>
      </c>
      <c r="O736" s="2">
        <v>-0.35399999999999998</v>
      </c>
      <c r="P736" s="2">
        <v>0.91100000000000003</v>
      </c>
      <c r="Q736" s="2">
        <v>-0.17699999999999999</v>
      </c>
      <c r="R736" s="11">
        <v>162878259</v>
      </c>
      <c r="S736" s="11">
        <v>739992</v>
      </c>
      <c r="T736">
        <v>2017</v>
      </c>
      <c r="U736">
        <v>6</v>
      </c>
      <c r="V736">
        <f t="shared" si="66"/>
        <v>700000</v>
      </c>
      <c r="W736">
        <f t="shared" si="67"/>
        <v>18429897</v>
      </c>
      <c r="X736">
        <f t="shared" si="68"/>
        <v>17729897</v>
      </c>
      <c r="Y736">
        <f t="shared" si="69"/>
        <v>-25894845.5</v>
      </c>
      <c r="Z736">
        <f t="shared" si="70"/>
        <v>45024742.5</v>
      </c>
      <c r="AA736" t="str">
        <f t="shared" si="71"/>
        <v>Normal</v>
      </c>
      <c r="AE736" s="2"/>
      <c r="AF736" s="2"/>
    </row>
    <row r="737" spans="1:32" x14ac:dyDescent="0.35">
      <c r="A737">
        <v>736</v>
      </c>
      <c r="B737" s="1">
        <v>42894</v>
      </c>
      <c r="C737" s="9" t="s">
        <v>1386</v>
      </c>
      <c r="D737" s="9" t="s">
        <v>4930</v>
      </c>
      <c r="E737" s="9" t="s">
        <v>6279</v>
      </c>
      <c r="F737" s="9" t="s">
        <v>15</v>
      </c>
      <c r="G737" s="9" t="s">
        <v>1385</v>
      </c>
      <c r="H737" s="9" t="s">
        <v>105</v>
      </c>
      <c r="I737" s="11">
        <v>1500000</v>
      </c>
      <c r="J737" s="11">
        <v>3362732</v>
      </c>
      <c r="K737" s="11">
        <v>11126375</v>
      </c>
      <c r="L737" s="3">
        <v>32</v>
      </c>
      <c r="M737" s="3">
        <v>3568</v>
      </c>
      <c r="N737" s="3">
        <v>542073</v>
      </c>
      <c r="O737" s="2">
        <v>0.32</v>
      </c>
      <c r="P737" s="2">
        <v>0.78</v>
      </c>
      <c r="Q737" s="2">
        <v>0.13500000000000001</v>
      </c>
      <c r="R737" s="11">
        <v>315669571</v>
      </c>
      <c r="S737" s="11">
        <v>797708</v>
      </c>
      <c r="T737">
        <v>2017</v>
      </c>
      <c r="U737">
        <v>6</v>
      </c>
      <c r="V737">
        <f t="shared" si="66"/>
        <v>700000</v>
      </c>
      <c r="W737">
        <f t="shared" si="67"/>
        <v>18429897</v>
      </c>
      <c r="X737">
        <f t="shared" si="68"/>
        <v>17729897</v>
      </c>
      <c r="Y737">
        <f t="shared" si="69"/>
        <v>-25894845.5</v>
      </c>
      <c r="Z737">
        <f t="shared" si="70"/>
        <v>45024742.5</v>
      </c>
      <c r="AA737" t="str">
        <f t="shared" si="71"/>
        <v>Normal</v>
      </c>
      <c r="AE737" s="2"/>
      <c r="AF737" s="2"/>
    </row>
    <row r="738" spans="1:32" x14ac:dyDescent="0.35">
      <c r="A738">
        <v>737</v>
      </c>
      <c r="B738" s="1">
        <v>42894</v>
      </c>
      <c r="C738" s="9" t="s">
        <v>1387</v>
      </c>
      <c r="D738" s="9" t="s">
        <v>4988</v>
      </c>
      <c r="E738" s="9" t="s">
        <v>6280</v>
      </c>
      <c r="F738" s="9" t="s">
        <v>15</v>
      </c>
      <c r="G738" s="9" t="s">
        <v>1388</v>
      </c>
      <c r="H738" s="9" t="s">
        <v>86</v>
      </c>
      <c r="I738" s="11">
        <v>350000</v>
      </c>
      <c r="J738" s="11">
        <v>3658062</v>
      </c>
      <c r="K738" s="11">
        <v>6967309</v>
      </c>
      <c r="L738" s="3">
        <v>450</v>
      </c>
      <c r="M738" s="3">
        <v>4384</v>
      </c>
      <c r="N738" s="3">
        <v>1471120</v>
      </c>
      <c r="O738" s="2">
        <v>5.9000000000000004E-2</v>
      </c>
      <c r="P738" s="2">
        <v>0.25600000000000001</v>
      </c>
      <c r="Q738" s="2">
        <v>0.14400000000000002</v>
      </c>
      <c r="R738" s="11">
        <v>1000000000</v>
      </c>
      <c r="S738" s="11">
        <v>273940</v>
      </c>
      <c r="T738">
        <v>2017</v>
      </c>
      <c r="U738">
        <v>6</v>
      </c>
      <c r="V738">
        <f t="shared" si="66"/>
        <v>693750</v>
      </c>
      <c r="W738">
        <f t="shared" si="67"/>
        <v>18429897</v>
      </c>
      <c r="X738">
        <f t="shared" si="68"/>
        <v>17736147</v>
      </c>
      <c r="Y738">
        <f t="shared" si="69"/>
        <v>-25910470.5</v>
      </c>
      <c r="Z738">
        <f t="shared" si="70"/>
        <v>45034117.5</v>
      </c>
      <c r="AA738" t="str">
        <f t="shared" si="71"/>
        <v>Normal</v>
      </c>
      <c r="AE738" s="2"/>
      <c r="AF738" s="2"/>
    </row>
    <row r="739" spans="1:32" x14ac:dyDescent="0.35">
      <c r="A739">
        <v>738</v>
      </c>
      <c r="B739" s="1">
        <v>42895</v>
      </c>
      <c r="C739" s="9" t="s">
        <v>303</v>
      </c>
      <c r="D739" s="9" t="s">
        <v>4988</v>
      </c>
      <c r="E739" s="9" t="s">
        <v>6281</v>
      </c>
      <c r="F739" s="9" t="s">
        <v>31</v>
      </c>
      <c r="G739" s="9" t="s">
        <v>1389</v>
      </c>
      <c r="H739" s="9" t="s">
        <v>86</v>
      </c>
      <c r="I739" s="11">
        <v>300000</v>
      </c>
      <c r="J739" s="11">
        <v>1681516</v>
      </c>
      <c r="K739" s="11">
        <v>10153449</v>
      </c>
      <c r="L739" s="3">
        <v>342</v>
      </c>
      <c r="M739" s="3">
        <v>3410</v>
      </c>
      <c r="N739" s="3">
        <v>1984428</v>
      </c>
      <c r="O739" s="2">
        <v>0.318</v>
      </c>
      <c r="P739" s="2">
        <v>0.57499999999999996</v>
      </c>
      <c r="Q739" s="2">
        <v>0.39700000000000002</v>
      </c>
      <c r="R739" s="11">
        <v>73334781</v>
      </c>
      <c r="S739" s="11">
        <v>1008193.5</v>
      </c>
      <c r="T739">
        <v>2017</v>
      </c>
      <c r="U739">
        <v>6</v>
      </c>
      <c r="V739">
        <f t="shared" si="66"/>
        <v>700000</v>
      </c>
      <c r="W739">
        <f t="shared" si="67"/>
        <v>18429897</v>
      </c>
      <c r="X739">
        <f t="shared" si="68"/>
        <v>17729897</v>
      </c>
      <c r="Y739">
        <f t="shared" si="69"/>
        <v>-25894845.5</v>
      </c>
      <c r="Z739">
        <f t="shared" si="70"/>
        <v>45024742.5</v>
      </c>
      <c r="AA739" t="str">
        <f t="shared" si="71"/>
        <v>Normal</v>
      </c>
      <c r="AE739" s="2"/>
      <c r="AF739" s="2"/>
    </row>
    <row r="740" spans="1:32" x14ac:dyDescent="0.35">
      <c r="A740">
        <v>739</v>
      </c>
      <c r="B740" s="1">
        <v>42895</v>
      </c>
      <c r="C740" s="9" t="s">
        <v>1390</v>
      </c>
      <c r="D740" s="9" t="s">
        <v>4988</v>
      </c>
      <c r="E740" s="9" t="s">
        <v>1391</v>
      </c>
      <c r="F740" s="9" t="s">
        <v>124</v>
      </c>
      <c r="G740" s="9" t="s">
        <v>1392</v>
      </c>
      <c r="H740" s="9" t="s">
        <v>86</v>
      </c>
      <c r="I740" s="11">
        <v>250000</v>
      </c>
      <c r="J740" s="11">
        <v>3696391</v>
      </c>
      <c r="K740" s="11">
        <v>7353907</v>
      </c>
      <c r="L740" s="3">
        <v>98</v>
      </c>
      <c r="M740" s="3">
        <v>2665</v>
      </c>
      <c r="N740" s="3">
        <v>1144606</v>
      </c>
      <c r="O740" s="2">
        <v>0.13500000000000001</v>
      </c>
      <c r="P740" s="2">
        <v>0.41799999999999998</v>
      </c>
      <c r="Q740" s="2">
        <v>-1.1000000000000001E-2</v>
      </c>
      <c r="R740" s="11">
        <v>424615612</v>
      </c>
      <c r="S740" s="11">
        <v>228474</v>
      </c>
      <c r="T740">
        <v>2017</v>
      </c>
      <c r="U740">
        <v>6</v>
      </c>
      <c r="V740">
        <f t="shared" si="66"/>
        <v>700000</v>
      </c>
      <c r="W740">
        <f t="shared" si="67"/>
        <v>18429897</v>
      </c>
      <c r="X740">
        <f t="shared" si="68"/>
        <v>17729897</v>
      </c>
      <c r="Y740">
        <f t="shared" si="69"/>
        <v>-25894845.5</v>
      </c>
      <c r="Z740">
        <f t="shared" si="70"/>
        <v>45024742.5</v>
      </c>
      <c r="AA740" t="str">
        <f t="shared" si="71"/>
        <v>Normal</v>
      </c>
      <c r="AE740" s="2"/>
      <c r="AF740" s="2"/>
    </row>
    <row r="741" spans="1:32" x14ac:dyDescent="0.35">
      <c r="A741">
        <v>740</v>
      </c>
      <c r="B741" s="1">
        <v>42898</v>
      </c>
      <c r="C741" s="9" t="s">
        <v>1393</v>
      </c>
      <c r="D741" s="9" t="s">
        <v>4988</v>
      </c>
      <c r="E741" s="9" t="s">
        <v>6138</v>
      </c>
      <c r="F741" s="9" t="s">
        <v>15</v>
      </c>
      <c r="G741" s="9" t="s">
        <v>1394</v>
      </c>
      <c r="H741" s="9" t="s">
        <v>86</v>
      </c>
      <c r="I741" s="11">
        <v>18429897</v>
      </c>
      <c r="J741" s="11">
        <v>4493865</v>
      </c>
      <c r="K741" s="11">
        <v>19458880</v>
      </c>
      <c r="L741" s="3">
        <v>263</v>
      </c>
      <c r="M741" s="3">
        <v>3496</v>
      </c>
      <c r="N741" s="3">
        <v>1780578</v>
      </c>
      <c r="O741" s="2">
        <v>-0.151</v>
      </c>
      <c r="P741" s="2">
        <v>0.59</v>
      </c>
      <c r="Q741" s="2">
        <v>-0.14699999999999999</v>
      </c>
      <c r="R741" s="11">
        <v>10450668</v>
      </c>
      <c r="S741" s="11">
        <v>989924</v>
      </c>
      <c r="T741">
        <v>2017</v>
      </c>
      <c r="U741">
        <v>6</v>
      </c>
      <c r="V741">
        <f t="shared" si="66"/>
        <v>700000</v>
      </c>
      <c r="W741">
        <f t="shared" si="67"/>
        <v>18429897</v>
      </c>
      <c r="X741">
        <f t="shared" si="68"/>
        <v>17729897</v>
      </c>
      <c r="Y741">
        <f t="shared" si="69"/>
        <v>-25894845.5</v>
      </c>
      <c r="Z741">
        <f t="shared" si="70"/>
        <v>45024742.5</v>
      </c>
      <c r="AA741" t="str">
        <f t="shared" si="71"/>
        <v>Normal</v>
      </c>
      <c r="AE741" s="2"/>
      <c r="AF741" s="2"/>
    </row>
    <row r="742" spans="1:32" x14ac:dyDescent="0.35">
      <c r="A742">
        <v>741</v>
      </c>
      <c r="B742" s="1">
        <v>42898</v>
      </c>
      <c r="C742" s="9" t="s">
        <v>741</v>
      </c>
      <c r="D742" s="9" t="s">
        <v>4988</v>
      </c>
      <c r="E742" s="9" t="s">
        <v>1111</v>
      </c>
      <c r="F742" s="9" t="s">
        <v>408</v>
      </c>
      <c r="G742" s="9" t="s">
        <v>1395</v>
      </c>
      <c r="H742" s="9" t="s">
        <v>59</v>
      </c>
      <c r="I742" s="11">
        <v>7800000</v>
      </c>
      <c r="J742" s="11">
        <v>4089229</v>
      </c>
      <c r="K742" s="11">
        <v>13649397</v>
      </c>
      <c r="L742" s="3">
        <v>59</v>
      </c>
      <c r="M742" s="3">
        <v>2088</v>
      </c>
      <c r="N742" s="3">
        <v>866606</v>
      </c>
      <c r="O742" s="2">
        <v>0.125</v>
      </c>
      <c r="P742" s="2">
        <v>0.31900000000000001</v>
      </c>
      <c r="Q742" s="2">
        <v>9.6999999999999989E-2</v>
      </c>
      <c r="R742" s="11">
        <v>407287183</v>
      </c>
      <c r="S742" s="11">
        <v>1182888</v>
      </c>
      <c r="T742">
        <v>2017</v>
      </c>
      <c r="U742">
        <v>6</v>
      </c>
      <c r="V742">
        <f t="shared" si="66"/>
        <v>700000</v>
      </c>
      <c r="W742">
        <f t="shared" si="67"/>
        <v>18429897</v>
      </c>
      <c r="X742">
        <f t="shared" si="68"/>
        <v>17729897</v>
      </c>
      <c r="Y742">
        <f t="shared" si="69"/>
        <v>-25894845.5</v>
      </c>
      <c r="Z742">
        <f t="shared" si="70"/>
        <v>45024742.5</v>
      </c>
      <c r="AA742" t="str">
        <f t="shared" si="71"/>
        <v>Normal</v>
      </c>
      <c r="AE742" s="2"/>
      <c r="AF742" s="2"/>
    </row>
    <row r="743" spans="1:32" x14ac:dyDescent="0.35">
      <c r="A743">
        <v>742</v>
      </c>
      <c r="B743" s="1">
        <v>42898</v>
      </c>
      <c r="C743" s="9" t="s">
        <v>1396</v>
      </c>
      <c r="D743" s="9" t="s">
        <v>4930</v>
      </c>
      <c r="E743" s="9" t="s">
        <v>4959</v>
      </c>
      <c r="F743" s="9" t="s">
        <v>15</v>
      </c>
      <c r="G743" s="9" t="s">
        <v>1397</v>
      </c>
      <c r="H743" s="9" t="s">
        <v>105</v>
      </c>
      <c r="I743" s="11">
        <v>500000</v>
      </c>
      <c r="J743" s="11">
        <v>3817410</v>
      </c>
      <c r="K743" s="11">
        <v>10153449</v>
      </c>
      <c r="L743" s="3">
        <v>402</v>
      </c>
      <c r="M743" s="3">
        <v>1390</v>
      </c>
      <c r="N743" s="3">
        <v>1376040</v>
      </c>
      <c r="O743" s="2">
        <v>-0.06</v>
      </c>
      <c r="P743" s="2">
        <v>0.81099999999999994</v>
      </c>
      <c r="Q743" s="2">
        <v>1.4999999999999999E-2</v>
      </c>
      <c r="R743" s="11">
        <v>375980344</v>
      </c>
      <c r="S743" s="11">
        <v>1068424</v>
      </c>
      <c r="T743">
        <v>2017</v>
      </c>
      <c r="U743">
        <v>6</v>
      </c>
      <c r="V743">
        <f t="shared" si="66"/>
        <v>700000</v>
      </c>
      <c r="W743">
        <f t="shared" si="67"/>
        <v>18429897</v>
      </c>
      <c r="X743">
        <f t="shared" si="68"/>
        <v>17729897</v>
      </c>
      <c r="Y743">
        <f t="shared" si="69"/>
        <v>-25894845.5</v>
      </c>
      <c r="Z743">
        <f t="shared" si="70"/>
        <v>45024742.5</v>
      </c>
      <c r="AA743" t="str">
        <f t="shared" si="71"/>
        <v>Normal</v>
      </c>
      <c r="AE743" s="2"/>
      <c r="AF743" s="2"/>
    </row>
    <row r="744" spans="1:32" x14ac:dyDescent="0.35">
      <c r="A744">
        <v>743</v>
      </c>
      <c r="B744" s="1">
        <v>42898</v>
      </c>
      <c r="C744" s="9" t="s">
        <v>850</v>
      </c>
      <c r="D744" s="9" t="s">
        <v>2539</v>
      </c>
      <c r="E744" s="9" t="s">
        <v>6282</v>
      </c>
      <c r="F744" s="9" t="s">
        <v>27</v>
      </c>
      <c r="G744" s="9" t="s">
        <v>1398</v>
      </c>
      <c r="H744" s="9" t="s">
        <v>105</v>
      </c>
      <c r="I744" s="11">
        <v>1000000</v>
      </c>
      <c r="J744" s="11">
        <v>3179797</v>
      </c>
      <c r="K744" s="11">
        <v>14193155</v>
      </c>
      <c r="L744" s="3">
        <v>102</v>
      </c>
      <c r="M744" s="3">
        <v>3760</v>
      </c>
      <c r="N744" s="3">
        <v>1403250</v>
      </c>
      <c r="O744" s="2">
        <v>-0.125</v>
      </c>
      <c r="P744" s="2">
        <v>0.78200000000000003</v>
      </c>
      <c r="Q744" s="2">
        <v>0.8</v>
      </c>
      <c r="R744" s="11">
        <v>250264963</v>
      </c>
      <c r="S744" s="11">
        <v>566479</v>
      </c>
      <c r="T744">
        <v>2017</v>
      </c>
      <c r="U744">
        <v>6</v>
      </c>
      <c r="V744">
        <f t="shared" si="66"/>
        <v>700000</v>
      </c>
      <c r="W744">
        <f t="shared" si="67"/>
        <v>18429897</v>
      </c>
      <c r="X744">
        <f t="shared" si="68"/>
        <v>17729897</v>
      </c>
      <c r="Y744">
        <f t="shared" si="69"/>
        <v>-25894845.5</v>
      </c>
      <c r="Z744">
        <f t="shared" si="70"/>
        <v>45024742.5</v>
      </c>
      <c r="AA744" t="str">
        <f t="shared" si="71"/>
        <v>Normal</v>
      </c>
      <c r="AE744" s="2"/>
      <c r="AF744" s="2"/>
    </row>
    <row r="745" spans="1:32" x14ac:dyDescent="0.35">
      <c r="A745">
        <v>744</v>
      </c>
      <c r="B745" s="1">
        <v>42898</v>
      </c>
      <c r="C745" s="9" t="s">
        <v>1399</v>
      </c>
      <c r="D745" s="9" t="s">
        <v>4988</v>
      </c>
      <c r="E745" s="9" t="s">
        <v>6283</v>
      </c>
      <c r="F745" s="9" t="s">
        <v>31</v>
      </c>
      <c r="G745" s="9" t="s">
        <v>1400</v>
      </c>
      <c r="H745" s="9" t="s">
        <v>86</v>
      </c>
      <c r="I745" s="11">
        <v>776000</v>
      </c>
      <c r="J745" s="11">
        <v>1367264</v>
      </c>
      <c r="K745" s="11">
        <v>12999499</v>
      </c>
      <c r="L745" s="3">
        <v>305</v>
      </c>
      <c r="M745" s="3">
        <v>718</v>
      </c>
      <c r="N745" s="3">
        <v>587542</v>
      </c>
      <c r="O745" s="2">
        <v>0.29299999999999998</v>
      </c>
      <c r="P745" s="2">
        <v>0.50800000000000001</v>
      </c>
      <c r="Q745" s="2">
        <v>-0.11699999999999999</v>
      </c>
      <c r="R745" s="11">
        <v>465730653</v>
      </c>
      <c r="S745" s="11">
        <v>22008</v>
      </c>
      <c r="T745">
        <v>2017</v>
      </c>
      <c r="U745">
        <v>6</v>
      </c>
      <c r="V745">
        <f t="shared" si="66"/>
        <v>700000</v>
      </c>
      <c r="W745">
        <f t="shared" si="67"/>
        <v>18429897</v>
      </c>
      <c r="X745">
        <f t="shared" si="68"/>
        <v>17729897</v>
      </c>
      <c r="Y745">
        <f t="shared" si="69"/>
        <v>-25894845.5</v>
      </c>
      <c r="Z745">
        <f t="shared" si="70"/>
        <v>45024742.5</v>
      </c>
      <c r="AA745" t="str">
        <f t="shared" si="71"/>
        <v>Normal</v>
      </c>
      <c r="AE745" s="2"/>
      <c r="AF745" s="2"/>
    </row>
    <row r="746" spans="1:32" x14ac:dyDescent="0.35">
      <c r="A746">
        <v>745</v>
      </c>
      <c r="B746" s="1">
        <v>42898</v>
      </c>
      <c r="C746" s="9" t="s">
        <v>631</v>
      </c>
      <c r="D746" s="9" t="s">
        <v>4988</v>
      </c>
      <c r="E746" s="9" t="s">
        <v>6284</v>
      </c>
      <c r="F746" s="9" t="s">
        <v>31</v>
      </c>
      <c r="G746" s="9" t="s">
        <v>1401</v>
      </c>
      <c r="H746" s="9" t="s">
        <v>105</v>
      </c>
      <c r="I746" s="11">
        <v>15000000</v>
      </c>
      <c r="J746" s="11">
        <v>3980210</v>
      </c>
      <c r="K746" s="11">
        <v>12448821</v>
      </c>
      <c r="L746" s="3">
        <v>43</v>
      </c>
      <c r="M746" s="3">
        <v>4530</v>
      </c>
      <c r="N746" s="3">
        <v>1466728</v>
      </c>
      <c r="O746" s="2">
        <v>0.19800000000000001</v>
      </c>
      <c r="P746" s="2">
        <v>0.56600000000000006</v>
      </c>
      <c r="Q746" s="2">
        <v>-0.214</v>
      </c>
      <c r="R746" s="11">
        <v>197922931</v>
      </c>
      <c r="S746" s="11">
        <v>529610</v>
      </c>
      <c r="T746">
        <v>2017</v>
      </c>
      <c r="U746">
        <v>6</v>
      </c>
      <c r="V746">
        <f t="shared" si="66"/>
        <v>700000</v>
      </c>
      <c r="W746">
        <f t="shared" si="67"/>
        <v>18429897</v>
      </c>
      <c r="X746">
        <f t="shared" si="68"/>
        <v>17729897</v>
      </c>
      <c r="Y746">
        <f t="shared" si="69"/>
        <v>-25894845.5</v>
      </c>
      <c r="Z746">
        <f t="shared" si="70"/>
        <v>45024742.5</v>
      </c>
      <c r="AA746" t="str">
        <f t="shared" si="71"/>
        <v>Normal</v>
      </c>
      <c r="AE746" s="2"/>
      <c r="AF746" s="2"/>
    </row>
    <row r="747" spans="1:32" x14ac:dyDescent="0.35">
      <c r="A747">
        <v>746</v>
      </c>
      <c r="B747" s="1">
        <v>42899</v>
      </c>
      <c r="C747" s="9" t="s">
        <v>1402</v>
      </c>
      <c r="D747" s="9" t="s">
        <v>4930</v>
      </c>
      <c r="E747" s="9" t="s">
        <v>6285</v>
      </c>
      <c r="F747" s="9" t="s">
        <v>27</v>
      </c>
      <c r="G747" s="9" t="s">
        <v>1403</v>
      </c>
      <c r="H747" s="9" t="s">
        <v>105</v>
      </c>
      <c r="I747" s="11">
        <v>18429897</v>
      </c>
      <c r="J747" s="11">
        <v>1833676</v>
      </c>
      <c r="K747" s="11">
        <v>11602981</v>
      </c>
      <c r="L747" s="3">
        <v>83</v>
      </c>
      <c r="M747" s="3">
        <v>2171</v>
      </c>
      <c r="N747" s="3">
        <v>1070663</v>
      </c>
      <c r="O747" s="2">
        <v>0.42</v>
      </c>
      <c r="P747" s="2">
        <v>0.92200000000000004</v>
      </c>
      <c r="Q747" s="2">
        <v>0.253</v>
      </c>
      <c r="R747" s="11">
        <v>470825907</v>
      </c>
      <c r="S747" s="11">
        <v>1918738</v>
      </c>
      <c r="T747">
        <v>2017</v>
      </c>
      <c r="U747">
        <v>6</v>
      </c>
      <c r="V747">
        <f t="shared" si="66"/>
        <v>700000</v>
      </c>
      <c r="W747">
        <f t="shared" si="67"/>
        <v>18429897</v>
      </c>
      <c r="X747">
        <f t="shared" si="68"/>
        <v>17729897</v>
      </c>
      <c r="Y747">
        <f t="shared" si="69"/>
        <v>-25894845.5</v>
      </c>
      <c r="Z747">
        <f t="shared" si="70"/>
        <v>45024742.5</v>
      </c>
      <c r="AA747" t="str">
        <f t="shared" si="71"/>
        <v>Normal</v>
      </c>
      <c r="AE747" s="2"/>
      <c r="AF747" s="2"/>
    </row>
    <row r="748" spans="1:32" x14ac:dyDescent="0.35">
      <c r="A748">
        <v>747</v>
      </c>
      <c r="B748" s="1">
        <v>42899</v>
      </c>
      <c r="C748" s="9" t="s">
        <v>1404</v>
      </c>
      <c r="D748" s="9" t="s">
        <v>4930</v>
      </c>
      <c r="E748" s="9" t="s">
        <v>6286</v>
      </c>
      <c r="F748" s="9" t="s">
        <v>15</v>
      </c>
      <c r="G748" s="9" t="s">
        <v>1405</v>
      </c>
      <c r="H748" s="9" t="s">
        <v>105</v>
      </c>
      <c r="I748" s="11">
        <v>5500000</v>
      </c>
      <c r="J748" s="11">
        <v>2670340</v>
      </c>
      <c r="K748" s="11">
        <v>18644341</v>
      </c>
      <c r="L748" s="3">
        <v>490</v>
      </c>
      <c r="M748" s="3">
        <v>4096</v>
      </c>
      <c r="N748" s="3">
        <v>1154640</v>
      </c>
      <c r="O748" s="2">
        <v>4.0999999999999995E-2</v>
      </c>
      <c r="P748" s="2">
        <v>1.0429999999999999</v>
      </c>
      <c r="Q748" s="2">
        <v>0.16600000000000001</v>
      </c>
      <c r="R748" s="11">
        <v>392191326</v>
      </c>
      <c r="S748" s="11">
        <v>794853</v>
      </c>
      <c r="T748">
        <v>2017</v>
      </c>
      <c r="U748">
        <v>6</v>
      </c>
      <c r="V748">
        <f t="shared" si="66"/>
        <v>700000</v>
      </c>
      <c r="W748">
        <f t="shared" si="67"/>
        <v>18429897</v>
      </c>
      <c r="X748">
        <f t="shared" si="68"/>
        <v>17729897</v>
      </c>
      <c r="Y748">
        <f t="shared" si="69"/>
        <v>-25894845.5</v>
      </c>
      <c r="Z748">
        <f t="shared" si="70"/>
        <v>45024742.5</v>
      </c>
      <c r="AA748" t="str">
        <f t="shared" si="71"/>
        <v>Normal</v>
      </c>
      <c r="AE748" s="2"/>
      <c r="AF748" s="2"/>
    </row>
    <row r="749" spans="1:32" x14ac:dyDescent="0.35">
      <c r="A749">
        <v>748</v>
      </c>
      <c r="B749" s="1">
        <v>42899</v>
      </c>
      <c r="C749" s="9" t="s">
        <v>472</v>
      </c>
      <c r="D749" s="9" t="s">
        <v>4930</v>
      </c>
      <c r="E749" s="9" t="s">
        <v>6287</v>
      </c>
      <c r="F749" s="9" t="s">
        <v>15</v>
      </c>
      <c r="G749" s="9" t="s">
        <v>1406</v>
      </c>
      <c r="H749" s="9" t="s">
        <v>105</v>
      </c>
      <c r="I749" s="11">
        <v>18429897</v>
      </c>
      <c r="J749" s="11">
        <v>1585911</v>
      </c>
      <c r="K749" s="11">
        <v>6419342</v>
      </c>
      <c r="L749" s="3">
        <v>195</v>
      </c>
      <c r="M749" s="3">
        <v>539</v>
      </c>
      <c r="N749" s="3">
        <v>504364</v>
      </c>
      <c r="O749" s="2">
        <v>-7.2999999999999995E-2</v>
      </c>
      <c r="P749" s="2">
        <v>0.50800000000000001</v>
      </c>
      <c r="Q749" s="2">
        <v>-0.10100000000000001</v>
      </c>
      <c r="R749" s="11">
        <v>112968709</v>
      </c>
      <c r="S749" s="11">
        <v>476918</v>
      </c>
      <c r="T749">
        <v>2017</v>
      </c>
      <c r="U749">
        <v>6</v>
      </c>
      <c r="V749">
        <f t="shared" si="66"/>
        <v>700000</v>
      </c>
      <c r="W749">
        <f t="shared" si="67"/>
        <v>18429897</v>
      </c>
      <c r="X749">
        <f t="shared" si="68"/>
        <v>17729897</v>
      </c>
      <c r="Y749">
        <f t="shared" si="69"/>
        <v>-25894845.5</v>
      </c>
      <c r="Z749">
        <f t="shared" si="70"/>
        <v>45024742.5</v>
      </c>
      <c r="AA749" t="str">
        <f t="shared" si="71"/>
        <v>Normal</v>
      </c>
      <c r="AE749" s="2"/>
      <c r="AF749" s="2"/>
    </row>
    <row r="750" spans="1:32" x14ac:dyDescent="0.35">
      <c r="A750">
        <v>749</v>
      </c>
      <c r="B750" s="1">
        <v>42900</v>
      </c>
      <c r="C750" s="9" t="s">
        <v>1407</v>
      </c>
      <c r="D750" s="9" t="s">
        <v>4988</v>
      </c>
      <c r="E750" s="9" t="s">
        <v>6288</v>
      </c>
      <c r="F750" s="9" t="s">
        <v>15</v>
      </c>
      <c r="G750" s="9" t="s">
        <v>1408</v>
      </c>
      <c r="H750" s="9" t="s">
        <v>105</v>
      </c>
      <c r="I750" s="11">
        <v>50000000</v>
      </c>
      <c r="J750" s="11">
        <v>1578825</v>
      </c>
      <c r="K750" s="11">
        <v>8703689</v>
      </c>
      <c r="L750" s="3">
        <v>65</v>
      </c>
      <c r="M750" s="3">
        <v>2499</v>
      </c>
      <c r="N750" s="3">
        <v>638274</v>
      </c>
      <c r="O750" s="2">
        <v>0.248</v>
      </c>
      <c r="P750" s="2">
        <v>0.63300000000000001</v>
      </c>
      <c r="Q750" s="2">
        <v>0.30499999999999999</v>
      </c>
      <c r="R750" s="11">
        <v>343085024</v>
      </c>
      <c r="S750" s="11">
        <v>1385320</v>
      </c>
      <c r="T750">
        <v>2017</v>
      </c>
      <c r="U750">
        <v>6</v>
      </c>
      <c r="V750">
        <f t="shared" si="66"/>
        <v>700000</v>
      </c>
      <c r="W750">
        <f t="shared" si="67"/>
        <v>18429897</v>
      </c>
      <c r="X750">
        <f t="shared" si="68"/>
        <v>17729897</v>
      </c>
      <c r="Y750">
        <f t="shared" si="69"/>
        <v>-25894845.5</v>
      </c>
      <c r="Z750">
        <f t="shared" si="70"/>
        <v>45024742.5</v>
      </c>
      <c r="AA750" t="str">
        <f t="shared" si="71"/>
        <v>Outlier</v>
      </c>
      <c r="AE750" s="2"/>
      <c r="AF750" s="2"/>
    </row>
    <row r="751" spans="1:32" x14ac:dyDescent="0.35">
      <c r="A751">
        <v>750</v>
      </c>
      <c r="B751" s="1">
        <v>42900</v>
      </c>
      <c r="C751" s="9" t="s">
        <v>1409</v>
      </c>
      <c r="D751" s="9" t="s">
        <v>4988</v>
      </c>
      <c r="E751" s="9" t="s">
        <v>6289</v>
      </c>
      <c r="F751" s="9" t="s">
        <v>31</v>
      </c>
      <c r="G751" s="9" t="s">
        <v>78</v>
      </c>
      <c r="H751" s="9" t="s">
        <v>86</v>
      </c>
      <c r="I751" s="11">
        <v>18429897</v>
      </c>
      <c r="J751" s="11">
        <v>804906</v>
      </c>
      <c r="K751" s="11">
        <v>5135976</v>
      </c>
      <c r="L751" s="3">
        <v>351</v>
      </c>
      <c r="M751" s="3">
        <v>2505.5</v>
      </c>
      <c r="N751" s="3">
        <v>1715832</v>
      </c>
      <c r="O751" s="2">
        <v>-4.7E-2</v>
      </c>
      <c r="P751" s="2">
        <v>1.0979999999999999</v>
      </c>
      <c r="Q751" s="2">
        <v>-0.36099999999999999</v>
      </c>
      <c r="R751" s="11">
        <v>308910813</v>
      </c>
      <c r="S751" s="11">
        <v>965377</v>
      </c>
      <c r="T751">
        <v>2017</v>
      </c>
      <c r="U751">
        <v>6</v>
      </c>
      <c r="V751">
        <f t="shared" si="66"/>
        <v>700000</v>
      </c>
      <c r="W751">
        <f t="shared" si="67"/>
        <v>18429897</v>
      </c>
      <c r="X751">
        <f t="shared" si="68"/>
        <v>17729897</v>
      </c>
      <c r="Y751">
        <f t="shared" si="69"/>
        <v>-25894845.5</v>
      </c>
      <c r="Z751">
        <f t="shared" si="70"/>
        <v>45024742.5</v>
      </c>
      <c r="AA751" t="str">
        <f t="shared" si="71"/>
        <v>Normal</v>
      </c>
      <c r="AE751" s="2"/>
      <c r="AF751" s="2"/>
    </row>
    <row r="752" spans="1:32" x14ac:dyDescent="0.35">
      <c r="A752">
        <v>751</v>
      </c>
      <c r="B752" s="1">
        <v>42900</v>
      </c>
      <c r="C752" s="9" t="s">
        <v>1410</v>
      </c>
      <c r="D752" s="9" t="s">
        <v>4988</v>
      </c>
      <c r="E752" s="9" t="s">
        <v>6290</v>
      </c>
      <c r="F752" s="9" t="s">
        <v>63</v>
      </c>
      <c r="G752" s="9" t="s">
        <v>856</v>
      </c>
      <c r="H752" s="9" t="s">
        <v>86</v>
      </c>
      <c r="I752" s="11">
        <v>500000</v>
      </c>
      <c r="J752" s="11">
        <v>4807262</v>
      </c>
      <c r="K752" s="11">
        <v>11433140</v>
      </c>
      <c r="L752" s="3">
        <v>104</v>
      </c>
      <c r="M752" s="3">
        <v>1814</v>
      </c>
      <c r="N752" s="3">
        <v>1237557</v>
      </c>
      <c r="O752" s="2">
        <v>5.7999999999999996E-2</v>
      </c>
      <c r="P752" s="2">
        <v>0.50800000000000001</v>
      </c>
      <c r="Q752" s="2">
        <v>-0.2</v>
      </c>
      <c r="R752" s="11">
        <v>135936249</v>
      </c>
      <c r="S752" s="11">
        <v>596257</v>
      </c>
      <c r="T752">
        <v>2017</v>
      </c>
      <c r="U752">
        <v>6</v>
      </c>
      <c r="V752">
        <f t="shared" si="66"/>
        <v>700000</v>
      </c>
      <c r="W752">
        <f t="shared" si="67"/>
        <v>18429897</v>
      </c>
      <c r="X752">
        <f t="shared" si="68"/>
        <v>17729897</v>
      </c>
      <c r="Y752">
        <f t="shared" si="69"/>
        <v>-25894845.5</v>
      </c>
      <c r="Z752">
        <f t="shared" si="70"/>
        <v>45024742.5</v>
      </c>
      <c r="AA752" t="str">
        <f t="shared" si="71"/>
        <v>Normal</v>
      </c>
      <c r="AE752" s="2"/>
      <c r="AF752" s="2"/>
    </row>
    <row r="753" spans="1:32" x14ac:dyDescent="0.35">
      <c r="A753">
        <v>752</v>
      </c>
      <c r="B753" s="1">
        <v>42901</v>
      </c>
      <c r="C753" s="9" t="s">
        <v>1411</v>
      </c>
      <c r="D753" s="9" t="s">
        <v>4988</v>
      </c>
      <c r="E753" s="9" t="s">
        <v>6291</v>
      </c>
      <c r="F753" s="9" t="s">
        <v>15</v>
      </c>
      <c r="G753" s="9" t="s">
        <v>1412</v>
      </c>
      <c r="H753" s="9" t="s">
        <v>105</v>
      </c>
      <c r="I753" s="11">
        <v>12300000</v>
      </c>
      <c r="J753" s="11">
        <v>755961</v>
      </c>
      <c r="K753" s="11">
        <v>19758627</v>
      </c>
      <c r="L753" s="3">
        <v>296</v>
      </c>
      <c r="M753" s="3">
        <v>2584</v>
      </c>
      <c r="N753" s="3">
        <v>260808</v>
      </c>
      <c r="O753" s="2">
        <v>0.22500000000000001</v>
      </c>
      <c r="P753" s="2">
        <v>0.50800000000000001</v>
      </c>
      <c r="Q753" s="2">
        <v>0.154</v>
      </c>
      <c r="R753" s="11">
        <v>238613428</v>
      </c>
      <c r="S753" s="11">
        <v>583049</v>
      </c>
      <c r="T753">
        <v>2017</v>
      </c>
      <c r="U753">
        <v>6</v>
      </c>
      <c r="V753">
        <f t="shared" si="66"/>
        <v>700000</v>
      </c>
      <c r="W753">
        <f t="shared" si="67"/>
        <v>18429897</v>
      </c>
      <c r="X753">
        <f t="shared" si="68"/>
        <v>17729897</v>
      </c>
      <c r="Y753">
        <f t="shared" si="69"/>
        <v>-25894845.5</v>
      </c>
      <c r="Z753">
        <f t="shared" si="70"/>
        <v>45024742.5</v>
      </c>
      <c r="AA753" t="str">
        <f t="shared" si="71"/>
        <v>Normal</v>
      </c>
      <c r="AE753" s="2"/>
      <c r="AF753" s="2"/>
    </row>
    <row r="754" spans="1:32" x14ac:dyDescent="0.35">
      <c r="A754">
        <v>753</v>
      </c>
      <c r="B754" s="1">
        <v>42902</v>
      </c>
      <c r="C754" s="9" t="s">
        <v>1413</v>
      </c>
      <c r="D754" s="9" t="s">
        <v>4925</v>
      </c>
      <c r="E754" s="9" t="s">
        <v>6292</v>
      </c>
      <c r="F754" s="9" t="s">
        <v>15</v>
      </c>
      <c r="G754" s="9" t="s">
        <v>1414</v>
      </c>
      <c r="H754" s="9" t="s">
        <v>105</v>
      </c>
      <c r="I754" s="11">
        <v>1000000</v>
      </c>
      <c r="J754" s="11">
        <v>449568</v>
      </c>
      <c r="K754" s="11">
        <v>12206588</v>
      </c>
      <c r="L754" s="3">
        <v>405</v>
      </c>
      <c r="M754" s="3">
        <v>3327</v>
      </c>
      <c r="N754" s="3">
        <v>1090530</v>
      </c>
      <c r="O754" s="2">
        <v>9.5000000000000001E-2</v>
      </c>
      <c r="P754" s="2">
        <v>0.93700000000000006</v>
      </c>
      <c r="Q754" s="2">
        <v>0.377</v>
      </c>
      <c r="R754" s="11">
        <v>112475571</v>
      </c>
      <c r="S754" s="11">
        <v>1008193.5</v>
      </c>
      <c r="T754">
        <v>2017</v>
      </c>
      <c r="U754">
        <v>6</v>
      </c>
      <c r="V754">
        <f t="shared" si="66"/>
        <v>700000</v>
      </c>
      <c r="W754">
        <f t="shared" si="67"/>
        <v>18429897</v>
      </c>
      <c r="X754">
        <f t="shared" si="68"/>
        <v>17729897</v>
      </c>
      <c r="Y754">
        <f t="shared" si="69"/>
        <v>-25894845.5</v>
      </c>
      <c r="Z754">
        <f t="shared" si="70"/>
        <v>45024742.5</v>
      </c>
      <c r="AA754" t="str">
        <f t="shared" si="71"/>
        <v>Normal</v>
      </c>
      <c r="AE754" s="2"/>
      <c r="AF754" s="2"/>
    </row>
    <row r="755" spans="1:32" x14ac:dyDescent="0.35">
      <c r="A755">
        <v>754</v>
      </c>
      <c r="B755" s="1">
        <v>42902</v>
      </c>
      <c r="C755" s="9" t="s">
        <v>766</v>
      </c>
      <c r="D755" s="9" t="s">
        <v>4988</v>
      </c>
      <c r="E755" s="9" t="s">
        <v>6293</v>
      </c>
      <c r="F755" s="9" t="s">
        <v>31</v>
      </c>
      <c r="G755" s="9" t="s">
        <v>767</v>
      </c>
      <c r="H755" s="9" t="s">
        <v>86</v>
      </c>
      <c r="I755" s="11">
        <v>100000</v>
      </c>
      <c r="J755" s="11">
        <v>4681914</v>
      </c>
      <c r="K755" s="11">
        <v>4216361</v>
      </c>
      <c r="L755" s="3">
        <v>343</v>
      </c>
      <c r="M755" s="3">
        <v>4712</v>
      </c>
      <c r="N755" s="3">
        <v>1237207</v>
      </c>
      <c r="O755" s="2">
        <v>2.2000000000000002E-2</v>
      </c>
      <c r="P755" s="2">
        <v>0.51</v>
      </c>
      <c r="Q755" s="2">
        <v>-3.9E-2</v>
      </c>
      <c r="R755" s="11">
        <v>308277485</v>
      </c>
      <c r="S755" s="11">
        <v>1989125</v>
      </c>
      <c r="T755">
        <v>2017</v>
      </c>
      <c r="U755">
        <v>6</v>
      </c>
      <c r="V755">
        <f t="shared" si="66"/>
        <v>700000</v>
      </c>
      <c r="W755">
        <f t="shared" si="67"/>
        <v>18429897</v>
      </c>
      <c r="X755">
        <f t="shared" si="68"/>
        <v>17729897</v>
      </c>
      <c r="Y755">
        <f t="shared" si="69"/>
        <v>-25894845.5</v>
      </c>
      <c r="Z755">
        <f t="shared" si="70"/>
        <v>45024742.5</v>
      </c>
      <c r="AA755" t="str">
        <f t="shared" si="71"/>
        <v>Normal</v>
      </c>
      <c r="AE755" s="2"/>
      <c r="AF755" s="2"/>
    </row>
    <row r="756" spans="1:32" x14ac:dyDescent="0.35">
      <c r="A756">
        <v>755</v>
      </c>
      <c r="B756" s="1">
        <v>42902</v>
      </c>
      <c r="C756" s="9" t="s">
        <v>1415</v>
      </c>
      <c r="D756" s="9" t="s">
        <v>4930</v>
      </c>
      <c r="E756" s="9" t="s">
        <v>6294</v>
      </c>
      <c r="F756" s="9" t="s">
        <v>63</v>
      </c>
      <c r="G756" s="9" t="s">
        <v>1416</v>
      </c>
      <c r="H756" s="9" t="s">
        <v>86</v>
      </c>
      <c r="I756" s="11">
        <v>2000000</v>
      </c>
      <c r="J756" s="11">
        <v>2783965</v>
      </c>
      <c r="K756" s="11">
        <v>18438104</v>
      </c>
      <c r="L756" s="3">
        <v>127</v>
      </c>
      <c r="M756" s="3">
        <v>4093</v>
      </c>
      <c r="N756" s="3">
        <v>1595332</v>
      </c>
      <c r="O756" s="2">
        <v>-0.161</v>
      </c>
      <c r="P756" s="2">
        <v>0.23300000000000001</v>
      </c>
      <c r="Q756" s="2">
        <v>0.38100000000000001</v>
      </c>
      <c r="R756" s="11">
        <v>243564195</v>
      </c>
      <c r="S756" s="11">
        <v>1615260</v>
      </c>
      <c r="T756">
        <v>2017</v>
      </c>
      <c r="U756">
        <v>6</v>
      </c>
      <c r="V756">
        <f t="shared" si="66"/>
        <v>700000</v>
      </c>
      <c r="W756">
        <f t="shared" si="67"/>
        <v>18429897</v>
      </c>
      <c r="X756">
        <f t="shared" si="68"/>
        <v>17729897</v>
      </c>
      <c r="Y756">
        <f t="shared" si="69"/>
        <v>-25894845.5</v>
      </c>
      <c r="Z756">
        <f t="shared" si="70"/>
        <v>45024742.5</v>
      </c>
      <c r="AA756" t="str">
        <f t="shared" si="71"/>
        <v>Normal</v>
      </c>
      <c r="AE756" s="2"/>
      <c r="AF756" s="2"/>
    </row>
    <row r="757" spans="1:32" x14ac:dyDescent="0.35">
      <c r="A757">
        <v>756</v>
      </c>
      <c r="B757" s="1">
        <v>42902</v>
      </c>
      <c r="C757" s="9" t="s">
        <v>1417</v>
      </c>
      <c r="D757" s="9" t="s">
        <v>4925</v>
      </c>
      <c r="E757" s="9" t="s">
        <v>6295</v>
      </c>
      <c r="F757" s="9" t="s">
        <v>124</v>
      </c>
      <c r="G757" s="9" t="s">
        <v>1418</v>
      </c>
      <c r="H757" s="9" t="s">
        <v>86</v>
      </c>
      <c r="I757" s="11">
        <v>18429897</v>
      </c>
      <c r="J757" s="11">
        <v>2200762</v>
      </c>
      <c r="K757" s="11">
        <v>10153449</v>
      </c>
      <c r="L757" s="3">
        <v>122</v>
      </c>
      <c r="M757" s="3">
        <v>1196</v>
      </c>
      <c r="N757" s="3">
        <v>1705968</v>
      </c>
      <c r="O757" s="2">
        <v>0.307</v>
      </c>
      <c r="P757" s="2">
        <v>0.90200000000000002</v>
      </c>
      <c r="Q757" s="2">
        <v>-6.3E-2</v>
      </c>
      <c r="R757" s="11">
        <v>273460131</v>
      </c>
      <c r="S757" s="11">
        <v>1091408</v>
      </c>
      <c r="T757">
        <v>2017</v>
      </c>
      <c r="U757">
        <v>6</v>
      </c>
      <c r="V757">
        <f t="shared" si="66"/>
        <v>700000</v>
      </c>
      <c r="W757">
        <f t="shared" si="67"/>
        <v>18429897</v>
      </c>
      <c r="X757">
        <f t="shared" si="68"/>
        <v>17729897</v>
      </c>
      <c r="Y757">
        <f t="shared" si="69"/>
        <v>-25894845.5</v>
      </c>
      <c r="Z757">
        <f t="shared" si="70"/>
        <v>45024742.5</v>
      </c>
      <c r="AA757" t="str">
        <f t="shared" si="71"/>
        <v>Normal</v>
      </c>
      <c r="AE757" s="2"/>
      <c r="AF757" s="2"/>
    </row>
    <row r="758" spans="1:32" x14ac:dyDescent="0.35">
      <c r="A758">
        <v>757</v>
      </c>
      <c r="B758" s="1">
        <v>42902</v>
      </c>
      <c r="C758" s="9" t="s">
        <v>409</v>
      </c>
      <c r="D758" s="9" t="s">
        <v>4988</v>
      </c>
      <c r="E758" s="9" t="s">
        <v>1054</v>
      </c>
      <c r="F758" s="9" t="s">
        <v>19</v>
      </c>
      <c r="G758" s="9" t="s">
        <v>1419</v>
      </c>
      <c r="H758" s="9" t="s">
        <v>86</v>
      </c>
      <c r="I758" s="11">
        <v>18429897</v>
      </c>
      <c r="J758" s="11">
        <v>3692706</v>
      </c>
      <c r="K758" s="11">
        <v>8858641</v>
      </c>
      <c r="L758" s="3">
        <v>115</v>
      </c>
      <c r="M758" s="3">
        <v>4894</v>
      </c>
      <c r="N758" s="3">
        <v>1306950</v>
      </c>
      <c r="O758" s="2">
        <v>4.5999999999999999E-2</v>
      </c>
      <c r="P758" s="2">
        <v>0.84599999999999997</v>
      </c>
      <c r="Q758" s="2">
        <v>0.30499999999999999</v>
      </c>
      <c r="R758" s="11">
        <v>327797708</v>
      </c>
      <c r="S758" s="11">
        <v>1008193.5</v>
      </c>
      <c r="T758">
        <v>2017</v>
      </c>
      <c r="U758">
        <v>6</v>
      </c>
      <c r="V758">
        <f t="shared" si="66"/>
        <v>700000</v>
      </c>
      <c r="W758">
        <f t="shared" si="67"/>
        <v>18429897</v>
      </c>
      <c r="X758">
        <f t="shared" si="68"/>
        <v>17729897</v>
      </c>
      <c r="Y758">
        <f t="shared" si="69"/>
        <v>-25894845.5</v>
      </c>
      <c r="Z758">
        <f t="shared" si="70"/>
        <v>45024742.5</v>
      </c>
      <c r="AA758" t="str">
        <f t="shared" si="71"/>
        <v>Normal</v>
      </c>
      <c r="AE758" s="2"/>
      <c r="AF758" s="2"/>
    </row>
    <row r="759" spans="1:32" x14ac:dyDescent="0.35">
      <c r="A759">
        <v>758</v>
      </c>
      <c r="B759" s="1">
        <v>42902</v>
      </c>
      <c r="C759" s="9" t="s">
        <v>1420</v>
      </c>
      <c r="D759" s="9" t="s">
        <v>2539</v>
      </c>
      <c r="E759" s="9" t="s">
        <v>5243</v>
      </c>
      <c r="F759" s="9" t="s">
        <v>27</v>
      </c>
      <c r="G759" s="9" t="s">
        <v>1421</v>
      </c>
      <c r="H759" s="9" t="s">
        <v>86</v>
      </c>
      <c r="I759" s="11">
        <v>18429897</v>
      </c>
      <c r="J759" s="11">
        <v>1928932</v>
      </c>
      <c r="K759" s="11">
        <v>10153449</v>
      </c>
      <c r="L759" s="3">
        <v>317</v>
      </c>
      <c r="M759" s="3">
        <v>2516</v>
      </c>
      <c r="N759" s="3">
        <v>25014</v>
      </c>
      <c r="O759" s="2">
        <v>0.24399999999999999</v>
      </c>
      <c r="P759" s="2">
        <v>0.629</v>
      </c>
      <c r="Q759" s="2">
        <v>0.52100000000000002</v>
      </c>
      <c r="R759" s="11">
        <v>452363521</v>
      </c>
      <c r="S759" s="11">
        <v>1375902</v>
      </c>
      <c r="T759">
        <v>2017</v>
      </c>
      <c r="U759">
        <v>6</v>
      </c>
      <c r="V759">
        <f t="shared" si="66"/>
        <v>700000</v>
      </c>
      <c r="W759">
        <f t="shared" si="67"/>
        <v>18429897</v>
      </c>
      <c r="X759">
        <f t="shared" si="68"/>
        <v>17729897</v>
      </c>
      <c r="Y759">
        <f t="shared" si="69"/>
        <v>-25894845.5</v>
      </c>
      <c r="Z759">
        <f t="shared" si="70"/>
        <v>45024742.5</v>
      </c>
      <c r="AA759" t="str">
        <f t="shared" si="71"/>
        <v>Normal</v>
      </c>
      <c r="AE759" s="2"/>
      <c r="AF759" s="2"/>
    </row>
    <row r="760" spans="1:32" x14ac:dyDescent="0.35">
      <c r="A760">
        <v>759</v>
      </c>
      <c r="B760" s="1">
        <v>42905</v>
      </c>
      <c r="C760" s="9" t="s">
        <v>1422</v>
      </c>
      <c r="D760" s="9" t="s">
        <v>4930</v>
      </c>
      <c r="E760" s="9" t="s">
        <v>6296</v>
      </c>
      <c r="F760" s="9" t="s">
        <v>15</v>
      </c>
      <c r="G760" s="9" t="s">
        <v>1423</v>
      </c>
      <c r="H760" s="9" t="s">
        <v>105</v>
      </c>
      <c r="I760" s="11">
        <v>12500000</v>
      </c>
      <c r="J760" s="11">
        <v>657049</v>
      </c>
      <c r="K760" s="11">
        <v>8112916</v>
      </c>
      <c r="L760" s="3">
        <v>337</v>
      </c>
      <c r="M760" s="3">
        <v>2313</v>
      </c>
      <c r="N760" s="3">
        <v>993593</v>
      </c>
      <c r="O760" s="2">
        <v>0.217</v>
      </c>
      <c r="P760" s="2">
        <v>0.246</v>
      </c>
      <c r="Q760" s="2">
        <v>-0.15</v>
      </c>
      <c r="R760" s="11">
        <v>209506616</v>
      </c>
      <c r="S760" s="11">
        <v>372594</v>
      </c>
      <c r="T760">
        <v>2017</v>
      </c>
      <c r="U760">
        <v>6</v>
      </c>
      <c r="V760">
        <f t="shared" si="66"/>
        <v>700000</v>
      </c>
      <c r="W760">
        <f t="shared" si="67"/>
        <v>18429897</v>
      </c>
      <c r="X760">
        <f t="shared" si="68"/>
        <v>17729897</v>
      </c>
      <c r="Y760">
        <f t="shared" si="69"/>
        <v>-25894845.5</v>
      </c>
      <c r="Z760">
        <f t="shared" si="70"/>
        <v>45024742.5</v>
      </c>
      <c r="AA760" t="str">
        <f t="shared" si="71"/>
        <v>Normal</v>
      </c>
      <c r="AE760" s="2"/>
      <c r="AF760" s="2"/>
    </row>
    <row r="761" spans="1:32" x14ac:dyDescent="0.35">
      <c r="A761">
        <v>760</v>
      </c>
      <c r="B761" s="1">
        <v>42905</v>
      </c>
      <c r="C761" s="9" t="s">
        <v>1424</v>
      </c>
      <c r="D761" s="9" t="s">
        <v>4930</v>
      </c>
      <c r="E761" s="9" t="s">
        <v>6297</v>
      </c>
      <c r="F761" s="9" t="s">
        <v>124</v>
      </c>
      <c r="G761" s="9" t="s">
        <v>1425</v>
      </c>
      <c r="H761" s="9" t="s">
        <v>105</v>
      </c>
      <c r="I761" s="11">
        <v>4000000</v>
      </c>
      <c r="J761" s="11">
        <v>3653834</v>
      </c>
      <c r="K761" s="11">
        <v>16106590</v>
      </c>
      <c r="L761" s="3">
        <v>262</v>
      </c>
      <c r="M761" s="3">
        <v>104</v>
      </c>
      <c r="N761" s="3">
        <v>413370</v>
      </c>
      <c r="O761" s="2">
        <v>0.33799999999999997</v>
      </c>
      <c r="P761" s="2">
        <v>1.1399999999999999</v>
      </c>
      <c r="Q761" s="2">
        <v>0.13800000000000001</v>
      </c>
      <c r="R761" s="11">
        <v>248208748</v>
      </c>
      <c r="S761" s="11">
        <v>1735547</v>
      </c>
      <c r="T761">
        <v>2017</v>
      </c>
      <c r="U761">
        <v>6</v>
      </c>
      <c r="V761">
        <f t="shared" si="66"/>
        <v>700000</v>
      </c>
      <c r="W761">
        <f t="shared" si="67"/>
        <v>18429897</v>
      </c>
      <c r="X761">
        <f t="shared" si="68"/>
        <v>17729897</v>
      </c>
      <c r="Y761">
        <f t="shared" si="69"/>
        <v>-25894845.5</v>
      </c>
      <c r="Z761">
        <f t="shared" si="70"/>
        <v>45024742.5</v>
      </c>
      <c r="AA761" t="str">
        <f t="shared" si="71"/>
        <v>Normal</v>
      </c>
      <c r="AE761" s="2"/>
      <c r="AF761" s="2"/>
    </row>
    <row r="762" spans="1:32" x14ac:dyDescent="0.35">
      <c r="A762">
        <v>761</v>
      </c>
      <c r="B762" s="1">
        <v>42906</v>
      </c>
      <c r="C762" s="9" t="s">
        <v>1426</v>
      </c>
      <c r="D762" s="9" t="s">
        <v>4988</v>
      </c>
      <c r="E762" s="9" t="s">
        <v>6298</v>
      </c>
      <c r="F762" s="9" t="s">
        <v>15</v>
      </c>
      <c r="G762" s="9" t="s">
        <v>1427</v>
      </c>
      <c r="H762" s="9" t="s">
        <v>86</v>
      </c>
      <c r="I762" s="11">
        <v>300000</v>
      </c>
      <c r="J762" s="11">
        <v>896477</v>
      </c>
      <c r="K762" s="11">
        <v>11584476</v>
      </c>
      <c r="L762" s="3">
        <v>202</v>
      </c>
      <c r="M762" s="3">
        <v>3357</v>
      </c>
      <c r="N762" s="3">
        <v>37507</v>
      </c>
      <c r="O762" s="2">
        <v>7.2999999999999995E-2</v>
      </c>
      <c r="P762" s="2">
        <v>0.93099999999999994</v>
      </c>
      <c r="Q762" s="2">
        <v>0.23499999999999999</v>
      </c>
      <c r="R762" s="11">
        <v>273241106</v>
      </c>
      <c r="S762" s="11">
        <v>1061082</v>
      </c>
      <c r="T762">
        <v>2017</v>
      </c>
      <c r="U762">
        <v>6</v>
      </c>
      <c r="V762">
        <f t="shared" si="66"/>
        <v>693750</v>
      </c>
      <c r="W762">
        <f t="shared" si="67"/>
        <v>18429897</v>
      </c>
      <c r="X762">
        <f t="shared" si="68"/>
        <v>17736147</v>
      </c>
      <c r="Y762">
        <f t="shared" si="69"/>
        <v>-25910470.5</v>
      </c>
      <c r="Z762">
        <f t="shared" si="70"/>
        <v>45034117.5</v>
      </c>
      <c r="AA762" t="str">
        <f t="shared" si="71"/>
        <v>Normal</v>
      </c>
      <c r="AE762" s="2"/>
      <c r="AF762" s="2"/>
    </row>
    <row r="763" spans="1:32" x14ac:dyDescent="0.35">
      <c r="A763">
        <v>762</v>
      </c>
      <c r="B763" s="1">
        <v>42906</v>
      </c>
      <c r="C763" s="9" t="s">
        <v>1428</v>
      </c>
      <c r="D763" s="9" t="s">
        <v>4988</v>
      </c>
      <c r="E763" s="9" t="s">
        <v>6299</v>
      </c>
      <c r="F763" s="9" t="s">
        <v>31</v>
      </c>
      <c r="G763" s="9" t="s">
        <v>106</v>
      </c>
      <c r="H763" s="9" t="s">
        <v>105</v>
      </c>
      <c r="I763" s="11">
        <v>5200000</v>
      </c>
      <c r="J763" s="11">
        <v>2773905</v>
      </c>
      <c r="K763" s="11">
        <v>3795996</v>
      </c>
      <c r="L763" s="3">
        <v>35</v>
      </c>
      <c r="M763" s="3">
        <v>4439</v>
      </c>
      <c r="N763" s="3">
        <v>1847166</v>
      </c>
      <c r="O763" s="2">
        <v>0.05</v>
      </c>
      <c r="P763" s="2">
        <v>0.58599999999999997</v>
      </c>
      <c r="Q763" s="2">
        <v>-0.21100000000000002</v>
      </c>
      <c r="R763" s="11">
        <v>107041639</v>
      </c>
      <c r="S763" s="11">
        <v>289774</v>
      </c>
      <c r="T763">
        <v>2017</v>
      </c>
      <c r="U763">
        <v>6</v>
      </c>
      <c r="V763">
        <f t="shared" si="66"/>
        <v>700000</v>
      </c>
      <c r="W763">
        <f t="shared" si="67"/>
        <v>18429897</v>
      </c>
      <c r="X763">
        <f t="shared" si="68"/>
        <v>17729897</v>
      </c>
      <c r="Y763">
        <f t="shared" si="69"/>
        <v>-25894845.5</v>
      </c>
      <c r="Z763">
        <f t="shared" si="70"/>
        <v>45024742.5</v>
      </c>
      <c r="AA763" t="str">
        <f t="shared" si="71"/>
        <v>Normal</v>
      </c>
      <c r="AE763" s="2"/>
      <c r="AF763" s="2"/>
    </row>
    <row r="764" spans="1:32" x14ac:dyDescent="0.35">
      <c r="A764">
        <v>763</v>
      </c>
      <c r="B764" s="1">
        <v>42907</v>
      </c>
      <c r="C764" s="9" t="s">
        <v>717</v>
      </c>
      <c r="D764" s="9" t="s">
        <v>4925</v>
      </c>
      <c r="E764" s="9" t="s">
        <v>6300</v>
      </c>
      <c r="F764" s="9" t="s">
        <v>31</v>
      </c>
      <c r="G764" s="9" t="s">
        <v>1429</v>
      </c>
      <c r="H764" s="9" t="s">
        <v>105</v>
      </c>
      <c r="I764" s="11">
        <v>2400000</v>
      </c>
      <c r="J764" s="11">
        <v>4746349</v>
      </c>
      <c r="K764" s="11">
        <v>3255178</v>
      </c>
      <c r="L764" s="3">
        <v>418</v>
      </c>
      <c r="M764" s="3">
        <v>1500</v>
      </c>
      <c r="N764" s="3">
        <v>333963</v>
      </c>
      <c r="O764" s="2">
        <v>-0.10199999999999999</v>
      </c>
      <c r="P764" s="2">
        <v>0.40100000000000002</v>
      </c>
      <c r="Q764" s="2">
        <v>0.20800000000000002</v>
      </c>
      <c r="R764" s="11">
        <v>498680743</v>
      </c>
      <c r="S764" s="11">
        <v>555856</v>
      </c>
      <c r="T764">
        <v>2017</v>
      </c>
      <c r="U764">
        <v>6</v>
      </c>
      <c r="V764">
        <f t="shared" si="66"/>
        <v>700000</v>
      </c>
      <c r="W764">
        <f t="shared" si="67"/>
        <v>18429897</v>
      </c>
      <c r="X764">
        <f t="shared" si="68"/>
        <v>17729897</v>
      </c>
      <c r="Y764">
        <f t="shared" si="69"/>
        <v>-25894845.5</v>
      </c>
      <c r="Z764">
        <f t="shared" si="70"/>
        <v>45024742.5</v>
      </c>
      <c r="AA764" t="str">
        <f t="shared" si="71"/>
        <v>Normal</v>
      </c>
      <c r="AE764" s="2"/>
      <c r="AF764" s="2"/>
    </row>
    <row r="765" spans="1:32" x14ac:dyDescent="0.35">
      <c r="A765">
        <v>764</v>
      </c>
      <c r="B765" s="1">
        <v>42907</v>
      </c>
      <c r="C765" s="9" t="s">
        <v>1430</v>
      </c>
      <c r="D765" s="9" t="s">
        <v>4988</v>
      </c>
      <c r="E765" s="9" t="s">
        <v>5149</v>
      </c>
      <c r="F765" s="9" t="s">
        <v>15</v>
      </c>
      <c r="G765" s="9" t="s">
        <v>1431</v>
      </c>
      <c r="H765" s="9" t="s">
        <v>105</v>
      </c>
      <c r="I765" s="11">
        <v>4500000</v>
      </c>
      <c r="J765" s="11">
        <v>4681977</v>
      </c>
      <c r="K765" s="11">
        <v>19346417</v>
      </c>
      <c r="L765" s="3">
        <v>254</v>
      </c>
      <c r="M765" s="3">
        <v>4343</v>
      </c>
      <c r="N765" s="3">
        <v>491520</v>
      </c>
      <c r="O765" s="2">
        <v>1.1000000000000001E-2</v>
      </c>
      <c r="P765" s="2">
        <v>0.755</v>
      </c>
      <c r="Q765" s="2">
        <v>-4.2000000000000003E-2</v>
      </c>
      <c r="R765" s="11">
        <v>275408815</v>
      </c>
      <c r="S765" s="11">
        <v>841478</v>
      </c>
      <c r="T765">
        <v>2017</v>
      </c>
      <c r="U765">
        <v>6</v>
      </c>
      <c r="V765">
        <f t="shared" si="66"/>
        <v>700000</v>
      </c>
      <c r="W765">
        <f t="shared" si="67"/>
        <v>18429897</v>
      </c>
      <c r="X765">
        <f t="shared" si="68"/>
        <v>17729897</v>
      </c>
      <c r="Y765">
        <f t="shared" si="69"/>
        <v>-25894845.5</v>
      </c>
      <c r="Z765">
        <f t="shared" si="70"/>
        <v>45024742.5</v>
      </c>
      <c r="AA765" t="str">
        <f t="shared" si="71"/>
        <v>Normal</v>
      </c>
      <c r="AE765" s="2"/>
      <c r="AF765" s="2"/>
    </row>
    <row r="766" spans="1:32" x14ac:dyDescent="0.35">
      <c r="A766">
        <v>765</v>
      </c>
      <c r="B766" s="1">
        <v>42907</v>
      </c>
      <c r="C766" s="9" t="s">
        <v>1432</v>
      </c>
      <c r="D766" s="9" t="s">
        <v>4930</v>
      </c>
      <c r="E766" s="9" t="s">
        <v>6301</v>
      </c>
      <c r="F766" s="9" t="s">
        <v>124</v>
      </c>
      <c r="G766" s="9" t="s">
        <v>1433</v>
      </c>
      <c r="H766" s="9" t="s">
        <v>86</v>
      </c>
      <c r="I766" s="11">
        <v>215000</v>
      </c>
      <c r="J766" s="11">
        <v>1816699</v>
      </c>
      <c r="K766" s="11">
        <v>8999909</v>
      </c>
      <c r="L766" s="3">
        <v>320</v>
      </c>
      <c r="M766" s="3">
        <v>482</v>
      </c>
      <c r="N766" s="3">
        <v>673254</v>
      </c>
      <c r="O766" s="2">
        <v>0.188</v>
      </c>
      <c r="P766" s="2">
        <v>0.221</v>
      </c>
      <c r="Q766" s="2">
        <v>-0.111</v>
      </c>
      <c r="R766" s="11">
        <v>250264963</v>
      </c>
      <c r="S766" s="11">
        <v>1882077</v>
      </c>
      <c r="T766">
        <v>2017</v>
      </c>
      <c r="U766">
        <v>6</v>
      </c>
      <c r="V766">
        <f t="shared" si="66"/>
        <v>693750</v>
      </c>
      <c r="W766">
        <f t="shared" si="67"/>
        <v>18429897</v>
      </c>
      <c r="X766">
        <f t="shared" si="68"/>
        <v>17736147</v>
      </c>
      <c r="Y766">
        <f t="shared" si="69"/>
        <v>-25910470.5</v>
      </c>
      <c r="Z766">
        <f t="shared" si="70"/>
        <v>45034117.5</v>
      </c>
      <c r="AA766" t="str">
        <f t="shared" si="71"/>
        <v>Normal</v>
      </c>
      <c r="AE766" s="2"/>
      <c r="AF766" s="2"/>
    </row>
    <row r="767" spans="1:32" x14ac:dyDescent="0.35">
      <c r="A767">
        <v>766</v>
      </c>
      <c r="B767" s="1">
        <v>42907</v>
      </c>
      <c r="C767" s="9" t="s">
        <v>872</v>
      </c>
      <c r="D767" s="9" t="s">
        <v>4930</v>
      </c>
      <c r="E767" s="9" t="s">
        <v>6302</v>
      </c>
      <c r="F767" s="9" t="s">
        <v>31</v>
      </c>
      <c r="G767" s="9" t="s">
        <v>1434</v>
      </c>
      <c r="H767" s="9" t="s">
        <v>105</v>
      </c>
      <c r="I767" s="11">
        <v>31000000</v>
      </c>
      <c r="J767" s="11">
        <v>3905901</v>
      </c>
      <c r="K767" s="11">
        <v>13751154</v>
      </c>
      <c r="L767" s="3">
        <v>56</v>
      </c>
      <c r="M767" s="3">
        <v>4835</v>
      </c>
      <c r="N767" s="3">
        <v>931192</v>
      </c>
      <c r="O767" s="2">
        <v>-4.2999999999999997E-2</v>
      </c>
      <c r="P767" s="2">
        <v>0.65700000000000003</v>
      </c>
      <c r="Q767" s="2">
        <v>-6.0000000000000001E-3</v>
      </c>
      <c r="R767" s="11">
        <v>329709939</v>
      </c>
      <c r="S767" s="11">
        <v>1271778</v>
      </c>
      <c r="T767">
        <v>2017</v>
      </c>
      <c r="U767">
        <v>6</v>
      </c>
      <c r="V767">
        <f t="shared" si="66"/>
        <v>700000</v>
      </c>
      <c r="W767">
        <f t="shared" si="67"/>
        <v>18429897</v>
      </c>
      <c r="X767">
        <f t="shared" si="68"/>
        <v>17729897</v>
      </c>
      <c r="Y767">
        <f t="shared" si="69"/>
        <v>-25894845.5</v>
      </c>
      <c r="Z767">
        <f t="shared" si="70"/>
        <v>45024742.5</v>
      </c>
      <c r="AA767" t="str">
        <f t="shared" si="71"/>
        <v>Normal</v>
      </c>
      <c r="AE767" s="2"/>
      <c r="AF767" s="2"/>
    </row>
    <row r="768" spans="1:32" x14ac:dyDescent="0.35">
      <c r="A768">
        <v>767</v>
      </c>
      <c r="B768" s="1">
        <v>42907</v>
      </c>
      <c r="C768" s="9" t="s">
        <v>1435</v>
      </c>
      <c r="D768" s="9" t="s">
        <v>4988</v>
      </c>
      <c r="E768" s="9" t="s">
        <v>6303</v>
      </c>
      <c r="F768" s="9" t="s">
        <v>31</v>
      </c>
      <c r="G768" s="9" t="s">
        <v>673</v>
      </c>
      <c r="H768" s="9" t="s">
        <v>105</v>
      </c>
      <c r="I768" s="11">
        <v>18429897</v>
      </c>
      <c r="J768" s="11">
        <v>3071125</v>
      </c>
      <c r="K768" s="11">
        <v>7276817</v>
      </c>
      <c r="L768" s="3">
        <v>147</v>
      </c>
      <c r="M768" s="3">
        <v>1302</v>
      </c>
      <c r="N768" s="3">
        <v>1018455</v>
      </c>
      <c r="O768" s="2">
        <v>1.6E-2</v>
      </c>
      <c r="P768" s="2">
        <v>1.1879999999999999</v>
      </c>
      <c r="Q768" s="2">
        <v>-2.4E-2</v>
      </c>
      <c r="R768" s="11">
        <v>75285446</v>
      </c>
      <c r="S768" s="11">
        <v>150704</v>
      </c>
      <c r="T768">
        <v>2017</v>
      </c>
      <c r="U768">
        <v>6</v>
      </c>
      <c r="V768">
        <f t="shared" si="66"/>
        <v>700000</v>
      </c>
      <c r="W768">
        <f t="shared" si="67"/>
        <v>18429897</v>
      </c>
      <c r="X768">
        <f t="shared" si="68"/>
        <v>17729897</v>
      </c>
      <c r="Y768">
        <f t="shared" si="69"/>
        <v>-25894845.5</v>
      </c>
      <c r="Z768">
        <f t="shared" si="70"/>
        <v>45024742.5</v>
      </c>
      <c r="AA768" t="str">
        <f t="shared" si="71"/>
        <v>Normal</v>
      </c>
      <c r="AE768" s="2"/>
      <c r="AF768" s="2"/>
    </row>
    <row r="769" spans="1:32" x14ac:dyDescent="0.35">
      <c r="A769">
        <v>768</v>
      </c>
      <c r="B769" s="1">
        <v>42908</v>
      </c>
      <c r="C769" s="9" t="s">
        <v>1436</v>
      </c>
      <c r="D769" s="9" t="s">
        <v>4930</v>
      </c>
      <c r="E769" s="9" t="s">
        <v>6304</v>
      </c>
      <c r="F769" s="9" t="s">
        <v>15</v>
      </c>
      <c r="G769" s="9" t="s">
        <v>1437</v>
      </c>
      <c r="H769" s="9" t="s">
        <v>105</v>
      </c>
      <c r="I769" s="11">
        <v>4600000</v>
      </c>
      <c r="J769" s="11">
        <v>2407260</v>
      </c>
      <c r="K769" s="11">
        <v>1893353</v>
      </c>
      <c r="L769" s="3">
        <v>155</v>
      </c>
      <c r="M769" s="3">
        <v>2432</v>
      </c>
      <c r="N769" s="3">
        <v>620783</v>
      </c>
      <c r="O769" s="2">
        <v>0.41299999999999998</v>
      </c>
      <c r="P769" s="2">
        <v>0.50800000000000001</v>
      </c>
      <c r="Q769" s="2">
        <v>0.3</v>
      </c>
      <c r="R769" s="11">
        <v>320570566</v>
      </c>
      <c r="S769" s="11">
        <v>1020776</v>
      </c>
      <c r="T769">
        <v>2017</v>
      </c>
      <c r="U769">
        <v>6</v>
      </c>
      <c r="V769">
        <f t="shared" si="66"/>
        <v>700000</v>
      </c>
      <c r="W769">
        <f t="shared" si="67"/>
        <v>18429897</v>
      </c>
      <c r="X769">
        <f t="shared" si="68"/>
        <v>17729897</v>
      </c>
      <c r="Y769">
        <f t="shared" si="69"/>
        <v>-25894845.5</v>
      </c>
      <c r="Z769">
        <f t="shared" si="70"/>
        <v>45024742.5</v>
      </c>
      <c r="AA769" t="str">
        <f t="shared" si="71"/>
        <v>Normal</v>
      </c>
      <c r="AE769" s="2"/>
      <c r="AF769" s="2"/>
    </row>
    <row r="770" spans="1:32" x14ac:dyDescent="0.35">
      <c r="A770">
        <v>769</v>
      </c>
      <c r="B770" s="1">
        <v>42908</v>
      </c>
      <c r="C770" s="9" t="s">
        <v>379</v>
      </c>
      <c r="D770" s="9" t="s">
        <v>4988</v>
      </c>
      <c r="E770" s="9" t="s">
        <v>6305</v>
      </c>
      <c r="F770" s="9" t="s">
        <v>31</v>
      </c>
      <c r="G770" s="9" t="s">
        <v>1438</v>
      </c>
      <c r="H770" s="9" t="s">
        <v>105</v>
      </c>
      <c r="I770" s="11">
        <v>2000000</v>
      </c>
      <c r="J770" s="11">
        <v>716842</v>
      </c>
      <c r="K770" s="11">
        <v>8297544</v>
      </c>
      <c r="L770" s="3">
        <v>300</v>
      </c>
      <c r="M770" s="3">
        <v>121</v>
      </c>
      <c r="N770" s="3">
        <v>1584738</v>
      </c>
      <c r="O770" s="2">
        <v>3.1E-2</v>
      </c>
      <c r="P770" s="2">
        <v>1.1850000000000001</v>
      </c>
      <c r="Q770" s="2">
        <v>0.1</v>
      </c>
      <c r="R770" s="11">
        <v>318076065</v>
      </c>
      <c r="S770" s="11">
        <v>664673</v>
      </c>
      <c r="T770">
        <v>2017</v>
      </c>
      <c r="U770">
        <v>6</v>
      </c>
      <c r="V770">
        <f t="shared" ref="V770:V833" si="72">_xlfn.PERCENTILE.INC(I770:I3813,0.25)</f>
        <v>693750</v>
      </c>
      <c r="W770">
        <f t="shared" ref="W770:W833" si="73">_xlfn.PERCENTILE.INC(I770:I3813,0.75)</f>
        <v>18429897</v>
      </c>
      <c r="X770">
        <f t="shared" ref="X770:X833" si="74">W770-V770</f>
        <v>17736147</v>
      </c>
      <c r="Y770">
        <f t="shared" ref="Y770:Y833" si="75">V770-1.5*X770</f>
        <v>-25910470.5</v>
      </c>
      <c r="Z770">
        <f t="shared" ref="Z770:Z833" si="76">W770+1.5*X770</f>
        <v>45034117.5</v>
      </c>
      <c r="AA770" t="str">
        <f t="shared" ref="AA770:AA833" si="77">IF(OR(I770&lt;$Y$2, I770&gt;$Z$2), "Outlier", "Normal")</f>
        <v>Normal</v>
      </c>
      <c r="AE770" s="2"/>
      <c r="AF770" s="2"/>
    </row>
    <row r="771" spans="1:32" x14ac:dyDescent="0.35">
      <c r="A771">
        <v>770</v>
      </c>
      <c r="B771" s="1">
        <v>42908</v>
      </c>
      <c r="C771" s="9" t="s">
        <v>1439</v>
      </c>
      <c r="D771" s="9" t="s">
        <v>4988</v>
      </c>
      <c r="E771" s="9" t="s">
        <v>6306</v>
      </c>
      <c r="F771" s="9" t="s">
        <v>15</v>
      </c>
      <c r="G771" s="9" t="s">
        <v>1440</v>
      </c>
      <c r="H771" s="9" t="s">
        <v>86</v>
      </c>
      <c r="I771" s="11">
        <v>500000</v>
      </c>
      <c r="J771" s="11">
        <v>1894270</v>
      </c>
      <c r="K771" s="11">
        <v>13894224</v>
      </c>
      <c r="L771" s="3">
        <v>394</v>
      </c>
      <c r="M771" s="3">
        <v>4496</v>
      </c>
      <c r="N771" s="3">
        <v>315438</v>
      </c>
      <c r="O771" s="2">
        <v>-0.14300000000000002</v>
      </c>
      <c r="P771" s="2">
        <v>0.59599999999999997</v>
      </c>
      <c r="Q771" s="2">
        <v>0.36749999999999999</v>
      </c>
      <c r="R771" s="11">
        <v>403067823</v>
      </c>
      <c r="S771" s="11">
        <v>1008193.5</v>
      </c>
      <c r="T771">
        <v>2017</v>
      </c>
      <c r="U771">
        <v>6</v>
      </c>
      <c r="V771">
        <f t="shared" si="72"/>
        <v>687500</v>
      </c>
      <c r="W771">
        <f t="shared" si="73"/>
        <v>18429897</v>
      </c>
      <c r="X771">
        <f t="shared" si="74"/>
        <v>17742397</v>
      </c>
      <c r="Y771">
        <f t="shared" si="75"/>
        <v>-25926095.5</v>
      </c>
      <c r="Z771">
        <f t="shared" si="76"/>
        <v>45043492.5</v>
      </c>
      <c r="AA771" t="str">
        <f t="shared" si="77"/>
        <v>Normal</v>
      </c>
      <c r="AE771" s="2"/>
      <c r="AF771" s="2"/>
    </row>
    <row r="772" spans="1:32" x14ac:dyDescent="0.35">
      <c r="A772">
        <v>771</v>
      </c>
      <c r="B772" s="1">
        <v>42909</v>
      </c>
      <c r="C772" s="9" t="s">
        <v>1441</v>
      </c>
      <c r="D772" s="9" t="s">
        <v>4988</v>
      </c>
      <c r="E772" s="9" t="s">
        <v>6307</v>
      </c>
      <c r="F772" s="9" t="s">
        <v>31</v>
      </c>
      <c r="G772" s="9" t="s">
        <v>1442</v>
      </c>
      <c r="H772" s="9" t="s">
        <v>105</v>
      </c>
      <c r="I772" s="11">
        <v>4000000</v>
      </c>
      <c r="J772" s="11">
        <v>3266552</v>
      </c>
      <c r="K772" s="11">
        <v>6733459</v>
      </c>
      <c r="L772" s="3">
        <v>433</v>
      </c>
      <c r="M772" s="3">
        <v>2571</v>
      </c>
      <c r="N772" s="3">
        <v>1919912</v>
      </c>
      <c r="O772" s="2">
        <v>3.7000000000000005E-2</v>
      </c>
      <c r="P772" s="2">
        <v>0.28699999999999998</v>
      </c>
      <c r="Q772" s="2">
        <v>0.36749999999999999</v>
      </c>
      <c r="R772" s="11">
        <v>467952032</v>
      </c>
      <c r="S772" s="11">
        <v>20593</v>
      </c>
      <c r="T772">
        <v>2017</v>
      </c>
      <c r="U772">
        <v>6</v>
      </c>
      <c r="V772">
        <f t="shared" si="72"/>
        <v>700000</v>
      </c>
      <c r="W772">
        <f t="shared" si="73"/>
        <v>18429897</v>
      </c>
      <c r="X772">
        <f t="shared" si="74"/>
        <v>17729897</v>
      </c>
      <c r="Y772">
        <f t="shared" si="75"/>
        <v>-25894845.5</v>
      </c>
      <c r="Z772">
        <f t="shared" si="76"/>
        <v>45024742.5</v>
      </c>
      <c r="AA772" t="str">
        <f t="shared" si="77"/>
        <v>Normal</v>
      </c>
      <c r="AE772" s="2"/>
      <c r="AF772" s="2"/>
    </row>
    <row r="773" spans="1:32" x14ac:dyDescent="0.35">
      <c r="A773">
        <v>772</v>
      </c>
      <c r="B773" s="1">
        <v>42909</v>
      </c>
      <c r="C773" s="9" t="s">
        <v>1443</v>
      </c>
      <c r="D773" s="9" t="s">
        <v>4988</v>
      </c>
      <c r="E773" s="9" t="s">
        <v>6308</v>
      </c>
      <c r="F773" s="9" t="s">
        <v>31</v>
      </c>
      <c r="G773" s="9" t="s">
        <v>856</v>
      </c>
      <c r="H773" s="9" t="s">
        <v>86</v>
      </c>
      <c r="I773" s="11">
        <v>1000000</v>
      </c>
      <c r="J773" s="11">
        <v>4933425</v>
      </c>
      <c r="K773" s="11">
        <v>12112053</v>
      </c>
      <c r="L773" s="3">
        <v>263</v>
      </c>
      <c r="M773" s="3">
        <v>4854</v>
      </c>
      <c r="N773" s="3">
        <v>1018455</v>
      </c>
      <c r="O773" s="2">
        <v>-0.16500000000000001</v>
      </c>
      <c r="P773" s="2">
        <v>1.1650000000000001E-2</v>
      </c>
      <c r="Q773" s="2">
        <v>0.218</v>
      </c>
      <c r="R773" s="11">
        <v>18024382</v>
      </c>
      <c r="S773" s="11">
        <v>1794511</v>
      </c>
      <c r="T773">
        <v>2017</v>
      </c>
      <c r="U773">
        <v>6</v>
      </c>
      <c r="V773">
        <f t="shared" si="72"/>
        <v>700000</v>
      </c>
      <c r="W773">
        <f t="shared" si="73"/>
        <v>18429897</v>
      </c>
      <c r="X773">
        <f t="shared" si="74"/>
        <v>17729897</v>
      </c>
      <c r="Y773">
        <f t="shared" si="75"/>
        <v>-25894845.5</v>
      </c>
      <c r="Z773">
        <f t="shared" si="76"/>
        <v>45024742.5</v>
      </c>
      <c r="AA773" t="str">
        <f t="shared" si="77"/>
        <v>Normal</v>
      </c>
      <c r="AE773" s="2"/>
      <c r="AF773" s="2"/>
    </row>
    <row r="774" spans="1:32" x14ac:dyDescent="0.35">
      <c r="A774">
        <v>773</v>
      </c>
      <c r="B774" s="1">
        <v>42912</v>
      </c>
      <c r="C774" s="9" t="s">
        <v>1444</v>
      </c>
      <c r="D774" s="9" t="s">
        <v>4930</v>
      </c>
      <c r="E774" s="9" t="s">
        <v>6309</v>
      </c>
      <c r="F774" s="9" t="s">
        <v>124</v>
      </c>
      <c r="G774" s="9" t="s">
        <v>1445</v>
      </c>
      <c r="H774" s="9" t="s">
        <v>105</v>
      </c>
      <c r="I774" s="11">
        <v>5000000</v>
      </c>
      <c r="J774" s="11">
        <v>44355</v>
      </c>
      <c r="K774" s="11">
        <v>8818190</v>
      </c>
      <c r="L774" s="3">
        <v>185</v>
      </c>
      <c r="M774" s="3">
        <v>1897</v>
      </c>
      <c r="N774" s="3">
        <v>1199650</v>
      </c>
      <c r="O774" s="2">
        <v>0.38700000000000001</v>
      </c>
      <c r="P774" s="2">
        <v>1.0649999999999999</v>
      </c>
      <c r="Q774" s="2">
        <v>6.2E-2</v>
      </c>
      <c r="R774" s="11">
        <v>422592757</v>
      </c>
      <c r="S774" s="11">
        <v>20884</v>
      </c>
      <c r="T774">
        <v>2017</v>
      </c>
      <c r="U774">
        <v>6</v>
      </c>
      <c r="V774">
        <f t="shared" si="72"/>
        <v>693750</v>
      </c>
      <c r="W774">
        <f t="shared" si="73"/>
        <v>18429897</v>
      </c>
      <c r="X774">
        <f t="shared" si="74"/>
        <v>17736147</v>
      </c>
      <c r="Y774">
        <f t="shared" si="75"/>
        <v>-25910470.5</v>
      </c>
      <c r="Z774">
        <f t="shared" si="76"/>
        <v>45034117.5</v>
      </c>
      <c r="AA774" t="str">
        <f t="shared" si="77"/>
        <v>Normal</v>
      </c>
      <c r="AE774" s="2"/>
      <c r="AF774" s="2"/>
    </row>
    <row r="775" spans="1:32" x14ac:dyDescent="0.35">
      <c r="A775">
        <v>774</v>
      </c>
      <c r="B775" s="1">
        <v>42912</v>
      </c>
      <c r="C775" s="9" t="s">
        <v>398</v>
      </c>
      <c r="D775" s="9" t="s">
        <v>4925</v>
      </c>
      <c r="E775" s="9" t="s">
        <v>4976</v>
      </c>
      <c r="F775" s="9" t="s">
        <v>15</v>
      </c>
      <c r="G775" s="9" t="s">
        <v>149</v>
      </c>
      <c r="H775" s="9" t="s">
        <v>105</v>
      </c>
      <c r="I775" s="11">
        <v>71000000</v>
      </c>
      <c r="J775" s="11">
        <v>3594445</v>
      </c>
      <c r="K775" s="11">
        <v>6817170</v>
      </c>
      <c r="L775" s="3">
        <v>207</v>
      </c>
      <c r="M775" s="3">
        <v>346</v>
      </c>
      <c r="N775" s="3">
        <v>97516</v>
      </c>
      <c r="O775" s="2">
        <v>0.13700000000000001</v>
      </c>
      <c r="P775" s="2">
        <v>0.76300000000000001</v>
      </c>
      <c r="Q775" s="2">
        <v>-0.219</v>
      </c>
      <c r="R775" s="11">
        <v>301435183</v>
      </c>
      <c r="S775" s="11">
        <v>1101225</v>
      </c>
      <c r="T775">
        <v>2017</v>
      </c>
      <c r="U775">
        <v>6</v>
      </c>
      <c r="V775">
        <f t="shared" si="72"/>
        <v>687500</v>
      </c>
      <c r="W775">
        <f t="shared" si="73"/>
        <v>18429897</v>
      </c>
      <c r="X775">
        <f t="shared" si="74"/>
        <v>17742397</v>
      </c>
      <c r="Y775">
        <f t="shared" si="75"/>
        <v>-25926095.5</v>
      </c>
      <c r="Z775">
        <f t="shared" si="76"/>
        <v>45043492.5</v>
      </c>
      <c r="AA775" t="str">
        <f t="shared" si="77"/>
        <v>Outlier</v>
      </c>
      <c r="AE775" s="2"/>
      <c r="AF775" s="2"/>
    </row>
    <row r="776" spans="1:32" x14ac:dyDescent="0.35">
      <c r="A776">
        <v>775</v>
      </c>
      <c r="B776" s="1">
        <v>42912</v>
      </c>
      <c r="C776" s="9" t="s">
        <v>1446</v>
      </c>
      <c r="D776" s="9" t="s">
        <v>4988</v>
      </c>
      <c r="E776" s="9" t="s">
        <v>6310</v>
      </c>
      <c r="F776" s="9" t="s">
        <v>63</v>
      </c>
      <c r="G776" s="9" t="s">
        <v>1447</v>
      </c>
      <c r="H776" s="9" t="s">
        <v>105</v>
      </c>
      <c r="I776" s="11">
        <v>4000000</v>
      </c>
      <c r="J776" s="11">
        <v>4234757</v>
      </c>
      <c r="K776" s="11">
        <v>5174881</v>
      </c>
      <c r="L776" s="3">
        <v>369</v>
      </c>
      <c r="M776" s="3">
        <v>3407</v>
      </c>
      <c r="N776" s="3">
        <v>1457715</v>
      </c>
      <c r="O776" s="2">
        <v>-2.5999999999999999E-2</v>
      </c>
      <c r="P776" s="2">
        <v>0.43</v>
      </c>
      <c r="Q776" s="2">
        <v>0.498</v>
      </c>
      <c r="R776" s="11">
        <v>447073249</v>
      </c>
      <c r="S776" s="11">
        <v>144945</v>
      </c>
      <c r="T776">
        <v>2017</v>
      </c>
      <c r="U776">
        <v>6</v>
      </c>
      <c r="V776">
        <f t="shared" si="72"/>
        <v>681250</v>
      </c>
      <c r="W776">
        <f t="shared" si="73"/>
        <v>18429897</v>
      </c>
      <c r="X776">
        <f t="shared" si="74"/>
        <v>17748647</v>
      </c>
      <c r="Y776">
        <f t="shared" si="75"/>
        <v>-25941720.5</v>
      </c>
      <c r="Z776">
        <f t="shared" si="76"/>
        <v>45052867.5</v>
      </c>
      <c r="AA776" t="str">
        <f t="shared" si="77"/>
        <v>Normal</v>
      </c>
      <c r="AE776" s="2"/>
      <c r="AF776" s="2"/>
    </row>
    <row r="777" spans="1:32" x14ac:dyDescent="0.35">
      <c r="A777">
        <v>776</v>
      </c>
      <c r="B777" s="1">
        <v>42913</v>
      </c>
      <c r="C777" s="9" t="s">
        <v>1448</v>
      </c>
      <c r="D777" s="9" t="s">
        <v>4988</v>
      </c>
      <c r="E777" s="9" t="s">
        <v>6311</v>
      </c>
      <c r="F777" s="9" t="s">
        <v>27</v>
      </c>
      <c r="G777" s="9" t="s">
        <v>1449</v>
      </c>
      <c r="H777" s="9" t="s">
        <v>105</v>
      </c>
      <c r="I777" s="11">
        <v>5000000</v>
      </c>
      <c r="J777" s="11">
        <v>4756949</v>
      </c>
      <c r="K777" s="11">
        <v>5288646</v>
      </c>
      <c r="L777" s="3">
        <v>162</v>
      </c>
      <c r="M777" s="3">
        <v>857</v>
      </c>
      <c r="N777" s="3">
        <v>1408756</v>
      </c>
      <c r="O777" s="2">
        <v>0.8</v>
      </c>
      <c r="P777" s="2">
        <v>0.93900000000000006</v>
      </c>
      <c r="Q777" s="2">
        <v>0.13</v>
      </c>
      <c r="R777" s="11">
        <v>198134229</v>
      </c>
      <c r="S777" s="11">
        <v>774067</v>
      </c>
      <c r="T777">
        <v>2017</v>
      </c>
      <c r="U777">
        <v>6</v>
      </c>
      <c r="V777">
        <f t="shared" si="72"/>
        <v>675000</v>
      </c>
      <c r="W777">
        <f t="shared" si="73"/>
        <v>18429897</v>
      </c>
      <c r="X777">
        <f t="shared" si="74"/>
        <v>17754897</v>
      </c>
      <c r="Y777">
        <f t="shared" si="75"/>
        <v>-25957345.5</v>
      </c>
      <c r="Z777">
        <f t="shared" si="76"/>
        <v>45062242.5</v>
      </c>
      <c r="AA777" t="str">
        <f t="shared" si="77"/>
        <v>Normal</v>
      </c>
      <c r="AE777" s="2"/>
      <c r="AF777" s="2"/>
    </row>
    <row r="778" spans="1:32" x14ac:dyDescent="0.35">
      <c r="A778">
        <v>777</v>
      </c>
      <c r="B778" s="1">
        <v>42913</v>
      </c>
      <c r="C778" s="9" t="s">
        <v>1450</v>
      </c>
      <c r="D778" s="9" t="s">
        <v>4988</v>
      </c>
      <c r="E778" s="9" t="s">
        <v>6312</v>
      </c>
      <c r="F778" s="9" t="s">
        <v>15</v>
      </c>
      <c r="G778" s="9" t="s">
        <v>1451</v>
      </c>
      <c r="H778" s="9" t="s">
        <v>105</v>
      </c>
      <c r="I778" s="11">
        <v>18429897</v>
      </c>
      <c r="J778" s="11">
        <v>2130542</v>
      </c>
      <c r="K778" s="11">
        <v>5188583</v>
      </c>
      <c r="L778" s="3">
        <v>210</v>
      </c>
      <c r="M778" s="3">
        <v>3095</v>
      </c>
      <c r="N778" s="3">
        <v>1242920</v>
      </c>
      <c r="O778" s="2">
        <v>-0.11599999999999999</v>
      </c>
      <c r="P778" s="2">
        <v>0.21899999999999997</v>
      </c>
      <c r="Q778" s="2">
        <v>-9.5000000000000001E-2</v>
      </c>
      <c r="R778" s="11">
        <v>308545910</v>
      </c>
      <c r="S778" s="11">
        <v>824324</v>
      </c>
      <c r="T778">
        <v>2017</v>
      </c>
      <c r="U778">
        <v>6</v>
      </c>
      <c r="V778">
        <f t="shared" si="72"/>
        <v>673750</v>
      </c>
      <c r="W778">
        <f t="shared" si="73"/>
        <v>18429897</v>
      </c>
      <c r="X778">
        <f t="shared" si="74"/>
        <v>17756147</v>
      </c>
      <c r="Y778">
        <f t="shared" si="75"/>
        <v>-25960470.5</v>
      </c>
      <c r="Z778">
        <f t="shared" si="76"/>
        <v>45064117.5</v>
      </c>
      <c r="AA778" t="str">
        <f t="shared" si="77"/>
        <v>Normal</v>
      </c>
      <c r="AE778" s="2"/>
      <c r="AF778" s="2"/>
    </row>
    <row r="779" spans="1:32" x14ac:dyDescent="0.35">
      <c r="A779">
        <v>778</v>
      </c>
      <c r="B779" s="1">
        <v>42913</v>
      </c>
      <c r="C779" s="9" t="s">
        <v>1452</v>
      </c>
      <c r="D779" s="9" t="s">
        <v>4925</v>
      </c>
      <c r="E779" s="9" t="s">
        <v>6313</v>
      </c>
      <c r="F779" s="9" t="s">
        <v>41</v>
      </c>
      <c r="G779" s="9" t="s">
        <v>1453</v>
      </c>
      <c r="H779" s="9" t="s">
        <v>86</v>
      </c>
      <c r="I779" s="11">
        <v>311000</v>
      </c>
      <c r="J779" s="11">
        <v>610023</v>
      </c>
      <c r="K779" s="11">
        <v>14403339</v>
      </c>
      <c r="L779" s="3">
        <v>394</v>
      </c>
      <c r="M779" s="3">
        <v>222</v>
      </c>
      <c r="N779" s="3">
        <v>560433</v>
      </c>
      <c r="O779" s="2">
        <v>0.32200000000000001</v>
      </c>
      <c r="P779" s="2">
        <v>1.1140000000000001</v>
      </c>
      <c r="Q779" s="2">
        <v>0.2</v>
      </c>
      <c r="R779" s="11">
        <v>88298304</v>
      </c>
      <c r="S779" s="11">
        <v>1212812</v>
      </c>
      <c r="T779">
        <v>2017</v>
      </c>
      <c r="U779">
        <v>6</v>
      </c>
      <c r="V779">
        <f t="shared" si="72"/>
        <v>672500</v>
      </c>
      <c r="W779">
        <f t="shared" si="73"/>
        <v>18429897</v>
      </c>
      <c r="X779">
        <f t="shared" si="74"/>
        <v>17757397</v>
      </c>
      <c r="Y779">
        <f t="shared" si="75"/>
        <v>-25963595.5</v>
      </c>
      <c r="Z779">
        <f t="shared" si="76"/>
        <v>45065992.5</v>
      </c>
      <c r="AA779" t="str">
        <f t="shared" si="77"/>
        <v>Normal</v>
      </c>
      <c r="AE779" s="2"/>
      <c r="AF779" s="2"/>
    </row>
    <row r="780" spans="1:32" x14ac:dyDescent="0.35">
      <c r="A780">
        <v>779</v>
      </c>
      <c r="B780" s="1">
        <v>42914</v>
      </c>
      <c r="C780" s="9" t="s">
        <v>1454</v>
      </c>
      <c r="D780" s="9" t="s">
        <v>4988</v>
      </c>
      <c r="E780" s="9" t="s">
        <v>6314</v>
      </c>
      <c r="F780" s="9" t="s">
        <v>27</v>
      </c>
      <c r="G780" s="9" t="s">
        <v>1455</v>
      </c>
      <c r="H780" s="9" t="s">
        <v>86</v>
      </c>
      <c r="I780" s="11">
        <v>18429897</v>
      </c>
      <c r="J780" s="11">
        <v>1369416</v>
      </c>
      <c r="K780" s="11">
        <v>6812925</v>
      </c>
      <c r="L780" s="3">
        <v>273</v>
      </c>
      <c r="M780" s="3">
        <v>2505.5</v>
      </c>
      <c r="N780" s="3">
        <v>860612</v>
      </c>
      <c r="O780" s="2">
        <v>0.48700000000000004</v>
      </c>
      <c r="P780" s="2">
        <v>0.89700000000000002</v>
      </c>
      <c r="Q780" s="2">
        <v>0.35799999999999998</v>
      </c>
      <c r="R780" s="11">
        <v>39508785</v>
      </c>
      <c r="S780" s="11">
        <v>673793</v>
      </c>
      <c r="T780">
        <v>2017</v>
      </c>
      <c r="U780">
        <v>6</v>
      </c>
      <c r="V780">
        <f t="shared" si="72"/>
        <v>681250</v>
      </c>
      <c r="W780">
        <f t="shared" si="73"/>
        <v>18429897</v>
      </c>
      <c r="X780">
        <f t="shared" si="74"/>
        <v>17748647</v>
      </c>
      <c r="Y780">
        <f t="shared" si="75"/>
        <v>-25941720.5</v>
      </c>
      <c r="Z780">
        <f t="shared" si="76"/>
        <v>45052867.5</v>
      </c>
      <c r="AA780" t="str">
        <f t="shared" si="77"/>
        <v>Normal</v>
      </c>
      <c r="AE780" s="2"/>
      <c r="AF780" s="2"/>
    </row>
    <row r="781" spans="1:32" x14ac:dyDescent="0.35">
      <c r="A781">
        <v>780</v>
      </c>
      <c r="B781" s="1">
        <v>42914</v>
      </c>
      <c r="C781" s="9" t="s">
        <v>654</v>
      </c>
      <c r="D781" s="9" t="s">
        <v>4988</v>
      </c>
      <c r="E781" s="9" t="s">
        <v>6315</v>
      </c>
      <c r="F781" s="9" t="s">
        <v>31</v>
      </c>
      <c r="G781" s="9" t="s">
        <v>1456</v>
      </c>
      <c r="H781" s="9" t="s">
        <v>105</v>
      </c>
      <c r="I781" s="11">
        <v>3000000</v>
      </c>
      <c r="J781" s="11">
        <v>4255657</v>
      </c>
      <c r="K781" s="11">
        <v>14853091</v>
      </c>
      <c r="L781" s="3">
        <v>236</v>
      </c>
      <c r="M781" s="3">
        <v>3207</v>
      </c>
      <c r="N781" s="3">
        <v>830363</v>
      </c>
      <c r="O781" s="2">
        <v>-0.17899999999999999</v>
      </c>
      <c r="P781" s="2">
        <v>0.376</v>
      </c>
      <c r="Q781" s="2">
        <v>-0.112</v>
      </c>
      <c r="R781" s="11">
        <v>24204869</v>
      </c>
      <c r="S781" s="11">
        <v>1821469</v>
      </c>
      <c r="T781">
        <v>2017</v>
      </c>
      <c r="U781">
        <v>6</v>
      </c>
      <c r="V781">
        <f t="shared" si="72"/>
        <v>675000</v>
      </c>
      <c r="W781">
        <f t="shared" si="73"/>
        <v>18429897</v>
      </c>
      <c r="X781">
        <f t="shared" si="74"/>
        <v>17754897</v>
      </c>
      <c r="Y781">
        <f t="shared" si="75"/>
        <v>-25957345.5</v>
      </c>
      <c r="Z781">
        <f t="shared" si="76"/>
        <v>45062242.5</v>
      </c>
      <c r="AA781" t="str">
        <f t="shared" si="77"/>
        <v>Normal</v>
      </c>
      <c r="AE781" s="2"/>
      <c r="AF781" s="2"/>
    </row>
    <row r="782" spans="1:32" x14ac:dyDescent="0.35">
      <c r="A782">
        <v>781</v>
      </c>
      <c r="B782" s="1">
        <v>42914</v>
      </c>
      <c r="C782" s="9" t="s">
        <v>1457</v>
      </c>
      <c r="D782" s="9" t="s">
        <v>4988</v>
      </c>
      <c r="E782" s="9" t="s">
        <v>6316</v>
      </c>
      <c r="F782" s="9" t="s">
        <v>15</v>
      </c>
      <c r="G782" s="9" t="s">
        <v>1458</v>
      </c>
      <c r="H782" s="9" t="s">
        <v>105</v>
      </c>
      <c r="I782" s="11">
        <v>2000000</v>
      </c>
      <c r="J782" s="11">
        <v>4392115</v>
      </c>
      <c r="K782" s="11">
        <v>6290104</v>
      </c>
      <c r="L782" s="3">
        <v>368</v>
      </c>
      <c r="M782" s="3">
        <v>3385</v>
      </c>
      <c r="N782" s="3">
        <v>1219392</v>
      </c>
      <c r="O782" s="2">
        <v>0.32899999999999996</v>
      </c>
      <c r="P782" s="2">
        <v>0.36499999999999999</v>
      </c>
      <c r="Q782" s="2">
        <v>0.113</v>
      </c>
      <c r="R782" s="11">
        <v>8999972</v>
      </c>
      <c r="S782" s="11">
        <v>852072</v>
      </c>
      <c r="T782">
        <v>2017</v>
      </c>
      <c r="U782">
        <v>6</v>
      </c>
      <c r="V782">
        <f t="shared" si="72"/>
        <v>673750</v>
      </c>
      <c r="W782">
        <f t="shared" si="73"/>
        <v>18429897</v>
      </c>
      <c r="X782">
        <f t="shared" si="74"/>
        <v>17756147</v>
      </c>
      <c r="Y782">
        <f t="shared" si="75"/>
        <v>-25960470.5</v>
      </c>
      <c r="Z782">
        <f t="shared" si="76"/>
        <v>45064117.5</v>
      </c>
      <c r="AA782" t="str">
        <f t="shared" si="77"/>
        <v>Normal</v>
      </c>
      <c r="AE782" s="2"/>
      <c r="AF782" s="2"/>
    </row>
    <row r="783" spans="1:32" x14ac:dyDescent="0.35">
      <c r="A783">
        <v>782</v>
      </c>
      <c r="B783" s="1">
        <v>42915</v>
      </c>
      <c r="C783" s="9" t="s">
        <v>1459</v>
      </c>
      <c r="D783" s="9" t="s">
        <v>4988</v>
      </c>
      <c r="E783" s="9" t="s">
        <v>6317</v>
      </c>
      <c r="F783" s="9" t="s">
        <v>27</v>
      </c>
      <c r="G783" s="9" t="s">
        <v>1460</v>
      </c>
      <c r="H783" s="9" t="s">
        <v>105</v>
      </c>
      <c r="I783" s="11">
        <v>1000000</v>
      </c>
      <c r="J783" s="11">
        <v>3192627</v>
      </c>
      <c r="K783" s="11">
        <v>6611396</v>
      </c>
      <c r="L783" s="3">
        <v>147</v>
      </c>
      <c r="M783" s="3">
        <v>804</v>
      </c>
      <c r="N783" s="3">
        <v>662260</v>
      </c>
      <c r="O783" s="2">
        <v>7.0999999999999994E-2</v>
      </c>
      <c r="P783" s="2">
        <v>0.25800000000000001</v>
      </c>
      <c r="Q783" s="2">
        <v>0.36</v>
      </c>
      <c r="R783" s="11">
        <v>231668390</v>
      </c>
      <c r="S783" s="11">
        <v>1784199</v>
      </c>
      <c r="T783">
        <v>2017</v>
      </c>
      <c r="U783">
        <v>6</v>
      </c>
      <c r="V783">
        <f t="shared" si="72"/>
        <v>672500</v>
      </c>
      <c r="W783">
        <f t="shared" si="73"/>
        <v>18429897</v>
      </c>
      <c r="X783">
        <f t="shared" si="74"/>
        <v>17757397</v>
      </c>
      <c r="Y783">
        <f t="shared" si="75"/>
        <v>-25963595.5</v>
      </c>
      <c r="Z783">
        <f t="shared" si="76"/>
        <v>45065992.5</v>
      </c>
      <c r="AA783" t="str">
        <f t="shared" si="77"/>
        <v>Normal</v>
      </c>
      <c r="AE783" s="2"/>
      <c r="AF783" s="2"/>
    </row>
    <row r="784" spans="1:32" x14ac:dyDescent="0.35">
      <c r="A784">
        <v>783</v>
      </c>
      <c r="B784" s="1">
        <v>42915</v>
      </c>
      <c r="C784" s="9" t="s">
        <v>1461</v>
      </c>
      <c r="D784" s="9" t="s">
        <v>4930</v>
      </c>
      <c r="E784" s="9" t="s">
        <v>1462</v>
      </c>
      <c r="F784" s="9" t="s">
        <v>31</v>
      </c>
      <c r="G784" s="9" t="s">
        <v>1463</v>
      </c>
      <c r="H784" s="9" t="s">
        <v>105</v>
      </c>
      <c r="I784" s="11">
        <v>18429897</v>
      </c>
      <c r="J784" s="11">
        <v>631247</v>
      </c>
      <c r="K784" s="11">
        <v>18492287</v>
      </c>
      <c r="L784" s="3">
        <v>34</v>
      </c>
      <c r="M784" s="3">
        <v>977</v>
      </c>
      <c r="N784" s="3">
        <v>801405</v>
      </c>
      <c r="O784" s="2">
        <v>0.373</v>
      </c>
      <c r="P784" s="2">
        <v>0.97</v>
      </c>
      <c r="Q784" s="2">
        <v>0.14099999999999999</v>
      </c>
      <c r="R784" s="11">
        <v>250264963</v>
      </c>
      <c r="S784" s="11">
        <v>737856</v>
      </c>
      <c r="T784">
        <v>2017</v>
      </c>
      <c r="U784">
        <v>6</v>
      </c>
      <c r="V784">
        <f t="shared" si="72"/>
        <v>671250</v>
      </c>
      <c r="W784">
        <f t="shared" si="73"/>
        <v>18429897</v>
      </c>
      <c r="X784">
        <f t="shared" si="74"/>
        <v>17758647</v>
      </c>
      <c r="Y784">
        <f t="shared" si="75"/>
        <v>-25966720.5</v>
      </c>
      <c r="Z784">
        <f t="shared" si="76"/>
        <v>45067867.5</v>
      </c>
      <c r="AA784" t="str">
        <f t="shared" si="77"/>
        <v>Normal</v>
      </c>
      <c r="AE784" s="2"/>
      <c r="AF784" s="2"/>
    </row>
    <row r="785" spans="1:32" x14ac:dyDescent="0.35">
      <c r="A785">
        <v>784</v>
      </c>
      <c r="B785" s="1">
        <v>42916</v>
      </c>
      <c r="C785" s="9" t="s">
        <v>1464</v>
      </c>
      <c r="D785" s="9" t="s">
        <v>4930</v>
      </c>
      <c r="E785" s="9" t="s">
        <v>1465</v>
      </c>
      <c r="F785" s="9" t="s">
        <v>15</v>
      </c>
      <c r="G785" s="9" t="s">
        <v>856</v>
      </c>
      <c r="H785" s="9" t="s">
        <v>105</v>
      </c>
      <c r="I785" s="11">
        <v>5000000</v>
      </c>
      <c r="J785" s="11">
        <v>627169</v>
      </c>
      <c r="K785" s="11">
        <v>17536919</v>
      </c>
      <c r="L785" s="3">
        <v>395</v>
      </c>
      <c r="M785" s="3">
        <v>4299</v>
      </c>
      <c r="N785" s="3">
        <v>1018455</v>
      </c>
      <c r="O785" s="2">
        <v>-0.247</v>
      </c>
      <c r="P785" s="2">
        <v>0.32800000000000001</v>
      </c>
      <c r="Q785" s="2">
        <v>0.23899999999999999</v>
      </c>
      <c r="R785" s="11">
        <v>250264963</v>
      </c>
      <c r="S785" s="11">
        <v>1350348</v>
      </c>
      <c r="T785">
        <v>2017</v>
      </c>
      <c r="U785">
        <v>6</v>
      </c>
      <c r="V785">
        <f t="shared" si="72"/>
        <v>670000</v>
      </c>
      <c r="W785">
        <f t="shared" si="73"/>
        <v>18429897</v>
      </c>
      <c r="X785">
        <f t="shared" si="74"/>
        <v>17759897</v>
      </c>
      <c r="Y785">
        <f t="shared" si="75"/>
        <v>-25969845.5</v>
      </c>
      <c r="Z785">
        <f t="shared" si="76"/>
        <v>45069742.5</v>
      </c>
      <c r="AA785" t="str">
        <f t="shared" si="77"/>
        <v>Normal</v>
      </c>
      <c r="AE785" s="2"/>
      <c r="AF785" s="2"/>
    </row>
    <row r="786" spans="1:32" x14ac:dyDescent="0.35">
      <c r="A786">
        <v>785</v>
      </c>
      <c r="B786" s="1">
        <v>42916</v>
      </c>
      <c r="C786" s="9" t="s">
        <v>1466</v>
      </c>
      <c r="D786" s="9" t="s">
        <v>4988</v>
      </c>
      <c r="E786" s="9" t="s">
        <v>5144</v>
      </c>
      <c r="F786" s="9" t="s">
        <v>19</v>
      </c>
      <c r="G786" s="9" t="s">
        <v>1467</v>
      </c>
      <c r="H786" s="9" t="s">
        <v>105</v>
      </c>
      <c r="I786" s="11">
        <v>21000000</v>
      </c>
      <c r="J786" s="11">
        <v>2401297</v>
      </c>
      <c r="K786" s="11">
        <v>8074006</v>
      </c>
      <c r="L786" s="3">
        <v>230</v>
      </c>
      <c r="M786" s="3">
        <v>79</v>
      </c>
      <c r="N786" s="3">
        <v>907333</v>
      </c>
      <c r="O786" s="2">
        <v>0.16500000000000001</v>
      </c>
      <c r="P786" s="2">
        <v>0.72</v>
      </c>
      <c r="Q786" s="2">
        <v>3.4000000000000002E-2</v>
      </c>
      <c r="R786" s="11">
        <v>308352341</v>
      </c>
      <c r="S786" s="11">
        <v>159315</v>
      </c>
      <c r="T786">
        <v>2017</v>
      </c>
      <c r="U786">
        <v>6</v>
      </c>
      <c r="V786">
        <f t="shared" si="72"/>
        <v>665000</v>
      </c>
      <c r="W786">
        <f t="shared" si="73"/>
        <v>18429897</v>
      </c>
      <c r="X786">
        <f t="shared" si="74"/>
        <v>17764897</v>
      </c>
      <c r="Y786">
        <f t="shared" si="75"/>
        <v>-25982345.5</v>
      </c>
      <c r="Z786">
        <f t="shared" si="76"/>
        <v>45077242.5</v>
      </c>
      <c r="AA786" t="str">
        <f t="shared" si="77"/>
        <v>Normal</v>
      </c>
      <c r="AE786" s="2"/>
      <c r="AF786" s="2"/>
    </row>
    <row r="787" spans="1:32" x14ac:dyDescent="0.35">
      <c r="A787">
        <v>786</v>
      </c>
      <c r="B787" s="1">
        <v>42856</v>
      </c>
      <c r="C787" s="9" t="s">
        <v>1468</v>
      </c>
      <c r="D787" s="9" t="s">
        <v>4988</v>
      </c>
      <c r="E787" s="9" t="s">
        <v>6318</v>
      </c>
      <c r="F787" s="9" t="s">
        <v>124</v>
      </c>
      <c r="G787" s="9" t="s">
        <v>1469</v>
      </c>
      <c r="H787" s="9" t="s">
        <v>105</v>
      </c>
      <c r="I787" s="11">
        <v>73700000</v>
      </c>
      <c r="J787" s="11">
        <v>2949524</v>
      </c>
      <c r="K787" s="11">
        <v>5449661</v>
      </c>
      <c r="L787" s="3">
        <v>166</v>
      </c>
      <c r="M787" s="3">
        <v>1188</v>
      </c>
      <c r="N787" s="3">
        <v>1188963</v>
      </c>
      <c r="O787" s="2">
        <v>3.7999999999999999E-2</v>
      </c>
      <c r="P787" s="2">
        <v>0.55800000000000005</v>
      </c>
      <c r="Q787" s="2">
        <v>-0.29299999999999998</v>
      </c>
      <c r="R787" s="11">
        <v>453247487</v>
      </c>
      <c r="S787" s="11">
        <v>691037</v>
      </c>
      <c r="T787">
        <v>2017</v>
      </c>
      <c r="U787">
        <v>5</v>
      </c>
      <c r="V787">
        <f t="shared" si="72"/>
        <v>660000</v>
      </c>
      <c r="W787">
        <f t="shared" si="73"/>
        <v>18429897</v>
      </c>
      <c r="X787">
        <f t="shared" si="74"/>
        <v>17769897</v>
      </c>
      <c r="Y787">
        <f t="shared" si="75"/>
        <v>-25994845.5</v>
      </c>
      <c r="Z787">
        <f t="shared" si="76"/>
        <v>45084742.5</v>
      </c>
      <c r="AA787" t="str">
        <f t="shared" si="77"/>
        <v>Outlier</v>
      </c>
      <c r="AE787" s="2"/>
      <c r="AF787" s="2"/>
    </row>
    <row r="788" spans="1:32" x14ac:dyDescent="0.35">
      <c r="A788">
        <v>787</v>
      </c>
      <c r="B788" s="1">
        <v>42856</v>
      </c>
      <c r="C788" s="9" t="s">
        <v>1121</v>
      </c>
      <c r="D788" s="9" t="s">
        <v>4925</v>
      </c>
      <c r="E788" s="9" t="s">
        <v>6319</v>
      </c>
      <c r="F788" s="9" t="s">
        <v>19</v>
      </c>
      <c r="G788" s="9" t="s">
        <v>1470</v>
      </c>
      <c r="H788" s="9" t="s">
        <v>105</v>
      </c>
      <c r="I788" s="11">
        <v>10000000</v>
      </c>
      <c r="J788" s="11">
        <v>181245</v>
      </c>
      <c r="K788" s="11">
        <v>14340967</v>
      </c>
      <c r="L788" s="3">
        <v>52</v>
      </c>
      <c r="M788" s="3">
        <v>4852</v>
      </c>
      <c r="N788" s="3">
        <v>1000000000</v>
      </c>
      <c r="O788" s="2">
        <v>0.252</v>
      </c>
      <c r="P788" s="2">
        <v>0.749</v>
      </c>
      <c r="Q788" s="2">
        <v>3.7000000000000005E-2</v>
      </c>
      <c r="R788" s="11">
        <v>462775255</v>
      </c>
      <c r="S788" s="11">
        <v>1215852</v>
      </c>
      <c r="T788">
        <v>2017</v>
      </c>
      <c r="U788">
        <v>5</v>
      </c>
      <c r="V788">
        <f t="shared" si="72"/>
        <v>655000</v>
      </c>
      <c r="W788">
        <f t="shared" si="73"/>
        <v>18429897</v>
      </c>
      <c r="X788">
        <f t="shared" si="74"/>
        <v>17774897</v>
      </c>
      <c r="Y788">
        <f t="shared" si="75"/>
        <v>-26007345.5</v>
      </c>
      <c r="Z788">
        <f t="shared" si="76"/>
        <v>45092242.5</v>
      </c>
      <c r="AA788" t="str">
        <f t="shared" si="77"/>
        <v>Normal</v>
      </c>
      <c r="AE788" s="2"/>
      <c r="AF788" s="2"/>
    </row>
    <row r="789" spans="1:32" x14ac:dyDescent="0.35">
      <c r="A789">
        <v>788</v>
      </c>
      <c r="B789" s="1">
        <v>42857</v>
      </c>
      <c r="C789" s="9" t="s">
        <v>1471</v>
      </c>
      <c r="D789" s="9" t="s">
        <v>4930</v>
      </c>
      <c r="E789" s="9" t="s">
        <v>6320</v>
      </c>
      <c r="F789" s="9" t="s">
        <v>124</v>
      </c>
      <c r="G789" s="9" t="s">
        <v>889</v>
      </c>
      <c r="H789" s="9" t="s">
        <v>86</v>
      </c>
      <c r="I789" s="11">
        <v>1500000</v>
      </c>
      <c r="J789" s="11">
        <v>3436759</v>
      </c>
      <c r="K789" s="11">
        <v>1490302</v>
      </c>
      <c r="L789" s="3">
        <v>463</v>
      </c>
      <c r="M789" s="3">
        <v>2760</v>
      </c>
      <c r="N789" s="3">
        <v>1889868</v>
      </c>
      <c r="O789" s="2">
        <v>0.13200000000000001</v>
      </c>
      <c r="P789" s="2">
        <v>0.89500000000000002</v>
      </c>
      <c r="Q789" s="2">
        <v>-0.04</v>
      </c>
      <c r="R789" s="11">
        <v>293786312</v>
      </c>
      <c r="S789" s="11">
        <v>695012</v>
      </c>
      <c r="T789">
        <v>2017</v>
      </c>
      <c r="U789">
        <v>5</v>
      </c>
      <c r="V789">
        <f t="shared" si="72"/>
        <v>650000</v>
      </c>
      <c r="W789">
        <f t="shared" si="73"/>
        <v>18429897</v>
      </c>
      <c r="X789">
        <f t="shared" si="74"/>
        <v>17779897</v>
      </c>
      <c r="Y789">
        <f t="shared" si="75"/>
        <v>-26019845.5</v>
      </c>
      <c r="Z789">
        <f t="shared" si="76"/>
        <v>45099742.5</v>
      </c>
      <c r="AA789" t="str">
        <f t="shared" si="77"/>
        <v>Normal</v>
      </c>
      <c r="AE789" s="2"/>
      <c r="AF789" s="2"/>
    </row>
    <row r="790" spans="1:32" x14ac:dyDescent="0.35">
      <c r="A790">
        <v>789</v>
      </c>
      <c r="B790" s="1">
        <v>42857</v>
      </c>
      <c r="C790" s="9" t="s">
        <v>1472</v>
      </c>
      <c r="D790" s="9" t="s">
        <v>4928</v>
      </c>
      <c r="E790" s="9" t="s">
        <v>6321</v>
      </c>
      <c r="F790" s="9" t="s">
        <v>15</v>
      </c>
      <c r="G790" s="9" t="s">
        <v>1473</v>
      </c>
      <c r="H790" s="9" t="s">
        <v>105</v>
      </c>
      <c r="I790" s="11">
        <v>10000000</v>
      </c>
      <c r="J790" s="11">
        <v>2731659</v>
      </c>
      <c r="K790" s="11">
        <v>9183412</v>
      </c>
      <c r="L790" s="3">
        <v>363</v>
      </c>
      <c r="M790" s="3">
        <v>183</v>
      </c>
      <c r="N790" s="3">
        <v>1127762</v>
      </c>
      <c r="O790" s="2">
        <v>0.124</v>
      </c>
      <c r="P790" s="2">
        <v>0.41</v>
      </c>
      <c r="Q790" s="2">
        <v>7.2999999999999995E-2</v>
      </c>
      <c r="R790" s="11">
        <v>197415210</v>
      </c>
      <c r="S790" s="11">
        <v>663281</v>
      </c>
      <c r="T790">
        <v>2017</v>
      </c>
      <c r="U790">
        <v>5</v>
      </c>
      <c r="V790">
        <f t="shared" si="72"/>
        <v>650000</v>
      </c>
      <c r="W790">
        <f t="shared" si="73"/>
        <v>18429897</v>
      </c>
      <c r="X790">
        <f t="shared" si="74"/>
        <v>17779897</v>
      </c>
      <c r="Y790">
        <f t="shared" si="75"/>
        <v>-26019845.5</v>
      </c>
      <c r="Z790">
        <f t="shared" si="76"/>
        <v>45099742.5</v>
      </c>
      <c r="AA790" t="str">
        <f t="shared" si="77"/>
        <v>Normal</v>
      </c>
      <c r="AE790" s="2"/>
      <c r="AF790" s="2"/>
    </row>
    <row r="791" spans="1:32" x14ac:dyDescent="0.35">
      <c r="A791">
        <v>790</v>
      </c>
      <c r="B791" s="1">
        <v>42857</v>
      </c>
      <c r="C791" s="9" t="s">
        <v>1474</v>
      </c>
      <c r="D791" s="9" t="s">
        <v>4988</v>
      </c>
      <c r="E791" s="9" t="s">
        <v>6322</v>
      </c>
      <c r="F791" s="9" t="s">
        <v>31</v>
      </c>
      <c r="G791" s="9" t="s">
        <v>1475</v>
      </c>
      <c r="H791" s="9" t="s">
        <v>105</v>
      </c>
      <c r="I791" s="11">
        <v>18429897</v>
      </c>
      <c r="J791" s="11">
        <v>81267</v>
      </c>
      <c r="K791" s="11">
        <v>12037370</v>
      </c>
      <c r="L791" s="3">
        <v>140</v>
      </c>
      <c r="M791" s="3">
        <v>4468</v>
      </c>
      <c r="N791" s="3">
        <v>530409</v>
      </c>
      <c r="O791" s="2">
        <v>9.9000000000000005E-2</v>
      </c>
      <c r="P791" s="2">
        <v>0.4</v>
      </c>
      <c r="Q791" s="2">
        <v>0.36749999999999999</v>
      </c>
      <c r="R791" s="11">
        <v>208187258</v>
      </c>
      <c r="S791" s="11">
        <v>938377</v>
      </c>
      <c r="T791">
        <v>2017</v>
      </c>
      <c r="U791">
        <v>5</v>
      </c>
      <c r="V791">
        <f t="shared" si="72"/>
        <v>650000</v>
      </c>
      <c r="W791">
        <f t="shared" si="73"/>
        <v>18429897</v>
      </c>
      <c r="X791">
        <f t="shared" si="74"/>
        <v>17779897</v>
      </c>
      <c r="Y791">
        <f t="shared" si="75"/>
        <v>-26019845.5</v>
      </c>
      <c r="Z791">
        <f t="shared" si="76"/>
        <v>45099742.5</v>
      </c>
      <c r="AA791" t="str">
        <f t="shared" si="77"/>
        <v>Normal</v>
      </c>
      <c r="AE791" s="2"/>
      <c r="AF791" s="2"/>
    </row>
    <row r="792" spans="1:32" x14ac:dyDescent="0.35">
      <c r="A792">
        <v>791</v>
      </c>
      <c r="B792" s="1">
        <v>42857</v>
      </c>
      <c r="C792" s="9" t="s">
        <v>1476</v>
      </c>
      <c r="D792" s="9" t="s">
        <v>4988</v>
      </c>
      <c r="E792" s="9" t="s">
        <v>6323</v>
      </c>
      <c r="F792" s="9" t="s">
        <v>15</v>
      </c>
      <c r="G792" s="9" t="s">
        <v>856</v>
      </c>
      <c r="H792" s="9" t="s">
        <v>86</v>
      </c>
      <c r="I792" s="11">
        <v>390000</v>
      </c>
      <c r="J792" s="11">
        <v>496474</v>
      </c>
      <c r="K792" s="11">
        <v>13547972</v>
      </c>
      <c r="L792" s="3">
        <v>305</v>
      </c>
      <c r="M792" s="3">
        <v>2505.5</v>
      </c>
      <c r="N792" s="3">
        <v>200911</v>
      </c>
      <c r="O792" s="2">
        <v>0.43200000000000005</v>
      </c>
      <c r="P792" s="2">
        <v>0.53799999999999992</v>
      </c>
      <c r="Q792" s="2">
        <v>0.14299999999999999</v>
      </c>
      <c r="R792" s="11">
        <v>313594428</v>
      </c>
      <c r="S792" s="11">
        <v>1076809</v>
      </c>
      <c r="T792">
        <v>2017</v>
      </c>
      <c r="U792">
        <v>5</v>
      </c>
      <c r="V792">
        <f t="shared" si="72"/>
        <v>650000</v>
      </c>
      <c r="W792">
        <f t="shared" si="73"/>
        <v>18429897</v>
      </c>
      <c r="X792">
        <f t="shared" si="74"/>
        <v>17779897</v>
      </c>
      <c r="Y792">
        <f t="shared" si="75"/>
        <v>-26019845.5</v>
      </c>
      <c r="Z792">
        <f t="shared" si="76"/>
        <v>45099742.5</v>
      </c>
      <c r="AA792" t="str">
        <f t="shared" si="77"/>
        <v>Normal</v>
      </c>
      <c r="AE792" s="2"/>
      <c r="AF792" s="2"/>
    </row>
    <row r="793" spans="1:32" x14ac:dyDescent="0.35">
      <c r="A793">
        <v>792</v>
      </c>
      <c r="B793" s="1">
        <v>42858</v>
      </c>
      <c r="C793" s="9" t="s">
        <v>1407</v>
      </c>
      <c r="D793" s="9" t="s">
        <v>4988</v>
      </c>
      <c r="E793" s="9" t="s">
        <v>6288</v>
      </c>
      <c r="F793" s="9" t="s">
        <v>15</v>
      </c>
      <c r="G793" s="9" t="s">
        <v>4837</v>
      </c>
      <c r="H793" s="9" t="s">
        <v>105</v>
      </c>
      <c r="I793" s="11">
        <v>104500000</v>
      </c>
      <c r="J793" s="11">
        <v>2282503</v>
      </c>
      <c r="K793" s="11">
        <v>2230704</v>
      </c>
      <c r="L793" s="3">
        <v>234</v>
      </c>
      <c r="M793" s="3">
        <v>3590</v>
      </c>
      <c r="N793" s="3">
        <v>1719861</v>
      </c>
      <c r="O793" s="2">
        <v>8.5000000000000006E-2</v>
      </c>
      <c r="P793" s="2">
        <v>1.1350000000000001E-2</v>
      </c>
      <c r="Q793" s="2">
        <v>1.3000000000000001E-2</v>
      </c>
      <c r="R793" s="11">
        <v>454341613</v>
      </c>
      <c r="S793" s="11">
        <v>922944</v>
      </c>
      <c r="T793">
        <v>2017</v>
      </c>
      <c r="U793">
        <v>5</v>
      </c>
      <c r="V793">
        <f t="shared" si="72"/>
        <v>650000</v>
      </c>
      <c r="W793">
        <f t="shared" si="73"/>
        <v>18429897</v>
      </c>
      <c r="X793">
        <f t="shared" si="74"/>
        <v>17779897</v>
      </c>
      <c r="Y793">
        <f t="shared" si="75"/>
        <v>-26019845.5</v>
      </c>
      <c r="Z793">
        <f t="shared" si="76"/>
        <v>45099742.5</v>
      </c>
      <c r="AA793" t="str">
        <f t="shared" si="77"/>
        <v>Outlier</v>
      </c>
      <c r="AE793" s="2"/>
      <c r="AF793" s="2"/>
    </row>
    <row r="794" spans="1:32" x14ac:dyDescent="0.35">
      <c r="A794">
        <v>793</v>
      </c>
      <c r="B794" s="1">
        <v>42858</v>
      </c>
      <c r="C794" s="9" t="s">
        <v>970</v>
      </c>
      <c r="D794" s="9" t="s">
        <v>4930</v>
      </c>
      <c r="E794" s="9" t="s">
        <v>6324</v>
      </c>
      <c r="F794" s="9" t="s">
        <v>15</v>
      </c>
      <c r="G794" s="9" t="s">
        <v>856</v>
      </c>
      <c r="H794" s="9" t="s">
        <v>86</v>
      </c>
      <c r="I794" s="11">
        <v>1000000</v>
      </c>
      <c r="J794" s="11">
        <v>3618475</v>
      </c>
      <c r="K794" s="11">
        <v>159631</v>
      </c>
      <c r="L794" s="3">
        <v>166</v>
      </c>
      <c r="M794" s="3">
        <v>2505.5</v>
      </c>
      <c r="N794" s="3">
        <v>1047578</v>
      </c>
      <c r="O794" s="2">
        <v>0.29299999999999998</v>
      </c>
      <c r="P794" s="2">
        <v>0.64400000000000002</v>
      </c>
      <c r="Q794" s="2">
        <v>0.30199999999999999</v>
      </c>
      <c r="R794" s="11">
        <v>267038600</v>
      </c>
      <c r="S794" s="11">
        <v>1604282</v>
      </c>
      <c r="T794">
        <v>2017</v>
      </c>
      <c r="U794">
        <v>5</v>
      </c>
      <c r="V794">
        <f t="shared" si="72"/>
        <v>650000</v>
      </c>
      <c r="W794">
        <f t="shared" si="73"/>
        <v>18429897</v>
      </c>
      <c r="X794">
        <f t="shared" si="74"/>
        <v>17779897</v>
      </c>
      <c r="Y794">
        <f t="shared" si="75"/>
        <v>-26019845.5</v>
      </c>
      <c r="Z794">
        <f t="shared" si="76"/>
        <v>45099742.5</v>
      </c>
      <c r="AA794" t="str">
        <f t="shared" si="77"/>
        <v>Normal</v>
      </c>
      <c r="AE794" s="2"/>
      <c r="AF794" s="2"/>
    </row>
    <row r="795" spans="1:32" x14ac:dyDescent="0.35">
      <c r="A795">
        <v>794</v>
      </c>
      <c r="B795" s="1">
        <v>42859</v>
      </c>
      <c r="C795" s="9" t="s">
        <v>52</v>
      </c>
      <c r="D795" s="9" t="s">
        <v>4988</v>
      </c>
      <c r="E795" s="9" t="s">
        <v>6325</v>
      </c>
      <c r="F795" s="9" t="s">
        <v>27</v>
      </c>
      <c r="G795" s="9" t="s">
        <v>1477</v>
      </c>
      <c r="H795" s="9" t="s">
        <v>105</v>
      </c>
      <c r="I795" s="11">
        <v>18429897</v>
      </c>
      <c r="J795" s="11">
        <v>2531926</v>
      </c>
      <c r="K795" s="11">
        <v>5605614</v>
      </c>
      <c r="L795" s="3">
        <v>159</v>
      </c>
      <c r="M795" s="3">
        <v>1866</v>
      </c>
      <c r="N795" s="3">
        <v>1132746</v>
      </c>
      <c r="O795" s="2">
        <v>0.246</v>
      </c>
      <c r="P795" s="2">
        <v>0.45700000000000002</v>
      </c>
      <c r="Q795" s="2">
        <v>0.254</v>
      </c>
      <c r="R795" s="11">
        <v>201493799</v>
      </c>
      <c r="S795" s="11">
        <v>1147107</v>
      </c>
      <c r="T795">
        <v>2017</v>
      </c>
      <c r="U795">
        <v>5</v>
      </c>
      <c r="V795">
        <f t="shared" si="72"/>
        <v>650000</v>
      </c>
      <c r="W795">
        <f t="shared" si="73"/>
        <v>18429897</v>
      </c>
      <c r="X795">
        <f t="shared" si="74"/>
        <v>17779897</v>
      </c>
      <c r="Y795">
        <f t="shared" si="75"/>
        <v>-26019845.5</v>
      </c>
      <c r="Z795">
        <f t="shared" si="76"/>
        <v>45099742.5</v>
      </c>
      <c r="AA795" t="str">
        <f t="shared" si="77"/>
        <v>Normal</v>
      </c>
      <c r="AE795" s="2"/>
      <c r="AF795" s="2"/>
    </row>
    <row r="796" spans="1:32" x14ac:dyDescent="0.35">
      <c r="A796">
        <v>795</v>
      </c>
      <c r="B796" s="1">
        <v>42860</v>
      </c>
      <c r="C796" s="9" t="s">
        <v>1478</v>
      </c>
      <c r="D796" s="9" t="s">
        <v>4988</v>
      </c>
      <c r="E796" s="9" t="s">
        <v>6326</v>
      </c>
      <c r="F796" s="9" t="s">
        <v>27</v>
      </c>
      <c r="G796" s="9" t="s">
        <v>1479</v>
      </c>
      <c r="H796" s="9" t="s">
        <v>86</v>
      </c>
      <c r="I796" s="11">
        <v>18429897</v>
      </c>
      <c r="J796" s="11">
        <v>2167881</v>
      </c>
      <c r="K796" s="11">
        <v>2472931</v>
      </c>
      <c r="L796" s="3">
        <v>42</v>
      </c>
      <c r="M796" s="3">
        <v>1883</v>
      </c>
      <c r="N796" s="3">
        <v>1906525</v>
      </c>
      <c r="O796" s="2">
        <v>0.29799999999999999</v>
      </c>
      <c r="P796" s="2">
        <v>0.72</v>
      </c>
      <c r="Q796" s="2">
        <v>-0.13100000000000001</v>
      </c>
      <c r="R796" s="11">
        <v>118384633</v>
      </c>
      <c r="S796" s="11">
        <v>1822173</v>
      </c>
      <c r="T796">
        <v>2017</v>
      </c>
      <c r="U796">
        <v>5</v>
      </c>
      <c r="V796">
        <f t="shared" si="72"/>
        <v>650000</v>
      </c>
      <c r="W796">
        <f t="shared" si="73"/>
        <v>18429897</v>
      </c>
      <c r="X796">
        <f t="shared" si="74"/>
        <v>17779897</v>
      </c>
      <c r="Y796">
        <f t="shared" si="75"/>
        <v>-26019845.5</v>
      </c>
      <c r="Z796">
        <f t="shared" si="76"/>
        <v>45099742.5</v>
      </c>
      <c r="AA796" t="str">
        <f t="shared" si="77"/>
        <v>Normal</v>
      </c>
      <c r="AE796" s="2"/>
      <c r="AF796" s="2"/>
    </row>
    <row r="797" spans="1:32" x14ac:dyDescent="0.35">
      <c r="A797">
        <v>796</v>
      </c>
      <c r="B797" s="1">
        <v>42860</v>
      </c>
      <c r="C797" s="9" t="s">
        <v>1480</v>
      </c>
      <c r="D797" s="9" t="s">
        <v>4988</v>
      </c>
      <c r="E797" s="9" t="s">
        <v>6327</v>
      </c>
      <c r="F797" s="9" t="s">
        <v>31</v>
      </c>
      <c r="G797" s="9" t="s">
        <v>1481</v>
      </c>
      <c r="H797" s="9" t="s">
        <v>86</v>
      </c>
      <c r="I797" s="11">
        <v>18429897</v>
      </c>
      <c r="J797" s="11">
        <v>1490887</v>
      </c>
      <c r="K797" s="11">
        <v>10193009</v>
      </c>
      <c r="L797" s="3">
        <v>487</v>
      </c>
      <c r="M797" s="3">
        <v>2773</v>
      </c>
      <c r="N797" s="3">
        <v>742641</v>
      </c>
      <c r="O797" s="2">
        <v>-8.3000000000000004E-2</v>
      </c>
      <c r="P797" s="2">
        <v>0.38</v>
      </c>
      <c r="Q797" s="2">
        <v>0.41399999999999998</v>
      </c>
      <c r="R797" s="11">
        <v>47877530</v>
      </c>
      <c r="S797" s="11">
        <v>417068</v>
      </c>
      <c r="T797">
        <v>2017</v>
      </c>
      <c r="U797">
        <v>5</v>
      </c>
      <c r="V797">
        <f t="shared" si="72"/>
        <v>650000</v>
      </c>
      <c r="W797">
        <f t="shared" si="73"/>
        <v>18429897</v>
      </c>
      <c r="X797">
        <f t="shared" si="74"/>
        <v>17779897</v>
      </c>
      <c r="Y797">
        <f t="shared" si="75"/>
        <v>-26019845.5</v>
      </c>
      <c r="Z797">
        <f t="shared" si="76"/>
        <v>45099742.5</v>
      </c>
      <c r="AA797" t="str">
        <f t="shared" si="77"/>
        <v>Normal</v>
      </c>
      <c r="AE797" s="2"/>
      <c r="AF797" s="2"/>
    </row>
    <row r="798" spans="1:32" x14ac:dyDescent="0.35">
      <c r="A798">
        <v>797</v>
      </c>
      <c r="B798" s="1">
        <v>42860</v>
      </c>
      <c r="C798" s="9" t="s">
        <v>1482</v>
      </c>
      <c r="D798" s="9" t="s">
        <v>4988</v>
      </c>
      <c r="E798" s="9" t="s">
        <v>2504</v>
      </c>
      <c r="F798" s="9" t="s">
        <v>124</v>
      </c>
      <c r="G798" s="9" t="s">
        <v>1483</v>
      </c>
      <c r="H798" s="9" t="s">
        <v>86</v>
      </c>
      <c r="I798" s="11">
        <v>18429897</v>
      </c>
      <c r="J798" s="11">
        <v>4842185</v>
      </c>
      <c r="K798" s="11">
        <v>18398123</v>
      </c>
      <c r="L798" s="3">
        <v>463</v>
      </c>
      <c r="M798" s="3">
        <v>1936</v>
      </c>
      <c r="N798" s="3">
        <v>200175</v>
      </c>
      <c r="O798" s="2">
        <v>0.26100000000000001</v>
      </c>
      <c r="P798" s="2">
        <v>0.96499999999999997</v>
      </c>
      <c r="Q798" s="2">
        <v>-8.1000000000000003E-2</v>
      </c>
      <c r="R798" s="11">
        <v>399592751</v>
      </c>
      <c r="S798" s="11">
        <v>1747283</v>
      </c>
      <c r="T798">
        <v>2017</v>
      </c>
      <c r="U798">
        <v>5</v>
      </c>
      <c r="V798">
        <f t="shared" si="72"/>
        <v>650000</v>
      </c>
      <c r="W798">
        <f t="shared" si="73"/>
        <v>18429897</v>
      </c>
      <c r="X798">
        <f t="shared" si="74"/>
        <v>17779897</v>
      </c>
      <c r="Y798">
        <f t="shared" si="75"/>
        <v>-26019845.5</v>
      </c>
      <c r="Z798">
        <f t="shared" si="76"/>
        <v>45099742.5</v>
      </c>
      <c r="AA798" t="str">
        <f t="shared" si="77"/>
        <v>Normal</v>
      </c>
      <c r="AE798" s="2"/>
      <c r="AF798" s="2"/>
    </row>
    <row r="799" spans="1:32" x14ac:dyDescent="0.35">
      <c r="A799">
        <v>798</v>
      </c>
      <c r="B799" s="1">
        <v>42860</v>
      </c>
      <c r="C799" s="9" t="s">
        <v>1484</v>
      </c>
      <c r="D799" s="9" t="s">
        <v>4930</v>
      </c>
      <c r="E799" s="9" t="s">
        <v>6328</v>
      </c>
      <c r="F799" s="9" t="s">
        <v>1485</v>
      </c>
      <c r="G799" s="9" t="s">
        <v>853</v>
      </c>
      <c r="H799" s="9" t="s">
        <v>105</v>
      </c>
      <c r="I799" s="11">
        <v>18429897</v>
      </c>
      <c r="J799" s="11">
        <v>2303569</v>
      </c>
      <c r="K799" s="11">
        <v>5798556</v>
      </c>
      <c r="L799" s="3">
        <v>435</v>
      </c>
      <c r="M799" s="3">
        <v>911</v>
      </c>
      <c r="N799" s="3">
        <v>1346850</v>
      </c>
      <c r="O799" s="2">
        <v>0.187</v>
      </c>
      <c r="P799" s="2">
        <v>0.51900000000000002</v>
      </c>
      <c r="Q799" s="2">
        <v>-0.18100000000000002</v>
      </c>
      <c r="R799" s="11">
        <v>186898039</v>
      </c>
      <c r="S799" s="11">
        <v>668380</v>
      </c>
      <c r="T799">
        <v>2017</v>
      </c>
      <c r="U799">
        <v>5</v>
      </c>
      <c r="V799">
        <f t="shared" si="72"/>
        <v>650000</v>
      </c>
      <c r="W799">
        <f t="shared" si="73"/>
        <v>18429897</v>
      </c>
      <c r="X799">
        <f t="shared" si="74"/>
        <v>17779897</v>
      </c>
      <c r="Y799">
        <f t="shared" si="75"/>
        <v>-26019845.5</v>
      </c>
      <c r="Z799">
        <f t="shared" si="76"/>
        <v>45099742.5</v>
      </c>
      <c r="AA799" t="str">
        <f t="shared" si="77"/>
        <v>Normal</v>
      </c>
      <c r="AE799" s="2"/>
      <c r="AF799" s="2"/>
    </row>
    <row r="800" spans="1:32" x14ac:dyDescent="0.35">
      <c r="A800">
        <v>799</v>
      </c>
      <c r="B800" s="1">
        <v>42860</v>
      </c>
      <c r="C800" s="9" t="s">
        <v>1486</v>
      </c>
      <c r="D800" s="9" t="s">
        <v>4988</v>
      </c>
      <c r="E800" s="9" t="s">
        <v>6329</v>
      </c>
      <c r="F800" s="9" t="s">
        <v>15</v>
      </c>
      <c r="G800" s="9" t="s">
        <v>1487</v>
      </c>
      <c r="H800" s="9" t="s">
        <v>86</v>
      </c>
      <c r="I800" s="11">
        <v>233000</v>
      </c>
      <c r="J800" s="11">
        <v>1590640</v>
      </c>
      <c r="K800" s="11">
        <v>9128801</v>
      </c>
      <c r="L800" s="3">
        <v>160</v>
      </c>
      <c r="M800" s="3">
        <v>3627</v>
      </c>
      <c r="N800" s="3">
        <v>1942377</v>
      </c>
      <c r="O800" s="2">
        <v>-0.11800000000000001</v>
      </c>
      <c r="P800" s="2">
        <v>1.1830000000000001</v>
      </c>
      <c r="Q800" s="2">
        <v>0.36399999999999999</v>
      </c>
      <c r="R800" s="11">
        <v>420922378</v>
      </c>
      <c r="S800" s="11">
        <v>738681</v>
      </c>
      <c r="T800">
        <v>2017</v>
      </c>
      <c r="U800">
        <v>5</v>
      </c>
      <c r="V800">
        <f t="shared" si="72"/>
        <v>650000</v>
      </c>
      <c r="W800">
        <f t="shared" si="73"/>
        <v>18429897</v>
      </c>
      <c r="X800">
        <f t="shared" si="74"/>
        <v>17779897</v>
      </c>
      <c r="Y800">
        <f t="shared" si="75"/>
        <v>-26019845.5</v>
      </c>
      <c r="Z800">
        <f t="shared" si="76"/>
        <v>45099742.5</v>
      </c>
      <c r="AA800" t="str">
        <f t="shared" si="77"/>
        <v>Normal</v>
      </c>
      <c r="AE800" s="2"/>
      <c r="AF800" s="2"/>
    </row>
    <row r="801" spans="1:32" x14ac:dyDescent="0.35">
      <c r="A801">
        <v>800</v>
      </c>
      <c r="B801" s="1">
        <v>42863</v>
      </c>
      <c r="C801" s="9" t="s">
        <v>1488</v>
      </c>
      <c r="D801" s="9" t="s">
        <v>4925</v>
      </c>
      <c r="E801" s="9" t="s">
        <v>5307</v>
      </c>
      <c r="F801" s="9" t="s">
        <v>19</v>
      </c>
      <c r="G801" s="9" t="s">
        <v>1489</v>
      </c>
      <c r="H801" s="9" t="s">
        <v>105</v>
      </c>
      <c r="I801" s="11">
        <v>700000</v>
      </c>
      <c r="J801" s="11">
        <v>2222724</v>
      </c>
      <c r="K801" s="11">
        <v>4378427</v>
      </c>
      <c r="L801" s="3">
        <v>498</v>
      </c>
      <c r="M801" s="3">
        <v>3387</v>
      </c>
      <c r="N801" s="3">
        <v>340079</v>
      </c>
      <c r="O801" s="2">
        <v>7.8E-2</v>
      </c>
      <c r="P801" s="2">
        <v>0.83</v>
      </c>
      <c r="Q801" s="2">
        <v>-4.8000000000000001E-2</v>
      </c>
      <c r="R801" s="11">
        <v>382396372</v>
      </c>
      <c r="S801" s="11">
        <v>1008193.5</v>
      </c>
      <c r="T801">
        <v>2017</v>
      </c>
      <c r="U801">
        <v>5</v>
      </c>
      <c r="V801">
        <f t="shared" si="72"/>
        <v>650000</v>
      </c>
      <c r="W801">
        <f t="shared" si="73"/>
        <v>18429897</v>
      </c>
      <c r="X801">
        <f t="shared" si="74"/>
        <v>17779897</v>
      </c>
      <c r="Y801">
        <f t="shared" si="75"/>
        <v>-26019845.5</v>
      </c>
      <c r="Z801">
        <f t="shared" si="76"/>
        <v>45099742.5</v>
      </c>
      <c r="AA801" t="str">
        <f t="shared" si="77"/>
        <v>Normal</v>
      </c>
      <c r="AE801" s="2"/>
      <c r="AF801" s="2"/>
    </row>
    <row r="802" spans="1:32" x14ac:dyDescent="0.35">
      <c r="A802">
        <v>801</v>
      </c>
      <c r="B802" s="1">
        <v>42863</v>
      </c>
      <c r="C802" s="9" t="s">
        <v>1490</v>
      </c>
      <c r="D802" s="9" t="s">
        <v>4988</v>
      </c>
      <c r="E802" s="9" t="s">
        <v>6330</v>
      </c>
      <c r="F802" s="9" t="s">
        <v>27</v>
      </c>
      <c r="G802" s="9" t="s">
        <v>1491</v>
      </c>
      <c r="H802" s="9" t="s">
        <v>86</v>
      </c>
      <c r="I802" s="11">
        <v>18429897</v>
      </c>
      <c r="J802" s="11">
        <v>80216</v>
      </c>
      <c r="K802" s="11">
        <v>975138</v>
      </c>
      <c r="L802" s="3">
        <v>141</v>
      </c>
      <c r="M802" s="3">
        <v>3030</v>
      </c>
      <c r="N802" s="3">
        <v>1975281</v>
      </c>
      <c r="O802" s="2">
        <v>0.57899999999999996</v>
      </c>
      <c r="P802" s="2">
        <v>0.81200000000000006</v>
      </c>
      <c r="Q802" s="2">
        <v>0.124</v>
      </c>
      <c r="R802" s="11">
        <v>250264963</v>
      </c>
      <c r="S802" s="11">
        <v>361186</v>
      </c>
      <c r="T802">
        <v>2017</v>
      </c>
      <c r="U802">
        <v>5</v>
      </c>
      <c r="V802">
        <f t="shared" si="72"/>
        <v>650000</v>
      </c>
      <c r="W802">
        <f t="shared" si="73"/>
        <v>18429897</v>
      </c>
      <c r="X802">
        <f t="shared" si="74"/>
        <v>17779897</v>
      </c>
      <c r="Y802">
        <f t="shared" si="75"/>
        <v>-26019845.5</v>
      </c>
      <c r="Z802">
        <f t="shared" si="76"/>
        <v>45099742.5</v>
      </c>
      <c r="AA802" t="str">
        <f t="shared" si="77"/>
        <v>Normal</v>
      </c>
      <c r="AE802" s="2"/>
      <c r="AF802" s="2"/>
    </row>
    <row r="803" spans="1:32" x14ac:dyDescent="0.35">
      <c r="A803">
        <v>802</v>
      </c>
      <c r="B803" s="1">
        <v>42863</v>
      </c>
      <c r="C803" s="9" t="s">
        <v>1492</v>
      </c>
      <c r="D803" s="9" t="s">
        <v>4930</v>
      </c>
      <c r="E803" s="9" t="s">
        <v>6331</v>
      </c>
      <c r="F803" s="9" t="s">
        <v>41</v>
      </c>
      <c r="G803" s="9" t="s">
        <v>1493</v>
      </c>
      <c r="H803" s="9" t="s">
        <v>86</v>
      </c>
      <c r="I803" s="11">
        <v>18429897</v>
      </c>
      <c r="J803" s="11">
        <v>1523598</v>
      </c>
      <c r="K803" s="11">
        <v>14093389</v>
      </c>
      <c r="L803" s="3">
        <v>413</v>
      </c>
      <c r="M803" s="3">
        <v>3721</v>
      </c>
      <c r="N803" s="3">
        <v>1082223</v>
      </c>
      <c r="O803" s="2">
        <v>4.2000000000000003E-2</v>
      </c>
      <c r="P803" s="2">
        <v>0.49099999999999999</v>
      </c>
      <c r="Q803" s="2">
        <v>-0.222</v>
      </c>
      <c r="R803" s="11">
        <v>334440464</v>
      </c>
      <c r="S803" s="11">
        <v>1799570</v>
      </c>
      <c r="T803">
        <v>2017</v>
      </c>
      <c r="U803">
        <v>5</v>
      </c>
      <c r="V803">
        <f t="shared" si="72"/>
        <v>650000</v>
      </c>
      <c r="W803">
        <f t="shared" si="73"/>
        <v>18429897</v>
      </c>
      <c r="X803">
        <f t="shared" si="74"/>
        <v>17779897</v>
      </c>
      <c r="Y803">
        <f t="shared" si="75"/>
        <v>-26019845.5</v>
      </c>
      <c r="Z803">
        <f t="shared" si="76"/>
        <v>45099742.5</v>
      </c>
      <c r="AA803" t="str">
        <f t="shared" si="77"/>
        <v>Normal</v>
      </c>
      <c r="AE803" s="2"/>
      <c r="AF803" s="2"/>
    </row>
    <row r="804" spans="1:32" x14ac:dyDescent="0.35">
      <c r="A804">
        <v>803</v>
      </c>
      <c r="B804" s="1">
        <v>42863</v>
      </c>
      <c r="C804" s="9" t="s">
        <v>1494</v>
      </c>
      <c r="D804" s="9" t="s">
        <v>4939</v>
      </c>
      <c r="E804" s="9" t="s">
        <v>6332</v>
      </c>
      <c r="F804" s="9" t="s">
        <v>27</v>
      </c>
      <c r="G804" s="9" t="s">
        <v>1495</v>
      </c>
      <c r="H804" s="9" t="s">
        <v>86</v>
      </c>
      <c r="I804" s="11">
        <v>1000000</v>
      </c>
      <c r="J804" s="11">
        <v>2587461</v>
      </c>
      <c r="K804" s="11">
        <v>5202328</v>
      </c>
      <c r="L804" s="3">
        <v>54</v>
      </c>
      <c r="M804" s="3">
        <v>2615</v>
      </c>
      <c r="N804" s="3">
        <v>1121470</v>
      </c>
      <c r="O804" s="2">
        <v>4.5999999999999999E-2</v>
      </c>
      <c r="P804" s="2">
        <v>0.37799999999999995</v>
      </c>
      <c r="Q804" s="2">
        <v>0.8</v>
      </c>
      <c r="R804" s="11">
        <v>13465797</v>
      </c>
      <c r="S804" s="11">
        <v>1123263</v>
      </c>
      <c r="T804">
        <v>2017</v>
      </c>
      <c r="U804">
        <v>5</v>
      </c>
      <c r="V804">
        <f t="shared" si="72"/>
        <v>650000</v>
      </c>
      <c r="W804">
        <f t="shared" si="73"/>
        <v>18429897</v>
      </c>
      <c r="X804">
        <f t="shared" si="74"/>
        <v>17779897</v>
      </c>
      <c r="Y804">
        <f t="shared" si="75"/>
        <v>-26019845.5</v>
      </c>
      <c r="Z804">
        <f t="shared" si="76"/>
        <v>45099742.5</v>
      </c>
      <c r="AA804" t="str">
        <f t="shared" si="77"/>
        <v>Normal</v>
      </c>
      <c r="AE804" s="2"/>
      <c r="AF804" s="2"/>
    </row>
    <row r="805" spans="1:32" x14ac:dyDescent="0.35">
      <c r="A805">
        <v>804</v>
      </c>
      <c r="B805" s="1">
        <v>42863</v>
      </c>
      <c r="C805" s="9" t="s">
        <v>1177</v>
      </c>
      <c r="D805" s="9" t="s">
        <v>4930</v>
      </c>
      <c r="E805" s="9" t="s">
        <v>6333</v>
      </c>
      <c r="F805" s="9" t="s">
        <v>15</v>
      </c>
      <c r="G805" s="9" t="s">
        <v>1496</v>
      </c>
      <c r="H805" s="9" t="s">
        <v>105</v>
      </c>
      <c r="I805" s="11">
        <v>5000000</v>
      </c>
      <c r="J805" s="11">
        <v>4593840</v>
      </c>
      <c r="K805" s="11">
        <v>10985286</v>
      </c>
      <c r="L805" s="3">
        <v>158</v>
      </c>
      <c r="M805" s="3">
        <v>4645</v>
      </c>
      <c r="N805" s="3">
        <v>1919466</v>
      </c>
      <c r="O805" s="2">
        <v>0.21</v>
      </c>
      <c r="P805" s="2">
        <v>0.27800000000000002</v>
      </c>
      <c r="Q805" s="2">
        <v>7.0999999999999994E-2</v>
      </c>
      <c r="R805" s="11">
        <v>237484928</v>
      </c>
      <c r="S805" s="11">
        <v>1179307</v>
      </c>
      <c r="T805">
        <v>2017</v>
      </c>
      <c r="U805">
        <v>5</v>
      </c>
      <c r="V805">
        <f t="shared" si="72"/>
        <v>650000</v>
      </c>
      <c r="W805">
        <f t="shared" si="73"/>
        <v>18429897</v>
      </c>
      <c r="X805">
        <f t="shared" si="74"/>
        <v>17779897</v>
      </c>
      <c r="Y805">
        <f t="shared" si="75"/>
        <v>-26019845.5</v>
      </c>
      <c r="Z805">
        <f t="shared" si="76"/>
        <v>45099742.5</v>
      </c>
      <c r="AA805" t="str">
        <f t="shared" si="77"/>
        <v>Normal</v>
      </c>
      <c r="AE805" s="2"/>
      <c r="AF805" s="2"/>
    </row>
    <row r="806" spans="1:32" x14ac:dyDescent="0.35">
      <c r="A806">
        <v>805</v>
      </c>
      <c r="B806" s="1">
        <v>42863</v>
      </c>
      <c r="C806" s="9" t="s">
        <v>857</v>
      </c>
      <c r="D806" s="9" t="s">
        <v>4930</v>
      </c>
      <c r="E806" s="9" t="s">
        <v>5149</v>
      </c>
      <c r="F806" s="9" t="s">
        <v>15</v>
      </c>
      <c r="G806" s="9" t="s">
        <v>1497</v>
      </c>
      <c r="H806" s="9" t="s">
        <v>105</v>
      </c>
      <c r="I806" s="11">
        <v>3200000</v>
      </c>
      <c r="J806" s="11">
        <v>3696365</v>
      </c>
      <c r="K806" s="11">
        <v>13693537</v>
      </c>
      <c r="L806" s="3">
        <v>290</v>
      </c>
      <c r="M806" s="3">
        <v>4437</v>
      </c>
      <c r="N806" s="3">
        <v>664944</v>
      </c>
      <c r="O806" s="2">
        <v>1.2E-2</v>
      </c>
      <c r="P806" s="2">
        <v>1.056</v>
      </c>
      <c r="Q806" s="2">
        <v>0.2</v>
      </c>
      <c r="R806" s="11">
        <v>250264963</v>
      </c>
      <c r="S806" s="11">
        <v>1745365</v>
      </c>
      <c r="T806">
        <v>2017</v>
      </c>
      <c r="U806">
        <v>5</v>
      </c>
      <c r="V806">
        <f t="shared" si="72"/>
        <v>650000</v>
      </c>
      <c r="W806">
        <f t="shared" si="73"/>
        <v>18429897</v>
      </c>
      <c r="X806">
        <f t="shared" si="74"/>
        <v>17779897</v>
      </c>
      <c r="Y806">
        <f t="shared" si="75"/>
        <v>-26019845.5</v>
      </c>
      <c r="Z806">
        <f t="shared" si="76"/>
        <v>45099742.5</v>
      </c>
      <c r="AA806" t="str">
        <f t="shared" si="77"/>
        <v>Normal</v>
      </c>
      <c r="AE806" s="2"/>
      <c r="AF806" s="2"/>
    </row>
    <row r="807" spans="1:32" x14ac:dyDescent="0.35">
      <c r="A807">
        <v>806</v>
      </c>
      <c r="B807" s="1">
        <v>42864</v>
      </c>
      <c r="C807" s="9" t="s">
        <v>1498</v>
      </c>
      <c r="D807" s="9" t="s">
        <v>4930</v>
      </c>
      <c r="E807" s="9" t="s">
        <v>6334</v>
      </c>
      <c r="F807" s="9" t="s">
        <v>27</v>
      </c>
      <c r="G807" s="9" t="s">
        <v>1499</v>
      </c>
      <c r="H807" s="9" t="s">
        <v>86</v>
      </c>
      <c r="I807" s="11">
        <v>50000</v>
      </c>
      <c r="J807" s="11">
        <v>3910844</v>
      </c>
      <c r="K807" s="11">
        <v>16811248</v>
      </c>
      <c r="L807" s="3">
        <v>484</v>
      </c>
      <c r="M807" s="3">
        <v>4906</v>
      </c>
      <c r="N807" s="3">
        <v>1490779</v>
      </c>
      <c r="O807" s="2">
        <v>0.14800000000000002</v>
      </c>
      <c r="P807" s="2">
        <v>1.18</v>
      </c>
      <c r="Q807" s="2">
        <v>-2.7999999999999997E-2</v>
      </c>
      <c r="R807" s="11">
        <v>495673073</v>
      </c>
      <c r="S807" s="11">
        <v>1122638</v>
      </c>
      <c r="T807">
        <v>2017</v>
      </c>
      <c r="U807">
        <v>5</v>
      </c>
      <c r="V807">
        <f t="shared" si="72"/>
        <v>650000</v>
      </c>
      <c r="W807">
        <f t="shared" si="73"/>
        <v>18429897</v>
      </c>
      <c r="X807">
        <f t="shared" si="74"/>
        <v>17779897</v>
      </c>
      <c r="Y807">
        <f t="shared" si="75"/>
        <v>-26019845.5</v>
      </c>
      <c r="Z807">
        <f t="shared" si="76"/>
        <v>45099742.5</v>
      </c>
      <c r="AA807" t="str">
        <f t="shared" si="77"/>
        <v>Normal</v>
      </c>
      <c r="AE807" s="2"/>
      <c r="AF807" s="2"/>
    </row>
    <row r="808" spans="1:32" x14ac:dyDescent="0.35">
      <c r="A808">
        <v>807</v>
      </c>
      <c r="B808" s="1">
        <v>42864</v>
      </c>
      <c r="C808" s="9" t="s">
        <v>1500</v>
      </c>
      <c r="D808" s="9" t="s">
        <v>4930</v>
      </c>
      <c r="E808" s="9" t="s">
        <v>6335</v>
      </c>
      <c r="F808" s="9" t="s">
        <v>15</v>
      </c>
      <c r="G808" s="9" t="s">
        <v>1501</v>
      </c>
      <c r="H808" s="9" t="s">
        <v>86</v>
      </c>
      <c r="I808" s="11">
        <v>18429897</v>
      </c>
      <c r="J808" s="11">
        <v>2531926</v>
      </c>
      <c r="K808" s="11">
        <v>3792898</v>
      </c>
      <c r="L808" s="3">
        <v>136</v>
      </c>
      <c r="M808" s="3">
        <v>2505.5</v>
      </c>
      <c r="N808" s="3">
        <v>17368</v>
      </c>
      <c r="O808" s="2">
        <v>0.03</v>
      </c>
      <c r="P808" s="2">
        <v>0.41499999999999998</v>
      </c>
      <c r="Q808" s="2">
        <v>0.11</v>
      </c>
      <c r="R808" s="11">
        <v>379467514</v>
      </c>
      <c r="S808" s="11">
        <v>1613395</v>
      </c>
      <c r="T808">
        <v>2017</v>
      </c>
      <c r="U808">
        <v>5</v>
      </c>
      <c r="V808">
        <f t="shared" si="72"/>
        <v>650000</v>
      </c>
      <c r="W808">
        <f t="shared" si="73"/>
        <v>18429897</v>
      </c>
      <c r="X808">
        <f t="shared" si="74"/>
        <v>17779897</v>
      </c>
      <c r="Y808">
        <f t="shared" si="75"/>
        <v>-26019845.5</v>
      </c>
      <c r="Z808">
        <f t="shared" si="76"/>
        <v>45099742.5</v>
      </c>
      <c r="AA808" t="str">
        <f t="shared" si="77"/>
        <v>Normal</v>
      </c>
      <c r="AE808" s="2"/>
      <c r="AF808" s="2"/>
    </row>
    <row r="809" spans="1:32" x14ac:dyDescent="0.35">
      <c r="A809">
        <v>808</v>
      </c>
      <c r="B809" s="1">
        <v>42864</v>
      </c>
      <c r="C809" s="9" t="s">
        <v>429</v>
      </c>
      <c r="D809" s="9" t="s">
        <v>4930</v>
      </c>
      <c r="E809" s="9" t="s">
        <v>6336</v>
      </c>
      <c r="F809" s="9" t="s">
        <v>41</v>
      </c>
      <c r="G809" s="9" t="s">
        <v>1502</v>
      </c>
      <c r="H809" s="9" t="s">
        <v>105</v>
      </c>
      <c r="I809" s="11">
        <v>18429897</v>
      </c>
      <c r="J809" s="11">
        <v>570730</v>
      </c>
      <c r="K809" s="11">
        <v>11666667</v>
      </c>
      <c r="L809" s="3">
        <v>219</v>
      </c>
      <c r="M809" s="3">
        <v>554</v>
      </c>
      <c r="N809" s="3">
        <v>1342813</v>
      </c>
      <c r="O809" s="2">
        <v>0.2</v>
      </c>
      <c r="P809" s="2">
        <v>1.1930000000000001</v>
      </c>
      <c r="Q809" s="2">
        <v>0.34799999999999998</v>
      </c>
      <c r="R809" s="11">
        <v>149584500</v>
      </c>
      <c r="S809" s="11">
        <v>538385</v>
      </c>
      <c r="T809">
        <v>2017</v>
      </c>
      <c r="U809">
        <v>5</v>
      </c>
      <c r="V809">
        <f t="shared" si="72"/>
        <v>650000</v>
      </c>
      <c r="W809">
        <f t="shared" si="73"/>
        <v>18429897</v>
      </c>
      <c r="X809">
        <f t="shared" si="74"/>
        <v>17779897</v>
      </c>
      <c r="Y809">
        <f t="shared" si="75"/>
        <v>-26019845.5</v>
      </c>
      <c r="Z809">
        <f t="shared" si="76"/>
        <v>45099742.5</v>
      </c>
      <c r="AA809" t="str">
        <f t="shared" si="77"/>
        <v>Normal</v>
      </c>
      <c r="AE809" s="2"/>
      <c r="AF809" s="2"/>
    </row>
    <row r="810" spans="1:32" x14ac:dyDescent="0.35">
      <c r="A810">
        <v>809</v>
      </c>
      <c r="B810" s="1">
        <v>42864</v>
      </c>
      <c r="C810" s="9" t="s">
        <v>1503</v>
      </c>
      <c r="D810" s="9" t="s">
        <v>4930</v>
      </c>
      <c r="E810" s="9" t="s">
        <v>6337</v>
      </c>
      <c r="F810" s="9" t="s">
        <v>31</v>
      </c>
      <c r="G810" s="9" t="s">
        <v>1504</v>
      </c>
      <c r="H810" s="9" t="s">
        <v>105</v>
      </c>
      <c r="I810" s="11">
        <v>18429897</v>
      </c>
      <c r="J810" s="11">
        <v>1966813</v>
      </c>
      <c r="K810" s="11">
        <v>18224213</v>
      </c>
      <c r="L810" s="3">
        <v>422</v>
      </c>
      <c r="M810" s="3">
        <v>2505.5</v>
      </c>
      <c r="N810" s="3">
        <v>31108</v>
      </c>
      <c r="O810" s="2">
        <v>0.108</v>
      </c>
      <c r="P810" s="2">
        <v>0.81599999999999995</v>
      </c>
      <c r="Q810" s="2">
        <v>-0.13500000000000001</v>
      </c>
      <c r="R810" s="11">
        <v>287415715</v>
      </c>
      <c r="S810" s="11">
        <v>918607</v>
      </c>
      <c r="T810">
        <v>2017</v>
      </c>
      <c r="U810">
        <v>5</v>
      </c>
      <c r="V810">
        <f t="shared" si="72"/>
        <v>650000</v>
      </c>
      <c r="W810">
        <f t="shared" si="73"/>
        <v>18429897</v>
      </c>
      <c r="X810">
        <f t="shared" si="74"/>
        <v>17779897</v>
      </c>
      <c r="Y810">
        <f t="shared" si="75"/>
        <v>-26019845.5</v>
      </c>
      <c r="Z810">
        <f t="shared" si="76"/>
        <v>45099742.5</v>
      </c>
      <c r="AA810" t="str">
        <f t="shared" si="77"/>
        <v>Normal</v>
      </c>
      <c r="AE810" s="2"/>
      <c r="AF810" s="2"/>
    </row>
    <row r="811" spans="1:32" x14ac:dyDescent="0.35">
      <c r="A811">
        <v>810</v>
      </c>
      <c r="B811" s="1">
        <v>42865</v>
      </c>
      <c r="C811" s="9" t="s">
        <v>1505</v>
      </c>
      <c r="D811" s="9" t="s">
        <v>4930</v>
      </c>
      <c r="E811" s="9" t="s">
        <v>6338</v>
      </c>
      <c r="F811" s="9" t="s">
        <v>27</v>
      </c>
      <c r="G811" s="9" t="s">
        <v>4838</v>
      </c>
      <c r="H811" s="9" t="s">
        <v>86</v>
      </c>
      <c r="I811" s="11">
        <v>18429897</v>
      </c>
      <c r="J811" s="11">
        <v>4985232</v>
      </c>
      <c r="K811" s="11">
        <v>9720599</v>
      </c>
      <c r="L811" s="3">
        <v>238</v>
      </c>
      <c r="M811" s="3">
        <v>3478</v>
      </c>
      <c r="N811" s="3">
        <v>8434</v>
      </c>
      <c r="O811" s="2">
        <v>0.51</v>
      </c>
      <c r="P811" s="2">
        <v>0.98699999999999999</v>
      </c>
      <c r="Q811" s="2">
        <v>-0.53200000000000003</v>
      </c>
      <c r="R811" s="11">
        <v>366720881</v>
      </c>
      <c r="S811" s="11">
        <v>454634</v>
      </c>
      <c r="T811">
        <v>2017</v>
      </c>
      <c r="U811">
        <v>5</v>
      </c>
      <c r="V811">
        <f t="shared" si="72"/>
        <v>650000</v>
      </c>
      <c r="W811">
        <f t="shared" si="73"/>
        <v>18429897</v>
      </c>
      <c r="X811">
        <f t="shared" si="74"/>
        <v>17779897</v>
      </c>
      <c r="Y811">
        <f t="shared" si="75"/>
        <v>-26019845.5</v>
      </c>
      <c r="Z811">
        <f t="shared" si="76"/>
        <v>45099742.5</v>
      </c>
      <c r="AA811" t="str">
        <f t="shared" si="77"/>
        <v>Normal</v>
      </c>
      <c r="AE811" s="2"/>
      <c r="AF811" s="2"/>
    </row>
    <row r="812" spans="1:32" x14ac:dyDescent="0.35">
      <c r="A812">
        <v>811</v>
      </c>
      <c r="B812" s="1">
        <v>42865</v>
      </c>
      <c r="C812" s="9" t="s">
        <v>1506</v>
      </c>
      <c r="D812" s="9" t="s">
        <v>4988</v>
      </c>
      <c r="E812" s="9" t="s">
        <v>5530</v>
      </c>
      <c r="F812" s="9" t="s">
        <v>63</v>
      </c>
      <c r="G812" s="9" t="s">
        <v>1507</v>
      </c>
      <c r="H812" s="9" t="s">
        <v>105</v>
      </c>
      <c r="I812" s="11">
        <v>1400000</v>
      </c>
      <c r="J812" s="11">
        <v>239971</v>
      </c>
      <c r="K812" s="11">
        <v>10153449</v>
      </c>
      <c r="L812" s="3">
        <v>254</v>
      </c>
      <c r="M812" s="3">
        <v>2505.5</v>
      </c>
      <c r="N812" s="3">
        <v>776251</v>
      </c>
      <c r="O812" s="2">
        <v>0.129</v>
      </c>
      <c r="P812" s="2">
        <v>1.188E-2</v>
      </c>
      <c r="Q812" s="2">
        <v>0.41</v>
      </c>
      <c r="R812" s="11">
        <v>423591718</v>
      </c>
      <c r="S812" s="11">
        <v>1552161</v>
      </c>
      <c r="T812">
        <v>2017</v>
      </c>
      <c r="U812">
        <v>5</v>
      </c>
      <c r="V812">
        <f t="shared" si="72"/>
        <v>650000</v>
      </c>
      <c r="W812">
        <f t="shared" si="73"/>
        <v>18429897</v>
      </c>
      <c r="X812">
        <f t="shared" si="74"/>
        <v>17779897</v>
      </c>
      <c r="Y812">
        <f t="shared" si="75"/>
        <v>-26019845.5</v>
      </c>
      <c r="Z812">
        <f t="shared" si="76"/>
        <v>45099742.5</v>
      </c>
      <c r="AA812" t="str">
        <f t="shared" si="77"/>
        <v>Normal</v>
      </c>
      <c r="AE812" s="2"/>
      <c r="AF812" s="2"/>
    </row>
    <row r="813" spans="1:32" x14ac:dyDescent="0.35">
      <c r="A813">
        <v>812</v>
      </c>
      <c r="B813" s="1">
        <v>42865</v>
      </c>
      <c r="C813" s="9" t="s">
        <v>1508</v>
      </c>
      <c r="D813" s="9" t="s">
        <v>4925</v>
      </c>
      <c r="E813" s="9" t="s">
        <v>4976</v>
      </c>
      <c r="F813" s="9" t="s">
        <v>19</v>
      </c>
      <c r="G813" s="9" t="s">
        <v>376</v>
      </c>
      <c r="H813" s="9" t="s">
        <v>105</v>
      </c>
      <c r="I813" s="11">
        <v>7700000</v>
      </c>
      <c r="J813" s="11">
        <v>4398416</v>
      </c>
      <c r="K813" s="11">
        <v>5299001</v>
      </c>
      <c r="L813" s="3">
        <v>212</v>
      </c>
      <c r="M813" s="3">
        <v>620</v>
      </c>
      <c r="N813" s="3">
        <v>745282</v>
      </c>
      <c r="O813" s="2">
        <v>7.4999999999999997E-2</v>
      </c>
      <c r="P813" s="2">
        <v>1.175E-2</v>
      </c>
      <c r="Q813" s="2">
        <v>-6.5000000000000002E-2</v>
      </c>
      <c r="R813" s="11">
        <v>55758974</v>
      </c>
      <c r="S813" s="11">
        <v>1808196</v>
      </c>
      <c r="T813">
        <v>2017</v>
      </c>
      <c r="U813">
        <v>5</v>
      </c>
      <c r="V813">
        <f t="shared" si="72"/>
        <v>650000</v>
      </c>
      <c r="W813">
        <f t="shared" si="73"/>
        <v>18429897</v>
      </c>
      <c r="X813">
        <f t="shared" si="74"/>
        <v>17779897</v>
      </c>
      <c r="Y813">
        <f t="shared" si="75"/>
        <v>-26019845.5</v>
      </c>
      <c r="Z813">
        <f t="shared" si="76"/>
        <v>45099742.5</v>
      </c>
      <c r="AA813" t="str">
        <f t="shared" si="77"/>
        <v>Normal</v>
      </c>
      <c r="AE813" s="2"/>
      <c r="AF813" s="2"/>
    </row>
    <row r="814" spans="1:32" x14ac:dyDescent="0.35">
      <c r="A814">
        <v>813</v>
      </c>
      <c r="B814" s="1">
        <v>42865</v>
      </c>
      <c r="C814" s="9" t="s">
        <v>1509</v>
      </c>
      <c r="D814" s="9" t="s">
        <v>4988</v>
      </c>
      <c r="E814" s="9" t="s">
        <v>6339</v>
      </c>
      <c r="F814" s="9" t="s">
        <v>15</v>
      </c>
      <c r="G814" s="9" t="s">
        <v>989</v>
      </c>
      <c r="H814" s="9" t="s">
        <v>86</v>
      </c>
      <c r="I814" s="11">
        <v>600000</v>
      </c>
      <c r="J814" s="11">
        <v>3428788</v>
      </c>
      <c r="K814" s="11">
        <v>15915396</v>
      </c>
      <c r="L814" s="3">
        <v>6</v>
      </c>
      <c r="M814" s="3">
        <v>232</v>
      </c>
      <c r="N814" s="3">
        <v>1566165</v>
      </c>
      <c r="O814" s="2">
        <v>0.32600000000000001</v>
      </c>
      <c r="P814" s="2">
        <v>0.76800000000000002</v>
      </c>
      <c r="Q814" s="2">
        <v>-4.2999999999999997E-2</v>
      </c>
      <c r="R814" s="11">
        <v>463766457</v>
      </c>
      <c r="S814" s="11">
        <v>379112</v>
      </c>
      <c r="T814">
        <v>2017</v>
      </c>
      <c r="U814">
        <v>5</v>
      </c>
      <c r="V814">
        <f t="shared" si="72"/>
        <v>650000</v>
      </c>
      <c r="W814">
        <f t="shared" si="73"/>
        <v>18429897</v>
      </c>
      <c r="X814">
        <f t="shared" si="74"/>
        <v>17779897</v>
      </c>
      <c r="Y814">
        <f t="shared" si="75"/>
        <v>-26019845.5</v>
      </c>
      <c r="Z814">
        <f t="shared" si="76"/>
        <v>45099742.5</v>
      </c>
      <c r="AA814" t="str">
        <f t="shared" si="77"/>
        <v>Normal</v>
      </c>
      <c r="AE814" s="2"/>
      <c r="AF814" s="2"/>
    </row>
    <row r="815" spans="1:32" x14ac:dyDescent="0.35">
      <c r="A815">
        <v>814</v>
      </c>
      <c r="B815" s="1">
        <v>42865</v>
      </c>
      <c r="C815" s="9" t="s">
        <v>1510</v>
      </c>
      <c r="D815" s="9" t="s">
        <v>4930</v>
      </c>
      <c r="E815" s="9" t="s">
        <v>6340</v>
      </c>
      <c r="F815" s="9" t="s">
        <v>15</v>
      </c>
      <c r="G815" s="9" t="s">
        <v>1511</v>
      </c>
      <c r="H815" s="9" t="s">
        <v>86</v>
      </c>
      <c r="I815" s="11">
        <v>18429897</v>
      </c>
      <c r="J815" s="11">
        <v>1433864</v>
      </c>
      <c r="K815" s="11">
        <v>15862110</v>
      </c>
      <c r="L815" s="3">
        <v>145</v>
      </c>
      <c r="M815" s="3">
        <v>2796</v>
      </c>
      <c r="N815" s="3">
        <v>1783055</v>
      </c>
      <c r="O815" s="2">
        <v>-0.158</v>
      </c>
      <c r="P815" s="2">
        <v>0.72699999999999998</v>
      </c>
      <c r="Q815" s="2">
        <v>-3.6000000000000004E-2</v>
      </c>
      <c r="R815" s="11">
        <v>226110973</v>
      </c>
      <c r="S815" s="11">
        <v>1859977</v>
      </c>
      <c r="T815">
        <v>2017</v>
      </c>
      <c r="U815">
        <v>5</v>
      </c>
      <c r="V815">
        <f t="shared" si="72"/>
        <v>650000</v>
      </c>
      <c r="W815">
        <f t="shared" si="73"/>
        <v>18429897</v>
      </c>
      <c r="X815">
        <f t="shared" si="74"/>
        <v>17779897</v>
      </c>
      <c r="Y815">
        <f t="shared" si="75"/>
        <v>-26019845.5</v>
      </c>
      <c r="Z815">
        <f t="shared" si="76"/>
        <v>45099742.5</v>
      </c>
      <c r="AA815" t="str">
        <f t="shared" si="77"/>
        <v>Normal</v>
      </c>
      <c r="AE815" s="2"/>
      <c r="AF815" s="2"/>
    </row>
    <row r="816" spans="1:32" x14ac:dyDescent="0.35">
      <c r="A816">
        <v>815</v>
      </c>
      <c r="B816" s="1">
        <v>42866</v>
      </c>
      <c r="C816" s="9" t="s">
        <v>794</v>
      </c>
      <c r="D816" s="9" t="s">
        <v>4988</v>
      </c>
      <c r="E816" s="9" t="s">
        <v>1111</v>
      </c>
      <c r="F816" s="9" t="s">
        <v>41</v>
      </c>
      <c r="G816" s="9" t="s">
        <v>1512</v>
      </c>
      <c r="H816" s="9" t="s">
        <v>105</v>
      </c>
      <c r="I816" s="11">
        <v>4000000</v>
      </c>
      <c r="J816" s="11">
        <v>3894383</v>
      </c>
      <c r="K816" s="11">
        <v>6358419</v>
      </c>
      <c r="L816" s="3">
        <v>285</v>
      </c>
      <c r="M816" s="3">
        <v>2505.5</v>
      </c>
      <c r="N816" s="3">
        <v>1884752</v>
      </c>
      <c r="O816" s="2">
        <v>0.45800000000000002</v>
      </c>
      <c r="P816" s="2">
        <v>0.876</v>
      </c>
      <c r="Q816" s="2">
        <v>-0.23199999999999998</v>
      </c>
      <c r="R816" s="11">
        <v>449283500</v>
      </c>
      <c r="S816" s="11">
        <v>60724</v>
      </c>
      <c r="T816">
        <v>2017</v>
      </c>
      <c r="U816">
        <v>5</v>
      </c>
      <c r="V816">
        <f t="shared" si="72"/>
        <v>650000</v>
      </c>
      <c r="W816">
        <f t="shared" si="73"/>
        <v>18429897</v>
      </c>
      <c r="X816">
        <f t="shared" si="74"/>
        <v>17779897</v>
      </c>
      <c r="Y816">
        <f t="shared" si="75"/>
        <v>-26019845.5</v>
      </c>
      <c r="Z816">
        <f t="shared" si="76"/>
        <v>45099742.5</v>
      </c>
      <c r="AA816" t="str">
        <f t="shared" si="77"/>
        <v>Normal</v>
      </c>
      <c r="AE816" s="2"/>
      <c r="AF816" s="2"/>
    </row>
    <row r="817" spans="1:32" x14ac:dyDescent="0.35">
      <c r="A817">
        <v>816</v>
      </c>
      <c r="B817" s="1">
        <v>42866</v>
      </c>
      <c r="C817" s="9" t="s">
        <v>1513</v>
      </c>
      <c r="D817" s="9" t="s">
        <v>4925</v>
      </c>
      <c r="E817" s="9" t="s">
        <v>6341</v>
      </c>
      <c r="F817" s="9" t="s">
        <v>31</v>
      </c>
      <c r="G817" s="9" t="s">
        <v>1514</v>
      </c>
      <c r="H817" s="9" t="s">
        <v>86</v>
      </c>
      <c r="I817" s="11">
        <v>18429897</v>
      </c>
      <c r="J817" s="11">
        <v>4187744</v>
      </c>
      <c r="K817" s="11">
        <v>4017733</v>
      </c>
      <c r="L817" s="3">
        <v>14</v>
      </c>
      <c r="M817" s="3">
        <v>2505.5</v>
      </c>
      <c r="N817" s="3">
        <v>1246779</v>
      </c>
      <c r="O817" s="2">
        <v>-7.8E-2</v>
      </c>
      <c r="P817" s="2">
        <v>0.42</v>
      </c>
      <c r="Q817" s="2">
        <v>1E-3</v>
      </c>
      <c r="R817" s="11">
        <v>389198148</v>
      </c>
      <c r="S817" s="11">
        <v>1587107</v>
      </c>
      <c r="T817">
        <v>2017</v>
      </c>
      <c r="U817">
        <v>5</v>
      </c>
      <c r="V817">
        <f t="shared" si="72"/>
        <v>650000</v>
      </c>
      <c r="W817">
        <f t="shared" si="73"/>
        <v>18429897</v>
      </c>
      <c r="X817">
        <f t="shared" si="74"/>
        <v>17779897</v>
      </c>
      <c r="Y817">
        <f t="shared" si="75"/>
        <v>-26019845.5</v>
      </c>
      <c r="Z817">
        <f t="shared" si="76"/>
        <v>45099742.5</v>
      </c>
      <c r="AA817" t="str">
        <f t="shared" si="77"/>
        <v>Normal</v>
      </c>
      <c r="AE817" s="2"/>
      <c r="AF817" s="2"/>
    </row>
    <row r="818" spans="1:32" x14ac:dyDescent="0.35">
      <c r="A818">
        <v>817</v>
      </c>
      <c r="B818" s="1">
        <v>42866</v>
      </c>
      <c r="C818" s="9" t="s">
        <v>1515</v>
      </c>
      <c r="D818" s="9" t="s">
        <v>4930</v>
      </c>
      <c r="E818" s="9" t="s">
        <v>6342</v>
      </c>
      <c r="F818" s="9" t="s">
        <v>31</v>
      </c>
      <c r="G818" s="9" t="s">
        <v>1516</v>
      </c>
      <c r="H818" s="9" t="s">
        <v>86</v>
      </c>
      <c r="I818" s="11">
        <v>18429897</v>
      </c>
      <c r="J818" s="11">
        <v>235231</v>
      </c>
      <c r="K818" s="11">
        <v>5906244</v>
      </c>
      <c r="L818" s="3">
        <v>119</v>
      </c>
      <c r="M818" s="3">
        <v>3683</v>
      </c>
      <c r="N818" s="3">
        <v>309641</v>
      </c>
      <c r="O818" s="2">
        <v>0.35799999999999998</v>
      </c>
      <c r="P818" s="2">
        <v>0.58899999999999997</v>
      </c>
      <c r="Q818" s="2">
        <v>0.03</v>
      </c>
      <c r="R818" s="11">
        <v>262333449</v>
      </c>
      <c r="S818" s="11">
        <v>1827768</v>
      </c>
      <c r="T818">
        <v>2017</v>
      </c>
      <c r="U818">
        <v>5</v>
      </c>
      <c r="V818">
        <f t="shared" si="72"/>
        <v>650000</v>
      </c>
      <c r="W818">
        <f t="shared" si="73"/>
        <v>18429897</v>
      </c>
      <c r="X818">
        <f t="shared" si="74"/>
        <v>17779897</v>
      </c>
      <c r="Y818">
        <f t="shared" si="75"/>
        <v>-26019845.5</v>
      </c>
      <c r="Z818">
        <f t="shared" si="76"/>
        <v>45099742.5</v>
      </c>
      <c r="AA818" t="str">
        <f t="shared" si="77"/>
        <v>Normal</v>
      </c>
      <c r="AE818" s="2"/>
      <c r="AF818" s="2"/>
    </row>
    <row r="819" spans="1:32" x14ac:dyDescent="0.35">
      <c r="A819">
        <v>818</v>
      </c>
      <c r="B819" s="1">
        <v>42867</v>
      </c>
      <c r="C819" s="9" t="s">
        <v>1517</v>
      </c>
      <c r="D819" s="9" t="s">
        <v>4988</v>
      </c>
      <c r="E819" s="9" t="s">
        <v>6343</v>
      </c>
      <c r="F819" s="9" t="s">
        <v>27</v>
      </c>
      <c r="G819" s="9" t="s">
        <v>1518</v>
      </c>
      <c r="H819" s="9" t="s">
        <v>105</v>
      </c>
      <c r="I819" s="11">
        <v>5000000</v>
      </c>
      <c r="J819" s="11">
        <v>549969</v>
      </c>
      <c r="K819" s="11">
        <v>4920345</v>
      </c>
      <c r="L819" s="3">
        <v>476</v>
      </c>
      <c r="M819" s="3">
        <v>306</v>
      </c>
      <c r="N819" s="3">
        <v>1341441</v>
      </c>
      <c r="O819" s="2">
        <v>0.41100000000000003</v>
      </c>
      <c r="P819" s="2">
        <v>1.028</v>
      </c>
      <c r="Q819" s="2">
        <v>0.20899999999999999</v>
      </c>
      <c r="R819" s="11">
        <v>239337547</v>
      </c>
      <c r="S819" s="11">
        <v>1595172</v>
      </c>
      <c r="T819">
        <v>2017</v>
      </c>
      <c r="U819">
        <v>5</v>
      </c>
      <c r="V819">
        <f t="shared" si="72"/>
        <v>650000</v>
      </c>
      <c r="W819">
        <f t="shared" si="73"/>
        <v>18429897</v>
      </c>
      <c r="X819">
        <f t="shared" si="74"/>
        <v>17779897</v>
      </c>
      <c r="Y819">
        <f t="shared" si="75"/>
        <v>-26019845.5</v>
      </c>
      <c r="Z819">
        <f t="shared" si="76"/>
        <v>45099742.5</v>
      </c>
      <c r="AA819" t="str">
        <f t="shared" si="77"/>
        <v>Normal</v>
      </c>
      <c r="AE819" s="2"/>
      <c r="AF819" s="2"/>
    </row>
    <row r="820" spans="1:32" x14ac:dyDescent="0.35">
      <c r="A820">
        <v>819</v>
      </c>
      <c r="B820" s="1">
        <v>42867</v>
      </c>
      <c r="C820" s="9" t="s">
        <v>1519</v>
      </c>
      <c r="D820" s="9" t="s">
        <v>4930</v>
      </c>
      <c r="E820" s="9" t="s">
        <v>6344</v>
      </c>
      <c r="F820" s="9" t="s">
        <v>15</v>
      </c>
      <c r="G820" s="9" t="s">
        <v>1520</v>
      </c>
      <c r="H820" s="9" t="s">
        <v>86</v>
      </c>
      <c r="I820" s="11">
        <v>18429897</v>
      </c>
      <c r="J820" s="11">
        <v>3335433</v>
      </c>
      <c r="K820" s="11">
        <v>14845255</v>
      </c>
      <c r="L820" s="3">
        <v>12</v>
      </c>
      <c r="M820" s="3">
        <v>1120</v>
      </c>
      <c r="N820" s="3">
        <v>975556</v>
      </c>
      <c r="O820" s="2">
        <v>1.4999999999999999E-2</v>
      </c>
      <c r="P820" s="2">
        <v>0.31</v>
      </c>
      <c r="Q820" s="2">
        <v>-3.7000000000000005E-2</v>
      </c>
      <c r="R820" s="11">
        <v>138718145</v>
      </c>
      <c r="S820" s="11">
        <v>1899412</v>
      </c>
      <c r="T820">
        <v>2017</v>
      </c>
      <c r="U820">
        <v>5</v>
      </c>
      <c r="V820">
        <f t="shared" si="72"/>
        <v>650000</v>
      </c>
      <c r="W820">
        <f t="shared" si="73"/>
        <v>18429897</v>
      </c>
      <c r="X820">
        <f t="shared" si="74"/>
        <v>17779897</v>
      </c>
      <c r="Y820">
        <f t="shared" si="75"/>
        <v>-26019845.5</v>
      </c>
      <c r="Z820">
        <f t="shared" si="76"/>
        <v>45099742.5</v>
      </c>
      <c r="AA820" t="str">
        <f t="shared" si="77"/>
        <v>Normal</v>
      </c>
      <c r="AE820" s="2"/>
      <c r="AF820" s="2"/>
    </row>
    <row r="821" spans="1:32" x14ac:dyDescent="0.35">
      <c r="A821">
        <v>820</v>
      </c>
      <c r="B821" s="1">
        <v>42867</v>
      </c>
      <c r="C821" s="9" t="s">
        <v>1521</v>
      </c>
      <c r="D821" s="9" t="s">
        <v>4988</v>
      </c>
      <c r="E821" s="9" t="s">
        <v>6345</v>
      </c>
      <c r="F821" s="9" t="s">
        <v>31</v>
      </c>
      <c r="G821" s="9" t="s">
        <v>1522</v>
      </c>
      <c r="H821" s="9" t="s">
        <v>105</v>
      </c>
      <c r="I821" s="11">
        <v>466000</v>
      </c>
      <c r="J821" s="11">
        <v>4995541</v>
      </c>
      <c r="K821" s="11">
        <v>16847613</v>
      </c>
      <c r="L821" s="3">
        <v>127</v>
      </c>
      <c r="M821" s="3">
        <v>3417</v>
      </c>
      <c r="N821" s="3">
        <v>1058510</v>
      </c>
      <c r="O821" s="2">
        <v>3.4000000000000002E-2</v>
      </c>
      <c r="P821" s="2">
        <v>0.65900000000000003</v>
      </c>
      <c r="Q821" s="2">
        <v>-0.51</v>
      </c>
      <c r="R821" s="11">
        <v>250264963</v>
      </c>
      <c r="S821" s="11">
        <v>1764446</v>
      </c>
      <c r="T821">
        <v>2017</v>
      </c>
      <c r="U821">
        <v>5</v>
      </c>
      <c r="V821">
        <f t="shared" si="72"/>
        <v>650000</v>
      </c>
      <c r="W821">
        <f t="shared" si="73"/>
        <v>18429897</v>
      </c>
      <c r="X821">
        <f t="shared" si="74"/>
        <v>17779897</v>
      </c>
      <c r="Y821">
        <f t="shared" si="75"/>
        <v>-26019845.5</v>
      </c>
      <c r="Z821">
        <f t="shared" si="76"/>
        <v>45099742.5</v>
      </c>
      <c r="AA821" t="str">
        <f t="shared" si="77"/>
        <v>Normal</v>
      </c>
      <c r="AE821" s="2"/>
      <c r="AF821" s="2"/>
    </row>
    <row r="822" spans="1:32" x14ac:dyDescent="0.35">
      <c r="A822">
        <v>821</v>
      </c>
      <c r="B822" s="1">
        <v>42867</v>
      </c>
      <c r="C822" s="9" t="s">
        <v>1523</v>
      </c>
      <c r="D822" s="9" t="s">
        <v>4925</v>
      </c>
      <c r="E822" s="9" t="s">
        <v>6346</v>
      </c>
      <c r="F822" s="9" t="s">
        <v>15</v>
      </c>
      <c r="G822" s="9" t="s">
        <v>856</v>
      </c>
      <c r="H822" s="9" t="s">
        <v>86</v>
      </c>
      <c r="I822" s="11">
        <v>1000000</v>
      </c>
      <c r="J822" s="11">
        <v>139353</v>
      </c>
      <c r="K822" s="11">
        <v>1027351</v>
      </c>
      <c r="L822" s="3">
        <v>311</v>
      </c>
      <c r="M822" s="3">
        <v>2042</v>
      </c>
      <c r="N822" s="3">
        <v>1003501</v>
      </c>
      <c r="O822" s="2">
        <v>9.8000000000000004E-2</v>
      </c>
      <c r="P822" s="2">
        <v>0.51600000000000001</v>
      </c>
      <c r="Q822" s="2">
        <v>-0.23400000000000001</v>
      </c>
      <c r="R822" s="11">
        <v>147681191</v>
      </c>
      <c r="S822" s="11">
        <v>1455358</v>
      </c>
      <c r="T822">
        <v>2017</v>
      </c>
      <c r="U822">
        <v>5</v>
      </c>
      <c r="V822">
        <f t="shared" si="72"/>
        <v>650000</v>
      </c>
      <c r="W822">
        <f t="shared" si="73"/>
        <v>18429897</v>
      </c>
      <c r="X822">
        <f t="shared" si="74"/>
        <v>17779897</v>
      </c>
      <c r="Y822">
        <f t="shared" si="75"/>
        <v>-26019845.5</v>
      </c>
      <c r="Z822">
        <f t="shared" si="76"/>
        <v>45099742.5</v>
      </c>
      <c r="AA822" t="str">
        <f t="shared" si="77"/>
        <v>Normal</v>
      </c>
      <c r="AE822" s="2"/>
      <c r="AF822" s="2"/>
    </row>
    <row r="823" spans="1:32" x14ac:dyDescent="0.35">
      <c r="A823">
        <v>822</v>
      </c>
      <c r="B823" s="1">
        <v>42870</v>
      </c>
      <c r="C823" s="9" t="s">
        <v>1524</v>
      </c>
      <c r="D823" s="9" t="s">
        <v>4930</v>
      </c>
      <c r="E823" s="9" t="s">
        <v>6347</v>
      </c>
      <c r="F823" s="9" t="s">
        <v>15</v>
      </c>
      <c r="G823" s="9" t="s">
        <v>1525</v>
      </c>
      <c r="H823" s="9" t="s">
        <v>86</v>
      </c>
      <c r="I823" s="11">
        <v>500000</v>
      </c>
      <c r="J823" s="11">
        <v>3335109</v>
      </c>
      <c r="K823" s="11">
        <v>14849731</v>
      </c>
      <c r="L823" s="3">
        <v>283</v>
      </c>
      <c r="M823" s="3">
        <v>181</v>
      </c>
      <c r="N823" s="3">
        <v>1765884</v>
      </c>
      <c r="O823" s="2">
        <v>0.24399999999999999</v>
      </c>
      <c r="P823" s="2">
        <v>0.78299999999999992</v>
      </c>
      <c r="Q823" s="2">
        <v>0.379</v>
      </c>
      <c r="R823" s="11">
        <v>239155471</v>
      </c>
      <c r="S823" s="11">
        <v>377914</v>
      </c>
      <c r="T823">
        <v>2017</v>
      </c>
      <c r="U823">
        <v>5</v>
      </c>
      <c r="V823">
        <f t="shared" si="72"/>
        <v>650000</v>
      </c>
      <c r="W823">
        <f t="shared" si="73"/>
        <v>18429897</v>
      </c>
      <c r="X823">
        <f t="shared" si="74"/>
        <v>17779897</v>
      </c>
      <c r="Y823">
        <f t="shared" si="75"/>
        <v>-26019845.5</v>
      </c>
      <c r="Z823">
        <f t="shared" si="76"/>
        <v>45099742.5</v>
      </c>
      <c r="AA823" t="str">
        <f t="shared" si="77"/>
        <v>Normal</v>
      </c>
      <c r="AE823" s="2"/>
      <c r="AF823" s="2"/>
    </row>
    <row r="824" spans="1:32" x14ac:dyDescent="0.35">
      <c r="A824">
        <v>823</v>
      </c>
      <c r="B824" s="1">
        <v>42870</v>
      </c>
      <c r="C824" s="9" t="s">
        <v>1526</v>
      </c>
      <c r="D824" s="9" t="s">
        <v>4930</v>
      </c>
      <c r="E824" s="9" t="s">
        <v>6348</v>
      </c>
      <c r="F824" s="9" t="s">
        <v>15</v>
      </c>
      <c r="G824" s="9" t="s">
        <v>1058</v>
      </c>
      <c r="H824" s="9" t="s">
        <v>86</v>
      </c>
      <c r="I824" s="11">
        <v>18429897</v>
      </c>
      <c r="J824" s="11">
        <v>699892</v>
      </c>
      <c r="K824" s="11">
        <v>15073897</v>
      </c>
      <c r="L824" s="3">
        <v>106</v>
      </c>
      <c r="M824" s="3">
        <v>1168</v>
      </c>
      <c r="N824" s="3">
        <v>760668</v>
      </c>
      <c r="O824" s="2">
        <v>-0.08</v>
      </c>
      <c r="P824" s="2">
        <v>0.38900000000000001</v>
      </c>
      <c r="Q824" s="2">
        <v>-0.11</v>
      </c>
      <c r="R824" s="11">
        <v>118649561</v>
      </c>
      <c r="S824" s="11">
        <v>681362</v>
      </c>
      <c r="T824">
        <v>2017</v>
      </c>
      <c r="U824">
        <v>5</v>
      </c>
      <c r="V824">
        <f t="shared" si="72"/>
        <v>650000</v>
      </c>
      <c r="W824">
        <f t="shared" si="73"/>
        <v>18429897</v>
      </c>
      <c r="X824">
        <f t="shared" si="74"/>
        <v>17779897</v>
      </c>
      <c r="Y824">
        <f t="shared" si="75"/>
        <v>-26019845.5</v>
      </c>
      <c r="Z824">
        <f t="shared" si="76"/>
        <v>45099742.5</v>
      </c>
      <c r="AA824" t="str">
        <f t="shared" si="77"/>
        <v>Normal</v>
      </c>
      <c r="AE824" s="2"/>
      <c r="AF824" s="2"/>
    </row>
    <row r="825" spans="1:32" x14ac:dyDescent="0.35">
      <c r="A825">
        <v>824</v>
      </c>
      <c r="B825" s="1">
        <v>42871</v>
      </c>
      <c r="C825" s="9" t="s">
        <v>1457</v>
      </c>
      <c r="D825" s="9" t="s">
        <v>4930</v>
      </c>
      <c r="E825" s="9" t="s">
        <v>6349</v>
      </c>
      <c r="F825" s="9" t="s">
        <v>15</v>
      </c>
      <c r="G825" s="9" t="s">
        <v>1527</v>
      </c>
      <c r="H825" s="9" t="s">
        <v>105</v>
      </c>
      <c r="I825" s="11">
        <v>18429897</v>
      </c>
      <c r="J825" s="11">
        <v>3257622</v>
      </c>
      <c r="K825" s="11">
        <v>12296182</v>
      </c>
      <c r="L825" s="3">
        <v>34</v>
      </c>
      <c r="M825" s="3">
        <v>3976</v>
      </c>
      <c r="N825" s="3">
        <v>1928694</v>
      </c>
      <c r="O825" s="2">
        <v>9.8000000000000004E-2</v>
      </c>
      <c r="P825" s="2">
        <v>1.1279999999999998E-2</v>
      </c>
      <c r="Q825" s="2">
        <v>0.23600000000000002</v>
      </c>
      <c r="R825" s="11">
        <v>435631270</v>
      </c>
      <c r="S825" s="11">
        <v>395936</v>
      </c>
      <c r="T825">
        <v>2017</v>
      </c>
      <c r="U825">
        <v>5</v>
      </c>
      <c r="V825">
        <f t="shared" si="72"/>
        <v>650000</v>
      </c>
      <c r="W825">
        <f t="shared" si="73"/>
        <v>18429897</v>
      </c>
      <c r="X825">
        <f t="shared" si="74"/>
        <v>17779897</v>
      </c>
      <c r="Y825">
        <f t="shared" si="75"/>
        <v>-26019845.5</v>
      </c>
      <c r="Z825">
        <f t="shared" si="76"/>
        <v>45099742.5</v>
      </c>
      <c r="AA825" t="str">
        <f t="shared" si="77"/>
        <v>Normal</v>
      </c>
      <c r="AE825" s="2"/>
      <c r="AF825" s="2"/>
    </row>
    <row r="826" spans="1:32" x14ac:dyDescent="0.35">
      <c r="A826">
        <v>825</v>
      </c>
      <c r="B826" s="1">
        <v>42871</v>
      </c>
      <c r="C826" s="9" t="s">
        <v>1528</v>
      </c>
      <c r="D826" s="9" t="s">
        <v>4930</v>
      </c>
      <c r="E826" s="9" t="s">
        <v>5244</v>
      </c>
      <c r="F826" s="9" t="s">
        <v>31</v>
      </c>
      <c r="G826" s="9" t="s">
        <v>1529</v>
      </c>
      <c r="H826" s="9" t="s">
        <v>105</v>
      </c>
      <c r="I826" s="11">
        <v>3000000</v>
      </c>
      <c r="J826" s="11">
        <v>3124108</v>
      </c>
      <c r="K826" s="11">
        <v>17438755</v>
      </c>
      <c r="L826" s="3">
        <v>450</v>
      </c>
      <c r="M826" s="3">
        <v>3440</v>
      </c>
      <c r="N826" s="3">
        <v>1079958</v>
      </c>
      <c r="O826" s="2">
        <v>5.7000000000000002E-2</v>
      </c>
      <c r="P826" s="2">
        <v>0.99199999999999999</v>
      </c>
      <c r="Q826" s="2">
        <v>-7.8E-2</v>
      </c>
      <c r="R826" s="11">
        <v>287651516</v>
      </c>
      <c r="S826" s="11">
        <v>176946</v>
      </c>
      <c r="T826">
        <v>2017</v>
      </c>
      <c r="U826">
        <v>5</v>
      </c>
      <c r="V826">
        <f t="shared" si="72"/>
        <v>650000</v>
      </c>
      <c r="W826">
        <f t="shared" si="73"/>
        <v>18429897</v>
      </c>
      <c r="X826">
        <f t="shared" si="74"/>
        <v>17779897</v>
      </c>
      <c r="Y826">
        <f t="shared" si="75"/>
        <v>-26019845.5</v>
      </c>
      <c r="Z826">
        <f t="shared" si="76"/>
        <v>45099742.5</v>
      </c>
      <c r="AA826" t="str">
        <f t="shared" si="77"/>
        <v>Normal</v>
      </c>
      <c r="AE826" s="2"/>
      <c r="AF826" s="2"/>
    </row>
    <row r="827" spans="1:32" x14ac:dyDescent="0.35">
      <c r="A827">
        <v>826</v>
      </c>
      <c r="B827" s="1">
        <v>42871</v>
      </c>
      <c r="C827" s="9" t="s">
        <v>717</v>
      </c>
      <c r="D827" s="9" t="s">
        <v>4925</v>
      </c>
      <c r="E827" s="9" t="s">
        <v>6350</v>
      </c>
      <c r="F827" s="9" t="s">
        <v>31</v>
      </c>
      <c r="G827" s="9" t="s">
        <v>1530</v>
      </c>
      <c r="H827" s="9" t="s">
        <v>105</v>
      </c>
      <c r="I827" s="11">
        <v>500000</v>
      </c>
      <c r="J827" s="11">
        <v>470394</v>
      </c>
      <c r="K827" s="11">
        <v>874518</v>
      </c>
      <c r="L827" s="3">
        <v>277</v>
      </c>
      <c r="M827" s="3">
        <v>4056</v>
      </c>
      <c r="N827" s="3">
        <v>1375743</v>
      </c>
      <c r="O827" s="2">
        <v>-0.11</v>
      </c>
      <c r="P827" s="2">
        <v>0.28100000000000003</v>
      </c>
      <c r="Q827" s="2">
        <v>0.30299999999999999</v>
      </c>
      <c r="R827" s="11">
        <v>1117595</v>
      </c>
      <c r="S827" s="11">
        <v>953173</v>
      </c>
      <c r="T827">
        <v>2017</v>
      </c>
      <c r="U827">
        <v>5</v>
      </c>
      <c r="V827">
        <f t="shared" si="72"/>
        <v>650000</v>
      </c>
      <c r="W827">
        <f t="shared" si="73"/>
        <v>18429897</v>
      </c>
      <c r="X827">
        <f t="shared" si="74"/>
        <v>17779897</v>
      </c>
      <c r="Y827">
        <f t="shared" si="75"/>
        <v>-26019845.5</v>
      </c>
      <c r="Z827">
        <f t="shared" si="76"/>
        <v>45099742.5</v>
      </c>
      <c r="AA827" t="str">
        <f t="shared" si="77"/>
        <v>Normal</v>
      </c>
      <c r="AE827" s="2"/>
      <c r="AF827" s="2"/>
    </row>
    <row r="828" spans="1:32" x14ac:dyDescent="0.35">
      <c r="A828">
        <v>827</v>
      </c>
      <c r="B828" s="1">
        <v>42872</v>
      </c>
      <c r="C828" s="9" t="s">
        <v>1531</v>
      </c>
      <c r="D828" s="9" t="s">
        <v>4988</v>
      </c>
      <c r="E828" s="9" t="s">
        <v>1532</v>
      </c>
      <c r="F828" s="9" t="s">
        <v>35</v>
      </c>
      <c r="G828" s="9" t="s">
        <v>856</v>
      </c>
      <c r="H828" s="9" t="s">
        <v>86</v>
      </c>
      <c r="I828" s="11">
        <v>250000</v>
      </c>
      <c r="J828" s="11">
        <v>3410025</v>
      </c>
      <c r="K828" s="11">
        <v>14025069</v>
      </c>
      <c r="L828" s="3">
        <v>288</v>
      </c>
      <c r="M828" s="3">
        <v>1784</v>
      </c>
      <c r="N828" s="3">
        <v>1000000000</v>
      </c>
      <c r="O828" s="2">
        <v>-8.900000000000001E-2</v>
      </c>
      <c r="P828" s="2">
        <v>0.52600000000000002</v>
      </c>
      <c r="Q828" s="2">
        <v>0.125</v>
      </c>
      <c r="R828" s="11">
        <v>371741342</v>
      </c>
      <c r="S828" s="11">
        <v>79276</v>
      </c>
      <c r="T828">
        <v>2017</v>
      </c>
      <c r="U828">
        <v>5</v>
      </c>
      <c r="V828">
        <f t="shared" si="72"/>
        <v>650000</v>
      </c>
      <c r="W828">
        <f t="shared" si="73"/>
        <v>18429897</v>
      </c>
      <c r="X828">
        <f t="shared" si="74"/>
        <v>17779897</v>
      </c>
      <c r="Y828">
        <f t="shared" si="75"/>
        <v>-26019845.5</v>
      </c>
      <c r="Z828">
        <f t="shared" si="76"/>
        <v>45099742.5</v>
      </c>
      <c r="AA828" t="str">
        <f t="shared" si="77"/>
        <v>Normal</v>
      </c>
      <c r="AE828" s="2"/>
      <c r="AF828" s="2"/>
    </row>
    <row r="829" spans="1:32" x14ac:dyDescent="0.35">
      <c r="A829">
        <v>828</v>
      </c>
      <c r="B829" s="1">
        <v>42872</v>
      </c>
      <c r="C829" s="9" t="s">
        <v>463</v>
      </c>
      <c r="D829" s="9" t="s">
        <v>4988</v>
      </c>
      <c r="E829" s="9" t="s">
        <v>1111</v>
      </c>
      <c r="F829" s="9" t="s">
        <v>31</v>
      </c>
      <c r="G829" s="9" t="s">
        <v>1533</v>
      </c>
      <c r="H829" s="9" t="s">
        <v>105</v>
      </c>
      <c r="I829" s="11">
        <v>5300000</v>
      </c>
      <c r="J829" s="11">
        <v>4487226</v>
      </c>
      <c r="K829" s="11">
        <v>2632426</v>
      </c>
      <c r="L829" s="3">
        <v>33</v>
      </c>
      <c r="M829" s="3">
        <v>4647</v>
      </c>
      <c r="N829" s="3">
        <v>1629105</v>
      </c>
      <c r="O829" s="2">
        <v>0.14599999999999999</v>
      </c>
      <c r="P829" s="2">
        <v>0.24299999999999999</v>
      </c>
      <c r="Q829" s="2">
        <v>-0.26300000000000001</v>
      </c>
      <c r="R829" s="11">
        <v>480568082</v>
      </c>
      <c r="S829" s="11">
        <v>360241</v>
      </c>
      <c r="T829">
        <v>2017</v>
      </c>
      <c r="U829">
        <v>5</v>
      </c>
      <c r="V829">
        <f t="shared" si="72"/>
        <v>650000</v>
      </c>
      <c r="W829">
        <f t="shared" si="73"/>
        <v>18429897</v>
      </c>
      <c r="X829">
        <f t="shared" si="74"/>
        <v>17779897</v>
      </c>
      <c r="Y829">
        <f t="shared" si="75"/>
        <v>-26019845.5</v>
      </c>
      <c r="Z829">
        <f t="shared" si="76"/>
        <v>45099742.5</v>
      </c>
      <c r="AA829" t="str">
        <f t="shared" si="77"/>
        <v>Normal</v>
      </c>
      <c r="AE829" s="2"/>
      <c r="AF829" s="2"/>
    </row>
    <row r="830" spans="1:32" x14ac:dyDescent="0.35">
      <c r="A830">
        <v>829</v>
      </c>
      <c r="B830" s="1">
        <v>42873</v>
      </c>
      <c r="C830" s="9" t="s">
        <v>1534</v>
      </c>
      <c r="D830" s="9" t="s">
        <v>4925</v>
      </c>
      <c r="E830" s="9" t="s">
        <v>6351</v>
      </c>
      <c r="F830" s="9" t="s">
        <v>31</v>
      </c>
      <c r="G830" s="9" t="s">
        <v>1535</v>
      </c>
      <c r="H830" s="9" t="s">
        <v>86</v>
      </c>
      <c r="I830" s="11">
        <v>1000000</v>
      </c>
      <c r="J830" s="11">
        <v>4319949</v>
      </c>
      <c r="K830" s="11">
        <v>17950420</v>
      </c>
      <c r="L830" s="3">
        <v>108</v>
      </c>
      <c r="M830" s="3">
        <v>4603</v>
      </c>
      <c r="N830" s="3">
        <v>877114</v>
      </c>
      <c r="O830" s="2">
        <v>0.14199999999999999</v>
      </c>
      <c r="P830" s="2">
        <v>0.32300000000000001</v>
      </c>
      <c r="Q830" s="2">
        <v>-0.193</v>
      </c>
      <c r="R830" s="11">
        <v>474582999</v>
      </c>
      <c r="S830" s="11">
        <v>58361</v>
      </c>
      <c r="T830">
        <v>2017</v>
      </c>
      <c r="U830">
        <v>5</v>
      </c>
      <c r="V830">
        <f t="shared" si="72"/>
        <v>650000</v>
      </c>
      <c r="W830">
        <f t="shared" si="73"/>
        <v>18429897</v>
      </c>
      <c r="X830">
        <f t="shared" si="74"/>
        <v>17779897</v>
      </c>
      <c r="Y830">
        <f t="shared" si="75"/>
        <v>-26019845.5</v>
      </c>
      <c r="Z830">
        <f t="shared" si="76"/>
        <v>45099742.5</v>
      </c>
      <c r="AA830" t="str">
        <f t="shared" si="77"/>
        <v>Normal</v>
      </c>
      <c r="AE830" s="2"/>
      <c r="AF830" s="2"/>
    </row>
    <row r="831" spans="1:32" x14ac:dyDescent="0.35">
      <c r="A831">
        <v>830</v>
      </c>
      <c r="B831" s="1">
        <v>42873</v>
      </c>
      <c r="C831" s="9" t="s">
        <v>1536</v>
      </c>
      <c r="D831" s="9" t="s">
        <v>4925</v>
      </c>
      <c r="E831" s="9" t="s">
        <v>6352</v>
      </c>
      <c r="F831" s="9" t="s">
        <v>526</v>
      </c>
      <c r="G831" s="9" t="s">
        <v>1537</v>
      </c>
      <c r="H831" s="9" t="s">
        <v>86</v>
      </c>
      <c r="I831" s="11">
        <v>18429897</v>
      </c>
      <c r="J831" s="11">
        <v>164417</v>
      </c>
      <c r="K831" s="11">
        <v>10049153</v>
      </c>
      <c r="L831" s="3">
        <v>41</v>
      </c>
      <c r="M831" s="3">
        <v>1869</v>
      </c>
      <c r="N831" s="3">
        <v>408523</v>
      </c>
      <c r="O831" s="2">
        <v>-3.3000000000000002E-2</v>
      </c>
      <c r="P831" s="2">
        <v>0.624</v>
      </c>
      <c r="Q831" s="2">
        <v>-0.27200000000000002</v>
      </c>
      <c r="R831" s="11">
        <v>26719721</v>
      </c>
      <c r="S831" s="11">
        <v>1549949</v>
      </c>
      <c r="T831">
        <v>2017</v>
      </c>
      <c r="U831">
        <v>5</v>
      </c>
      <c r="V831">
        <f t="shared" si="72"/>
        <v>650000</v>
      </c>
      <c r="W831">
        <f t="shared" si="73"/>
        <v>18429897</v>
      </c>
      <c r="X831">
        <f t="shared" si="74"/>
        <v>17779897</v>
      </c>
      <c r="Y831">
        <f t="shared" si="75"/>
        <v>-26019845.5</v>
      </c>
      <c r="Z831">
        <f t="shared" si="76"/>
        <v>45099742.5</v>
      </c>
      <c r="AA831" t="str">
        <f t="shared" si="77"/>
        <v>Normal</v>
      </c>
      <c r="AE831" s="2"/>
      <c r="AF831" s="2"/>
    </row>
    <row r="832" spans="1:32" x14ac:dyDescent="0.35">
      <c r="A832">
        <v>831</v>
      </c>
      <c r="B832" s="1">
        <v>42873</v>
      </c>
      <c r="C832" s="9" t="s">
        <v>106</v>
      </c>
      <c r="D832" s="9" t="s">
        <v>4925</v>
      </c>
      <c r="E832" s="9" t="s">
        <v>6353</v>
      </c>
      <c r="F832" s="9" t="s">
        <v>15</v>
      </c>
      <c r="G832" s="9" t="s">
        <v>1538</v>
      </c>
      <c r="H832" s="9" t="s">
        <v>105</v>
      </c>
      <c r="I832" s="11">
        <v>200000000</v>
      </c>
      <c r="J832" s="11">
        <v>1244664</v>
      </c>
      <c r="K832" s="11">
        <v>1908184</v>
      </c>
      <c r="L832" s="3">
        <v>489</v>
      </c>
      <c r="M832" s="3">
        <v>2505.5</v>
      </c>
      <c r="N832" s="3">
        <v>275645</v>
      </c>
      <c r="O832" s="2">
        <v>0.13600000000000001</v>
      </c>
      <c r="P832" s="2">
        <v>0.52900000000000003</v>
      </c>
      <c r="Q832" s="2">
        <v>0.32800000000000001</v>
      </c>
      <c r="R832" s="11">
        <v>346359480</v>
      </c>
      <c r="S832" s="11">
        <v>593960</v>
      </c>
      <c r="T832">
        <v>2017</v>
      </c>
      <c r="U832">
        <v>5</v>
      </c>
      <c r="V832">
        <f t="shared" si="72"/>
        <v>650000</v>
      </c>
      <c r="W832">
        <f t="shared" si="73"/>
        <v>18429897</v>
      </c>
      <c r="X832">
        <f t="shared" si="74"/>
        <v>17779897</v>
      </c>
      <c r="Y832">
        <f t="shared" si="75"/>
        <v>-26019845.5</v>
      </c>
      <c r="Z832">
        <f t="shared" si="76"/>
        <v>45099742.5</v>
      </c>
      <c r="AA832" t="str">
        <f t="shared" si="77"/>
        <v>Outlier</v>
      </c>
      <c r="AE832" s="2"/>
      <c r="AF832" s="2"/>
    </row>
    <row r="833" spans="1:32" x14ac:dyDescent="0.35">
      <c r="A833">
        <v>832</v>
      </c>
      <c r="B833" s="1">
        <v>42874</v>
      </c>
      <c r="C833" s="9" t="s">
        <v>1539</v>
      </c>
      <c r="D833" s="9" t="s">
        <v>4988</v>
      </c>
      <c r="E833" s="9" t="s">
        <v>6305</v>
      </c>
      <c r="F833" s="9" t="s">
        <v>15</v>
      </c>
      <c r="G833" s="9" t="s">
        <v>1540</v>
      </c>
      <c r="H833" s="9" t="s">
        <v>86</v>
      </c>
      <c r="I833" s="11">
        <v>1000000</v>
      </c>
      <c r="J833" s="11">
        <v>1219323</v>
      </c>
      <c r="K833" s="11">
        <v>14952144</v>
      </c>
      <c r="L833" s="3">
        <v>386</v>
      </c>
      <c r="M833" s="3">
        <v>4810</v>
      </c>
      <c r="N833" s="3">
        <v>727580</v>
      </c>
      <c r="O833" s="2">
        <v>-0.9</v>
      </c>
      <c r="P833" s="2">
        <v>0.72099999999999997</v>
      </c>
      <c r="Q833" s="2">
        <v>-0.215</v>
      </c>
      <c r="R833" s="11">
        <v>238368725</v>
      </c>
      <c r="S833" s="11">
        <v>1669016</v>
      </c>
      <c r="T833">
        <v>2017</v>
      </c>
      <c r="U833">
        <v>5</v>
      </c>
      <c r="V833">
        <f t="shared" si="72"/>
        <v>650000</v>
      </c>
      <c r="W833">
        <f t="shared" si="73"/>
        <v>18429897</v>
      </c>
      <c r="X833">
        <f t="shared" si="74"/>
        <v>17779897</v>
      </c>
      <c r="Y833">
        <f t="shared" si="75"/>
        <v>-26019845.5</v>
      </c>
      <c r="Z833">
        <f t="shared" si="76"/>
        <v>45099742.5</v>
      </c>
      <c r="AA833" t="str">
        <f t="shared" si="77"/>
        <v>Normal</v>
      </c>
      <c r="AE833" s="2"/>
      <c r="AF833" s="2"/>
    </row>
    <row r="834" spans="1:32" x14ac:dyDescent="0.35">
      <c r="A834">
        <v>833</v>
      </c>
      <c r="B834" s="1">
        <v>42874</v>
      </c>
      <c r="C834" s="9" t="s">
        <v>1541</v>
      </c>
      <c r="D834" s="9" t="s">
        <v>4939</v>
      </c>
      <c r="E834" s="9" t="s">
        <v>6354</v>
      </c>
      <c r="F834" s="9" t="s">
        <v>124</v>
      </c>
      <c r="G834" s="9" t="s">
        <v>1542</v>
      </c>
      <c r="H834" s="9" t="s">
        <v>86</v>
      </c>
      <c r="I834" s="11">
        <v>18429897</v>
      </c>
      <c r="J834" s="11">
        <v>2277395</v>
      </c>
      <c r="K834" s="11">
        <v>15009451</v>
      </c>
      <c r="L834" s="3">
        <v>275</v>
      </c>
      <c r="M834" s="3">
        <v>1781</v>
      </c>
      <c r="N834" s="3">
        <v>1330932</v>
      </c>
      <c r="O834" s="2">
        <v>0.38100000000000001</v>
      </c>
      <c r="P834" s="2">
        <v>0.49099999999999999</v>
      </c>
      <c r="Q834" s="2">
        <v>0.8</v>
      </c>
      <c r="R834" s="11">
        <v>32953285</v>
      </c>
      <c r="S834" s="11">
        <v>546313</v>
      </c>
      <c r="T834">
        <v>2017</v>
      </c>
      <c r="U834">
        <v>5</v>
      </c>
      <c r="V834">
        <f t="shared" ref="V834:V897" si="78">_xlfn.PERCENTILE.INC(I834:I3877,0.25)</f>
        <v>650000</v>
      </c>
      <c r="W834">
        <f t="shared" ref="W834:W897" si="79">_xlfn.PERCENTILE.INC(I834:I3877,0.75)</f>
        <v>18429897</v>
      </c>
      <c r="X834">
        <f t="shared" ref="X834:X897" si="80">W834-V834</f>
        <v>17779897</v>
      </c>
      <c r="Y834">
        <f t="shared" ref="Y834:Y897" si="81">V834-1.5*X834</f>
        <v>-26019845.5</v>
      </c>
      <c r="Z834">
        <f t="shared" ref="Z834:Z897" si="82">W834+1.5*X834</f>
        <v>45099742.5</v>
      </c>
      <c r="AA834" t="str">
        <f t="shared" ref="AA834:AA897" si="83">IF(OR(I834&lt;$Y$2, I834&gt;$Z$2), "Outlier", "Normal")</f>
        <v>Normal</v>
      </c>
      <c r="AE834" s="2"/>
      <c r="AF834" s="2"/>
    </row>
    <row r="835" spans="1:32" x14ac:dyDescent="0.35">
      <c r="A835">
        <v>834</v>
      </c>
      <c r="B835" s="1">
        <v>42875</v>
      </c>
      <c r="C835" s="9" t="s">
        <v>1488</v>
      </c>
      <c r="D835" s="9" t="s">
        <v>4925</v>
      </c>
      <c r="E835" s="9" t="s">
        <v>6355</v>
      </c>
      <c r="F835" s="9" t="s">
        <v>27</v>
      </c>
      <c r="G835" s="9" t="s">
        <v>1543</v>
      </c>
      <c r="H835" s="9" t="s">
        <v>105</v>
      </c>
      <c r="I835" s="11">
        <v>18429897</v>
      </c>
      <c r="J835" s="11">
        <v>732248</v>
      </c>
      <c r="K835" s="11">
        <v>9335607</v>
      </c>
      <c r="L835" s="3">
        <v>342</v>
      </c>
      <c r="M835" s="3">
        <v>2505</v>
      </c>
      <c r="N835" s="3">
        <v>1597039</v>
      </c>
      <c r="O835" s="2">
        <v>9.9000000000000005E-2</v>
      </c>
      <c r="P835" s="2">
        <v>0.53200000000000003</v>
      </c>
      <c r="Q835" s="2">
        <v>0.36749999999999999</v>
      </c>
      <c r="R835" s="11">
        <v>394547469</v>
      </c>
      <c r="S835" s="11">
        <v>1184423</v>
      </c>
      <c r="T835">
        <v>2017</v>
      </c>
      <c r="U835">
        <v>5</v>
      </c>
      <c r="V835">
        <f t="shared" si="78"/>
        <v>650000</v>
      </c>
      <c r="W835">
        <f t="shared" si="79"/>
        <v>18429897</v>
      </c>
      <c r="X835">
        <f t="shared" si="80"/>
        <v>17779897</v>
      </c>
      <c r="Y835">
        <f t="shared" si="81"/>
        <v>-26019845.5</v>
      </c>
      <c r="Z835">
        <f t="shared" si="82"/>
        <v>45099742.5</v>
      </c>
      <c r="AA835" t="str">
        <f t="shared" si="83"/>
        <v>Normal</v>
      </c>
      <c r="AE835" s="2"/>
      <c r="AF835" s="2"/>
    </row>
    <row r="836" spans="1:32" x14ac:dyDescent="0.35">
      <c r="A836">
        <v>835</v>
      </c>
      <c r="B836" s="1">
        <v>42877</v>
      </c>
      <c r="C836" s="9" t="s">
        <v>1544</v>
      </c>
      <c r="D836" s="9" t="s">
        <v>4928</v>
      </c>
      <c r="E836" s="9" t="s">
        <v>6356</v>
      </c>
      <c r="F836" s="9" t="s">
        <v>27</v>
      </c>
      <c r="G836" s="9" t="s">
        <v>360</v>
      </c>
      <c r="H836" s="9" t="s">
        <v>105</v>
      </c>
      <c r="I836" s="11">
        <v>30000000</v>
      </c>
      <c r="J836" s="11">
        <v>2531926</v>
      </c>
      <c r="K836" s="11">
        <v>6277417</v>
      </c>
      <c r="L836" s="3">
        <v>86</v>
      </c>
      <c r="M836" s="3">
        <v>4662</v>
      </c>
      <c r="N836" s="3">
        <v>62845</v>
      </c>
      <c r="O836" s="2">
        <v>0.34</v>
      </c>
      <c r="P836" s="2">
        <v>1.1579999999999999</v>
      </c>
      <c r="Q836" s="2">
        <v>0.156</v>
      </c>
      <c r="R836" s="11">
        <v>314879928</v>
      </c>
      <c r="S836" s="11">
        <v>523712</v>
      </c>
      <c r="T836">
        <v>2017</v>
      </c>
      <c r="U836">
        <v>5</v>
      </c>
      <c r="V836">
        <f t="shared" si="78"/>
        <v>650000</v>
      </c>
      <c r="W836">
        <f t="shared" si="79"/>
        <v>18429897</v>
      </c>
      <c r="X836">
        <f t="shared" si="80"/>
        <v>17779897</v>
      </c>
      <c r="Y836">
        <f t="shared" si="81"/>
        <v>-26019845.5</v>
      </c>
      <c r="Z836">
        <f t="shared" si="82"/>
        <v>45099742.5</v>
      </c>
      <c r="AA836" t="str">
        <f t="shared" si="83"/>
        <v>Normal</v>
      </c>
      <c r="AE836" s="2"/>
      <c r="AF836" s="2"/>
    </row>
    <row r="837" spans="1:32" x14ac:dyDescent="0.35">
      <c r="A837">
        <v>836</v>
      </c>
      <c r="B837" s="1">
        <v>42877</v>
      </c>
      <c r="C837" s="9" t="s">
        <v>1545</v>
      </c>
      <c r="D837" s="9" t="s">
        <v>4988</v>
      </c>
      <c r="E837" s="9" t="s">
        <v>6357</v>
      </c>
      <c r="F837" s="9" t="s">
        <v>31</v>
      </c>
      <c r="G837" s="9" t="s">
        <v>1546</v>
      </c>
      <c r="H837" s="9" t="s">
        <v>86</v>
      </c>
      <c r="I837" s="11">
        <v>500000</v>
      </c>
      <c r="J837" s="11">
        <v>3888304</v>
      </c>
      <c r="K837" s="11">
        <v>444131</v>
      </c>
      <c r="L837" s="3">
        <v>494</v>
      </c>
      <c r="M837" s="3">
        <v>1381</v>
      </c>
      <c r="N837" s="3">
        <v>924150</v>
      </c>
      <c r="O837" s="2">
        <v>-0.219</v>
      </c>
      <c r="P837" s="2">
        <v>1.075</v>
      </c>
      <c r="Q837" s="2">
        <v>-1.4999999999999999E-2</v>
      </c>
      <c r="R837" s="11">
        <v>130708607</v>
      </c>
      <c r="S837" s="11">
        <v>1164124</v>
      </c>
      <c r="T837">
        <v>2017</v>
      </c>
      <c r="U837">
        <v>5</v>
      </c>
      <c r="V837">
        <f t="shared" si="78"/>
        <v>650000</v>
      </c>
      <c r="W837">
        <f t="shared" si="79"/>
        <v>18429897</v>
      </c>
      <c r="X837">
        <f t="shared" si="80"/>
        <v>17779897</v>
      </c>
      <c r="Y837">
        <f t="shared" si="81"/>
        <v>-26019845.5</v>
      </c>
      <c r="Z837">
        <f t="shared" si="82"/>
        <v>45099742.5</v>
      </c>
      <c r="AA837" t="str">
        <f t="shared" si="83"/>
        <v>Normal</v>
      </c>
      <c r="AE837" s="2"/>
      <c r="AF837" s="2"/>
    </row>
    <row r="838" spans="1:32" x14ac:dyDescent="0.35">
      <c r="A838">
        <v>837</v>
      </c>
      <c r="B838" s="1">
        <v>42878</v>
      </c>
      <c r="C838" s="9" t="s">
        <v>1547</v>
      </c>
      <c r="D838" s="9" t="s">
        <v>4925</v>
      </c>
      <c r="E838" s="9" t="s">
        <v>6358</v>
      </c>
      <c r="F838" s="9" t="s">
        <v>124</v>
      </c>
      <c r="G838" s="9" t="s">
        <v>1548</v>
      </c>
      <c r="H838" s="9" t="s">
        <v>86</v>
      </c>
      <c r="I838" s="11">
        <v>18429897</v>
      </c>
      <c r="J838" s="11">
        <v>4045581</v>
      </c>
      <c r="K838" s="11">
        <v>18168466</v>
      </c>
      <c r="L838" s="3">
        <v>261</v>
      </c>
      <c r="M838" s="3">
        <v>4429</v>
      </c>
      <c r="N838" s="3">
        <v>1880236</v>
      </c>
      <c r="O838" s="2">
        <v>0.185</v>
      </c>
      <c r="P838" s="2">
        <v>0.21299999999999999</v>
      </c>
      <c r="Q838" s="2">
        <v>-0.29399999999999998</v>
      </c>
      <c r="R838" s="11">
        <v>252780538</v>
      </c>
      <c r="S838" s="11">
        <v>1772380</v>
      </c>
      <c r="T838">
        <v>2017</v>
      </c>
      <c r="U838">
        <v>5</v>
      </c>
      <c r="V838">
        <f t="shared" si="78"/>
        <v>650000</v>
      </c>
      <c r="W838">
        <f t="shared" si="79"/>
        <v>18429897</v>
      </c>
      <c r="X838">
        <f t="shared" si="80"/>
        <v>17779897</v>
      </c>
      <c r="Y838">
        <f t="shared" si="81"/>
        <v>-26019845.5</v>
      </c>
      <c r="Z838">
        <f t="shared" si="82"/>
        <v>45099742.5</v>
      </c>
      <c r="AA838" t="str">
        <f t="shared" si="83"/>
        <v>Normal</v>
      </c>
      <c r="AE838" s="2"/>
      <c r="AF838" s="2"/>
    </row>
    <row r="839" spans="1:32" x14ac:dyDescent="0.35">
      <c r="A839">
        <v>838</v>
      </c>
      <c r="B839" s="1">
        <v>42878</v>
      </c>
      <c r="C839" s="9" t="s">
        <v>682</v>
      </c>
      <c r="D839" s="9" t="s">
        <v>4988</v>
      </c>
      <c r="E839" s="9" t="s">
        <v>6359</v>
      </c>
      <c r="F839" s="9" t="s">
        <v>19</v>
      </c>
      <c r="G839" s="9" t="s">
        <v>1549</v>
      </c>
      <c r="H839" s="9" t="s">
        <v>105</v>
      </c>
      <c r="I839" s="11">
        <v>6600000</v>
      </c>
      <c r="J839" s="11">
        <v>1007057</v>
      </c>
      <c r="K839" s="11">
        <v>3766972</v>
      </c>
      <c r="L839" s="3">
        <v>260</v>
      </c>
      <c r="M839" s="3">
        <v>845</v>
      </c>
      <c r="N839" s="3">
        <v>1018455</v>
      </c>
      <c r="O839" s="2">
        <v>0.23899999999999999</v>
      </c>
      <c r="P839" s="2">
        <v>0.80200000000000005</v>
      </c>
      <c r="Q839" s="2">
        <v>0.36749999999999999</v>
      </c>
      <c r="R839" s="11">
        <v>176003385</v>
      </c>
      <c r="S839" s="11">
        <v>768940</v>
      </c>
      <c r="T839">
        <v>2017</v>
      </c>
      <c r="U839">
        <v>5</v>
      </c>
      <c r="V839">
        <f t="shared" si="78"/>
        <v>650000</v>
      </c>
      <c r="W839">
        <f t="shared" si="79"/>
        <v>18429897</v>
      </c>
      <c r="X839">
        <f t="shared" si="80"/>
        <v>17779897</v>
      </c>
      <c r="Y839">
        <f t="shared" si="81"/>
        <v>-26019845.5</v>
      </c>
      <c r="Z839">
        <f t="shared" si="82"/>
        <v>45099742.5</v>
      </c>
      <c r="AA839" t="str">
        <f t="shared" si="83"/>
        <v>Normal</v>
      </c>
      <c r="AE839" s="2"/>
      <c r="AF839" s="2"/>
    </row>
    <row r="840" spans="1:32" x14ac:dyDescent="0.35">
      <c r="A840">
        <v>839</v>
      </c>
      <c r="B840" s="1">
        <v>42878</v>
      </c>
      <c r="C840" s="9" t="s">
        <v>714</v>
      </c>
      <c r="D840" s="9" t="s">
        <v>4988</v>
      </c>
      <c r="E840" s="9" t="s">
        <v>5970</v>
      </c>
      <c r="F840" s="9" t="s">
        <v>27</v>
      </c>
      <c r="G840" s="9" t="s">
        <v>1550</v>
      </c>
      <c r="H840" s="9" t="s">
        <v>86</v>
      </c>
      <c r="I840" s="11">
        <v>18429897</v>
      </c>
      <c r="J840" s="11">
        <v>92571</v>
      </c>
      <c r="K840" s="11">
        <v>16869579</v>
      </c>
      <c r="L840" s="3">
        <v>479</v>
      </c>
      <c r="M840" s="3">
        <v>1501</v>
      </c>
      <c r="N840" s="3">
        <v>1879781</v>
      </c>
      <c r="O840" s="2">
        <v>9.1999999999999998E-2</v>
      </c>
      <c r="P840" s="2">
        <v>0.34200000000000003</v>
      </c>
      <c r="Q840" s="2">
        <v>-0.16300000000000001</v>
      </c>
      <c r="R840" s="11">
        <v>250264963</v>
      </c>
      <c r="S840" s="11">
        <v>355155</v>
      </c>
      <c r="T840">
        <v>2017</v>
      </c>
      <c r="U840">
        <v>5</v>
      </c>
      <c r="V840">
        <f t="shared" si="78"/>
        <v>650000</v>
      </c>
      <c r="W840">
        <f t="shared" si="79"/>
        <v>18429897</v>
      </c>
      <c r="X840">
        <f t="shared" si="80"/>
        <v>17779897</v>
      </c>
      <c r="Y840">
        <f t="shared" si="81"/>
        <v>-26019845.5</v>
      </c>
      <c r="Z840">
        <f t="shared" si="82"/>
        <v>45099742.5</v>
      </c>
      <c r="AA840" t="str">
        <f t="shared" si="83"/>
        <v>Normal</v>
      </c>
      <c r="AE840" s="2"/>
      <c r="AF840" s="2"/>
    </row>
    <row r="841" spans="1:32" x14ac:dyDescent="0.35">
      <c r="A841">
        <v>840</v>
      </c>
      <c r="B841" s="1">
        <v>42878</v>
      </c>
      <c r="C841" s="9" t="s">
        <v>1551</v>
      </c>
      <c r="D841" s="9" t="s">
        <v>4988</v>
      </c>
      <c r="E841" s="9" t="s">
        <v>5267</v>
      </c>
      <c r="F841" s="9" t="s">
        <v>31</v>
      </c>
      <c r="G841" s="9" t="s">
        <v>683</v>
      </c>
      <c r="H841" s="9" t="s">
        <v>105</v>
      </c>
      <c r="I841" s="11">
        <v>1000000</v>
      </c>
      <c r="J841" s="11">
        <v>4554978</v>
      </c>
      <c r="K841" s="11">
        <v>11816457</v>
      </c>
      <c r="L841" s="3">
        <v>52</v>
      </c>
      <c r="M841" s="3">
        <v>1972</v>
      </c>
      <c r="N841" s="3">
        <v>1018455</v>
      </c>
      <c r="O841" s="2">
        <v>1.2E-2</v>
      </c>
      <c r="P841" s="2">
        <v>0.98899999999999999</v>
      </c>
      <c r="Q841" s="2">
        <v>-0.56200000000000006</v>
      </c>
      <c r="R841" s="11">
        <v>214137872</v>
      </c>
      <c r="S841" s="11">
        <v>529409</v>
      </c>
      <c r="T841">
        <v>2017</v>
      </c>
      <c r="U841">
        <v>5</v>
      </c>
      <c r="V841">
        <f t="shared" si="78"/>
        <v>650000</v>
      </c>
      <c r="W841">
        <f t="shared" si="79"/>
        <v>18429897</v>
      </c>
      <c r="X841">
        <f t="shared" si="80"/>
        <v>17779897</v>
      </c>
      <c r="Y841">
        <f t="shared" si="81"/>
        <v>-26019845.5</v>
      </c>
      <c r="Z841">
        <f t="shared" si="82"/>
        <v>45099742.5</v>
      </c>
      <c r="AA841" t="str">
        <f t="shared" si="83"/>
        <v>Normal</v>
      </c>
      <c r="AE841" s="2"/>
      <c r="AF841" s="2"/>
    </row>
    <row r="842" spans="1:32" x14ac:dyDescent="0.35">
      <c r="A842">
        <v>841</v>
      </c>
      <c r="B842" s="1">
        <v>42879</v>
      </c>
      <c r="C842" s="9" t="s">
        <v>1552</v>
      </c>
      <c r="D842" s="9" t="s">
        <v>4988</v>
      </c>
      <c r="E842" s="9" t="s">
        <v>6360</v>
      </c>
      <c r="F842" s="9" t="s">
        <v>31</v>
      </c>
      <c r="G842" s="9" t="s">
        <v>856</v>
      </c>
      <c r="H842" s="9" t="s">
        <v>86</v>
      </c>
      <c r="I842" s="11">
        <v>580000</v>
      </c>
      <c r="J842" s="11">
        <v>1458763</v>
      </c>
      <c r="K842" s="11">
        <v>13735540</v>
      </c>
      <c r="L842" s="3">
        <v>214</v>
      </c>
      <c r="M842" s="3">
        <v>2441</v>
      </c>
      <c r="N842" s="3">
        <v>184375</v>
      </c>
      <c r="O842" s="2">
        <v>8.900000000000001E-2</v>
      </c>
      <c r="P842" s="2">
        <v>1.036</v>
      </c>
      <c r="Q842" s="2">
        <v>0.20800000000000002</v>
      </c>
      <c r="R842" s="11">
        <v>296838924</v>
      </c>
      <c r="S842" s="11">
        <v>244913</v>
      </c>
      <c r="T842">
        <v>2017</v>
      </c>
      <c r="U842">
        <v>5</v>
      </c>
      <c r="V842">
        <f t="shared" si="78"/>
        <v>650000</v>
      </c>
      <c r="W842">
        <f t="shared" si="79"/>
        <v>18429897</v>
      </c>
      <c r="X842">
        <f t="shared" si="80"/>
        <v>17779897</v>
      </c>
      <c r="Y842">
        <f t="shared" si="81"/>
        <v>-26019845.5</v>
      </c>
      <c r="Z842">
        <f t="shared" si="82"/>
        <v>45099742.5</v>
      </c>
      <c r="AA842" t="str">
        <f t="shared" si="83"/>
        <v>Normal</v>
      </c>
      <c r="AE842" s="2"/>
      <c r="AF842" s="2"/>
    </row>
    <row r="843" spans="1:32" x14ac:dyDescent="0.35">
      <c r="A843">
        <v>842</v>
      </c>
      <c r="B843" s="1">
        <v>42880</v>
      </c>
      <c r="C843" s="9" t="s">
        <v>83</v>
      </c>
      <c r="D843" s="9" t="s">
        <v>4933</v>
      </c>
      <c r="E843" s="9" t="s">
        <v>5696</v>
      </c>
      <c r="F843" s="9" t="s">
        <v>19</v>
      </c>
      <c r="G843" s="9" t="s">
        <v>1553</v>
      </c>
      <c r="H843" s="9" t="s">
        <v>105</v>
      </c>
      <c r="I843" s="11">
        <v>8000000</v>
      </c>
      <c r="J843" s="11">
        <v>3288219</v>
      </c>
      <c r="K843" s="11">
        <v>13914919</v>
      </c>
      <c r="L843" s="3">
        <v>48</v>
      </c>
      <c r="M843" s="3">
        <v>1253</v>
      </c>
      <c r="N843" s="3">
        <v>1362097</v>
      </c>
      <c r="O843" s="2">
        <v>0.26800000000000002</v>
      </c>
      <c r="P843" s="2">
        <v>0.86</v>
      </c>
      <c r="Q843" s="2">
        <v>0.22600000000000001</v>
      </c>
      <c r="R843" s="11">
        <v>250264963</v>
      </c>
      <c r="S843" s="11">
        <v>1454167</v>
      </c>
      <c r="T843">
        <v>2017</v>
      </c>
      <c r="U843">
        <v>5</v>
      </c>
      <c r="V843">
        <f t="shared" si="78"/>
        <v>650000</v>
      </c>
      <c r="W843">
        <f t="shared" si="79"/>
        <v>18429897</v>
      </c>
      <c r="X843">
        <f t="shared" si="80"/>
        <v>17779897</v>
      </c>
      <c r="Y843">
        <f t="shared" si="81"/>
        <v>-26019845.5</v>
      </c>
      <c r="Z843">
        <f t="shared" si="82"/>
        <v>45099742.5</v>
      </c>
      <c r="AA843" t="str">
        <f t="shared" si="83"/>
        <v>Normal</v>
      </c>
      <c r="AE843" s="2"/>
      <c r="AF843" s="2"/>
    </row>
    <row r="844" spans="1:32" x14ac:dyDescent="0.35">
      <c r="A844">
        <v>843</v>
      </c>
      <c r="B844" s="1">
        <v>42881</v>
      </c>
      <c r="C844" s="9" t="s">
        <v>1554</v>
      </c>
      <c r="D844" s="9" t="s">
        <v>4988</v>
      </c>
      <c r="E844" s="9" t="s">
        <v>6361</v>
      </c>
      <c r="F844" s="9" t="s">
        <v>15</v>
      </c>
      <c r="G844" s="9" t="s">
        <v>4839</v>
      </c>
      <c r="H844" s="9" t="s">
        <v>86</v>
      </c>
      <c r="I844" s="11">
        <v>18429897</v>
      </c>
      <c r="J844" s="11">
        <v>4548993</v>
      </c>
      <c r="K844" s="11">
        <v>17176000</v>
      </c>
      <c r="L844" s="3">
        <v>215</v>
      </c>
      <c r="M844" s="3">
        <v>4424</v>
      </c>
      <c r="N844" s="3">
        <v>1018455</v>
      </c>
      <c r="O844" s="2">
        <v>-0.122</v>
      </c>
      <c r="P844" s="2">
        <v>0.873</v>
      </c>
      <c r="Q844" s="2">
        <v>-0.16800000000000001</v>
      </c>
      <c r="R844" s="11">
        <v>336682117</v>
      </c>
      <c r="S844" s="11">
        <v>1008193.5</v>
      </c>
      <c r="T844">
        <v>2017</v>
      </c>
      <c r="U844">
        <v>5</v>
      </c>
      <c r="V844">
        <f t="shared" si="78"/>
        <v>650000</v>
      </c>
      <c r="W844">
        <f t="shared" si="79"/>
        <v>18429897</v>
      </c>
      <c r="X844">
        <f t="shared" si="80"/>
        <v>17779897</v>
      </c>
      <c r="Y844">
        <f t="shared" si="81"/>
        <v>-26019845.5</v>
      </c>
      <c r="Z844">
        <f t="shared" si="82"/>
        <v>45099742.5</v>
      </c>
      <c r="AA844" t="str">
        <f t="shared" si="83"/>
        <v>Normal</v>
      </c>
      <c r="AE844" s="2"/>
      <c r="AF844" s="2"/>
    </row>
    <row r="845" spans="1:32" x14ac:dyDescent="0.35">
      <c r="A845">
        <v>844</v>
      </c>
      <c r="B845" s="1">
        <v>42884</v>
      </c>
      <c r="C845" s="9" t="s">
        <v>1555</v>
      </c>
      <c r="D845" s="9" t="s">
        <v>4988</v>
      </c>
      <c r="E845" s="9" t="s">
        <v>6362</v>
      </c>
      <c r="F845" s="9" t="s">
        <v>31</v>
      </c>
      <c r="G845" s="9" t="s">
        <v>58</v>
      </c>
      <c r="H845" s="9" t="s">
        <v>86</v>
      </c>
      <c r="I845" s="11">
        <v>18429897</v>
      </c>
      <c r="J845" s="11">
        <v>200090</v>
      </c>
      <c r="K845" s="11">
        <v>765223</v>
      </c>
      <c r="L845" s="3">
        <v>137</v>
      </c>
      <c r="M845" s="3">
        <v>3340</v>
      </c>
      <c r="N845" s="3">
        <v>954621</v>
      </c>
      <c r="O845" s="2">
        <v>0.26</v>
      </c>
      <c r="P845" s="2">
        <v>1.0509999999999999</v>
      </c>
      <c r="Q845" s="2">
        <v>0.42599999999999999</v>
      </c>
      <c r="R845" s="11">
        <v>245990123</v>
      </c>
      <c r="S845" s="11">
        <v>964860</v>
      </c>
      <c r="T845">
        <v>2017</v>
      </c>
      <c r="U845">
        <v>5</v>
      </c>
      <c r="V845">
        <f t="shared" si="78"/>
        <v>650000</v>
      </c>
      <c r="W845">
        <f t="shared" si="79"/>
        <v>18429897</v>
      </c>
      <c r="X845">
        <f t="shared" si="80"/>
        <v>17779897</v>
      </c>
      <c r="Y845">
        <f t="shared" si="81"/>
        <v>-26019845.5</v>
      </c>
      <c r="Z845">
        <f t="shared" si="82"/>
        <v>45099742.5</v>
      </c>
      <c r="AA845" t="str">
        <f t="shared" si="83"/>
        <v>Normal</v>
      </c>
      <c r="AE845" s="2"/>
      <c r="AF845" s="2"/>
    </row>
    <row r="846" spans="1:32" x14ac:dyDescent="0.35">
      <c r="A846">
        <v>845</v>
      </c>
      <c r="B846" s="1">
        <v>42884</v>
      </c>
      <c r="C846" s="9" t="s">
        <v>517</v>
      </c>
      <c r="D846" s="9" t="s">
        <v>4988</v>
      </c>
      <c r="E846" s="9" t="s">
        <v>6363</v>
      </c>
      <c r="F846" s="9" t="s">
        <v>63</v>
      </c>
      <c r="G846" s="9" t="s">
        <v>1556</v>
      </c>
      <c r="H846" s="9" t="s">
        <v>86</v>
      </c>
      <c r="I846" s="11">
        <v>18429897</v>
      </c>
      <c r="J846" s="11">
        <v>47257</v>
      </c>
      <c r="K846" s="11">
        <v>19824557</v>
      </c>
      <c r="L846" s="3">
        <v>233</v>
      </c>
      <c r="M846" s="3">
        <v>3369</v>
      </c>
      <c r="N846" s="3">
        <v>1594800</v>
      </c>
      <c r="O846" s="2">
        <v>0.184</v>
      </c>
      <c r="P846" s="2">
        <v>0.30199999999999999</v>
      </c>
      <c r="Q846" s="2">
        <v>7.2999999999999995E-2</v>
      </c>
      <c r="R846" s="11">
        <v>279792890</v>
      </c>
      <c r="S846" s="11">
        <v>1561517</v>
      </c>
      <c r="T846">
        <v>2017</v>
      </c>
      <c r="U846">
        <v>5</v>
      </c>
      <c r="V846">
        <f t="shared" si="78"/>
        <v>650000</v>
      </c>
      <c r="W846">
        <f t="shared" si="79"/>
        <v>18429897</v>
      </c>
      <c r="X846">
        <f t="shared" si="80"/>
        <v>17779897</v>
      </c>
      <c r="Y846">
        <f t="shared" si="81"/>
        <v>-26019845.5</v>
      </c>
      <c r="Z846">
        <f t="shared" si="82"/>
        <v>45099742.5</v>
      </c>
      <c r="AA846" t="str">
        <f t="shared" si="83"/>
        <v>Normal</v>
      </c>
      <c r="AE846" s="2"/>
      <c r="AF846" s="2"/>
    </row>
    <row r="847" spans="1:32" x14ac:dyDescent="0.35">
      <c r="A847">
        <v>846</v>
      </c>
      <c r="B847" s="1">
        <v>42884</v>
      </c>
      <c r="C847" s="9" t="s">
        <v>1557</v>
      </c>
      <c r="D847" s="9" t="s">
        <v>4930</v>
      </c>
      <c r="E847" s="9" t="s">
        <v>6364</v>
      </c>
      <c r="F847" s="9" t="s">
        <v>27</v>
      </c>
      <c r="G847" s="9" t="s">
        <v>856</v>
      </c>
      <c r="H847" s="9" t="s">
        <v>86</v>
      </c>
      <c r="I847" s="11">
        <v>18429897</v>
      </c>
      <c r="J847" s="11">
        <v>47040</v>
      </c>
      <c r="K847" s="11">
        <v>962301</v>
      </c>
      <c r="L847" s="3">
        <v>352</v>
      </c>
      <c r="M847" s="3">
        <v>3672</v>
      </c>
      <c r="N847" s="3">
        <v>1869104</v>
      </c>
      <c r="O847" s="2">
        <v>6.8000000000000005E-2</v>
      </c>
      <c r="P847" s="2">
        <v>0.90799999999999992</v>
      </c>
      <c r="Q847" s="2">
        <v>0.312</v>
      </c>
      <c r="R847" s="11">
        <v>72843380</v>
      </c>
      <c r="S847" s="11">
        <v>1134225</v>
      </c>
      <c r="T847">
        <v>2017</v>
      </c>
      <c r="U847">
        <v>5</v>
      </c>
      <c r="V847">
        <f t="shared" si="78"/>
        <v>650000</v>
      </c>
      <c r="W847">
        <f t="shared" si="79"/>
        <v>18429897</v>
      </c>
      <c r="X847">
        <f t="shared" si="80"/>
        <v>17779897</v>
      </c>
      <c r="Y847">
        <f t="shared" si="81"/>
        <v>-26019845.5</v>
      </c>
      <c r="Z847">
        <f t="shared" si="82"/>
        <v>45099742.5</v>
      </c>
      <c r="AA847" t="str">
        <f t="shared" si="83"/>
        <v>Normal</v>
      </c>
      <c r="AE847" s="2"/>
      <c r="AF847" s="2"/>
    </row>
    <row r="848" spans="1:32" x14ac:dyDescent="0.35">
      <c r="A848">
        <v>847</v>
      </c>
      <c r="B848" s="1">
        <v>42884</v>
      </c>
      <c r="C848" s="9" t="s">
        <v>1558</v>
      </c>
      <c r="D848" s="9" t="s">
        <v>4925</v>
      </c>
      <c r="E848" s="9" t="s">
        <v>6365</v>
      </c>
      <c r="F848" s="9" t="s">
        <v>31</v>
      </c>
      <c r="G848" s="9" t="s">
        <v>1032</v>
      </c>
      <c r="H848" s="9" t="s">
        <v>105</v>
      </c>
      <c r="I848" s="11">
        <v>3500000</v>
      </c>
      <c r="J848" s="11">
        <v>798502</v>
      </c>
      <c r="K848" s="11">
        <v>19981362</v>
      </c>
      <c r="L848" s="3">
        <v>143</v>
      </c>
      <c r="M848" s="3">
        <v>3204</v>
      </c>
      <c r="N848" s="3">
        <v>929210</v>
      </c>
      <c r="O848" s="2">
        <v>7.5999999999999998E-2</v>
      </c>
      <c r="P848" s="2">
        <v>0.32</v>
      </c>
      <c r="Q848" s="2">
        <v>0.29399999999999998</v>
      </c>
      <c r="R848" s="11">
        <v>77037079</v>
      </c>
      <c r="S848" s="11">
        <v>950061</v>
      </c>
      <c r="T848">
        <v>2017</v>
      </c>
      <c r="U848">
        <v>5</v>
      </c>
      <c r="V848">
        <f t="shared" si="78"/>
        <v>650000</v>
      </c>
      <c r="W848">
        <f t="shared" si="79"/>
        <v>18429897</v>
      </c>
      <c r="X848">
        <f t="shared" si="80"/>
        <v>17779897</v>
      </c>
      <c r="Y848">
        <f t="shared" si="81"/>
        <v>-26019845.5</v>
      </c>
      <c r="Z848">
        <f t="shared" si="82"/>
        <v>45099742.5</v>
      </c>
      <c r="AA848" t="str">
        <f t="shared" si="83"/>
        <v>Normal</v>
      </c>
      <c r="AE848" s="2"/>
      <c r="AF848" s="2"/>
    </row>
    <row r="849" spans="1:32" x14ac:dyDescent="0.35">
      <c r="A849">
        <v>848</v>
      </c>
      <c r="B849" s="1">
        <v>42885</v>
      </c>
      <c r="C849" s="9" t="s">
        <v>1559</v>
      </c>
      <c r="D849" s="9" t="s">
        <v>4928</v>
      </c>
      <c r="E849" s="9" t="s">
        <v>6366</v>
      </c>
      <c r="F849" s="9" t="s">
        <v>15</v>
      </c>
      <c r="G849" s="9" t="s">
        <v>212</v>
      </c>
      <c r="H849" s="9" t="s">
        <v>86</v>
      </c>
      <c r="I849" s="11">
        <v>18429897</v>
      </c>
      <c r="J849" s="11">
        <v>2531926</v>
      </c>
      <c r="K849" s="11">
        <v>5300071</v>
      </c>
      <c r="L849" s="3">
        <v>30</v>
      </c>
      <c r="M849" s="3">
        <v>3235</v>
      </c>
      <c r="N849" s="3">
        <v>1297389</v>
      </c>
      <c r="O849" s="2">
        <v>0.13200000000000001</v>
      </c>
      <c r="P849" s="2">
        <v>0.24199999999999999</v>
      </c>
      <c r="Q849" s="2">
        <v>6.6000000000000003E-2</v>
      </c>
      <c r="R849" s="11">
        <v>270025374</v>
      </c>
      <c r="S849" s="11">
        <v>274840</v>
      </c>
      <c r="T849">
        <v>2017</v>
      </c>
      <c r="U849">
        <v>5</v>
      </c>
      <c r="V849">
        <f t="shared" si="78"/>
        <v>650000</v>
      </c>
      <c r="W849">
        <f t="shared" si="79"/>
        <v>18429897</v>
      </c>
      <c r="X849">
        <f t="shared" si="80"/>
        <v>17779897</v>
      </c>
      <c r="Y849">
        <f t="shared" si="81"/>
        <v>-26019845.5</v>
      </c>
      <c r="Z849">
        <f t="shared" si="82"/>
        <v>45099742.5</v>
      </c>
      <c r="AA849" t="str">
        <f t="shared" si="83"/>
        <v>Normal</v>
      </c>
      <c r="AE849" s="2"/>
      <c r="AF849" s="2"/>
    </row>
    <row r="850" spans="1:32" x14ac:dyDescent="0.35">
      <c r="A850">
        <v>849</v>
      </c>
      <c r="B850" s="1">
        <v>42885</v>
      </c>
      <c r="C850" s="9" t="s">
        <v>1560</v>
      </c>
      <c r="D850" s="9" t="s">
        <v>4988</v>
      </c>
      <c r="E850" s="9" t="s">
        <v>1111</v>
      </c>
      <c r="F850" s="9" t="s">
        <v>27</v>
      </c>
      <c r="G850" s="9" t="s">
        <v>856</v>
      </c>
      <c r="H850" s="9" t="s">
        <v>86</v>
      </c>
      <c r="I850" s="11">
        <v>18429897</v>
      </c>
      <c r="J850" s="11">
        <v>4103504</v>
      </c>
      <c r="K850" s="11">
        <v>16932428</v>
      </c>
      <c r="L850" s="3">
        <v>85</v>
      </c>
      <c r="M850" s="3">
        <v>3319</v>
      </c>
      <c r="N850" s="3">
        <v>957595</v>
      </c>
      <c r="O850" s="2">
        <v>0.45200000000000001</v>
      </c>
      <c r="P850" s="2">
        <v>0.83900000000000008</v>
      </c>
      <c r="Q850" s="2">
        <v>-0.40699999999999997</v>
      </c>
      <c r="R850" s="11">
        <v>317706996</v>
      </c>
      <c r="S850" s="11">
        <v>1335000</v>
      </c>
      <c r="T850">
        <v>2017</v>
      </c>
      <c r="U850">
        <v>5</v>
      </c>
      <c r="V850">
        <f t="shared" si="78"/>
        <v>650000</v>
      </c>
      <c r="W850">
        <f t="shared" si="79"/>
        <v>18429897</v>
      </c>
      <c r="X850">
        <f t="shared" si="80"/>
        <v>17779897</v>
      </c>
      <c r="Y850">
        <f t="shared" si="81"/>
        <v>-26019845.5</v>
      </c>
      <c r="Z850">
        <f t="shared" si="82"/>
        <v>45099742.5</v>
      </c>
      <c r="AA850" t="str">
        <f t="shared" si="83"/>
        <v>Normal</v>
      </c>
      <c r="AE850" s="2"/>
      <c r="AF850" s="2"/>
    </row>
    <row r="851" spans="1:32" x14ac:dyDescent="0.35">
      <c r="A851">
        <v>850</v>
      </c>
      <c r="B851" s="1">
        <v>42885</v>
      </c>
      <c r="C851" s="9" t="s">
        <v>1561</v>
      </c>
      <c r="D851" s="9" t="s">
        <v>4988</v>
      </c>
      <c r="E851" s="9" t="s">
        <v>6367</v>
      </c>
      <c r="F851" s="9" t="s">
        <v>31</v>
      </c>
      <c r="G851" s="9" t="s">
        <v>1562</v>
      </c>
      <c r="H851" s="9" t="s">
        <v>105</v>
      </c>
      <c r="I851" s="11">
        <v>1500000</v>
      </c>
      <c r="J851" s="11">
        <v>2531926</v>
      </c>
      <c r="K851" s="11">
        <v>1761683</v>
      </c>
      <c r="L851" s="3">
        <v>359</v>
      </c>
      <c r="M851" s="3">
        <v>3616</v>
      </c>
      <c r="N851" s="3">
        <v>1271576</v>
      </c>
      <c r="O851" s="2">
        <v>0.19</v>
      </c>
      <c r="P851" s="2">
        <v>0.47199999999999998</v>
      </c>
      <c r="Q851" s="2">
        <v>0.15</v>
      </c>
      <c r="R851" s="11">
        <v>316763799</v>
      </c>
      <c r="S851" s="11">
        <v>786389</v>
      </c>
      <c r="T851">
        <v>2017</v>
      </c>
      <c r="U851">
        <v>5</v>
      </c>
      <c r="V851">
        <f t="shared" si="78"/>
        <v>650000</v>
      </c>
      <c r="W851">
        <f t="shared" si="79"/>
        <v>18429897</v>
      </c>
      <c r="X851">
        <f t="shared" si="80"/>
        <v>17779897</v>
      </c>
      <c r="Y851">
        <f t="shared" si="81"/>
        <v>-26019845.5</v>
      </c>
      <c r="Z851">
        <f t="shared" si="82"/>
        <v>45099742.5</v>
      </c>
      <c r="AA851" t="str">
        <f t="shared" si="83"/>
        <v>Normal</v>
      </c>
      <c r="AE851" s="2"/>
      <c r="AF851" s="2"/>
    </row>
    <row r="852" spans="1:32" x14ac:dyDescent="0.35">
      <c r="A852">
        <v>851</v>
      </c>
      <c r="B852" s="1">
        <v>42885</v>
      </c>
      <c r="C852" s="9" t="s">
        <v>729</v>
      </c>
      <c r="D852" s="9" t="s">
        <v>4988</v>
      </c>
      <c r="E852" s="9" t="s">
        <v>5690</v>
      </c>
      <c r="F852" s="9" t="s">
        <v>15</v>
      </c>
      <c r="G852" s="9" t="s">
        <v>1563</v>
      </c>
      <c r="H852" s="9" t="s">
        <v>105</v>
      </c>
      <c r="I852" s="11">
        <v>80000000</v>
      </c>
      <c r="J852" s="11">
        <v>4900632</v>
      </c>
      <c r="K852" s="11">
        <v>9272383</v>
      </c>
      <c r="L852" s="3">
        <v>291</v>
      </c>
      <c r="M852" s="3">
        <v>4608</v>
      </c>
      <c r="N852" s="3">
        <v>1940402</v>
      </c>
      <c r="O852" s="2">
        <v>-6.9000000000000006E-2</v>
      </c>
      <c r="P852" s="2">
        <v>0.24600000000000002</v>
      </c>
      <c r="Q852" s="2">
        <v>0.23199999999999998</v>
      </c>
      <c r="R852" s="11">
        <v>12902150</v>
      </c>
      <c r="S852" s="11">
        <v>1308341</v>
      </c>
      <c r="T852">
        <v>2017</v>
      </c>
      <c r="U852">
        <v>5</v>
      </c>
      <c r="V852">
        <f t="shared" si="78"/>
        <v>650000</v>
      </c>
      <c r="W852">
        <f t="shared" si="79"/>
        <v>18429897</v>
      </c>
      <c r="X852">
        <f t="shared" si="80"/>
        <v>17779897</v>
      </c>
      <c r="Y852">
        <f t="shared" si="81"/>
        <v>-26019845.5</v>
      </c>
      <c r="Z852">
        <f t="shared" si="82"/>
        <v>45099742.5</v>
      </c>
      <c r="AA852" t="str">
        <f t="shared" si="83"/>
        <v>Outlier</v>
      </c>
      <c r="AE852" s="2"/>
      <c r="AF852" s="2"/>
    </row>
    <row r="853" spans="1:32" x14ac:dyDescent="0.35">
      <c r="A853">
        <v>852</v>
      </c>
      <c r="B853" s="1">
        <v>42886</v>
      </c>
      <c r="C853" s="9" t="s">
        <v>1564</v>
      </c>
      <c r="D853" s="9" t="s">
        <v>4925</v>
      </c>
      <c r="E853" s="9" t="s">
        <v>5243</v>
      </c>
      <c r="F853" s="9" t="s">
        <v>554</v>
      </c>
      <c r="G853" s="9" t="s">
        <v>1565</v>
      </c>
      <c r="H853" s="9" t="s">
        <v>105</v>
      </c>
      <c r="I853" s="11">
        <v>5000000</v>
      </c>
      <c r="J853" s="11">
        <v>4011379</v>
      </c>
      <c r="K853" s="11">
        <v>10884730</v>
      </c>
      <c r="L853" s="3">
        <v>489</v>
      </c>
      <c r="M853" s="3">
        <v>1022</v>
      </c>
      <c r="N853" s="3">
        <v>1622940</v>
      </c>
      <c r="O853" s="2">
        <v>3.3000000000000002E-2</v>
      </c>
      <c r="P853" s="2">
        <v>0.26300000000000001</v>
      </c>
      <c r="Q853" s="2">
        <v>-6.3E-2</v>
      </c>
      <c r="R853" s="11">
        <v>237094697</v>
      </c>
      <c r="S853" s="11">
        <v>78422</v>
      </c>
      <c r="T853">
        <v>2017</v>
      </c>
      <c r="U853">
        <v>5</v>
      </c>
      <c r="V853">
        <f t="shared" si="78"/>
        <v>650000</v>
      </c>
      <c r="W853">
        <f t="shared" si="79"/>
        <v>18429897</v>
      </c>
      <c r="X853">
        <f t="shared" si="80"/>
        <v>17779897</v>
      </c>
      <c r="Y853">
        <f t="shared" si="81"/>
        <v>-26019845.5</v>
      </c>
      <c r="Z853">
        <f t="shared" si="82"/>
        <v>45099742.5</v>
      </c>
      <c r="AA853" t="str">
        <f t="shared" si="83"/>
        <v>Normal</v>
      </c>
      <c r="AE853" s="2"/>
      <c r="AF853" s="2"/>
    </row>
    <row r="854" spans="1:32" x14ac:dyDescent="0.35">
      <c r="A854">
        <v>853</v>
      </c>
      <c r="B854" s="1">
        <v>42886</v>
      </c>
      <c r="C854" s="9" t="s">
        <v>682</v>
      </c>
      <c r="D854" s="9" t="s">
        <v>4988</v>
      </c>
      <c r="E854" s="9" t="s">
        <v>6368</v>
      </c>
      <c r="F854" s="9" t="s">
        <v>19</v>
      </c>
      <c r="G854" s="9" t="s">
        <v>1566</v>
      </c>
      <c r="H854" s="9" t="s">
        <v>105</v>
      </c>
      <c r="I854" s="11">
        <v>7000000</v>
      </c>
      <c r="J854" s="11">
        <v>4816675</v>
      </c>
      <c r="K854" s="11">
        <v>19091063</v>
      </c>
      <c r="L854" s="3">
        <v>447</v>
      </c>
      <c r="M854" s="3">
        <v>2610</v>
      </c>
      <c r="N854" s="3">
        <v>461093</v>
      </c>
      <c r="O854" s="2">
        <v>1.6E-2</v>
      </c>
      <c r="P854" s="2">
        <v>1.18</v>
      </c>
      <c r="Q854" s="2">
        <v>0.14000000000000001</v>
      </c>
      <c r="R854" s="11">
        <v>80136648</v>
      </c>
      <c r="S854" s="11">
        <v>314002</v>
      </c>
      <c r="T854">
        <v>2017</v>
      </c>
      <c r="U854">
        <v>5</v>
      </c>
      <c r="V854">
        <f t="shared" si="78"/>
        <v>650000</v>
      </c>
      <c r="W854">
        <f t="shared" si="79"/>
        <v>18429897</v>
      </c>
      <c r="X854">
        <f t="shared" si="80"/>
        <v>17779897</v>
      </c>
      <c r="Y854">
        <f t="shared" si="81"/>
        <v>-26019845.5</v>
      </c>
      <c r="Z854">
        <f t="shared" si="82"/>
        <v>45099742.5</v>
      </c>
      <c r="AA854" t="str">
        <f t="shared" si="83"/>
        <v>Normal</v>
      </c>
      <c r="AE854" s="2"/>
      <c r="AF854" s="2"/>
    </row>
    <row r="855" spans="1:32" x14ac:dyDescent="0.35">
      <c r="A855">
        <v>854</v>
      </c>
      <c r="B855" s="1">
        <v>42826</v>
      </c>
      <c r="C855" s="9" t="s">
        <v>1077</v>
      </c>
      <c r="D855" s="9" t="s">
        <v>4988</v>
      </c>
      <c r="E855" s="9" t="s">
        <v>6369</v>
      </c>
      <c r="F855" s="9" t="s">
        <v>31</v>
      </c>
      <c r="G855" s="9" t="s">
        <v>1567</v>
      </c>
      <c r="H855" s="9" t="s">
        <v>105</v>
      </c>
      <c r="I855" s="11">
        <v>3800000</v>
      </c>
      <c r="J855" s="11">
        <v>1207993</v>
      </c>
      <c r="K855" s="11">
        <v>2561669</v>
      </c>
      <c r="L855" s="3">
        <v>84</v>
      </c>
      <c r="M855" s="3">
        <v>962</v>
      </c>
      <c r="N855" s="3">
        <v>1733705</v>
      </c>
      <c r="O855" s="2">
        <v>-0.25800000000000001</v>
      </c>
      <c r="P855" s="2">
        <v>0.42299999999999999</v>
      </c>
      <c r="Q855" s="2">
        <v>9.2999999999999999E-2</v>
      </c>
      <c r="R855" s="11">
        <v>399205786</v>
      </c>
      <c r="S855" s="11">
        <v>1820534</v>
      </c>
      <c r="T855">
        <v>2017</v>
      </c>
      <c r="U855">
        <v>4</v>
      </c>
      <c r="V855">
        <f t="shared" si="78"/>
        <v>650000</v>
      </c>
      <c r="W855">
        <f t="shared" si="79"/>
        <v>18429897</v>
      </c>
      <c r="X855">
        <f t="shared" si="80"/>
        <v>17779897</v>
      </c>
      <c r="Y855">
        <f t="shared" si="81"/>
        <v>-26019845.5</v>
      </c>
      <c r="Z855">
        <f t="shared" si="82"/>
        <v>45099742.5</v>
      </c>
      <c r="AA855" t="str">
        <f t="shared" si="83"/>
        <v>Normal</v>
      </c>
      <c r="AE855" s="2"/>
      <c r="AF855" s="2"/>
    </row>
    <row r="856" spans="1:32" x14ac:dyDescent="0.35">
      <c r="A856">
        <v>855</v>
      </c>
      <c r="B856" s="1">
        <v>42828</v>
      </c>
      <c r="C856" s="9" t="s">
        <v>1568</v>
      </c>
      <c r="D856" s="9" t="s">
        <v>4938</v>
      </c>
      <c r="E856" s="9" t="s">
        <v>6370</v>
      </c>
      <c r="F856" s="9" t="s">
        <v>31</v>
      </c>
      <c r="G856" s="9" t="s">
        <v>1569</v>
      </c>
      <c r="H856" s="9" t="s">
        <v>105</v>
      </c>
      <c r="I856" s="11">
        <v>8200000</v>
      </c>
      <c r="J856" s="11">
        <v>1453241</v>
      </c>
      <c r="K856" s="11">
        <v>825970</v>
      </c>
      <c r="L856" s="3">
        <v>369</v>
      </c>
      <c r="M856" s="3">
        <v>949</v>
      </c>
      <c r="N856" s="3">
        <v>1052667</v>
      </c>
      <c r="O856" s="2">
        <v>-0.11199999999999999</v>
      </c>
      <c r="P856" s="2">
        <v>0.60799999999999998</v>
      </c>
      <c r="Q856" s="2">
        <v>-0.13800000000000001</v>
      </c>
      <c r="R856" s="11">
        <v>479758681</v>
      </c>
      <c r="S856" s="11">
        <v>1484661</v>
      </c>
      <c r="T856">
        <v>2017</v>
      </c>
      <c r="U856">
        <v>4</v>
      </c>
      <c r="V856">
        <f t="shared" si="78"/>
        <v>650000</v>
      </c>
      <c r="W856">
        <f t="shared" si="79"/>
        <v>18429897</v>
      </c>
      <c r="X856">
        <f t="shared" si="80"/>
        <v>17779897</v>
      </c>
      <c r="Y856">
        <f t="shared" si="81"/>
        <v>-26019845.5</v>
      </c>
      <c r="Z856">
        <f t="shared" si="82"/>
        <v>45099742.5</v>
      </c>
      <c r="AA856" t="str">
        <f t="shared" si="83"/>
        <v>Normal</v>
      </c>
      <c r="AE856" s="2"/>
      <c r="AF856" s="2"/>
    </row>
    <row r="857" spans="1:32" x14ac:dyDescent="0.35">
      <c r="A857">
        <v>856</v>
      </c>
      <c r="B857" s="1">
        <v>42828</v>
      </c>
      <c r="C857" s="9" t="s">
        <v>1570</v>
      </c>
      <c r="D857" s="9" t="s">
        <v>4988</v>
      </c>
      <c r="E857" s="9" t="s">
        <v>6371</v>
      </c>
      <c r="F857" s="9" t="s">
        <v>31</v>
      </c>
      <c r="G857" s="9" t="s">
        <v>1571</v>
      </c>
      <c r="H857" s="9" t="s">
        <v>105</v>
      </c>
      <c r="I857" s="11">
        <v>18429897</v>
      </c>
      <c r="J857" s="11">
        <v>4250056</v>
      </c>
      <c r="K857" s="11">
        <v>12999564</v>
      </c>
      <c r="L857" s="3">
        <v>49</v>
      </c>
      <c r="M857" s="3">
        <v>4751</v>
      </c>
      <c r="N857" s="3">
        <v>1018455</v>
      </c>
      <c r="O857" s="2">
        <v>0.14400000000000002</v>
      </c>
      <c r="P857" s="2">
        <v>0.46700000000000003</v>
      </c>
      <c r="Q857" s="2">
        <v>7.4999999999999997E-2</v>
      </c>
      <c r="R857" s="11">
        <v>245176061</v>
      </c>
      <c r="S857" s="11">
        <v>1216902</v>
      </c>
      <c r="T857">
        <v>2017</v>
      </c>
      <c r="U857">
        <v>4</v>
      </c>
      <c r="V857">
        <f t="shared" si="78"/>
        <v>650000</v>
      </c>
      <c r="W857">
        <f t="shared" si="79"/>
        <v>18429897</v>
      </c>
      <c r="X857">
        <f t="shared" si="80"/>
        <v>17779897</v>
      </c>
      <c r="Y857">
        <f t="shared" si="81"/>
        <v>-26019845.5</v>
      </c>
      <c r="Z857">
        <f t="shared" si="82"/>
        <v>45099742.5</v>
      </c>
      <c r="AA857" t="str">
        <f t="shared" si="83"/>
        <v>Normal</v>
      </c>
      <c r="AE857" s="2"/>
      <c r="AF857" s="2"/>
    </row>
    <row r="858" spans="1:32" x14ac:dyDescent="0.35">
      <c r="A858">
        <v>857</v>
      </c>
      <c r="B858" s="1">
        <v>42828</v>
      </c>
      <c r="C858" s="9" t="s">
        <v>1572</v>
      </c>
      <c r="D858" s="9" t="s">
        <v>2539</v>
      </c>
      <c r="E858" s="9" t="s">
        <v>6372</v>
      </c>
      <c r="F858" s="9" t="s">
        <v>63</v>
      </c>
      <c r="G858" s="9" t="s">
        <v>1573</v>
      </c>
      <c r="H858" s="9" t="s">
        <v>105</v>
      </c>
      <c r="I858" s="11">
        <v>40000000</v>
      </c>
      <c r="J858" s="11">
        <v>2531926</v>
      </c>
      <c r="K858" s="11">
        <v>1079945</v>
      </c>
      <c r="L858" s="3">
        <v>52</v>
      </c>
      <c r="M858" s="3">
        <v>2389</v>
      </c>
      <c r="N858" s="3">
        <v>230024</v>
      </c>
      <c r="O858" s="2">
        <v>0.375</v>
      </c>
      <c r="P858" s="2">
        <v>1.135</v>
      </c>
      <c r="Q858" s="2">
        <v>-2.7000000000000003E-2</v>
      </c>
      <c r="R858" s="11">
        <v>248187298</v>
      </c>
      <c r="S858" s="11">
        <v>249852</v>
      </c>
      <c r="T858">
        <v>2017</v>
      </c>
      <c r="U858">
        <v>4</v>
      </c>
      <c r="V858">
        <f t="shared" si="78"/>
        <v>650000</v>
      </c>
      <c r="W858">
        <f t="shared" si="79"/>
        <v>18429897</v>
      </c>
      <c r="X858">
        <f t="shared" si="80"/>
        <v>17779897</v>
      </c>
      <c r="Y858">
        <f t="shared" si="81"/>
        <v>-26019845.5</v>
      </c>
      <c r="Z858">
        <f t="shared" si="82"/>
        <v>45099742.5</v>
      </c>
      <c r="AA858" t="str">
        <f t="shared" si="83"/>
        <v>Normal</v>
      </c>
      <c r="AE858" s="2"/>
      <c r="AF858" s="2"/>
    </row>
    <row r="859" spans="1:32" x14ac:dyDescent="0.35">
      <c r="A859">
        <v>858</v>
      </c>
      <c r="B859" s="1">
        <v>42828</v>
      </c>
      <c r="C859" s="9" t="s">
        <v>1574</v>
      </c>
      <c r="D859" s="9" t="s">
        <v>4930</v>
      </c>
      <c r="E859" s="9" t="s">
        <v>6373</v>
      </c>
      <c r="F859" s="9" t="s">
        <v>31</v>
      </c>
      <c r="G859" s="9" t="s">
        <v>1575</v>
      </c>
      <c r="H859" s="9" t="s">
        <v>86</v>
      </c>
      <c r="I859" s="11">
        <v>18429897</v>
      </c>
      <c r="J859" s="11">
        <v>305015</v>
      </c>
      <c r="K859" s="11">
        <v>15566783</v>
      </c>
      <c r="L859" s="3">
        <v>397</v>
      </c>
      <c r="M859" s="3">
        <v>3535</v>
      </c>
      <c r="N859" s="3">
        <v>889938</v>
      </c>
      <c r="O859" s="2">
        <v>1.6E-2</v>
      </c>
      <c r="P859" s="2">
        <v>0.27400000000000002</v>
      </c>
      <c r="Q859" s="2">
        <v>0.19400000000000001</v>
      </c>
      <c r="R859" s="11">
        <v>295485992</v>
      </c>
      <c r="S859" s="11">
        <v>1147295</v>
      </c>
      <c r="T859">
        <v>2017</v>
      </c>
      <c r="U859">
        <v>4</v>
      </c>
      <c r="V859">
        <f t="shared" si="78"/>
        <v>650000</v>
      </c>
      <c r="W859">
        <f t="shared" si="79"/>
        <v>18429897</v>
      </c>
      <c r="X859">
        <f t="shared" si="80"/>
        <v>17779897</v>
      </c>
      <c r="Y859">
        <f t="shared" si="81"/>
        <v>-26019845.5</v>
      </c>
      <c r="Z859">
        <f t="shared" si="82"/>
        <v>45099742.5</v>
      </c>
      <c r="AA859" t="str">
        <f t="shared" si="83"/>
        <v>Normal</v>
      </c>
      <c r="AE859" s="2"/>
      <c r="AF859" s="2"/>
    </row>
    <row r="860" spans="1:32" x14ac:dyDescent="0.35">
      <c r="A860">
        <v>859</v>
      </c>
      <c r="B860" s="1">
        <v>42828</v>
      </c>
      <c r="C860" s="9" t="s">
        <v>712</v>
      </c>
      <c r="D860" s="9" t="s">
        <v>4988</v>
      </c>
      <c r="E860" s="9" t="s">
        <v>5908</v>
      </c>
      <c r="F860" s="9" t="s">
        <v>15</v>
      </c>
      <c r="G860" s="9" t="s">
        <v>1576</v>
      </c>
      <c r="H860" s="9" t="s">
        <v>105</v>
      </c>
      <c r="I860" s="11">
        <v>18429897</v>
      </c>
      <c r="J860" s="11">
        <v>3352268</v>
      </c>
      <c r="K860" s="11">
        <v>862704</v>
      </c>
      <c r="L860" s="3">
        <v>203</v>
      </c>
      <c r="M860" s="3">
        <v>3657</v>
      </c>
      <c r="N860" s="3">
        <v>604950</v>
      </c>
      <c r="O860" s="2">
        <v>-0.111</v>
      </c>
      <c r="P860" s="2">
        <v>0.74299999999999999</v>
      </c>
      <c r="Q860" s="2">
        <v>-4.8000000000000001E-2</v>
      </c>
      <c r="R860" s="11">
        <v>27480871</v>
      </c>
      <c r="S860" s="11">
        <v>1428434</v>
      </c>
      <c r="T860">
        <v>2017</v>
      </c>
      <c r="U860">
        <v>4</v>
      </c>
      <c r="V860">
        <f t="shared" si="78"/>
        <v>650000</v>
      </c>
      <c r="W860">
        <f t="shared" si="79"/>
        <v>18429897</v>
      </c>
      <c r="X860">
        <f t="shared" si="80"/>
        <v>17779897</v>
      </c>
      <c r="Y860">
        <f t="shared" si="81"/>
        <v>-26019845.5</v>
      </c>
      <c r="Z860">
        <f t="shared" si="82"/>
        <v>45099742.5</v>
      </c>
      <c r="AA860" t="str">
        <f t="shared" si="83"/>
        <v>Normal</v>
      </c>
      <c r="AE860" s="2"/>
      <c r="AF860" s="2"/>
    </row>
    <row r="861" spans="1:32" x14ac:dyDescent="0.35">
      <c r="A861">
        <v>860</v>
      </c>
      <c r="B861" s="1">
        <v>42829</v>
      </c>
      <c r="C861" s="9" t="s">
        <v>1577</v>
      </c>
      <c r="D861" s="9" t="s">
        <v>4939</v>
      </c>
      <c r="E861" s="9" t="s">
        <v>6374</v>
      </c>
      <c r="F861" s="9" t="s">
        <v>35</v>
      </c>
      <c r="G861" s="9" t="s">
        <v>1578</v>
      </c>
      <c r="H861" s="9" t="s">
        <v>105</v>
      </c>
      <c r="I861" s="11">
        <v>2700000</v>
      </c>
      <c r="J861" s="11">
        <v>4008799</v>
      </c>
      <c r="K861" s="11">
        <v>19413281</v>
      </c>
      <c r="L861" s="3">
        <v>498</v>
      </c>
      <c r="M861" s="3">
        <v>207</v>
      </c>
      <c r="N861" s="3">
        <v>175875</v>
      </c>
      <c r="O861" s="2">
        <v>-0.04</v>
      </c>
      <c r="P861" s="2">
        <v>0.67800000000000005</v>
      </c>
      <c r="Q861" s="2">
        <v>-7.8E-2</v>
      </c>
      <c r="R861" s="11">
        <v>169930310</v>
      </c>
      <c r="S861" s="11">
        <v>1572399</v>
      </c>
      <c r="T861">
        <v>2017</v>
      </c>
      <c r="U861">
        <v>4</v>
      </c>
      <c r="V861">
        <f t="shared" si="78"/>
        <v>650000</v>
      </c>
      <c r="W861">
        <f t="shared" si="79"/>
        <v>18429897</v>
      </c>
      <c r="X861">
        <f t="shared" si="80"/>
        <v>17779897</v>
      </c>
      <c r="Y861">
        <f t="shared" si="81"/>
        <v>-26019845.5</v>
      </c>
      <c r="Z861">
        <f t="shared" si="82"/>
        <v>45099742.5</v>
      </c>
      <c r="AA861" t="str">
        <f t="shared" si="83"/>
        <v>Normal</v>
      </c>
      <c r="AE861" s="2"/>
      <c r="AF861" s="2"/>
    </row>
    <row r="862" spans="1:32" x14ac:dyDescent="0.35">
      <c r="A862">
        <v>861</v>
      </c>
      <c r="B862" s="1">
        <v>42829</v>
      </c>
      <c r="C862" s="9" t="s">
        <v>1579</v>
      </c>
      <c r="D862" s="9" t="s">
        <v>4930</v>
      </c>
      <c r="E862" s="9" t="s">
        <v>6375</v>
      </c>
      <c r="F862" s="9" t="s">
        <v>15</v>
      </c>
      <c r="G862" s="9" t="s">
        <v>898</v>
      </c>
      <c r="H862" s="9" t="s">
        <v>105</v>
      </c>
      <c r="I862" s="11">
        <v>6100000</v>
      </c>
      <c r="J862" s="11">
        <v>4841617</v>
      </c>
      <c r="K862" s="11">
        <v>10700925</v>
      </c>
      <c r="L862" s="3">
        <v>7</v>
      </c>
      <c r="M862" s="3">
        <v>2486</v>
      </c>
      <c r="N862" s="3">
        <v>1701823</v>
      </c>
      <c r="O862" s="2">
        <v>-6.8000000000000005E-2</v>
      </c>
      <c r="P862" s="2">
        <v>0.89200000000000002</v>
      </c>
      <c r="Q862" s="2">
        <v>-0.309</v>
      </c>
      <c r="R862" s="11">
        <v>157379189</v>
      </c>
      <c r="S862" s="11">
        <v>1847599</v>
      </c>
      <c r="T862">
        <v>2017</v>
      </c>
      <c r="U862">
        <v>4</v>
      </c>
      <c r="V862">
        <f t="shared" si="78"/>
        <v>647500</v>
      </c>
      <c r="W862">
        <f t="shared" si="79"/>
        <v>18429897</v>
      </c>
      <c r="X862">
        <f t="shared" si="80"/>
        <v>17782397</v>
      </c>
      <c r="Y862">
        <f t="shared" si="81"/>
        <v>-26026095.5</v>
      </c>
      <c r="Z862">
        <f t="shared" si="82"/>
        <v>45103492.5</v>
      </c>
      <c r="AA862" t="str">
        <f t="shared" si="83"/>
        <v>Normal</v>
      </c>
      <c r="AE862" s="2"/>
      <c r="AF862" s="2"/>
    </row>
    <row r="863" spans="1:32" x14ac:dyDescent="0.35">
      <c r="A863">
        <v>862</v>
      </c>
      <c r="B863" s="1">
        <v>42829</v>
      </c>
      <c r="C863" s="9" t="s">
        <v>1580</v>
      </c>
      <c r="D863" s="9" t="s">
        <v>4930</v>
      </c>
      <c r="E863" s="9" t="s">
        <v>6376</v>
      </c>
      <c r="F863" s="9" t="s">
        <v>15</v>
      </c>
      <c r="G863" s="9" t="s">
        <v>1581</v>
      </c>
      <c r="H863" s="9" t="s">
        <v>105</v>
      </c>
      <c r="I863" s="11">
        <v>3690000</v>
      </c>
      <c r="J863" s="11">
        <v>4640421</v>
      </c>
      <c r="K863" s="11">
        <v>18973298</v>
      </c>
      <c r="L863" s="3">
        <v>253</v>
      </c>
      <c r="M863" s="3">
        <v>942</v>
      </c>
      <c r="N863" s="3">
        <v>258363</v>
      </c>
      <c r="O863" s="2">
        <v>-0.39600000000000002</v>
      </c>
      <c r="P863" s="2">
        <v>1.0979999999999999</v>
      </c>
      <c r="Q863" s="2">
        <v>0.65200000000000002</v>
      </c>
      <c r="R863" s="11">
        <v>283259352</v>
      </c>
      <c r="S863" s="11">
        <v>1706627</v>
      </c>
      <c r="T863">
        <v>2017</v>
      </c>
      <c r="U863">
        <v>4</v>
      </c>
      <c r="V863">
        <f t="shared" si="78"/>
        <v>645000</v>
      </c>
      <c r="W863">
        <f t="shared" si="79"/>
        <v>18429897</v>
      </c>
      <c r="X863">
        <f t="shared" si="80"/>
        <v>17784897</v>
      </c>
      <c r="Y863">
        <f t="shared" si="81"/>
        <v>-26032345.5</v>
      </c>
      <c r="Z863">
        <f t="shared" si="82"/>
        <v>45107242.5</v>
      </c>
      <c r="AA863" t="str">
        <f t="shared" si="83"/>
        <v>Normal</v>
      </c>
      <c r="AE863" s="2"/>
      <c r="AF863" s="2"/>
    </row>
    <row r="864" spans="1:32" x14ac:dyDescent="0.35">
      <c r="A864">
        <v>863</v>
      </c>
      <c r="B864" s="1">
        <v>42829</v>
      </c>
      <c r="C864" s="9" t="s">
        <v>1582</v>
      </c>
      <c r="D864" s="9" t="s">
        <v>4930</v>
      </c>
      <c r="E864" s="9" t="s">
        <v>6377</v>
      </c>
      <c r="F864" s="9" t="s">
        <v>41</v>
      </c>
      <c r="G864" s="9" t="s">
        <v>1583</v>
      </c>
      <c r="H864" s="9" t="s">
        <v>105</v>
      </c>
      <c r="I864" s="11">
        <v>7000000</v>
      </c>
      <c r="J864" s="11">
        <v>618748</v>
      </c>
      <c r="K864" s="11">
        <v>2620273</v>
      </c>
      <c r="L864" s="3">
        <v>157</v>
      </c>
      <c r="M864" s="3">
        <v>1600</v>
      </c>
      <c r="N864" s="3">
        <v>1432925</v>
      </c>
      <c r="O864" s="2">
        <v>8.5999999999999993E-2</v>
      </c>
      <c r="P864" s="2">
        <v>0.2</v>
      </c>
      <c r="Q864" s="2">
        <v>-1.3000000000000001E-2</v>
      </c>
      <c r="R864" s="11">
        <v>78471117</v>
      </c>
      <c r="S864" s="11">
        <v>240413</v>
      </c>
      <c r="T864">
        <v>2017</v>
      </c>
      <c r="U864">
        <v>4</v>
      </c>
      <c r="V864">
        <f t="shared" si="78"/>
        <v>642500</v>
      </c>
      <c r="W864">
        <f t="shared" si="79"/>
        <v>18429897</v>
      </c>
      <c r="X864">
        <f t="shared" si="80"/>
        <v>17787397</v>
      </c>
      <c r="Y864">
        <f t="shared" si="81"/>
        <v>-26038595.5</v>
      </c>
      <c r="Z864">
        <f t="shared" si="82"/>
        <v>45110992.5</v>
      </c>
      <c r="AA864" t="str">
        <f t="shared" si="83"/>
        <v>Normal</v>
      </c>
      <c r="AE864" s="2"/>
      <c r="AF864" s="2"/>
    </row>
    <row r="865" spans="1:32" x14ac:dyDescent="0.35">
      <c r="A865">
        <v>864</v>
      </c>
      <c r="B865" s="1">
        <v>42829</v>
      </c>
      <c r="C865" s="9" t="s">
        <v>1584</v>
      </c>
      <c r="D865" s="9" t="s">
        <v>4988</v>
      </c>
      <c r="E865" s="9" t="s">
        <v>6378</v>
      </c>
      <c r="F865" s="9" t="s">
        <v>408</v>
      </c>
      <c r="G865" s="9" t="s">
        <v>1585</v>
      </c>
      <c r="H865" s="9" t="s">
        <v>86</v>
      </c>
      <c r="I865" s="11">
        <v>500000</v>
      </c>
      <c r="J865" s="11">
        <v>3865099</v>
      </c>
      <c r="K865" s="11">
        <v>5539966</v>
      </c>
      <c r="L865" s="3">
        <v>492</v>
      </c>
      <c r="M865" s="3">
        <v>981</v>
      </c>
      <c r="N865" s="3">
        <v>1490114</v>
      </c>
      <c r="O865" s="2">
        <v>0.28100000000000003</v>
      </c>
      <c r="P865" s="2">
        <v>0.217</v>
      </c>
      <c r="Q865" s="2">
        <v>-0.183</v>
      </c>
      <c r="R865" s="11">
        <v>19421979</v>
      </c>
      <c r="S865" s="11">
        <v>693988</v>
      </c>
      <c r="T865">
        <v>2017</v>
      </c>
      <c r="U865">
        <v>4</v>
      </c>
      <c r="V865">
        <f t="shared" si="78"/>
        <v>640000</v>
      </c>
      <c r="W865">
        <f t="shared" si="79"/>
        <v>18429897</v>
      </c>
      <c r="X865">
        <f t="shared" si="80"/>
        <v>17789897</v>
      </c>
      <c r="Y865">
        <f t="shared" si="81"/>
        <v>-26044845.5</v>
      </c>
      <c r="Z865">
        <f t="shared" si="82"/>
        <v>45114742.5</v>
      </c>
      <c r="AA865" t="str">
        <f t="shared" si="83"/>
        <v>Normal</v>
      </c>
      <c r="AE865" s="2"/>
      <c r="AF865" s="2"/>
    </row>
    <row r="866" spans="1:32" x14ac:dyDescent="0.35">
      <c r="A866">
        <v>865</v>
      </c>
      <c r="B866" s="1">
        <v>42829</v>
      </c>
      <c r="C866" s="9" t="s">
        <v>1586</v>
      </c>
      <c r="D866" s="9" t="s">
        <v>4988</v>
      </c>
      <c r="E866" s="9" t="s">
        <v>6379</v>
      </c>
      <c r="F866" s="9" t="s">
        <v>27</v>
      </c>
      <c r="G866" s="9" t="s">
        <v>1587</v>
      </c>
      <c r="H866" s="9" t="s">
        <v>86</v>
      </c>
      <c r="I866" s="11">
        <v>500000</v>
      </c>
      <c r="J866" s="11">
        <v>2531926</v>
      </c>
      <c r="K866" s="11">
        <v>9152175</v>
      </c>
      <c r="L866" s="3">
        <v>336</v>
      </c>
      <c r="M866" s="3">
        <v>3348</v>
      </c>
      <c r="N866" s="3">
        <v>1224046</v>
      </c>
      <c r="O866" s="2">
        <v>7.0000000000000007E-2</v>
      </c>
      <c r="P866" s="2">
        <v>0.57699999999999996</v>
      </c>
      <c r="Q866" s="2">
        <v>0.251</v>
      </c>
      <c r="R866" s="11">
        <v>170742025</v>
      </c>
      <c r="S866" s="11">
        <v>261616</v>
      </c>
      <c r="T866">
        <v>2017</v>
      </c>
      <c r="U866">
        <v>4</v>
      </c>
      <c r="V866">
        <f t="shared" si="78"/>
        <v>647500</v>
      </c>
      <c r="W866">
        <f t="shared" si="79"/>
        <v>18429897</v>
      </c>
      <c r="X866">
        <f t="shared" si="80"/>
        <v>17782397</v>
      </c>
      <c r="Y866">
        <f t="shared" si="81"/>
        <v>-26026095.5</v>
      </c>
      <c r="Z866">
        <f t="shared" si="82"/>
        <v>45103492.5</v>
      </c>
      <c r="AA866" t="str">
        <f t="shared" si="83"/>
        <v>Normal</v>
      </c>
      <c r="AE866" s="2"/>
      <c r="AF866" s="2"/>
    </row>
    <row r="867" spans="1:32" x14ac:dyDescent="0.35">
      <c r="A867">
        <v>866</v>
      </c>
      <c r="B867" s="1">
        <v>42830</v>
      </c>
      <c r="C867" s="9" t="s">
        <v>1588</v>
      </c>
      <c r="D867" s="9" t="s">
        <v>4988</v>
      </c>
      <c r="E867" s="9" t="s">
        <v>6380</v>
      </c>
      <c r="F867" s="9" t="s">
        <v>31</v>
      </c>
      <c r="G867" s="9" t="s">
        <v>1589</v>
      </c>
      <c r="H867" s="9" t="s">
        <v>86</v>
      </c>
      <c r="I867" s="11">
        <v>18429897</v>
      </c>
      <c r="J867" s="11">
        <v>3496641</v>
      </c>
      <c r="K867" s="11">
        <v>685251</v>
      </c>
      <c r="L867" s="3">
        <v>387</v>
      </c>
      <c r="M867" s="3">
        <v>703</v>
      </c>
      <c r="N867" s="3">
        <v>1680599</v>
      </c>
      <c r="O867" s="2">
        <v>-0.13400000000000001</v>
      </c>
      <c r="P867" s="2">
        <v>0.60199999999999998</v>
      </c>
      <c r="Q867" s="2">
        <v>0.14699999999999999</v>
      </c>
      <c r="R867" s="11">
        <v>352360158</v>
      </c>
      <c r="S867" s="11">
        <v>316629</v>
      </c>
      <c r="T867">
        <v>2017</v>
      </c>
      <c r="U867">
        <v>4</v>
      </c>
      <c r="V867">
        <f t="shared" si="78"/>
        <v>650000</v>
      </c>
      <c r="W867">
        <f t="shared" si="79"/>
        <v>18429897</v>
      </c>
      <c r="X867">
        <f t="shared" si="80"/>
        <v>17779897</v>
      </c>
      <c r="Y867">
        <f t="shared" si="81"/>
        <v>-26019845.5</v>
      </c>
      <c r="Z867">
        <f t="shared" si="82"/>
        <v>45099742.5</v>
      </c>
      <c r="AA867" t="str">
        <f t="shared" si="83"/>
        <v>Normal</v>
      </c>
      <c r="AE867" s="2"/>
      <c r="AF867" s="2"/>
    </row>
    <row r="868" spans="1:32" x14ac:dyDescent="0.35">
      <c r="A868">
        <v>867</v>
      </c>
      <c r="B868" s="1">
        <v>42830</v>
      </c>
      <c r="C868" s="9" t="s">
        <v>690</v>
      </c>
      <c r="D868" s="9" t="s">
        <v>4988</v>
      </c>
      <c r="E868" s="9" t="s">
        <v>5267</v>
      </c>
      <c r="F868" s="9" t="s">
        <v>31</v>
      </c>
      <c r="G868" s="9" t="s">
        <v>1590</v>
      </c>
      <c r="H868" s="9" t="s">
        <v>105</v>
      </c>
      <c r="I868" s="11">
        <v>3000000</v>
      </c>
      <c r="J868" s="11">
        <v>4102602</v>
      </c>
      <c r="K868" s="11">
        <v>2148265</v>
      </c>
      <c r="L868" s="3">
        <v>148</v>
      </c>
      <c r="M868" s="3">
        <v>2278</v>
      </c>
      <c r="N868" s="3">
        <v>227865</v>
      </c>
      <c r="O868" s="2">
        <v>-4.9000000000000002E-2</v>
      </c>
      <c r="P868" s="2">
        <v>1.0900000000000001</v>
      </c>
      <c r="Q868" s="2">
        <v>0.23699999999999999</v>
      </c>
      <c r="R868" s="11">
        <v>451990444</v>
      </c>
      <c r="S868" s="11">
        <v>1976347</v>
      </c>
      <c r="T868">
        <v>2017</v>
      </c>
      <c r="U868">
        <v>4</v>
      </c>
      <c r="V868">
        <f t="shared" si="78"/>
        <v>650000</v>
      </c>
      <c r="W868">
        <f t="shared" si="79"/>
        <v>18429897</v>
      </c>
      <c r="X868">
        <f t="shared" si="80"/>
        <v>17779897</v>
      </c>
      <c r="Y868">
        <f t="shared" si="81"/>
        <v>-26019845.5</v>
      </c>
      <c r="Z868">
        <f t="shared" si="82"/>
        <v>45099742.5</v>
      </c>
      <c r="AA868" t="str">
        <f t="shared" si="83"/>
        <v>Normal</v>
      </c>
      <c r="AE868" s="2"/>
      <c r="AF868" s="2"/>
    </row>
    <row r="869" spans="1:32" x14ac:dyDescent="0.35">
      <c r="A869">
        <v>868</v>
      </c>
      <c r="B869" s="1">
        <v>42830</v>
      </c>
      <c r="C869" s="9" t="s">
        <v>1591</v>
      </c>
      <c r="D869" s="9" t="s">
        <v>4930</v>
      </c>
      <c r="E869" s="9" t="s">
        <v>6381</v>
      </c>
      <c r="F869" s="9" t="s">
        <v>15</v>
      </c>
      <c r="G869" s="9" t="s">
        <v>1592</v>
      </c>
      <c r="H869" s="9" t="s">
        <v>105</v>
      </c>
      <c r="I869" s="11">
        <v>18429897</v>
      </c>
      <c r="J869" s="11">
        <v>4193141</v>
      </c>
      <c r="K869" s="11">
        <v>6655303</v>
      </c>
      <c r="L869" s="3">
        <v>447</v>
      </c>
      <c r="M869" s="3">
        <v>1563</v>
      </c>
      <c r="N869" s="3">
        <v>1018455</v>
      </c>
      <c r="O869" s="2">
        <v>5.4000000000000006E-2</v>
      </c>
      <c r="P869" s="2">
        <v>0.47899999999999998</v>
      </c>
      <c r="Q869" s="2">
        <v>0.26400000000000001</v>
      </c>
      <c r="R869" s="11">
        <v>342753193</v>
      </c>
      <c r="S869" s="11">
        <v>835468</v>
      </c>
      <c r="T869">
        <v>2017</v>
      </c>
      <c r="U869">
        <v>4</v>
      </c>
      <c r="V869">
        <f t="shared" si="78"/>
        <v>650000</v>
      </c>
      <c r="W869">
        <f t="shared" si="79"/>
        <v>18429897</v>
      </c>
      <c r="X869">
        <f t="shared" si="80"/>
        <v>17779897</v>
      </c>
      <c r="Y869">
        <f t="shared" si="81"/>
        <v>-26019845.5</v>
      </c>
      <c r="Z869">
        <f t="shared" si="82"/>
        <v>45099742.5</v>
      </c>
      <c r="AA869" t="str">
        <f t="shared" si="83"/>
        <v>Normal</v>
      </c>
      <c r="AE869" s="2"/>
      <c r="AF869" s="2"/>
    </row>
    <row r="870" spans="1:32" x14ac:dyDescent="0.35">
      <c r="A870">
        <v>869</v>
      </c>
      <c r="B870" s="1">
        <v>42831</v>
      </c>
      <c r="C870" s="9" t="s">
        <v>1593</v>
      </c>
      <c r="D870" s="9" t="s">
        <v>2539</v>
      </c>
      <c r="E870" s="9" t="s">
        <v>6382</v>
      </c>
      <c r="F870" s="9" t="s">
        <v>15</v>
      </c>
      <c r="G870" s="9" t="s">
        <v>1594</v>
      </c>
      <c r="H870" s="9" t="s">
        <v>105</v>
      </c>
      <c r="I870" s="11">
        <v>21000000</v>
      </c>
      <c r="J870" s="11">
        <v>2243819</v>
      </c>
      <c r="K870" s="11">
        <v>14767163</v>
      </c>
      <c r="L870" s="3">
        <v>421</v>
      </c>
      <c r="M870" s="3">
        <v>4815</v>
      </c>
      <c r="N870" s="3">
        <v>1701412</v>
      </c>
      <c r="O870" s="2">
        <v>0.27399999999999997</v>
      </c>
      <c r="P870" s="2">
        <v>1.048</v>
      </c>
      <c r="Q870" s="2">
        <v>0.374</v>
      </c>
      <c r="R870" s="11">
        <v>250264963</v>
      </c>
      <c r="S870" s="11">
        <v>1943201</v>
      </c>
      <c r="T870">
        <v>2017</v>
      </c>
      <c r="U870">
        <v>4</v>
      </c>
      <c r="V870">
        <f t="shared" si="78"/>
        <v>647500</v>
      </c>
      <c r="W870">
        <f t="shared" si="79"/>
        <v>18429897</v>
      </c>
      <c r="X870">
        <f t="shared" si="80"/>
        <v>17782397</v>
      </c>
      <c r="Y870">
        <f t="shared" si="81"/>
        <v>-26026095.5</v>
      </c>
      <c r="Z870">
        <f t="shared" si="82"/>
        <v>45103492.5</v>
      </c>
      <c r="AA870" t="str">
        <f t="shared" si="83"/>
        <v>Normal</v>
      </c>
      <c r="AE870" s="2"/>
      <c r="AF870" s="2"/>
    </row>
    <row r="871" spans="1:32" x14ac:dyDescent="0.35">
      <c r="A871">
        <v>870</v>
      </c>
      <c r="B871" s="1">
        <v>42831</v>
      </c>
      <c r="C871" s="9" t="s">
        <v>1595</v>
      </c>
      <c r="D871" s="9" t="s">
        <v>4988</v>
      </c>
      <c r="E871" s="9" t="s">
        <v>6383</v>
      </c>
      <c r="F871" s="9" t="s">
        <v>15</v>
      </c>
      <c r="G871" s="9" t="s">
        <v>1596</v>
      </c>
      <c r="H871" s="9" t="s">
        <v>105</v>
      </c>
      <c r="I871" s="11">
        <v>5000000</v>
      </c>
      <c r="J871" s="11">
        <v>219953</v>
      </c>
      <c r="K871" s="11">
        <v>14198754</v>
      </c>
      <c r="L871" s="3">
        <v>393</v>
      </c>
      <c r="M871" s="3">
        <v>2505.5</v>
      </c>
      <c r="N871" s="3">
        <v>366568</v>
      </c>
      <c r="O871" s="2">
        <v>8.3000000000000004E-2</v>
      </c>
      <c r="P871" s="2">
        <v>0.28899999999999998</v>
      </c>
      <c r="Q871" s="2">
        <v>0.36749999999999999</v>
      </c>
      <c r="R871" s="11">
        <v>1000000000</v>
      </c>
      <c r="S871" s="11">
        <v>1953048</v>
      </c>
      <c r="T871">
        <v>2017</v>
      </c>
      <c r="U871">
        <v>4</v>
      </c>
      <c r="V871">
        <f t="shared" si="78"/>
        <v>645000</v>
      </c>
      <c r="W871">
        <f t="shared" si="79"/>
        <v>18429897</v>
      </c>
      <c r="X871">
        <f t="shared" si="80"/>
        <v>17784897</v>
      </c>
      <c r="Y871">
        <f t="shared" si="81"/>
        <v>-26032345.5</v>
      </c>
      <c r="Z871">
        <f t="shared" si="82"/>
        <v>45107242.5</v>
      </c>
      <c r="AA871" t="str">
        <f t="shared" si="83"/>
        <v>Normal</v>
      </c>
      <c r="AE871" s="2"/>
      <c r="AF871" s="2"/>
    </row>
    <row r="872" spans="1:32" x14ac:dyDescent="0.35">
      <c r="A872">
        <v>871</v>
      </c>
      <c r="B872" s="1">
        <v>42832</v>
      </c>
      <c r="C872" s="9" t="s">
        <v>92</v>
      </c>
      <c r="D872" s="9" t="s">
        <v>4988</v>
      </c>
      <c r="E872" s="9" t="s">
        <v>6384</v>
      </c>
      <c r="F872" s="9" t="s">
        <v>19</v>
      </c>
      <c r="G872" s="9" t="s">
        <v>1597</v>
      </c>
      <c r="H872" s="9" t="s">
        <v>86</v>
      </c>
      <c r="I872" s="11">
        <v>18429897</v>
      </c>
      <c r="J872" s="11">
        <v>2531926</v>
      </c>
      <c r="K872" s="11">
        <v>1827491</v>
      </c>
      <c r="L872" s="3">
        <v>241</v>
      </c>
      <c r="M872" s="3">
        <v>1793</v>
      </c>
      <c r="N872" s="3">
        <v>1018455</v>
      </c>
      <c r="O872" s="2">
        <v>0.247</v>
      </c>
      <c r="P872" s="2">
        <v>0.27699999999999997</v>
      </c>
      <c r="Q872" s="2">
        <v>0.13699999999999998</v>
      </c>
      <c r="R872" s="11">
        <v>401897953</v>
      </c>
      <c r="S872" s="11">
        <v>978818</v>
      </c>
      <c r="T872">
        <v>2017</v>
      </c>
      <c r="U872">
        <v>4</v>
      </c>
      <c r="V872">
        <f t="shared" si="78"/>
        <v>642500</v>
      </c>
      <c r="W872">
        <f t="shared" si="79"/>
        <v>18429897</v>
      </c>
      <c r="X872">
        <f t="shared" si="80"/>
        <v>17787397</v>
      </c>
      <c r="Y872">
        <f t="shared" si="81"/>
        <v>-26038595.5</v>
      </c>
      <c r="Z872">
        <f t="shared" si="82"/>
        <v>45110992.5</v>
      </c>
      <c r="AA872" t="str">
        <f t="shared" si="83"/>
        <v>Normal</v>
      </c>
      <c r="AE872" s="2"/>
      <c r="AF872" s="2"/>
    </row>
    <row r="873" spans="1:32" x14ac:dyDescent="0.35">
      <c r="A873">
        <v>872</v>
      </c>
      <c r="B873" s="1">
        <v>42832</v>
      </c>
      <c r="C873" s="9" t="s">
        <v>1598</v>
      </c>
      <c r="D873" s="9" t="s">
        <v>2539</v>
      </c>
      <c r="E873" s="9" t="s">
        <v>6385</v>
      </c>
      <c r="F873" s="9" t="s">
        <v>63</v>
      </c>
      <c r="G873" s="9" t="s">
        <v>106</v>
      </c>
      <c r="H873" s="9" t="s">
        <v>86</v>
      </c>
      <c r="I873" s="11">
        <v>18429897</v>
      </c>
      <c r="J873" s="11">
        <v>1024874</v>
      </c>
      <c r="K873" s="11">
        <v>1290044</v>
      </c>
      <c r="L873" s="3">
        <v>461</v>
      </c>
      <c r="M873" s="3">
        <v>1502</v>
      </c>
      <c r="N873" s="3">
        <v>1379699</v>
      </c>
      <c r="O873" s="2">
        <v>0.104</v>
      </c>
      <c r="P873" s="2">
        <v>0.94499999999999995</v>
      </c>
      <c r="Q873" s="2">
        <v>-0.29499999999999998</v>
      </c>
      <c r="R873" s="11">
        <v>446924719</v>
      </c>
      <c r="S873" s="11">
        <v>1166871</v>
      </c>
      <c r="T873">
        <v>2017</v>
      </c>
      <c r="U873">
        <v>4</v>
      </c>
      <c r="V873">
        <f t="shared" si="78"/>
        <v>640000</v>
      </c>
      <c r="W873">
        <f t="shared" si="79"/>
        <v>18429897</v>
      </c>
      <c r="X873">
        <f t="shared" si="80"/>
        <v>17789897</v>
      </c>
      <c r="Y873">
        <f t="shared" si="81"/>
        <v>-26044845.5</v>
      </c>
      <c r="Z873">
        <f t="shared" si="82"/>
        <v>45114742.5</v>
      </c>
      <c r="AA873" t="str">
        <f t="shared" si="83"/>
        <v>Normal</v>
      </c>
      <c r="AE873" s="2"/>
      <c r="AF873" s="2"/>
    </row>
    <row r="874" spans="1:32" x14ac:dyDescent="0.35">
      <c r="A874">
        <v>873</v>
      </c>
      <c r="B874" s="1">
        <v>42832</v>
      </c>
      <c r="C874" s="9" t="s">
        <v>1599</v>
      </c>
      <c r="D874" s="9" t="s">
        <v>4930</v>
      </c>
      <c r="E874" s="9" t="s">
        <v>6386</v>
      </c>
      <c r="F874" s="9" t="s">
        <v>19</v>
      </c>
      <c r="G874" s="9" t="s">
        <v>1600</v>
      </c>
      <c r="H874" s="9" t="s">
        <v>86</v>
      </c>
      <c r="I874" s="11">
        <v>18429897</v>
      </c>
      <c r="J874" s="11">
        <v>586372</v>
      </c>
      <c r="K874" s="11">
        <v>13154996</v>
      </c>
      <c r="L874" s="3">
        <v>336</v>
      </c>
      <c r="M874" s="3">
        <v>3601</v>
      </c>
      <c r="N874" s="3">
        <v>1070012</v>
      </c>
      <c r="O874" s="2">
        <v>0.16699999999999998</v>
      </c>
      <c r="P874" s="2">
        <v>0.96299999999999997</v>
      </c>
      <c r="Q874" s="2">
        <v>2.3E-2</v>
      </c>
      <c r="R874" s="11">
        <v>258394047</v>
      </c>
      <c r="S874" s="11">
        <v>309197</v>
      </c>
      <c r="T874">
        <v>2017</v>
      </c>
      <c r="U874">
        <v>4</v>
      </c>
      <c r="V874">
        <f t="shared" si="78"/>
        <v>637500</v>
      </c>
      <c r="W874">
        <f t="shared" si="79"/>
        <v>18429897</v>
      </c>
      <c r="X874">
        <f t="shared" si="80"/>
        <v>17792397</v>
      </c>
      <c r="Y874">
        <f t="shared" si="81"/>
        <v>-26051095.5</v>
      </c>
      <c r="Z874">
        <f t="shared" si="82"/>
        <v>45118492.5</v>
      </c>
      <c r="AA874" t="str">
        <f t="shared" si="83"/>
        <v>Normal</v>
      </c>
      <c r="AE874" s="2"/>
      <c r="AF874" s="2"/>
    </row>
    <row r="875" spans="1:32" x14ac:dyDescent="0.35">
      <c r="A875">
        <v>874</v>
      </c>
      <c r="B875" s="1">
        <v>42832</v>
      </c>
      <c r="C875" s="9" t="s">
        <v>375</v>
      </c>
      <c r="D875" s="9" t="s">
        <v>4925</v>
      </c>
      <c r="E875" s="9" t="s">
        <v>5243</v>
      </c>
      <c r="F875" s="9" t="s">
        <v>31</v>
      </c>
      <c r="G875" s="9" t="s">
        <v>1601</v>
      </c>
      <c r="H875" s="9" t="s">
        <v>105</v>
      </c>
      <c r="I875" s="11">
        <v>18000000</v>
      </c>
      <c r="J875" s="11">
        <v>642119</v>
      </c>
      <c r="K875" s="11">
        <v>7258281</v>
      </c>
      <c r="L875" s="3">
        <v>37</v>
      </c>
      <c r="M875" s="3">
        <v>3176</v>
      </c>
      <c r="N875" s="3">
        <v>401913</v>
      </c>
      <c r="O875" s="2">
        <v>-6.8000000000000005E-2</v>
      </c>
      <c r="P875" s="2">
        <v>0.29399999999999998</v>
      </c>
      <c r="Q875" s="2">
        <v>0.26800000000000002</v>
      </c>
      <c r="R875" s="11">
        <v>201811400</v>
      </c>
      <c r="S875" s="11">
        <v>436064</v>
      </c>
      <c r="T875">
        <v>2017</v>
      </c>
      <c r="U875">
        <v>4</v>
      </c>
      <c r="V875">
        <f t="shared" si="78"/>
        <v>635000</v>
      </c>
      <c r="W875">
        <f t="shared" si="79"/>
        <v>18429897</v>
      </c>
      <c r="X875">
        <f t="shared" si="80"/>
        <v>17794897</v>
      </c>
      <c r="Y875">
        <f t="shared" si="81"/>
        <v>-26057345.5</v>
      </c>
      <c r="Z875">
        <f t="shared" si="82"/>
        <v>45122242.5</v>
      </c>
      <c r="AA875" t="str">
        <f t="shared" si="83"/>
        <v>Normal</v>
      </c>
      <c r="AE875" s="2"/>
      <c r="AF875" s="2"/>
    </row>
    <row r="876" spans="1:32" x14ac:dyDescent="0.35">
      <c r="A876">
        <v>875</v>
      </c>
      <c r="B876" s="1">
        <v>42833</v>
      </c>
      <c r="C876" s="9" t="s">
        <v>1602</v>
      </c>
      <c r="D876" s="9" t="s">
        <v>4925</v>
      </c>
      <c r="E876" s="9" t="s">
        <v>6387</v>
      </c>
      <c r="F876" s="9" t="s">
        <v>31</v>
      </c>
      <c r="G876" s="9" t="s">
        <v>4840</v>
      </c>
      <c r="H876" s="9" t="s">
        <v>105</v>
      </c>
      <c r="I876" s="11">
        <v>18429897</v>
      </c>
      <c r="J876" s="11">
        <v>3492922</v>
      </c>
      <c r="K876" s="11">
        <v>15863243</v>
      </c>
      <c r="L876" s="3">
        <v>442</v>
      </c>
      <c r="M876" s="3">
        <v>2797</v>
      </c>
      <c r="N876" s="3">
        <v>467026</v>
      </c>
      <c r="O876" s="2">
        <v>-1.7000000000000001E-2</v>
      </c>
      <c r="P876" s="2">
        <v>1.1930000000000001</v>
      </c>
      <c r="Q876" s="2">
        <v>-0.124</v>
      </c>
      <c r="R876" s="11">
        <v>38093064</v>
      </c>
      <c r="S876" s="11">
        <v>1280211</v>
      </c>
      <c r="T876">
        <v>2017</v>
      </c>
      <c r="U876">
        <v>4</v>
      </c>
      <c r="V876">
        <f t="shared" si="78"/>
        <v>632500</v>
      </c>
      <c r="W876">
        <f t="shared" si="79"/>
        <v>18429897</v>
      </c>
      <c r="X876">
        <f t="shared" si="80"/>
        <v>17797397</v>
      </c>
      <c r="Y876">
        <f t="shared" si="81"/>
        <v>-26063595.5</v>
      </c>
      <c r="Z876">
        <f t="shared" si="82"/>
        <v>45125992.5</v>
      </c>
      <c r="AA876" t="str">
        <f t="shared" si="83"/>
        <v>Normal</v>
      </c>
      <c r="AE876" s="2"/>
      <c r="AF876" s="2"/>
    </row>
    <row r="877" spans="1:32" x14ac:dyDescent="0.35">
      <c r="A877">
        <v>876</v>
      </c>
      <c r="B877" s="1">
        <v>42833</v>
      </c>
      <c r="C877" s="9" t="s">
        <v>1603</v>
      </c>
      <c r="D877" s="9" t="s">
        <v>4988</v>
      </c>
      <c r="E877" s="9" t="s">
        <v>6388</v>
      </c>
      <c r="F877" s="9" t="s">
        <v>19</v>
      </c>
      <c r="G877" s="9" t="s">
        <v>1604</v>
      </c>
      <c r="H877" s="9" t="s">
        <v>105</v>
      </c>
      <c r="I877" s="11">
        <v>4600000</v>
      </c>
      <c r="J877" s="11">
        <v>2532564</v>
      </c>
      <c r="K877" s="11">
        <v>6030887</v>
      </c>
      <c r="L877" s="3">
        <v>15</v>
      </c>
      <c r="M877" s="3">
        <v>407</v>
      </c>
      <c r="N877" s="3">
        <v>1672186</v>
      </c>
      <c r="O877" s="2">
        <v>-0.13100000000000001</v>
      </c>
      <c r="P877" s="2">
        <v>0.28000000000000003</v>
      </c>
      <c r="Q877" s="2">
        <v>0.65799999999999992</v>
      </c>
      <c r="R877" s="11">
        <v>229324646</v>
      </c>
      <c r="S877" s="11">
        <v>1736344</v>
      </c>
      <c r="T877">
        <v>2017</v>
      </c>
      <c r="U877">
        <v>4</v>
      </c>
      <c r="V877">
        <f t="shared" si="78"/>
        <v>630000</v>
      </c>
      <c r="W877">
        <f t="shared" si="79"/>
        <v>18429897</v>
      </c>
      <c r="X877">
        <f t="shared" si="80"/>
        <v>17799897</v>
      </c>
      <c r="Y877">
        <f t="shared" si="81"/>
        <v>-26069845.5</v>
      </c>
      <c r="Z877">
        <f t="shared" si="82"/>
        <v>45129742.5</v>
      </c>
      <c r="AA877" t="str">
        <f t="shared" si="83"/>
        <v>Normal</v>
      </c>
      <c r="AE877" s="2"/>
      <c r="AF877" s="2"/>
    </row>
    <row r="878" spans="1:32" x14ac:dyDescent="0.35">
      <c r="A878">
        <v>877</v>
      </c>
      <c r="B878" s="1">
        <v>42835</v>
      </c>
      <c r="C878" s="9" t="s">
        <v>1605</v>
      </c>
      <c r="D878" s="9" t="s">
        <v>4930</v>
      </c>
      <c r="E878" s="9" t="s">
        <v>6389</v>
      </c>
      <c r="F878" s="9" t="s">
        <v>15</v>
      </c>
      <c r="G878" s="9" t="s">
        <v>1606</v>
      </c>
      <c r="H878" s="9" t="s">
        <v>86</v>
      </c>
      <c r="I878" s="11">
        <v>150000</v>
      </c>
      <c r="J878" s="11">
        <v>2708396</v>
      </c>
      <c r="K878" s="11">
        <v>7320342</v>
      </c>
      <c r="L878" s="3">
        <v>342</v>
      </c>
      <c r="M878" s="3">
        <v>433</v>
      </c>
      <c r="N878" s="3">
        <v>1041521</v>
      </c>
      <c r="O878" s="2">
        <v>0.24</v>
      </c>
      <c r="P878" s="2">
        <v>1.0840000000000001</v>
      </c>
      <c r="Q878" s="2">
        <v>0.105</v>
      </c>
      <c r="R878" s="11">
        <v>31839670</v>
      </c>
      <c r="S878" s="11">
        <v>1058134</v>
      </c>
      <c r="T878">
        <v>2017</v>
      </c>
      <c r="U878">
        <v>4</v>
      </c>
      <c r="V878">
        <f t="shared" si="78"/>
        <v>630000</v>
      </c>
      <c r="W878">
        <f t="shared" si="79"/>
        <v>18429897</v>
      </c>
      <c r="X878">
        <f t="shared" si="80"/>
        <v>17799897</v>
      </c>
      <c r="Y878">
        <f t="shared" si="81"/>
        <v>-26069845.5</v>
      </c>
      <c r="Z878">
        <f t="shared" si="82"/>
        <v>45129742.5</v>
      </c>
      <c r="AA878" t="str">
        <f t="shared" si="83"/>
        <v>Normal</v>
      </c>
      <c r="AE878" s="2"/>
      <c r="AF878" s="2"/>
    </row>
    <row r="879" spans="1:32" x14ac:dyDescent="0.35">
      <c r="A879">
        <v>878</v>
      </c>
      <c r="B879" s="1">
        <v>42835</v>
      </c>
      <c r="C879" s="9" t="s">
        <v>644</v>
      </c>
      <c r="D879" s="9" t="s">
        <v>4988</v>
      </c>
      <c r="E879" s="9" t="s">
        <v>5854</v>
      </c>
      <c r="F879" s="9" t="s">
        <v>15</v>
      </c>
      <c r="G879" s="9" t="s">
        <v>1607</v>
      </c>
      <c r="H879" s="9" t="s">
        <v>105</v>
      </c>
      <c r="I879" s="11">
        <v>2300000</v>
      </c>
      <c r="J879" s="11">
        <v>3731036</v>
      </c>
      <c r="K879" s="11">
        <v>4464978</v>
      </c>
      <c r="L879" s="3">
        <v>128</v>
      </c>
      <c r="M879" s="3">
        <v>3199</v>
      </c>
      <c r="N879" s="3">
        <v>1844894</v>
      </c>
      <c r="O879" s="2">
        <v>6.2E-2</v>
      </c>
      <c r="P879" s="2">
        <v>0.39399999999999996</v>
      </c>
      <c r="Q879" s="2">
        <v>-0.35299999999999998</v>
      </c>
      <c r="R879" s="11">
        <v>191311271</v>
      </c>
      <c r="S879" s="11">
        <v>413712</v>
      </c>
      <c r="T879">
        <v>2017</v>
      </c>
      <c r="U879">
        <v>4</v>
      </c>
      <c r="V879">
        <f t="shared" si="78"/>
        <v>635000</v>
      </c>
      <c r="W879">
        <f t="shared" si="79"/>
        <v>18429897</v>
      </c>
      <c r="X879">
        <f t="shared" si="80"/>
        <v>17794897</v>
      </c>
      <c r="Y879">
        <f t="shared" si="81"/>
        <v>-26057345.5</v>
      </c>
      <c r="Z879">
        <f t="shared" si="82"/>
        <v>45122242.5</v>
      </c>
      <c r="AA879" t="str">
        <f t="shared" si="83"/>
        <v>Normal</v>
      </c>
      <c r="AE879" s="2"/>
      <c r="AF879" s="2"/>
    </row>
    <row r="880" spans="1:32" x14ac:dyDescent="0.35">
      <c r="A880">
        <v>879</v>
      </c>
      <c r="B880" s="1">
        <v>42836</v>
      </c>
      <c r="C880" s="9" t="s">
        <v>81</v>
      </c>
      <c r="D880" s="9" t="s">
        <v>4925</v>
      </c>
      <c r="E880" s="9" t="s">
        <v>6390</v>
      </c>
      <c r="F880" s="9" t="s">
        <v>15</v>
      </c>
      <c r="G880" s="9" t="s">
        <v>4841</v>
      </c>
      <c r="H880" s="9" t="s">
        <v>105</v>
      </c>
      <c r="I880" s="11">
        <v>5500000</v>
      </c>
      <c r="J880" s="11">
        <v>2750373</v>
      </c>
      <c r="K880" s="11">
        <v>5403384</v>
      </c>
      <c r="L880" s="3">
        <v>449</v>
      </c>
      <c r="M880" s="3">
        <v>2375</v>
      </c>
      <c r="N880" s="3">
        <v>1124322</v>
      </c>
      <c r="O880" s="2">
        <v>-0.6</v>
      </c>
      <c r="P880" s="2">
        <v>0.222</v>
      </c>
      <c r="Q880" s="2">
        <v>0.27600000000000002</v>
      </c>
      <c r="R880" s="11">
        <v>31484801</v>
      </c>
      <c r="S880" s="11">
        <v>783900</v>
      </c>
      <c r="T880">
        <v>2017</v>
      </c>
      <c r="U880">
        <v>4</v>
      </c>
      <c r="V880">
        <f t="shared" si="78"/>
        <v>632500</v>
      </c>
      <c r="W880">
        <f t="shared" si="79"/>
        <v>18429897</v>
      </c>
      <c r="X880">
        <f t="shared" si="80"/>
        <v>17797397</v>
      </c>
      <c r="Y880">
        <f t="shared" si="81"/>
        <v>-26063595.5</v>
      </c>
      <c r="Z880">
        <f t="shared" si="82"/>
        <v>45125992.5</v>
      </c>
      <c r="AA880" t="str">
        <f t="shared" si="83"/>
        <v>Normal</v>
      </c>
      <c r="AE880" s="2"/>
      <c r="AF880" s="2"/>
    </row>
    <row r="881" spans="1:32" x14ac:dyDescent="0.35">
      <c r="A881">
        <v>880</v>
      </c>
      <c r="B881" s="1">
        <v>42836</v>
      </c>
      <c r="C881" s="9" t="s">
        <v>1608</v>
      </c>
      <c r="D881" s="9" t="s">
        <v>4930</v>
      </c>
      <c r="E881" s="9" t="s">
        <v>6391</v>
      </c>
      <c r="F881" s="9" t="s">
        <v>15</v>
      </c>
      <c r="G881" s="9" t="s">
        <v>1609</v>
      </c>
      <c r="H881" s="9" t="s">
        <v>86</v>
      </c>
      <c r="I881" s="11">
        <v>100000</v>
      </c>
      <c r="J881" s="11">
        <v>3157458</v>
      </c>
      <c r="K881" s="11">
        <v>14152002</v>
      </c>
      <c r="L881" s="3">
        <v>366</v>
      </c>
      <c r="M881" s="3">
        <v>2505.5</v>
      </c>
      <c r="N881" s="3">
        <v>1326854</v>
      </c>
      <c r="O881" s="2">
        <v>0.21600000000000003</v>
      </c>
      <c r="P881" s="2">
        <v>1.0549999999999999</v>
      </c>
      <c r="Q881" s="2">
        <v>0.65500000000000003</v>
      </c>
      <c r="R881" s="11">
        <v>188213419</v>
      </c>
      <c r="S881" s="11">
        <v>1192706</v>
      </c>
      <c r="T881">
        <v>2017</v>
      </c>
      <c r="U881">
        <v>4</v>
      </c>
      <c r="V881">
        <f t="shared" si="78"/>
        <v>630000</v>
      </c>
      <c r="W881">
        <f t="shared" si="79"/>
        <v>18429897</v>
      </c>
      <c r="X881">
        <f t="shared" si="80"/>
        <v>17799897</v>
      </c>
      <c r="Y881">
        <f t="shared" si="81"/>
        <v>-26069845.5</v>
      </c>
      <c r="Z881">
        <f t="shared" si="82"/>
        <v>45129742.5</v>
      </c>
      <c r="AA881" t="str">
        <f t="shared" si="83"/>
        <v>Normal</v>
      </c>
      <c r="AE881" s="2"/>
      <c r="AF881" s="2"/>
    </row>
    <row r="882" spans="1:32" x14ac:dyDescent="0.35">
      <c r="A882">
        <v>881</v>
      </c>
      <c r="B882" s="1">
        <v>42836</v>
      </c>
      <c r="C882" s="9" t="s">
        <v>1244</v>
      </c>
      <c r="D882" s="9" t="s">
        <v>4988</v>
      </c>
      <c r="E882" s="9" t="s">
        <v>6392</v>
      </c>
      <c r="F882" s="9" t="s">
        <v>27</v>
      </c>
      <c r="G882" s="9" t="s">
        <v>1610</v>
      </c>
      <c r="H882" s="9" t="s">
        <v>86</v>
      </c>
      <c r="I882" s="11">
        <v>18429897</v>
      </c>
      <c r="J882" s="11">
        <v>448401</v>
      </c>
      <c r="K882" s="11">
        <v>9477568</v>
      </c>
      <c r="L882" s="3">
        <v>404</v>
      </c>
      <c r="M882" s="3">
        <v>194</v>
      </c>
      <c r="N882" s="3">
        <v>681002</v>
      </c>
      <c r="O882" s="2">
        <v>0.315</v>
      </c>
      <c r="P882" s="2">
        <v>0.38400000000000001</v>
      </c>
      <c r="Q882" s="2">
        <v>-0.45899999999999996</v>
      </c>
      <c r="R882" s="11">
        <v>250264963</v>
      </c>
      <c r="S882" s="11">
        <v>1464652</v>
      </c>
      <c r="T882">
        <v>2017</v>
      </c>
      <c r="U882">
        <v>4</v>
      </c>
      <c r="V882">
        <f t="shared" si="78"/>
        <v>637500</v>
      </c>
      <c r="W882">
        <f t="shared" si="79"/>
        <v>18429897</v>
      </c>
      <c r="X882">
        <f t="shared" si="80"/>
        <v>17792397</v>
      </c>
      <c r="Y882">
        <f t="shared" si="81"/>
        <v>-26051095.5</v>
      </c>
      <c r="Z882">
        <f t="shared" si="82"/>
        <v>45118492.5</v>
      </c>
      <c r="AA882" t="str">
        <f t="shared" si="83"/>
        <v>Normal</v>
      </c>
      <c r="AE882" s="2"/>
      <c r="AF882" s="2"/>
    </row>
    <row r="883" spans="1:32" x14ac:dyDescent="0.35">
      <c r="A883">
        <v>882</v>
      </c>
      <c r="B883" s="1">
        <v>42837</v>
      </c>
      <c r="C883" s="9" t="s">
        <v>1611</v>
      </c>
      <c r="D883" s="9" t="s">
        <v>4925</v>
      </c>
      <c r="E883" s="9" t="s">
        <v>6393</v>
      </c>
      <c r="F883" s="9" t="s">
        <v>27</v>
      </c>
      <c r="G883" s="9" t="s">
        <v>1612</v>
      </c>
      <c r="H883" s="9" t="s">
        <v>105</v>
      </c>
      <c r="I883" s="11">
        <v>4000000</v>
      </c>
      <c r="J883" s="11">
        <v>4258632</v>
      </c>
      <c r="K883" s="11">
        <v>13216030</v>
      </c>
      <c r="L883" s="3">
        <v>254</v>
      </c>
      <c r="M883" s="3">
        <v>971</v>
      </c>
      <c r="N883" s="3">
        <v>59898</v>
      </c>
      <c r="O883" s="2">
        <v>-4.2000000000000003E-2</v>
      </c>
      <c r="P883" s="2">
        <v>0.72899999999999998</v>
      </c>
      <c r="Q883" s="2">
        <v>0.27899999999999997</v>
      </c>
      <c r="R883" s="11">
        <v>169329276</v>
      </c>
      <c r="S883" s="11">
        <v>205466</v>
      </c>
      <c r="T883">
        <v>2017</v>
      </c>
      <c r="U883">
        <v>4</v>
      </c>
      <c r="V883">
        <f t="shared" si="78"/>
        <v>635000</v>
      </c>
      <c r="W883">
        <f t="shared" si="79"/>
        <v>18429897</v>
      </c>
      <c r="X883">
        <f t="shared" si="80"/>
        <v>17794897</v>
      </c>
      <c r="Y883">
        <f t="shared" si="81"/>
        <v>-26057345.5</v>
      </c>
      <c r="Z883">
        <f t="shared" si="82"/>
        <v>45122242.5</v>
      </c>
      <c r="AA883" t="str">
        <f t="shared" si="83"/>
        <v>Normal</v>
      </c>
      <c r="AE883" s="2"/>
      <c r="AF883" s="2"/>
    </row>
    <row r="884" spans="1:32" x14ac:dyDescent="0.35">
      <c r="A884">
        <v>883</v>
      </c>
      <c r="B884" s="1">
        <v>42837</v>
      </c>
      <c r="C884" s="9" t="s">
        <v>1613</v>
      </c>
      <c r="D884" s="9" t="s">
        <v>4928</v>
      </c>
      <c r="E884" s="9" t="s">
        <v>6394</v>
      </c>
      <c r="F884" s="9" t="s">
        <v>31</v>
      </c>
      <c r="G884" s="9" t="s">
        <v>1614</v>
      </c>
      <c r="H884" s="9" t="s">
        <v>105</v>
      </c>
      <c r="I884" s="11">
        <v>4500000</v>
      </c>
      <c r="J884" s="11">
        <v>2254928</v>
      </c>
      <c r="K884" s="11">
        <v>1665210</v>
      </c>
      <c r="L884" s="3">
        <v>285</v>
      </c>
      <c r="M884" s="3">
        <v>2505.5</v>
      </c>
      <c r="N884" s="3">
        <v>1011892</v>
      </c>
      <c r="O884" s="2">
        <v>0.216</v>
      </c>
      <c r="P884" s="2">
        <v>1.0270000000000001</v>
      </c>
      <c r="Q884" s="2">
        <v>-0.14699999999999999</v>
      </c>
      <c r="R884" s="11">
        <v>167152296</v>
      </c>
      <c r="S884" s="11">
        <v>485502</v>
      </c>
      <c r="T884">
        <v>2017</v>
      </c>
      <c r="U884">
        <v>4</v>
      </c>
      <c r="V884">
        <f t="shared" si="78"/>
        <v>632500</v>
      </c>
      <c r="W884">
        <f t="shared" si="79"/>
        <v>18429897</v>
      </c>
      <c r="X884">
        <f t="shared" si="80"/>
        <v>17797397</v>
      </c>
      <c r="Y884">
        <f t="shared" si="81"/>
        <v>-26063595.5</v>
      </c>
      <c r="Z884">
        <f t="shared" si="82"/>
        <v>45125992.5</v>
      </c>
      <c r="AA884" t="str">
        <f t="shared" si="83"/>
        <v>Normal</v>
      </c>
      <c r="AE884" s="2"/>
      <c r="AF884" s="2"/>
    </row>
    <row r="885" spans="1:32" x14ac:dyDescent="0.35">
      <c r="A885">
        <v>884</v>
      </c>
      <c r="B885" s="1">
        <v>42837</v>
      </c>
      <c r="C885" s="9" t="s">
        <v>1615</v>
      </c>
      <c r="D885" s="9" t="s">
        <v>4988</v>
      </c>
      <c r="E885" s="9" t="s">
        <v>6395</v>
      </c>
      <c r="F885" s="9" t="s">
        <v>15</v>
      </c>
      <c r="G885" s="9" t="s">
        <v>1616</v>
      </c>
      <c r="H885" s="9" t="s">
        <v>105</v>
      </c>
      <c r="I885" s="11">
        <v>4500000</v>
      </c>
      <c r="J885" s="11">
        <v>792960</v>
      </c>
      <c r="K885" s="11">
        <v>10756332</v>
      </c>
      <c r="L885" s="3">
        <v>432</v>
      </c>
      <c r="M885" s="3">
        <v>4896</v>
      </c>
      <c r="N885" s="3">
        <v>1460573</v>
      </c>
      <c r="O885" s="2">
        <v>7.8E-2</v>
      </c>
      <c r="P885" s="2">
        <v>0.35499999999999998</v>
      </c>
      <c r="Q885" s="2">
        <v>8.5999999999999993E-2</v>
      </c>
      <c r="R885" s="11">
        <v>368966291</v>
      </c>
      <c r="S885" s="11">
        <v>378563</v>
      </c>
      <c r="T885">
        <v>2017</v>
      </c>
      <c r="U885">
        <v>4</v>
      </c>
      <c r="V885">
        <f t="shared" si="78"/>
        <v>630000</v>
      </c>
      <c r="W885">
        <f t="shared" si="79"/>
        <v>18429897</v>
      </c>
      <c r="X885">
        <f t="shared" si="80"/>
        <v>17799897</v>
      </c>
      <c r="Y885">
        <f t="shared" si="81"/>
        <v>-26069845.5</v>
      </c>
      <c r="Z885">
        <f t="shared" si="82"/>
        <v>45129742.5</v>
      </c>
      <c r="AA885" t="str">
        <f t="shared" si="83"/>
        <v>Normal</v>
      </c>
      <c r="AE885" s="2"/>
      <c r="AF885" s="2"/>
    </row>
    <row r="886" spans="1:32" x14ac:dyDescent="0.35">
      <c r="A886">
        <v>885</v>
      </c>
      <c r="B886" s="1">
        <v>42837</v>
      </c>
      <c r="C886" s="9" t="s">
        <v>1617</v>
      </c>
      <c r="D886" s="9" t="s">
        <v>4930</v>
      </c>
      <c r="E886" s="9" t="s">
        <v>5866</v>
      </c>
      <c r="F886" s="9" t="s">
        <v>63</v>
      </c>
      <c r="G886" s="9" t="s">
        <v>1618</v>
      </c>
      <c r="H886" s="9" t="s">
        <v>105</v>
      </c>
      <c r="I886" s="11">
        <v>2100000</v>
      </c>
      <c r="J886" s="11">
        <v>4070375</v>
      </c>
      <c r="K886" s="11">
        <v>9227048</v>
      </c>
      <c r="L886" s="3">
        <v>152</v>
      </c>
      <c r="M886" s="3">
        <v>2505.5</v>
      </c>
      <c r="N886" s="3">
        <v>812164</v>
      </c>
      <c r="O886" s="2">
        <v>-0.30399999999999999</v>
      </c>
      <c r="P886" s="2">
        <v>0.94099999999999995</v>
      </c>
      <c r="Q886" s="2">
        <v>-0.22699999999999998</v>
      </c>
      <c r="R886" s="11">
        <v>488996679</v>
      </c>
      <c r="S886" s="11">
        <v>1008193.5</v>
      </c>
      <c r="T886">
        <v>2017</v>
      </c>
      <c r="U886">
        <v>4</v>
      </c>
      <c r="V886">
        <f t="shared" si="78"/>
        <v>630000</v>
      </c>
      <c r="W886">
        <f t="shared" si="79"/>
        <v>18429897</v>
      </c>
      <c r="X886">
        <f t="shared" si="80"/>
        <v>17799897</v>
      </c>
      <c r="Y886">
        <f t="shared" si="81"/>
        <v>-26069845.5</v>
      </c>
      <c r="Z886">
        <f t="shared" si="82"/>
        <v>45129742.5</v>
      </c>
      <c r="AA886" t="str">
        <f t="shared" si="83"/>
        <v>Normal</v>
      </c>
      <c r="AE886" s="2"/>
      <c r="AF886" s="2"/>
    </row>
    <row r="887" spans="1:32" x14ac:dyDescent="0.35">
      <c r="A887">
        <v>886</v>
      </c>
      <c r="B887" s="1">
        <v>42837</v>
      </c>
      <c r="C887" s="9" t="s">
        <v>1182</v>
      </c>
      <c r="D887" s="9" t="s">
        <v>4988</v>
      </c>
      <c r="E887" s="9" t="s">
        <v>5267</v>
      </c>
      <c r="F887" s="9" t="s">
        <v>124</v>
      </c>
      <c r="G887" s="9" t="s">
        <v>1619</v>
      </c>
      <c r="H887" s="9" t="s">
        <v>86</v>
      </c>
      <c r="I887" s="11">
        <v>18429897</v>
      </c>
      <c r="J887" s="11">
        <v>3678413</v>
      </c>
      <c r="K887" s="11">
        <v>18224415</v>
      </c>
      <c r="L887" s="3">
        <v>266</v>
      </c>
      <c r="M887" s="3">
        <v>113</v>
      </c>
      <c r="N887" s="3">
        <v>1720134</v>
      </c>
      <c r="O887" s="2">
        <v>0.51100000000000001</v>
      </c>
      <c r="P887" s="2">
        <v>0.73199999999999998</v>
      </c>
      <c r="Q887" s="2">
        <v>0.313</v>
      </c>
      <c r="R887" s="11">
        <v>130659405</v>
      </c>
      <c r="S887" s="11">
        <v>561816</v>
      </c>
      <c r="T887">
        <v>2017</v>
      </c>
      <c r="U887">
        <v>4</v>
      </c>
      <c r="V887">
        <f t="shared" si="78"/>
        <v>630000</v>
      </c>
      <c r="W887">
        <f t="shared" si="79"/>
        <v>18429897</v>
      </c>
      <c r="X887">
        <f t="shared" si="80"/>
        <v>17799897</v>
      </c>
      <c r="Y887">
        <f t="shared" si="81"/>
        <v>-26069845.5</v>
      </c>
      <c r="Z887">
        <f t="shared" si="82"/>
        <v>45129742.5</v>
      </c>
      <c r="AA887" t="str">
        <f t="shared" si="83"/>
        <v>Normal</v>
      </c>
      <c r="AE887" s="2"/>
      <c r="AF887" s="2"/>
    </row>
    <row r="888" spans="1:32" x14ac:dyDescent="0.35">
      <c r="A888">
        <v>887</v>
      </c>
      <c r="B888" s="1">
        <v>42837</v>
      </c>
      <c r="C888" s="9" t="s">
        <v>1620</v>
      </c>
      <c r="D888" s="9" t="s">
        <v>4988</v>
      </c>
      <c r="E888" s="9" t="s">
        <v>6396</v>
      </c>
      <c r="F888" s="9" t="s">
        <v>31</v>
      </c>
      <c r="G888" s="9" t="s">
        <v>983</v>
      </c>
      <c r="H888" s="9" t="s">
        <v>86</v>
      </c>
      <c r="I888" s="11">
        <v>18429897</v>
      </c>
      <c r="J888" s="11">
        <v>284069</v>
      </c>
      <c r="K888" s="11">
        <v>8527271</v>
      </c>
      <c r="L888" s="3">
        <v>152</v>
      </c>
      <c r="M888" s="3">
        <v>300</v>
      </c>
      <c r="N888" s="3">
        <v>1395021</v>
      </c>
      <c r="O888" s="2">
        <v>7.9000000000000001E-2</v>
      </c>
      <c r="P888" s="2">
        <v>0.45600000000000002</v>
      </c>
      <c r="Q888" s="2">
        <v>0.02</v>
      </c>
      <c r="R888" s="11">
        <v>250264963</v>
      </c>
      <c r="S888" s="11">
        <v>1008193.5</v>
      </c>
      <c r="T888">
        <v>2017</v>
      </c>
      <c r="U888">
        <v>4</v>
      </c>
      <c r="V888">
        <f t="shared" si="78"/>
        <v>630000</v>
      </c>
      <c r="W888">
        <f t="shared" si="79"/>
        <v>18429897</v>
      </c>
      <c r="X888">
        <f t="shared" si="80"/>
        <v>17799897</v>
      </c>
      <c r="Y888">
        <f t="shared" si="81"/>
        <v>-26069845.5</v>
      </c>
      <c r="Z888">
        <f t="shared" si="82"/>
        <v>45129742.5</v>
      </c>
      <c r="AA888" t="str">
        <f t="shared" si="83"/>
        <v>Normal</v>
      </c>
      <c r="AE888" s="2"/>
      <c r="AF888" s="2"/>
    </row>
    <row r="889" spans="1:32" x14ac:dyDescent="0.35">
      <c r="A889">
        <v>888</v>
      </c>
      <c r="B889" s="1">
        <v>42838</v>
      </c>
      <c r="C889" s="9" t="s">
        <v>1621</v>
      </c>
      <c r="D889" s="9" t="s">
        <v>4925</v>
      </c>
      <c r="E889" s="9" t="s">
        <v>6397</v>
      </c>
      <c r="F889" s="9" t="s">
        <v>19</v>
      </c>
      <c r="G889" s="9" t="s">
        <v>1622</v>
      </c>
      <c r="H889" s="9" t="s">
        <v>105</v>
      </c>
      <c r="I889" s="11">
        <v>18429897</v>
      </c>
      <c r="J889" s="11">
        <v>981346</v>
      </c>
      <c r="K889" s="11">
        <v>2152463</v>
      </c>
      <c r="L889" s="3">
        <v>61</v>
      </c>
      <c r="M889" s="3">
        <v>4397</v>
      </c>
      <c r="N889" s="3">
        <v>1018455</v>
      </c>
      <c r="O889" s="2">
        <v>0.16</v>
      </c>
      <c r="P889" s="2">
        <v>0.24199999999999999</v>
      </c>
      <c r="Q889" s="2">
        <v>0.39</v>
      </c>
      <c r="R889" s="11">
        <v>17984246</v>
      </c>
      <c r="S889" s="11">
        <v>266019</v>
      </c>
      <c r="T889">
        <v>2017</v>
      </c>
      <c r="U889">
        <v>4</v>
      </c>
      <c r="V889">
        <f t="shared" si="78"/>
        <v>630000</v>
      </c>
      <c r="W889">
        <f t="shared" si="79"/>
        <v>18429897</v>
      </c>
      <c r="X889">
        <f t="shared" si="80"/>
        <v>17799897</v>
      </c>
      <c r="Y889">
        <f t="shared" si="81"/>
        <v>-26069845.5</v>
      </c>
      <c r="Z889">
        <f t="shared" si="82"/>
        <v>45129742.5</v>
      </c>
      <c r="AA889" t="str">
        <f t="shared" si="83"/>
        <v>Normal</v>
      </c>
      <c r="AE889" s="2"/>
      <c r="AF889" s="2"/>
    </row>
    <row r="890" spans="1:32" x14ac:dyDescent="0.35">
      <c r="A890">
        <v>889</v>
      </c>
      <c r="B890" s="1">
        <v>42838</v>
      </c>
      <c r="C890" s="9" t="s">
        <v>1623</v>
      </c>
      <c r="D890" s="9" t="s">
        <v>4988</v>
      </c>
      <c r="E890" s="9" t="s">
        <v>6398</v>
      </c>
      <c r="F890" s="9" t="s">
        <v>19</v>
      </c>
      <c r="G890" s="9" t="s">
        <v>1624</v>
      </c>
      <c r="H890" s="9" t="s">
        <v>105</v>
      </c>
      <c r="I890" s="11">
        <v>7700000</v>
      </c>
      <c r="J890" s="11">
        <v>98432</v>
      </c>
      <c r="K890" s="11">
        <v>13973777</v>
      </c>
      <c r="L890" s="3">
        <v>438</v>
      </c>
      <c r="M890" s="3">
        <v>2523</v>
      </c>
      <c r="N890" s="3">
        <v>1087828</v>
      </c>
      <c r="O890" s="2">
        <v>-0.5</v>
      </c>
      <c r="P890" s="2">
        <v>0.46299999999999997</v>
      </c>
      <c r="Q890" s="2">
        <v>-0.157</v>
      </c>
      <c r="R890" s="11">
        <v>198684211</v>
      </c>
      <c r="S890" s="11">
        <v>241489</v>
      </c>
      <c r="T890">
        <v>2017</v>
      </c>
      <c r="U890">
        <v>4</v>
      </c>
      <c r="V890">
        <f t="shared" si="78"/>
        <v>628750</v>
      </c>
      <c r="W890">
        <f t="shared" si="79"/>
        <v>18429897</v>
      </c>
      <c r="X890">
        <f t="shared" si="80"/>
        <v>17801147</v>
      </c>
      <c r="Y890">
        <f t="shared" si="81"/>
        <v>-26072970.5</v>
      </c>
      <c r="Z890">
        <f t="shared" si="82"/>
        <v>45131617.5</v>
      </c>
      <c r="AA890" t="str">
        <f t="shared" si="83"/>
        <v>Normal</v>
      </c>
      <c r="AE890" s="2"/>
      <c r="AF890" s="2"/>
    </row>
    <row r="891" spans="1:32" x14ac:dyDescent="0.35">
      <c r="A891">
        <v>890</v>
      </c>
      <c r="B891" s="1">
        <v>42839</v>
      </c>
      <c r="C891" s="9" t="s">
        <v>182</v>
      </c>
      <c r="D891" s="9" t="s">
        <v>4988</v>
      </c>
      <c r="E891" s="9" t="s">
        <v>6288</v>
      </c>
      <c r="F891" s="9" t="s">
        <v>15</v>
      </c>
      <c r="G891" s="9" t="s">
        <v>1625</v>
      </c>
      <c r="H891" s="9" t="s">
        <v>105</v>
      </c>
      <c r="I891" s="11">
        <v>200000000</v>
      </c>
      <c r="J891" s="11">
        <v>2531926</v>
      </c>
      <c r="K891" s="11">
        <v>3078815</v>
      </c>
      <c r="L891" s="3">
        <v>251</v>
      </c>
      <c r="M891" s="3">
        <v>2509</v>
      </c>
      <c r="N891" s="3">
        <v>1018455</v>
      </c>
      <c r="O891" s="2">
        <v>6.0999999999999999E-2</v>
      </c>
      <c r="P891" s="2">
        <v>0.625</v>
      </c>
      <c r="Q891" s="2">
        <v>4.8000000000000001E-2</v>
      </c>
      <c r="R891" s="11">
        <v>248327718</v>
      </c>
      <c r="S891" s="11">
        <v>235236</v>
      </c>
      <c r="T891">
        <v>2017</v>
      </c>
      <c r="U891">
        <v>4</v>
      </c>
      <c r="V891">
        <f t="shared" si="78"/>
        <v>627500</v>
      </c>
      <c r="W891">
        <f t="shared" si="79"/>
        <v>18429897</v>
      </c>
      <c r="X891">
        <f t="shared" si="80"/>
        <v>17802397</v>
      </c>
      <c r="Y891">
        <f t="shared" si="81"/>
        <v>-26076095.5</v>
      </c>
      <c r="Z891">
        <f t="shared" si="82"/>
        <v>45133492.5</v>
      </c>
      <c r="AA891" t="str">
        <f t="shared" si="83"/>
        <v>Outlier</v>
      </c>
      <c r="AE891" s="2"/>
      <c r="AF891" s="2"/>
    </row>
    <row r="892" spans="1:32" x14ac:dyDescent="0.35">
      <c r="A892">
        <v>891</v>
      </c>
      <c r="B892" s="1">
        <v>42840</v>
      </c>
      <c r="C892" s="9" t="s">
        <v>1626</v>
      </c>
      <c r="D892" s="9" t="s">
        <v>4988</v>
      </c>
      <c r="E892" s="9" t="s">
        <v>6399</v>
      </c>
      <c r="F892" s="9" t="s">
        <v>294</v>
      </c>
      <c r="G892" s="9" t="s">
        <v>1627</v>
      </c>
      <c r="H892" s="9" t="s">
        <v>86</v>
      </c>
      <c r="I892" s="11">
        <v>310000</v>
      </c>
      <c r="J892" s="11">
        <v>517902</v>
      </c>
      <c r="K892" s="11">
        <v>18190500</v>
      </c>
      <c r="L892" s="3">
        <v>31</v>
      </c>
      <c r="M892" s="3">
        <v>4809</v>
      </c>
      <c r="N892" s="3">
        <v>1756164</v>
      </c>
      <c r="O892" s="2">
        <v>0.152</v>
      </c>
      <c r="P892" s="2">
        <v>0.56799999999999995</v>
      </c>
      <c r="Q892" s="2">
        <v>-0.47799999999999998</v>
      </c>
      <c r="R892" s="11">
        <v>7454377</v>
      </c>
      <c r="S892" s="11">
        <v>860174</v>
      </c>
      <c r="T892">
        <v>2017</v>
      </c>
      <c r="U892">
        <v>4</v>
      </c>
      <c r="V892">
        <f t="shared" si="78"/>
        <v>626250</v>
      </c>
      <c r="W892">
        <f t="shared" si="79"/>
        <v>18429897</v>
      </c>
      <c r="X892">
        <f t="shared" si="80"/>
        <v>17803647</v>
      </c>
      <c r="Y892">
        <f t="shared" si="81"/>
        <v>-26079220.5</v>
      </c>
      <c r="Z892">
        <f t="shared" si="82"/>
        <v>45135367.5</v>
      </c>
      <c r="AA892" t="str">
        <f t="shared" si="83"/>
        <v>Normal</v>
      </c>
      <c r="AE892" s="2"/>
      <c r="AF892" s="2"/>
    </row>
    <row r="893" spans="1:32" x14ac:dyDescent="0.35">
      <c r="A893">
        <v>892</v>
      </c>
      <c r="B893" s="1">
        <v>42842</v>
      </c>
      <c r="C893" s="9" t="s">
        <v>1628</v>
      </c>
      <c r="D893" s="9" t="s">
        <v>4988</v>
      </c>
      <c r="E893" s="9" t="s">
        <v>6400</v>
      </c>
      <c r="F893" s="9" t="s">
        <v>19</v>
      </c>
      <c r="G893" s="9" t="s">
        <v>1629</v>
      </c>
      <c r="H893" s="9" t="s">
        <v>105</v>
      </c>
      <c r="I893" s="11">
        <v>1500000</v>
      </c>
      <c r="J893" s="11">
        <v>3555325</v>
      </c>
      <c r="K893" s="11">
        <v>7730648</v>
      </c>
      <c r="L893" s="3">
        <v>413</v>
      </c>
      <c r="M893" s="3">
        <v>1277</v>
      </c>
      <c r="N893" s="3">
        <v>119122</v>
      </c>
      <c r="O893" s="2">
        <v>-8.8999999999999996E-2</v>
      </c>
      <c r="P893" s="2">
        <v>0.91700000000000004</v>
      </c>
      <c r="Q893" s="2">
        <v>0.74900000000000011</v>
      </c>
      <c r="R893" s="11">
        <v>249839735</v>
      </c>
      <c r="S893" s="11">
        <v>50309</v>
      </c>
      <c r="T893">
        <v>2017</v>
      </c>
      <c r="U893">
        <v>4</v>
      </c>
      <c r="V893">
        <f t="shared" si="78"/>
        <v>630000</v>
      </c>
      <c r="W893">
        <f t="shared" si="79"/>
        <v>18429897</v>
      </c>
      <c r="X893">
        <f t="shared" si="80"/>
        <v>17799897</v>
      </c>
      <c r="Y893">
        <f t="shared" si="81"/>
        <v>-26069845.5</v>
      </c>
      <c r="Z893">
        <f t="shared" si="82"/>
        <v>45129742.5</v>
      </c>
      <c r="AA893" t="str">
        <f t="shared" si="83"/>
        <v>Normal</v>
      </c>
      <c r="AE893" s="2"/>
      <c r="AF893" s="2"/>
    </row>
    <row r="894" spans="1:32" x14ac:dyDescent="0.35">
      <c r="A894">
        <v>893</v>
      </c>
      <c r="B894" s="1">
        <v>42842</v>
      </c>
      <c r="C894" s="9" t="s">
        <v>1630</v>
      </c>
      <c r="D894" s="9" t="s">
        <v>4930</v>
      </c>
      <c r="E894" s="9" t="s">
        <v>6401</v>
      </c>
      <c r="F894" s="9" t="s">
        <v>27</v>
      </c>
      <c r="G894" s="9" t="s">
        <v>1631</v>
      </c>
      <c r="H894" s="9" t="s">
        <v>86</v>
      </c>
      <c r="I894" s="11">
        <v>18429897</v>
      </c>
      <c r="J894" s="11">
        <v>2531926</v>
      </c>
      <c r="K894" s="11">
        <v>15712235</v>
      </c>
      <c r="L894" s="3">
        <v>471</v>
      </c>
      <c r="M894" s="3">
        <v>1458</v>
      </c>
      <c r="N894" s="3">
        <v>99378</v>
      </c>
      <c r="O894" s="2">
        <v>0.45900000000000002</v>
      </c>
      <c r="P894" s="2">
        <v>0.61</v>
      </c>
      <c r="Q894" s="2">
        <v>0.57999999999999996</v>
      </c>
      <c r="R894" s="11">
        <v>307112295</v>
      </c>
      <c r="S894" s="11">
        <v>1040715</v>
      </c>
      <c r="T894">
        <v>2017</v>
      </c>
      <c r="U894">
        <v>4</v>
      </c>
      <c r="V894">
        <f t="shared" si="78"/>
        <v>628750</v>
      </c>
      <c r="W894">
        <f t="shared" si="79"/>
        <v>18429897</v>
      </c>
      <c r="X894">
        <f t="shared" si="80"/>
        <v>17801147</v>
      </c>
      <c r="Y894">
        <f t="shared" si="81"/>
        <v>-26072970.5</v>
      </c>
      <c r="Z894">
        <f t="shared" si="82"/>
        <v>45131617.5</v>
      </c>
      <c r="AA894" t="str">
        <f t="shared" si="83"/>
        <v>Normal</v>
      </c>
      <c r="AE894" s="2"/>
      <c r="AF894" s="2"/>
    </row>
    <row r="895" spans="1:32" x14ac:dyDescent="0.35">
      <c r="A895">
        <v>894</v>
      </c>
      <c r="B895" s="1">
        <v>42842</v>
      </c>
      <c r="C895" s="9" t="s">
        <v>1075</v>
      </c>
      <c r="D895" s="9" t="s">
        <v>4939</v>
      </c>
      <c r="E895" s="9" t="s">
        <v>6402</v>
      </c>
      <c r="F895" s="9" t="s">
        <v>31</v>
      </c>
      <c r="G895" s="9" t="s">
        <v>1632</v>
      </c>
      <c r="H895" s="9" t="s">
        <v>86</v>
      </c>
      <c r="I895" s="11">
        <v>18429897</v>
      </c>
      <c r="J895" s="11">
        <v>4901419</v>
      </c>
      <c r="K895" s="11">
        <v>10153449</v>
      </c>
      <c r="L895" s="3">
        <v>332</v>
      </c>
      <c r="M895" s="3">
        <v>3446</v>
      </c>
      <c r="N895" s="3">
        <v>1568318</v>
      </c>
      <c r="O895" s="2">
        <v>0.28800000000000003</v>
      </c>
      <c r="P895" s="2">
        <v>0.57999999999999996</v>
      </c>
      <c r="Q895" s="2">
        <v>0.64500000000000002</v>
      </c>
      <c r="R895" s="11">
        <v>250264963</v>
      </c>
      <c r="S895" s="11">
        <v>546366</v>
      </c>
      <c r="T895">
        <v>2017</v>
      </c>
      <c r="U895">
        <v>4</v>
      </c>
      <c r="V895">
        <f t="shared" si="78"/>
        <v>627500</v>
      </c>
      <c r="W895">
        <f t="shared" si="79"/>
        <v>18429897</v>
      </c>
      <c r="X895">
        <f t="shared" si="80"/>
        <v>17802397</v>
      </c>
      <c r="Y895">
        <f t="shared" si="81"/>
        <v>-26076095.5</v>
      </c>
      <c r="Z895">
        <f t="shared" si="82"/>
        <v>45133492.5</v>
      </c>
      <c r="AA895" t="str">
        <f t="shared" si="83"/>
        <v>Normal</v>
      </c>
      <c r="AE895" s="2"/>
      <c r="AF895" s="2"/>
    </row>
    <row r="896" spans="1:32" x14ac:dyDescent="0.35">
      <c r="A896">
        <v>895</v>
      </c>
      <c r="B896" s="1">
        <v>42842</v>
      </c>
      <c r="C896" s="9" t="s">
        <v>1633</v>
      </c>
      <c r="D896" s="9" t="s">
        <v>4939</v>
      </c>
      <c r="E896" s="9" t="s">
        <v>6403</v>
      </c>
      <c r="F896" s="9" t="s">
        <v>31</v>
      </c>
      <c r="G896" s="9" t="s">
        <v>1634</v>
      </c>
      <c r="H896" s="9" t="s">
        <v>86</v>
      </c>
      <c r="I896" s="11">
        <v>175000</v>
      </c>
      <c r="J896" s="11">
        <v>3752131</v>
      </c>
      <c r="K896" s="11">
        <v>9350949</v>
      </c>
      <c r="L896" s="3">
        <v>166</v>
      </c>
      <c r="M896" s="3">
        <v>4526</v>
      </c>
      <c r="N896" s="3">
        <v>53374</v>
      </c>
      <c r="O896" s="2">
        <v>0.223</v>
      </c>
      <c r="P896" s="2">
        <v>1.012</v>
      </c>
      <c r="Q896" s="2">
        <v>0.48299999999999998</v>
      </c>
      <c r="R896" s="11">
        <v>47700344</v>
      </c>
      <c r="S896" s="11">
        <v>961879</v>
      </c>
      <c r="T896">
        <v>2017</v>
      </c>
      <c r="U896">
        <v>4</v>
      </c>
      <c r="V896">
        <f t="shared" si="78"/>
        <v>626250</v>
      </c>
      <c r="W896">
        <f t="shared" si="79"/>
        <v>18429897</v>
      </c>
      <c r="X896">
        <f t="shared" si="80"/>
        <v>17803647</v>
      </c>
      <c r="Y896">
        <f t="shared" si="81"/>
        <v>-26079220.5</v>
      </c>
      <c r="Z896">
        <f t="shared" si="82"/>
        <v>45135367.5</v>
      </c>
      <c r="AA896" t="str">
        <f t="shared" si="83"/>
        <v>Normal</v>
      </c>
      <c r="AE896" s="2"/>
      <c r="AF896" s="2"/>
    </row>
    <row r="897" spans="1:32" x14ac:dyDescent="0.35">
      <c r="A897">
        <v>896</v>
      </c>
      <c r="B897" s="1">
        <v>42842</v>
      </c>
      <c r="C897" s="9" t="s">
        <v>1635</v>
      </c>
      <c r="D897" s="9" t="s">
        <v>4988</v>
      </c>
      <c r="E897" s="9" t="s">
        <v>6404</v>
      </c>
      <c r="F897" s="9" t="s">
        <v>27</v>
      </c>
      <c r="G897" s="9" t="s">
        <v>1636</v>
      </c>
      <c r="H897" s="9" t="s">
        <v>86</v>
      </c>
      <c r="I897" s="11">
        <v>620000</v>
      </c>
      <c r="J897" s="11">
        <v>3065487</v>
      </c>
      <c r="K897" s="11">
        <v>11723177</v>
      </c>
      <c r="L897" s="3">
        <v>430</v>
      </c>
      <c r="M897" s="3">
        <v>1860</v>
      </c>
      <c r="N897" s="3">
        <v>1018780</v>
      </c>
      <c r="O897" s="2">
        <v>9.1999999999999998E-2</v>
      </c>
      <c r="P897" s="2">
        <v>0.50800000000000001</v>
      </c>
      <c r="Q897" s="2">
        <v>-4.8000000000000001E-2</v>
      </c>
      <c r="R897" s="11">
        <v>226831940</v>
      </c>
      <c r="S897" s="11">
        <v>1234743</v>
      </c>
      <c r="T897">
        <v>2017</v>
      </c>
      <c r="U897">
        <v>4</v>
      </c>
      <c r="V897">
        <f t="shared" si="78"/>
        <v>630000</v>
      </c>
      <c r="W897">
        <f t="shared" si="79"/>
        <v>18429897</v>
      </c>
      <c r="X897">
        <f t="shared" si="80"/>
        <v>17799897</v>
      </c>
      <c r="Y897">
        <f t="shared" si="81"/>
        <v>-26069845.5</v>
      </c>
      <c r="Z897">
        <f t="shared" si="82"/>
        <v>45129742.5</v>
      </c>
      <c r="AA897" t="str">
        <f t="shared" si="83"/>
        <v>Normal</v>
      </c>
      <c r="AE897" s="2"/>
      <c r="AF897" s="2"/>
    </row>
    <row r="898" spans="1:32" x14ac:dyDescent="0.35">
      <c r="A898">
        <v>897</v>
      </c>
      <c r="B898" s="1">
        <v>42842</v>
      </c>
      <c r="C898" s="9" t="s">
        <v>1637</v>
      </c>
      <c r="D898" s="9" t="s">
        <v>4988</v>
      </c>
      <c r="E898" s="9" t="s">
        <v>6405</v>
      </c>
      <c r="F898" s="9" t="s">
        <v>27</v>
      </c>
      <c r="G898" s="9" t="s">
        <v>882</v>
      </c>
      <c r="H898" s="9" t="s">
        <v>86</v>
      </c>
      <c r="I898" s="11">
        <v>18429897</v>
      </c>
      <c r="J898" s="11">
        <v>2556380</v>
      </c>
      <c r="K898" s="11">
        <v>3736074</v>
      </c>
      <c r="L898" s="3">
        <v>370</v>
      </c>
      <c r="M898" s="3">
        <v>797</v>
      </c>
      <c r="N898" s="3">
        <v>377179</v>
      </c>
      <c r="O898" s="2">
        <v>-3.2000000000000001E-2</v>
      </c>
      <c r="P898" s="2">
        <v>1.1850000000000001</v>
      </c>
      <c r="Q898" s="2">
        <v>8.900000000000001E-2</v>
      </c>
      <c r="R898" s="11">
        <v>340527323</v>
      </c>
      <c r="S898" s="11">
        <v>942191</v>
      </c>
      <c r="T898">
        <v>2017</v>
      </c>
      <c r="U898">
        <v>4</v>
      </c>
      <c r="V898">
        <f t="shared" ref="V898:V961" si="84">_xlfn.PERCENTILE.INC(I898:I3941,0.25)</f>
        <v>630000</v>
      </c>
      <c r="W898">
        <f t="shared" ref="W898:W961" si="85">_xlfn.PERCENTILE.INC(I898:I3941,0.75)</f>
        <v>18429897</v>
      </c>
      <c r="X898">
        <f t="shared" ref="X898:X961" si="86">W898-V898</f>
        <v>17799897</v>
      </c>
      <c r="Y898">
        <f t="shared" ref="Y898:Y961" si="87">V898-1.5*X898</f>
        <v>-26069845.5</v>
      </c>
      <c r="Z898">
        <f t="shared" ref="Z898:Z961" si="88">W898+1.5*X898</f>
        <v>45129742.5</v>
      </c>
      <c r="AA898" t="str">
        <f t="shared" ref="AA898:AA961" si="89">IF(OR(I898&lt;$Y$2, I898&gt;$Z$2), "Outlier", "Normal")</f>
        <v>Normal</v>
      </c>
      <c r="AE898" s="2"/>
      <c r="AF898" s="2"/>
    </row>
    <row r="899" spans="1:32" x14ac:dyDescent="0.35">
      <c r="A899">
        <v>898</v>
      </c>
      <c r="B899" s="1">
        <v>42842</v>
      </c>
      <c r="C899" s="9" t="s">
        <v>741</v>
      </c>
      <c r="D899" s="9" t="s">
        <v>4988</v>
      </c>
      <c r="E899" s="9" t="s">
        <v>6406</v>
      </c>
      <c r="F899" s="9" t="s">
        <v>408</v>
      </c>
      <c r="G899" s="9" t="s">
        <v>208</v>
      </c>
      <c r="H899" s="9" t="s">
        <v>105</v>
      </c>
      <c r="I899" s="11">
        <v>4650000</v>
      </c>
      <c r="J899" s="11">
        <v>291411</v>
      </c>
      <c r="K899" s="11">
        <v>1573449</v>
      </c>
      <c r="L899" s="3">
        <v>145</v>
      </c>
      <c r="M899" s="3">
        <v>328</v>
      </c>
      <c r="N899" s="3">
        <v>1018455</v>
      </c>
      <c r="O899" s="2">
        <v>0.32600000000000001</v>
      </c>
      <c r="P899" s="2">
        <v>0.77400000000000002</v>
      </c>
      <c r="Q899" s="2">
        <v>0.17299999999999999</v>
      </c>
      <c r="R899" s="11">
        <v>245817079</v>
      </c>
      <c r="S899" s="11">
        <v>1588697</v>
      </c>
      <c r="T899">
        <v>2017</v>
      </c>
      <c r="U899">
        <v>4</v>
      </c>
      <c r="V899">
        <f t="shared" si="84"/>
        <v>630000</v>
      </c>
      <c r="W899">
        <f t="shared" si="85"/>
        <v>18429897</v>
      </c>
      <c r="X899">
        <f t="shared" si="86"/>
        <v>17799897</v>
      </c>
      <c r="Y899">
        <f t="shared" si="87"/>
        <v>-26069845.5</v>
      </c>
      <c r="Z899">
        <f t="shared" si="88"/>
        <v>45129742.5</v>
      </c>
      <c r="AA899" t="str">
        <f t="shared" si="89"/>
        <v>Normal</v>
      </c>
      <c r="AE899" s="2"/>
      <c r="AF899" s="2"/>
    </row>
    <row r="900" spans="1:32" x14ac:dyDescent="0.35">
      <c r="A900">
        <v>899</v>
      </c>
      <c r="B900" s="1">
        <v>42843</v>
      </c>
      <c r="C900" s="9" t="s">
        <v>1638</v>
      </c>
      <c r="D900" s="9" t="s">
        <v>4930</v>
      </c>
      <c r="E900" s="9" t="s">
        <v>6407</v>
      </c>
      <c r="F900" s="9" t="s">
        <v>27</v>
      </c>
      <c r="G900" s="9" t="s">
        <v>1639</v>
      </c>
      <c r="H900" s="9" t="s">
        <v>105</v>
      </c>
      <c r="I900" s="11">
        <v>2000000</v>
      </c>
      <c r="J900" s="11">
        <v>369602</v>
      </c>
      <c r="K900" s="11">
        <v>15349297</v>
      </c>
      <c r="L900" s="3">
        <v>254</v>
      </c>
      <c r="M900" s="3">
        <v>82</v>
      </c>
      <c r="N900" s="3">
        <v>237241</v>
      </c>
      <c r="O900" s="2">
        <v>0.24199999999999999</v>
      </c>
      <c r="P900" s="2">
        <v>1.137E-2</v>
      </c>
      <c r="Q900" s="2">
        <v>0.19399999999999998</v>
      </c>
      <c r="R900" s="11">
        <v>359532720</v>
      </c>
      <c r="S900" s="11">
        <v>1583873</v>
      </c>
      <c r="T900">
        <v>2017</v>
      </c>
      <c r="U900">
        <v>4</v>
      </c>
      <c r="V900">
        <f t="shared" si="84"/>
        <v>630000</v>
      </c>
      <c r="W900">
        <f t="shared" si="85"/>
        <v>18429897</v>
      </c>
      <c r="X900">
        <f t="shared" si="86"/>
        <v>17799897</v>
      </c>
      <c r="Y900">
        <f t="shared" si="87"/>
        <v>-26069845.5</v>
      </c>
      <c r="Z900">
        <f t="shared" si="88"/>
        <v>45129742.5</v>
      </c>
      <c r="AA900" t="str">
        <f t="shared" si="89"/>
        <v>Normal</v>
      </c>
      <c r="AE900" s="2"/>
      <c r="AF900" s="2"/>
    </row>
    <row r="901" spans="1:32" x14ac:dyDescent="0.35">
      <c r="A901">
        <v>900</v>
      </c>
      <c r="B901" s="1">
        <v>42843</v>
      </c>
      <c r="C901" s="9" t="s">
        <v>1640</v>
      </c>
      <c r="D901" s="9" t="s">
        <v>4930</v>
      </c>
      <c r="E901" s="9" t="s">
        <v>6408</v>
      </c>
      <c r="F901" s="9" t="s">
        <v>15</v>
      </c>
      <c r="G901" s="9" t="s">
        <v>1525</v>
      </c>
      <c r="H901" s="9" t="s">
        <v>105</v>
      </c>
      <c r="I901" s="11">
        <v>600000</v>
      </c>
      <c r="J901" s="11">
        <v>3089218</v>
      </c>
      <c r="K901" s="11">
        <v>19172653</v>
      </c>
      <c r="L901" s="3">
        <v>493</v>
      </c>
      <c r="M901" s="3">
        <v>1902</v>
      </c>
      <c r="N901" s="3">
        <v>529487</v>
      </c>
      <c r="O901" s="2">
        <v>0.04</v>
      </c>
      <c r="P901" s="2">
        <v>1.0820000000000001</v>
      </c>
      <c r="Q901" s="2">
        <v>-0.17399999999999999</v>
      </c>
      <c r="R901" s="11">
        <v>474353950</v>
      </c>
      <c r="S901" s="11">
        <v>1226772</v>
      </c>
      <c r="T901">
        <v>2017</v>
      </c>
      <c r="U901">
        <v>4</v>
      </c>
      <c r="V901">
        <f t="shared" si="84"/>
        <v>630000</v>
      </c>
      <c r="W901">
        <f t="shared" si="85"/>
        <v>18429897</v>
      </c>
      <c r="X901">
        <f t="shared" si="86"/>
        <v>17799897</v>
      </c>
      <c r="Y901">
        <f t="shared" si="87"/>
        <v>-26069845.5</v>
      </c>
      <c r="Z901">
        <f t="shared" si="88"/>
        <v>45129742.5</v>
      </c>
      <c r="AA901" t="str">
        <f t="shared" si="89"/>
        <v>Normal</v>
      </c>
      <c r="AE901" s="2"/>
      <c r="AF901" s="2"/>
    </row>
    <row r="902" spans="1:32" x14ac:dyDescent="0.35">
      <c r="A902">
        <v>901</v>
      </c>
      <c r="B902" s="1">
        <v>42843</v>
      </c>
      <c r="C902" s="9" t="s">
        <v>1641</v>
      </c>
      <c r="D902" s="9" t="s">
        <v>4930</v>
      </c>
      <c r="E902" s="9" t="s">
        <v>6409</v>
      </c>
      <c r="F902" s="9" t="s">
        <v>15</v>
      </c>
      <c r="G902" s="9" t="s">
        <v>125</v>
      </c>
      <c r="H902" s="9" t="s">
        <v>105</v>
      </c>
      <c r="I902" s="11">
        <v>1250000</v>
      </c>
      <c r="J902" s="11">
        <v>41808</v>
      </c>
      <c r="K902" s="11">
        <v>10153449</v>
      </c>
      <c r="L902" s="3">
        <v>476</v>
      </c>
      <c r="M902" s="3">
        <v>2676</v>
      </c>
      <c r="N902" s="3">
        <v>1051838</v>
      </c>
      <c r="O902" s="2">
        <v>-9.6999999999999989E-2</v>
      </c>
      <c r="P902" s="2">
        <v>0.61399999999999999</v>
      </c>
      <c r="Q902" s="2">
        <v>-0.18600000000000003</v>
      </c>
      <c r="R902" s="11">
        <v>493037387</v>
      </c>
      <c r="S902" s="11">
        <v>1008193.5</v>
      </c>
      <c r="T902">
        <v>2017</v>
      </c>
      <c r="U902">
        <v>4</v>
      </c>
      <c r="V902">
        <f t="shared" si="84"/>
        <v>630000</v>
      </c>
      <c r="W902">
        <f t="shared" si="85"/>
        <v>18429897</v>
      </c>
      <c r="X902">
        <f t="shared" si="86"/>
        <v>17799897</v>
      </c>
      <c r="Y902">
        <f t="shared" si="87"/>
        <v>-26069845.5</v>
      </c>
      <c r="Z902">
        <f t="shared" si="88"/>
        <v>45129742.5</v>
      </c>
      <c r="AA902" t="str">
        <f t="shared" si="89"/>
        <v>Normal</v>
      </c>
      <c r="AE902" s="2"/>
      <c r="AF902" s="2"/>
    </row>
    <row r="903" spans="1:32" x14ac:dyDescent="0.35">
      <c r="A903">
        <v>902</v>
      </c>
      <c r="B903" s="1">
        <v>42844</v>
      </c>
      <c r="C903" s="9" t="s">
        <v>1642</v>
      </c>
      <c r="D903" s="9" t="s">
        <v>4930</v>
      </c>
      <c r="E903" s="9" t="s">
        <v>6410</v>
      </c>
      <c r="F903" s="9" t="s">
        <v>27</v>
      </c>
      <c r="G903" s="9" t="s">
        <v>856</v>
      </c>
      <c r="H903" s="9" t="s">
        <v>86</v>
      </c>
      <c r="I903" s="11">
        <v>155000</v>
      </c>
      <c r="J903" s="11">
        <v>230905</v>
      </c>
      <c r="K903" s="11">
        <v>6170789</v>
      </c>
      <c r="L903" s="3">
        <v>339</v>
      </c>
      <c r="M903" s="3">
        <v>2472</v>
      </c>
      <c r="N903" s="3">
        <v>755625</v>
      </c>
      <c r="O903" s="2">
        <v>-0.19500000000000001</v>
      </c>
      <c r="P903" s="2">
        <v>0.81299999999999994</v>
      </c>
      <c r="Q903" s="2">
        <v>-0.23399999999999999</v>
      </c>
      <c r="R903" s="11">
        <v>110971477</v>
      </c>
      <c r="S903" s="11">
        <v>1146886</v>
      </c>
      <c r="T903">
        <v>2017</v>
      </c>
      <c r="U903">
        <v>4</v>
      </c>
      <c r="V903">
        <f t="shared" si="84"/>
        <v>630000</v>
      </c>
      <c r="W903">
        <f t="shared" si="85"/>
        <v>18429897</v>
      </c>
      <c r="X903">
        <f t="shared" si="86"/>
        <v>17799897</v>
      </c>
      <c r="Y903">
        <f t="shared" si="87"/>
        <v>-26069845.5</v>
      </c>
      <c r="Z903">
        <f t="shared" si="88"/>
        <v>45129742.5</v>
      </c>
      <c r="AA903" t="str">
        <f t="shared" si="89"/>
        <v>Normal</v>
      </c>
      <c r="AE903" s="2"/>
      <c r="AF903" s="2"/>
    </row>
    <row r="904" spans="1:32" x14ac:dyDescent="0.35">
      <c r="A904">
        <v>903</v>
      </c>
      <c r="B904" s="1">
        <v>42845</v>
      </c>
      <c r="C904" s="9" t="s">
        <v>746</v>
      </c>
      <c r="D904" s="9" t="s">
        <v>4988</v>
      </c>
      <c r="E904" s="9" t="s">
        <v>5584</v>
      </c>
      <c r="F904" s="9" t="s">
        <v>31</v>
      </c>
      <c r="G904" s="9" t="s">
        <v>1643</v>
      </c>
      <c r="H904" s="9" t="s">
        <v>105</v>
      </c>
      <c r="I904" s="11">
        <v>3000000</v>
      </c>
      <c r="J904" s="11">
        <v>1111295</v>
      </c>
      <c r="K904" s="11">
        <v>7224742</v>
      </c>
      <c r="L904" s="3">
        <v>23</v>
      </c>
      <c r="M904" s="3">
        <v>1234</v>
      </c>
      <c r="N904" s="3">
        <v>400348</v>
      </c>
      <c r="O904" s="2">
        <v>0.126</v>
      </c>
      <c r="P904" s="2">
        <v>0.34100000000000003</v>
      </c>
      <c r="Q904" s="2">
        <v>-0.7</v>
      </c>
      <c r="R904" s="11">
        <v>90915381</v>
      </c>
      <c r="S904" s="11">
        <v>456528</v>
      </c>
      <c r="T904">
        <v>2017</v>
      </c>
      <c r="U904">
        <v>4</v>
      </c>
      <c r="V904">
        <f t="shared" si="84"/>
        <v>632500</v>
      </c>
      <c r="W904">
        <f t="shared" si="85"/>
        <v>18429897</v>
      </c>
      <c r="X904">
        <f t="shared" si="86"/>
        <v>17797397</v>
      </c>
      <c r="Y904">
        <f t="shared" si="87"/>
        <v>-26063595.5</v>
      </c>
      <c r="Z904">
        <f t="shared" si="88"/>
        <v>45125992.5</v>
      </c>
      <c r="AA904" t="str">
        <f t="shared" si="89"/>
        <v>Normal</v>
      </c>
      <c r="AE904" s="2"/>
      <c r="AF904" s="2"/>
    </row>
    <row r="905" spans="1:32" x14ac:dyDescent="0.35">
      <c r="A905">
        <v>904</v>
      </c>
      <c r="B905" s="1">
        <v>42845</v>
      </c>
      <c r="C905" s="9" t="s">
        <v>1644</v>
      </c>
      <c r="D905" s="9" t="s">
        <v>4925</v>
      </c>
      <c r="E905" s="9" t="s">
        <v>6411</v>
      </c>
      <c r="F905" s="9" t="s">
        <v>15</v>
      </c>
      <c r="G905" s="9" t="s">
        <v>1645</v>
      </c>
      <c r="H905" s="9" t="s">
        <v>105</v>
      </c>
      <c r="I905" s="11">
        <v>18429897</v>
      </c>
      <c r="J905" s="11">
        <v>4423045</v>
      </c>
      <c r="K905" s="11">
        <v>7243555</v>
      </c>
      <c r="L905" s="3">
        <v>118</v>
      </c>
      <c r="M905" s="3">
        <v>3399</v>
      </c>
      <c r="N905" s="3">
        <v>124637</v>
      </c>
      <c r="O905" s="2">
        <v>7.0000000000000007E-2</v>
      </c>
      <c r="P905" s="2">
        <v>0.72699999999999998</v>
      </c>
      <c r="Q905" s="2">
        <v>0.02</v>
      </c>
      <c r="R905" s="11">
        <v>298643022</v>
      </c>
      <c r="S905" s="11">
        <v>1001442</v>
      </c>
      <c r="T905">
        <v>2017</v>
      </c>
      <c r="U905">
        <v>4</v>
      </c>
      <c r="V905">
        <f t="shared" si="84"/>
        <v>630000</v>
      </c>
      <c r="W905">
        <f t="shared" si="85"/>
        <v>18429897</v>
      </c>
      <c r="X905">
        <f t="shared" si="86"/>
        <v>17799897</v>
      </c>
      <c r="Y905">
        <f t="shared" si="87"/>
        <v>-26069845.5</v>
      </c>
      <c r="Z905">
        <f t="shared" si="88"/>
        <v>45129742.5</v>
      </c>
      <c r="AA905" t="str">
        <f t="shared" si="89"/>
        <v>Normal</v>
      </c>
      <c r="AE905" s="2"/>
      <c r="AF905" s="2"/>
    </row>
    <row r="906" spans="1:32" x14ac:dyDescent="0.35">
      <c r="A906">
        <v>905</v>
      </c>
      <c r="B906" s="1">
        <v>42846</v>
      </c>
      <c r="C906" s="9" t="s">
        <v>1646</v>
      </c>
      <c r="D906" s="9" t="s">
        <v>4988</v>
      </c>
      <c r="E906" s="9" t="s">
        <v>6412</v>
      </c>
      <c r="F906" s="9" t="s">
        <v>15</v>
      </c>
      <c r="G906" s="9" t="s">
        <v>1647</v>
      </c>
      <c r="H906" s="9" t="s">
        <v>86</v>
      </c>
      <c r="I906" s="11">
        <v>1000000</v>
      </c>
      <c r="J906" s="11">
        <v>2305472</v>
      </c>
      <c r="K906" s="11">
        <v>14080869</v>
      </c>
      <c r="L906" s="3">
        <v>179</v>
      </c>
      <c r="M906" s="3">
        <v>4402</v>
      </c>
      <c r="N906" s="3">
        <v>32195</v>
      </c>
      <c r="O906" s="2">
        <v>0.35699999999999998</v>
      </c>
      <c r="P906" s="2">
        <v>0.624</v>
      </c>
      <c r="Q906" s="2">
        <v>-1.2999999999999999E-2</v>
      </c>
      <c r="R906" s="11">
        <v>153236459</v>
      </c>
      <c r="S906" s="11">
        <v>1008193.5</v>
      </c>
      <c r="T906">
        <v>2017</v>
      </c>
      <c r="U906">
        <v>4</v>
      </c>
      <c r="V906">
        <f t="shared" si="84"/>
        <v>630000</v>
      </c>
      <c r="W906">
        <f t="shared" si="85"/>
        <v>18429897</v>
      </c>
      <c r="X906">
        <f t="shared" si="86"/>
        <v>17799897</v>
      </c>
      <c r="Y906">
        <f t="shared" si="87"/>
        <v>-26069845.5</v>
      </c>
      <c r="Z906">
        <f t="shared" si="88"/>
        <v>45129742.5</v>
      </c>
      <c r="AA906" t="str">
        <f t="shared" si="89"/>
        <v>Normal</v>
      </c>
      <c r="AE906" s="2"/>
      <c r="AF906" s="2"/>
    </row>
    <row r="907" spans="1:32" x14ac:dyDescent="0.35">
      <c r="A907">
        <v>906</v>
      </c>
      <c r="B907" s="1">
        <v>42849</v>
      </c>
      <c r="C907" s="9" t="s">
        <v>1648</v>
      </c>
      <c r="D907" s="9" t="s">
        <v>4939</v>
      </c>
      <c r="E907" s="9" t="s">
        <v>6413</v>
      </c>
      <c r="F907" s="9" t="s">
        <v>41</v>
      </c>
      <c r="G907" s="9" t="s">
        <v>1649</v>
      </c>
      <c r="H907" s="9" t="s">
        <v>105</v>
      </c>
      <c r="I907" s="11">
        <v>6300000</v>
      </c>
      <c r="J907" s="11">
        <v>3553699</v>
      </c>
      <c r="K907" s="11">
        <v>12510232</v>
      </c>
      <c r="L907" s="3">
        <v>270</v>
      </c>
      <c r="M907" s="3">
        <v>1202</v>
      </c>
      <c r="N907" s="3">
        <v>383981</v>
      </c>
      <c r="O907" s="2">
        <v>0.318</v>
      </c>
      <c r="P907" s="2">
        <v>0.68400000000000005</v>
      </c>
      <c r="Q907" s="2">
        <v>0.16300000000000001</v>
      </c>
      <c r="R907" s="11">
        <v>79619745</v>
      </c>
      <c r="S907" s="11">
        <v>1865784</v>
      </c>
      <c r="T907">
        <v>2017</v>
      </c>
      <c r="U907">
        <v>4</v>
      </c>
      <c r="V907">
        <f t="shared" si="84"/>
        <v>630000</v>
      </c>
      <c r="W907">
        <f t="shared" si="85"/>
        <v>18429897</v>
      </c>
      <c r="X907">
        <f t="shared" si="86"/>
        <v>17799897</v>
      </c>
      <c r="Y907">
        <f t="shared" si="87"/>
        <v>-26069845.5</v>
      </c>
      <c r="Z907">
        <f t="shared" si="88"/>
        <v>45129742.5</v>
      </c>
      <c r="AA907" t="str">
        <f t="shared" si="89"/>
        <v>Normal</v>
      </c>
      <c r="AE907" s="2"/>
      <c r="AF907" s="2"/>
    </row>
    <row r="908" spans="1:32" x14ac:dyDescent="0.35">
      <c r="A908">
        <v>907</v>
      </c>
      <c r="B908" s="1">
        <v>42849</v>
      </c>
      <c r="C908" s="9" t="s">
        <v>291</v>
      </c>
      <c r="D908" s="9" t="s">
        <v>4988</v>
      </c>
      <c r="E908" s="9" t="s">
        <v>6414</v>
      </c>
      <c r="F908" s="9" t="s">
        <v>19</v>
      </c>
      <c r="G908" s="9" t="s">
        <v>1650</v>
      </c>
      <c r="H908" s="9" t="s">
        <v>105</v>
      </c>
      <c r="I908" s="11">
        <v>200000000</v>
      </c>
      <c r="J908" s="11">
        <v>2069580</v>
      </c>
      <c r="K908" s="11">
        <v>10153449</v>
      </c>
      <c r="L908" s="3">
        <v>434</v>
      </c>
      <c r="M908" s="3">
        <v>3385</v>
      </c>
      <c r="N908" s="3">
        <v>565315</v>
      </c>
      <c r="O908" s="2">
        <v>0.128</v>
      </c>
      <c r="P908" s="2">
        <v>0.38400000000000001</v>
      </c>
      <c r="Q908" s="2">
        <v>-0.246</v>
      </c>
      <c r="R908" s="11">
        <v>152562899</v>
      </c>
      <c r="S908" s="11">
        <v>590649</v>
      </c>
      <c r="T908">
        <v>2017</v>
      </c>
      <c r="U908">
        <v>4</v>
      </c>
      <c r="V908">
        <f t="shared" si="84"/>
        <v>630000</v>
      </c>
      <c r="W908">
        <f t="shared" si="85"/>
        <v>18429897</v>
      </c>
      <c r="X908">
        <f t="shared" si="86"/>
        <v>17799897</v>
      </c>
      <c r="Y908">
        <f t="shared" si="87"/>
        <v>-26069845.5</v>
      </c>
      <c r="Z908">
        <f t="shared" si="88"/>
        <v>45129742.5</v>
      </c>
      <c r="AA908" t="str">
        <f t="shared" si="89"/>
        <v>Outlier</v>
      </c>
      <c r="AE908" s="2"/>
      <c r="AF908" s="2"/>
    </row>
    <row r="909" spans="1:32" x14ac:dyDescent="0.35">
      <c r="A909">
        <v>908</v>
      </c>
      <c r="B909" s="1">
        <v>42849</v>
      </c>
      <c r="C909" s="9" t="s">
        <v>268</v>
      </c>
      <c r="D909" s="9" t="s">
        <v>4988</v>
      </c>
      <c r="E909" s="9" t="s">
        <v>6415</v>
      </c>
      <c r="F909" s="9" t="s">
        <v>31</v>
      </c>
      <c r="G909" s="9" t="s">
        <v>1651</v>
      </c>
      <c r="H909" s="9" t="s">
        <v>105</v>
      </c>
      <c r="I909" s="11">
        <v>3200000</v>
      </c>
      <c r="J909" s="11">
        <v>882176</v>
      </c>
      <c r="K909" s="11">
        <v>18908793</v>
      </c>
      <c r="L909" s="3">
        <v>424</v>
      </c>
      <c r="M909" s="3">
        <v>2747</v>
      </c>
      <c r="N909" s="3">
        <v>239864</v>
      </c>
      <c r="O909" s="2">
        <v>0.10400000000000001</v>
      </c>
      <c r="P909" s="2">
        <v>1.0659999999999998</v>
      </c>
      <c r="Q909" s="2">
        <v>-0.114</v>
      </c>
      <c r="R909" s="11">
        <v>77391683</v>
      </c>
      <c r="S909" s="11">
        <v>1405478</v>
      </c>
      <c r="T909">
        <v>2017</v>
      </c>
      <c r="U909">
        <v>4</v>
      </c>
      <c r="V909">
        <f t="shared" si="84"/>
        <v>630000</v>
      </c>
      <c r="W909">
        <f t="shared" si="85"/>
        <v>18429897</v>
      </c>
      <c r="X909">
        <f t="shared" si="86"/>
        <v>17799897</v>
      </c>
      <c r="Y909">
        <f t="shared" si="87"/>
        <v>-26069845.5</v>
      </c>
      <c r="Z909">
        <f t="shared" si="88"/>
        <v>45129742.5</v>
      </c>
      <c r="AA909" t="str">
        <f t="shared" si="89"/>
        <v>Normal</v>
      </c>
      <c r="AE909" s="2"/>
      <c r="AF909" s="2"/>
    </row>
    <row r="910" spans="1:32" x14ac:dyDescent="0.35">
      <c r="A910">
        <v>909</v>
      </c>
      <c r="B910" s="1">
        <v>42849</v>
      </c>
      <c r="C910" s="9" t="s">
        <v>1652</v>
      </c>
      <c r="D910" s="9" t="s">
        <v>2539</v>
      </c>
      <c r="E910" s="9" t="s">
        <v>6416</v>
      </c>
      <c r="F910" s="9" t="s">
        <v>15</v>
      </c>
      <c r="G910" s="9" t="s">
        <v>1653</v>
      </c>
      <c r="H910" s="9" t="s">
        <v>86</v>
      </c>
      <c r="I910" s="11">
        <v>18429897</v>
      </c>
      <c r="J910" s="11">
        <v>1868359</v>
      </c>
      <c r="K910" s="11">
        <v>7908397</v>
      </c>
      <c r="L910" s="3">
        <v>254</v>
      </c>
      <c r="M910" s="3">
        <v>3450</v>
      </c>
      <c r="N910" s="3">
        <v>1018455</v>
      </c>
      <c r="O910" s="2">
        <v>-0.11</v>
      </c>
      <c r="P910" s="2">
        <v>0.28000000000000003</v>
      </c>
      <c r="Q910" s="2">
        <v>-0.09</v>
      </c>
      <c r="R910" s="11">
        <v>428382070</v>
      </c>
      <c r="S910" s="11">
        <v>398660</v>
      </c>
      <c r="T910">
        <v>2017</v>
      </c>
      <c r="U910">
        <v>4</v>
      </c>
      <c r="V910">
        <f t="shared" si="84"/>
        <v>628750</v>
      </c>
      <c r="W910">
        <f t="shared" si="85"/>
        <v>18429897</v>
      </c>
      <c r="X910">
        <f t="shared" si="86"/>
        <v>17801147</v>
      </c>
      <c r="Y910">
        <f t="shared" si="87"/>
        <v>-26072970.5</v>
      </c>
      <c r="Z910">
        <f t="shared" si="88"/>
        <v>45131617.5</v>
      </c>
      <c r="AA910" t="str">
        <f t="shared" si="89"/>
        <v>Normal</v>
      </c>
      <c r="AE910" s="2"/>
      <c r="AF910" s="2"/>
    </row>
    <row r="911" spans="1:32" x14ac:dyDescent="0.35">
      <c r="A911">
        <v>910</v>
      </c>
      <c r="B911" s="1">
        <v>42850</v>
      </c>
      <c r="C911" s="9" t="s">
        <v>1654</v>
      </c>
      <c r="D911" s="9" t="s">
        <v>4988</v>
      </c>
      <c r="E911" s="9" t="s">
        <v>6417</v>
      </c>
      <c r="F911" s="9" t="s">
        <v>19</v>
      </c>
      <c r="G911" s="9" t="s">
        <v>1655</v>
      </c>
      <c r="H911" s="9" t="s">
        <v>86</v>
      </c>
      <c r="I911" s="11">
        <v>245000</v>
      </c>
      <c r="J911" s="11">
        <v>476770</v>
      </c>
      <c r="K911" s="11">
        <v>13287495</v>
      </c>
      <c r="L911" s="3">
        <v>58</v>
      </c>
      <c r="M911" s="3">
        <v>122</v>
      </c>
      <c r="N911" s="3">
        <v>1771311</v>
      </c>
      <c r="O911" s="2">
        <v>0.33200000000000002</v>
      </c>
      <c r="P911" s="2">
        <v>0.98099999999999998</v>
      </c>
      <c r="Q911" s="2">
        <v>0.30499999999999999</v>
      </c>
      <c r="R911" s="11">
        <v>242273686</v>
      </c>
      <c r="S911" s="11">
        <v>197173</v>
      </c>
      <c r="T911">
        <v>2017</v>
      </c>
      <c r="U911">
        <v>4</v>
      </c>
      <c r="V911">
        <f t="shared" si="84"/>
        <v>627500</v>
      </c>
      <c r="W911">
        <f t="shared" si="85"/>
        <v>18429897</v>
      </c>
      <c r="X911">
        <f t="shared" si="86"/>
        <v>17802397</v>
      </c>
      <c r="Y911">
        <f t="shared" si="87"/>
        <v>-26076095.5</v>
      </c>
      <c r="Z911">
        <f t="shared" si="88"/>
        <v>45133492.5</v>
      </c>
      <c r="AA911" t="str">
        <f t="shared" si="89"/>
        <v>Normal</v>
      </c>
      <c r="AE911" s="2"/>
      <c r="AF911" s="2"/>
    </row>
    <row r="912" spans="1:32" x14ac:dyDescent="0.35">
      <c r="A912">
        <v>911</v>
      </c>
      <c r="B912" s="1">
        <v>42850</v>
      </c>
      <c r="C912" s="9" t="s">
        <v>1466</v>
      </c>
      <c r="D912" s="9" t="s">
        <v>4988</v>
      </c>
      <c r="E912" s="9" t="s">
        <v>5144</v>
      </c>
      <c r="F912" s="9" t="s">
        <v>19</v>
      </c>
      <c r="G912" s="9" t="s">
        <v>683</v>
      </c>
      <c r="H912" s="9" t="s">
        <v>105</v>
      </c>
      <c r="I912" s="11">
        <v>3100000</v>
      </c>
      <c r="J912" s="11">
        <v>3855860</v>
      </c>
      <c r="K912" s="11">
        <v>10058354</v>
      </c>
      <c r="L912" s="3">
        <v>141</v>
      </c>
      <c r="M912" s="3">
        <v>3382</v>
      </c>
      <c r="N912" s="3">
        <v>1428538</v>
      </c>
      <c r="O912" s="2">
        <v>0.109</v>
      </c>
      <c r="P912" s="2">
        <v>1.1440000000000001</v>
      </c>
      <c r="Q912" s="2">
        <v>0.14899999999999999</v>
      </c>
      <c r="R912" s="11">
        <v>445261115</v>
      </c>
      <c r="S912" s="11">
        <v>1989413</v>
      </c>
      <c r="T912">
        <v>2017</v>
      </c>
      <c r="U912">
        <v>4</v>
      </c>
      <c r="V912">
        <f t="shared" si="84"/>
        <v>630000</v>
      </c>
      <c r="W912">
        <f t="shared" si="85"/>
        <v>18429897</v>
      </c>
      <c r="X912">
        <f t="shared" si="86"/>
        <v>17799897</v>
      </c>
      <c r="Y912">
        <f t="shared" si="87"/>
        <v>-26069845.5</v>
      </c>
      <c r="Z912">
        <f t="shared" si="88"/>
        <v>45129742.5</v>
      </c>
      <c r="AA912" t="str">
        <f t="shared" si="89"/>
        <v>Normal</v>
      </c>
      <c r="AE912" s="2"/>
      <c r="AF912" s="2"/>
    </row>
    <row r="913" spans="1:32" x14ac:dyDescent="0.35">
      <c r="A913">
        <v>912</v>
      </c>
      <c r="B913" s="1">
        <v>42851</v>
      </c>
      <c r="C913" s="9" t="s">
        <v>1656</v>
      </c>
      <c r="D913" s="9" t="s">
        <v>4988</v>
      </c>
      <c r="E913" s="9" t="s">
        <v>6418</v>
      </c>
      <c r="F913" s="9" t="s">
        <v>31</v>
      </c>
      <c r="G913" s="9" t="s">
        <v>140</v>
      </c>
      <c r="H913" s="9" t="s">
        <v>105</v>
      </c>
      <c r="I913" s="11">
        <v>20000000</v>
      </c>
      <c r="J913" s="11">
        <v>933995</v>
      </c>
      <c r="K913" s="11">
        <v>19099989</v>
      </c>
      <c r="L913" s="3">
        <v>121</v>
      </c>
      <c r="M913" s="3">
        <v>2505.5</v>
      </c>
      <c r="N913" s="3">
        <v>614079</v>
      </c>
      <c r="O913" s="2">
        <v>0.24100000000000002</v>
      </c>
      <c r="P913" s="2">
        <v>0.30599999999999999</v>
      </c>
      <c r="Q913" s="2">
        <v>0.185</v>
      </c>
      <c r="R913" s="11">
        <v>445759555</v>
      </c>
      <c r="S913" s="11">
        <v>518141</v>
      </c>
      <c r="T913">
        <v>2017</v>
      </c>
      <c r="U913">
        <v>4</v>
      </c>
      <c r="V913">
        <f t="shared" si="84"/>
        <v>630000</v>
      </c>
      <c r="W913">
        <f t="shared" si="85"/>
        <v>18429897</v>
      </c>
      <c r="X913">
        <f t="shared" si="86"/>
        <v>17799897</v>
      </c>
      <c r="Y913">
        <f t="shared" si="87"/>
        <v>-26069845.5</v>
      </c>
      <c r="Z913">
        <f t="shared" si="88"/>
        <v>45129742.5</v>
      </c>
      <c r="AA913" t="str">
        <f t="shared" si="89"/>
        <v>Normal</v>
      </c>
      <c r="AE913" s="2"/>
      <c r="AF913" s="2"/>
    </row>
    <row r="914" spans="1:32" x14ac:dyDescent="0.35">
      <c r="A914">
        <v>913</v>
      </c>
      <c r="B914" s="1">
        <v>42851</v>
      </c>
      <c r="C914" s="9" t="s">
        <v>1657</v>
      </c>
      <c r="D914" s="9" t="s">
        <v>4988</v>
      </c>
      <c r="E914" s="9" t="s">
        <v>5243</v>
      </c>
      <c r="F914" s="9" t="s">
        <v>15</v>
      </c>
      <c r="G914" s="9" t="s">
        <v>1658</v>
      </c>
      <c r="H914" s="9" t="s">
        <v>105</v>
      </c>
      <c r="I914" s="11">
        <v>18429897</v>
      </c>
      <c r="J914" s="11">
        <v>1894356</v>
      </c>
      <c r="K914" s="11">
        <v>7144751</v>
      </c>
      <c r="L914" s="3">
        <v>449</v>
      </c>
      <c r="M914" s="3">
        <v>3410</v>
      </c>
      <c r="N914" s="3">
        <v>876845</v>
      </c>
      <c r="O914" s="2">
        <v>0.35499999999999998</v>
      </c>
      <c r="P914" s="2">
        <v>0.63400000000000001</v>
      </c>
      <c r="Q914" s="2">
        <v>-0.13300000000000001</v>
      </c>
      <c r="R914" s="11">
        <v>134856308</v>
      </c>
      <c r="S914" s="11">
        <v>1269517</v>
      </c>
      <c r="T914">
        <v>2017</v>
      </c>
      <c r="U914">
        <v>4</v>
      </c>
      <c r="V914">
        <f t="shared" si="84"/>
        <v>628750</v>
      </c>
      <c r="W914">
        <f t="shared" si="85"/>
        <v>18429897</v>
      </c>
      <c r="X914">
        <f t="shared" si="86"/>
        <v>17801147</v>
      </c>
      <c r="Y914">
        <f t="shared" si="87"/>
        <v>-26072970.5</v>
      </c>
      <c r="Z914">
        <f t="shared" si="88"/>
        <v>45131617.5</v>
      </c>
      <c r="AA914" t="str">
        <f t="shared" si="89"/>
        <v>Normal</v>
      </c>
      <c r="AE914" s="2"/>
      <c r="AF914" s="2"/>
    </row>
    <row r="915" spans="1:32" x14ac:dyDescent="0.35">
      <c r="A915">
        <v>914</v>
      </c>
      <c r="B915" s="1">
        <v>42851</v>
      </c>
      <c r="C915" s="9" t="s">
        <v>1659</v>
      </c>
      <c r="D915" s="9" t="s">
        <v>4930</v>
      </c>
      <c r="E915" s="9" t="s">
        <v>6419</v>
      </c>
      <c r="F915" s="9" t="s">
        <v>31</v>
      </c>
      <c r="G915" s="9" t="s">
        <v>1660</v>
      </c>
      <c r="H915" s="9" t="s">
        <v>105</v>
      </c>
      <c r="I915" s="11">
        <v>11000000</v>
      </c>
      <c r="J915" s="11">
        <v>4900535</v>
      </c>
      <c r="K915" s="11">
        <v>3833063</v>
      </c>
      <c r="L915" s="3">
        <v>12</v>
      </c>
      <c r="M915" s="3">
        <v>4210</v>
      </c>
      <c r="N915" s="3">
        <v>1538907</v>
      </c>
      <c r="O915" s="2">
        <v>0.7</v>
      </c>
      <c r="P915" s="2">
        <v>0.78500000000000003</v>
      </c>
      <c r="Q915" s="2">
        <v>0.11</v>
      </c>
      <c r="R915" s="11">
        <v>57906183</v>
      </c>
      <c r="S915" s="11">
        <v>526193</v>
      </c>
      <c r="T915">
        <v>2017</v>
      </c>
      <c r="U915">
        <v>4</v>
      </c>
      <c r="V915">
        <f t="shared" si="84"/>
        <v>627500</v>
      </c>
      <c r="W915">
        <f t="shared" si="85"/>
        <v>18429897</v>
      </c>
      <c r="X915">
        <f t="shared" si="86"/>
        <v>17802397</v>
      </c>
      <c r="Y915">
        <f t="shared" si="87"/>
        <v>-26076095.5</v>
      </c>
      <c r="Z915">
        <f t="shared" si="88"/>
        <v>45133492.5</v>
      </c>
      <c r="AA915" t="str">
        <f t="shared" si="89"/>
        <v>Normal</v>
      </c>
      <c r="AE915" s="2"/>
      <c r="AF915" s="2"/>
    </row>
    <row r="916" spans="1:32" x14ac:dyDescent="0.35">
      <c r="A916">
        <v>915</v>
      </c>
      <c r="B916" s="1">
        <v>42851</v>
      </c>
      <c r="C916" s="9" t="s">
        <v>1661</v>
      </c>
      <c r="D916" s="9" t="s">
        <v>4988</v>
      </c>
      <c r="E916" s="9" t="s">
        <v>6420</v>
      </c>
      <c r="F916" s="9" t="s">
        <v>35</v>
      </c>
      <c r="G916" s="9" t="s">
        <v>1662</v>
      </c>
      <c r="H916" s="9" t="s">
        <v>86</v>
      </c>
      <c r="I916" s="11">
        <v>1500000</v>
      </c>
      <c r="J916" s="11">
        <v>2967976</v>
      </c>
      <c r="K916" s="11">
        <v>7638887</v>
      </c>
      <c r="L916" s="3">
        <v>254</v>
      </c>
      <c r="M916" s="3">
        <v>3748</v>
      </c>
      <c r="N916" s="3">
        <v>1925432</v>
      </c>
      <c r="O916" s="2">
        <v>1.6E-2</v>
      </c>
      <c r="P916" s="2">
        <v>1.1909999999999998</v>
      </c>
      <c r="Q916" s="2">
        <v>-9.4E-2</v>
      </c>
      <c r="R916" s="11">
        <v>67942652</v>
      </c>
      <c r="S916" s="11">
        <v>668537</v>
      </c>
      <c r="T916">
        <v>2017</v>
      </c>
      <c r="U916">
        <v>4</v>
      </c>
      <c r="V916">
        <f t="shared" si="84"/>
        <v>626250</v>
      </c>
      <c r="W916">
        <f t="shared" si="85"/>
        <v>18429897</v>
      </c>
      <c r="X916">
        <f t="shared" si="86"/>
        <v>17803647</v>
      </c>
      <c r="Y916">
        <f t="shared" si="87"/>
        <v>-26079220.5</v>
      </c>
      <c r="Z916">
        <f t="shared" si="88"/>
        <v>45135367.5</v>
      </c>
      <c r="AA916" t="str">
        <f t="shared" si="89"/>
        <v>Normal</v>
      </c>
      <c r="AE916" s="2"/>
      <c r="AF916" s="2"/>
    </row>
    <row r="917" spans="1:32" x14ac:dyDescent="0.35">
      <c r="A917">
        <v>916</v>
      </c>
      <c r="B917" s="1">
        <v>42851</v>
      </c>
      <c r="C917" s="9" t="s">
        <v>1663</v>
      </c>
      <c r="D917" s="9" t="s">
        <v>4925</v>
      </c>
      <c r="E917" s="9" t="s">
        <v>6421</v>
      </c>
      <c r="F917" s="9" t="s">
        <v>27</v>
      </c>
      <c r="G917" s="9" t="s">
        <v>683</v>
      </c>
      <c r="H917" s="9" t="s">
        <v>105</v>
      </c>
      <c r="I917" s="11">
        <v>1000000</v>
      </c>
      <c r="J917" s="11">
        <v>2303631</v>
      </c>
      <c r="K917" s="11">
        <v>12414317</v>
      </c>
      <c r="L917" s="3">
        <v>330</v>
      </c>
      <c r="M917" s="3">
        <v>4925</v>
      </c>
      <c r="N917" s="3">
        <v>1102822</v>
      </c>
      <c r="O917" s="2">
        <v>1.6E-2</v>
      </c>
      <c r="P917" s="2">
        <v>1.065E-2</v>
      </c>
      <c r="Q917" s="2">
        <v>-8.5000000000000006E-2</v>
      </c>
      <c r="R917" s="11">
        <v>370226850</v>
      </c>
      <c r="S917" s="11">
        <v>1537724</v>
      </c>
      <c r="T917">
        <v>2017</v>
      </c>
      <c r="U917">
        <v>4</v>
      </c>
      <c r="V917">
        <f t="shared" si="84"/>
        <v>625000</v>
      </c>
      <c r="W917">
        <f t="shared" si="85"/>
        <v>18429897</v>
      </c>
      <c r="X917">
        <f t="shared" si="86"/>
        <v>17804897</v>
      </c>
      <c r="Y917">
        <f t="shared" si="87"/>
        <v>-26082345.5</v>
      </c>
      <c r="Z917">
        <f t="shared" si="88"/>
        <v>45137242.5</v>
      </c>
      <c r="AA917" t="str">
        <f t="shared" si="89"/>
        <v>Normal</v>
      </c>
      <c r="AE917" s="2"/>
      <c r="AF917" s="2"/>
    </row>
    <row r="918" spans="1:32" x14ac:dyDescent="0.35">
      <c r="A918">
        <v>917</v>
      </c>
      <c r="B918" s="1">
        <v>42851</v>
      </c>
      <c r="C918" s="9" t="s">
        <v>1664</v>
      </c>
      <c r="D918" s="9" t="s">
        <v>4988</v>
      </c>
      <c r="E918" s="9" t="s">
        <v>6422</v>
      </c>
      <c r="F918" s="9" t="s">
        <v>15</v>
      </c>
      <c r="G918" s="9" t="s">
        <v>1665</v>
      </c>
      <c r="H918" s="9" t="s">
        <v>105</v>
      </c>
      <c r="I918" s="11">
        <v>18429897</v>
      </c>
      <c r="J918" s="11">
        <v>2724203</v>
      </c>
      <c r="K918" s="11">
        <v>19071937</v>
      </c>
      <c r="L918" s="3">
        <v>57</v>
      </c>
      <c r="M918" s="3">
        <v>3365</v>
      </c>
      <c r="N918" s="3">
        <v>398985</v>
      </c>
      <c r="O918" s="2">
        <v>0.23899999999999999</v>
      </c>
      <c r="P918" s="2">
        <v>0.61399999999999999</v>
      </c>
      <c r="Q918" s="2">
        <v>0.192</v>
      </c>
      <c r="R918" s="11">
        <v>339837311</v>
      </c>
      <c r="S918" s="11">
        <v>549850</v>
      </c>
      <c r="T918">
        <v>2017</v>
      </c>
      <c r="U918">
        <v>4</v>
      </c>
      <c r="V918">
        <f t="shared" si="84"/>
        <v>618750</v>
      </c>
      <c r="W918">
        <f t="shared" si="85"/>
        <v>18429897</v>
      </c>
      <c r="X918">
        <f t="shared" si="86"/>
        <v>17811147</v>
      </c>
      <c r="Y918">
        <f t="shared" si="87"/>
        <v>-26097970.5</v>
      </c>
      <c r="Z918">
        <f t="shared" si="88"/>
        <v>45146617.5</v>
      </c>
      <c r="AA918" t="str">
        <f t="shared" si="89"/>
        <v>Normal</v>
      </c>
      <c r="AE918" s="2"/>
      <c r="AF918" s="2"/>
    </row>
    <row r="919" spans="1:32" x14ac:dyDescent="0.35">
      <c r="A919">
        <v>918</v>
      </c>
      <c r="B919" s="1">
        <v>42852</v>
      </c>
      <c r="C919" s="9" t="s">
        <v>1666</v>
      </c>
      <c r="D919" s="9" t="s">
        <v>4988</v>
      </c>
      <c r="E919" s="9" t="s">
        <v>6423</v>
      </c>
      <c r="F919" s="9" t="s">
        <v>31</v>
      </c>
      <c r="G919" s="9" t="s">
        <v>1667</v>
      </c>
      <c r="H919" s="9" t="s">
        <v>105</v>
      </c>
      <c r="I919" s="11">
        <v>3600000</v>
      </c>
      <c r="J919" s="11">
        <v>3924723</v>
      </c>
      <c r="K919" s="11">
        <v>16594689</v>
      </c>
      <c r="L919" s="3">
        <v>344</v>
      </c>
      <c r="M919" s="3">
        <v>2258</v>
      </c>
      <c r="N919" s="3">
        <v>1734914</v>
      </c>
      <c r="O919" s="2">
        <v>6.4000000000000001E-2</v>
      </c>
      <c r="P919" s="2">
        <v>1.1679999999999999E-2</v>
      </c>
      <c r="Q919" s="2">
        <v>-6.2E-2</v>
      </c>
      <c r="R919" s="11">
        <v>169994162</v>
      </c>
      <c r="S919" s="11">
        <v>1008193.5</v>
      </c>
      <c r="T919">
        <v>2017</v>
      </c>
      <c r="U919">
        <v>4</v>
      </c>
      <c r="V919">
        <f t="shared" si="84"/>
        <v>612500</v>
      </c>
      <c r="W919">
        <f t="shared" si="85"/>
        <v>18429897</v>
      </c>
      <c r="X919">
        <f t="shared" si="86"/>
        <v>17817397</v>
      </c>
      <c r="Y919">
        <f t="shared" si="87"/>
        <v>-26113595.5</v>
      </c>
      <c r="Z919">
        <f t="shared" si="88"/>
        <v>45155992.5</v>
      </c>
      <c r="AA919" t="str">
        <f t="shared" si="89"/>
        <v>Normal</v>
      </c>
      <c r="AE919" s="2"/>
      <c r="AF919" s="2"/>
    </row>
    <row r="920" spans="1:32" x14ac:dyDescent="0.35">
      <c r="A920">
        <v>919</v>
      </c>
      <c r="B920" s="1">
        <v>42852</v>
      </c>
      <c r="C920" s="9" t="s">
        <v>1668</v>
      </c>
      <c r="D920" s="9" t="s">
        <v>4930</v>
      </c>
      <c r="E920" s="9" t="s">
        <v>6424</v>
      </c>
      <c r="F920" s="9" t="s">
        <v>41</v>
      </c>
      <c r="G920" s="9" t="s">
        <v>1669</v>
      </c>
      <c r="H920" s="9" t="s">
        <v>86</v>
      </c>
      <c r="I920" s="11">
        <v>18429897</v>
      </c>
      <c r="J920" s="11">
        <v>1287319</v>
      </c>
      <c r="K920" s="11">
        <v>465342</v>
      </c>
      <c r="L920" s="3">
        <v>292</v>
      </c>
      <c r="M920" s="3">
        <v>4179</v>
      </c>
      <c r="N920" s="3">
        <v>1028172</v>
      </c>
      <c r="O920" s="2">
        <v>0.36799999999999999</v>
      </c>
      <c r="P920" s="2">
        <v>0.53100000000000003</v>
      </c>
      <c r="Q920" s="2">
        <v>7.3999999999999996E-2</v>
      </c>
      <c r="R920" s="11">
        <v>252891181</v>
      </c>
      <c r="S920" s="11">
        <v>834377</v>
      </c>
      <c r="T920">
        <v>2017</v>
      </c>
      <c r="U920">
        <v>4</v>
      </c>
      <c r="V920">
        <f t="shared" si="84"/>
        <v>606250</v>
      </c>
      <c r="W920">
        <f t="shared" si="85"/>
        <v>18429897</v>
      </c>
      <c r="X920">
        <f t="shared" si="86"/>
        <v>17823647</v>
      </c>
      <c r="Y920">
        <f t="shared" si="87"/>
        <v>-26129220.5</v>
      </c>
      <c r="Z920">
        <f t="shared" si="88"/>
        <v>45165367.5</v>
      </c>
      <c r="AA920" t="str">
        <f t="shared" si="89"/>
        <v>Normal</v>
      </c>
      <c r="AE920" s="2"/>
      <c r="AF920" s="2"/>
    </row>
    <row r="921" spans="1:32" x14ac:dyDescent="0.35">
      <c r="A921">
        <v>920</v>
      </c>
      <c r="B921" s="1">
        <v>42852</v>
      </c>
      <c r="C921" s="9" t="s">
        <v>1670</v>
      </c>
      <c r="D921" s="9" t="s">
        <v>4930</v>
      </c>
      <c r="E921" s="9" t="s">
        <v>6425</v>
      </c>
      <c r="F921" s="9" t="s">
        <v>294</v>
      </c>
      <c r="G921" s="9" t="s">
        <v>1671</v>
      </c>
      <c r="H921" s="9" t="s">
        <v>86</v>
      </c>
      <c r="I921" s="11">
        <v>18429897</v>
      </c>
      <c r="J921" s="11">
        <v>3189313</v>
      </c>
      <c r="K921" s="11">
        <v>10229586</v>
      </c>
      <c r="L921" s="3">
        <v>6</v>
      </c>
      <c r="M921" s="3">
        <v>3489</v>
      </c>
      <c r="N921" s="3">
        <v>59466</v>
      </c>
      <c r="O921" s="2">
        <v>5.8000000000000003E-2</v>
      </c>
      <c r="P921" s="2">
        <v>0.54</v>
      </c>
      <c r="Q921" s="2">
        <v>3.3000000000000002E-2</v>
      </c>
      <c r="R921" s="11">
        <v>77411633</v>
      </c>
      <c r="S921" s="11">
        <v>1008193.5</v>
      </c>
      <c r="T921">
        <v>2017</v>
      </c>
      <c r="U921">
        <v>4</v>
      </c>
      <c r="V921">
        <f t="shared" si="84"/>
        <v>600000</v>
      </c>
      <c r="W921">
        <f t="shared" si="85"/>
        <v>18429897</v>
      </c>
      <c r="X921">
        <f t="shared" si="86"/>
        <v>17829897</v>
      </c>
      <c r="Y921">
        <f t="shared" si="87"/>
        <v>-26144845.5</v>
      </c>
      <c r="Z921">
        <f t="shared" si="88"/>
        <v>45174742.5</v>
      </c>
      <c r="AA921" t="str">
        <f t="shared" si="89"/>
        <v>Normal</v>
      </c>
      <c r="AE921" s="2"/>
      <c r="AF921" s="2"/>
    </row>
    <row r="922" spans="1:32" x14ac:dyDescent="0.35">
      <c r="A922">
        <v>921</v>
      </c>
      <c r="B922" s="1">
        <v>42852</v>
      </c>
      <c r="C922" s="9" t="s">
        <v>859</v>
      </c>
      <c r="D922" s="9" t="s">
        <v>4988</v>
      </c>
      <c r="E922" s="9" t="s">
        <v>6426</v>
      </c>
      <c r="F922" s="9" t="s">
        <v>15</v>
      </c>
      <c r="G922" s="9" t="s">
        <v>1318</v>
      </c>
      <c r="H922" s="9" t="s">
        <v>105</v>
      </c>
      <c r="I922" s="11">
        <v>1500000</v>
      </c>
      <c r="J922" s="11">
        <v>4366003</v>
      </c>
      <c r="K922" s="11">
        <v>3266555</v>
      </c>
      <c r="L922" s="3">
        <v>115</v>
      </c>
      <c r="M922" s="3">
        <v>2812</v>
      </c>
      <c r="N922" s="3">
        <v>506442</v>
      </c>
      <c r="O922" s="2">
        <v>0.185</v>
      </c>
      <c r="P922" s="2">
        <v>0.70599999999999996</v>
      </c>
      <c r="Q922" s="2">
        <v>-0.19399999999999998</v>
      </c>
      <c r="R922" s="11">
        <v>116154889</v>
      </c>
      <c r="S922" s="11">
        <v>1548753</v>
      </c>
      <c r="T922">
        <v>2017</v>
      </c>
      <c r="U922">
        <v>4</v>
      </c>
      <c r="V922">
        <f t="shared" si="84"/>
        <v>600000</v>
      </c>
      <c r="W922">
        <f t="shared" si="85"/>
        <v>18429897</v>
      </c>
      <c r="X922">
        <f t="shared" si="86"/>
        <v>17829897</v>
      </c>
      <c r="Y922">
        <f t="shared" si="87"/>
        <v>-26144845.5</v>
      </c>
      <c r="Z922">
        <f t="shared" si="88"/>
        <v>45174742.5</v>
      </c>
      <c r="AA922" t="str">
        <f t="shared" si="89"/>
        <v>Normal</v>
      </c>
      <c r="AE922" s="2"/>
      <c r="AF922" s="2"/>
    </row>
    <row r="923" spans="1:32" x14ac:dyDescent="0.35">
      <c r="A923">
        <v>922</v>
      </c>
      <c r="B923" s="1">
        <v>42853</v>
      </c>
      <c r="C923" s="9" t="s">
        <v>1672</v>
      </c>
      <c r="D923" s="9" t="s">
        <v>4988</v>
      </c>
      <c r="E923" s="9" t="s">
        <v>6427</v>
      </c>
      <c r="F923" s="9" t="s">
        <v>27</v>
      </c>
      <c r="G923" s="9" t="s">
        <v>853</v>
      </c>
      <c r="H923" s="9" t="s">
        <v>86</v>
      </c>
      <c r="I923" s="11">
        <v>750000</v>
      </c>
      <c r="J923" s="11">
        <v>2870617</v>
      </c>
      <c r="K923" s="11">
        <v>7307256</v>
      </c>
      <c r="L923" s="3">
        <v>177</v>
      </c>
      <c r="M923" s="3">
        <v>2914</v>
      </c>
      <c r="N923" s="3">
        <v>1065357</v>
      </c>
      <c r="O923" s="2">
        <v>0.6</v>
      </c>
      <c r="P923" s="2">
        <v>0.98</v>
      </c>
      <c r="Q923" s="2">
        <v>-4.4000000000000004E-2</v>
      </c>
      <c r="R923" s="11">
        <v>250264963</v>
      </c>
      <c r="S923" s="11">
        <v>1196456</v>
      </c>
      <c r="T923">
        <v>2017</v>
      </c>
      <c r="U923">
        <v>4</v>
      </c>
      <c r="V923">
        <f t="shared" si="84"/>
        <v>600000</v>
      </c>
      <c r="W923">
        <f t="shared" si="85"/>
        <v>18429897</v>
      </c>
      <c r="X923">
        <f t="shared" si="86"/>
        <v>17829897</v>
      </c>
      <c r="Y923">
        <f t="shared" si="87"/>
        <v>-26144845.5</v>
      </c>
      <c r="Z923">
        <f t="shared" si="88"/>
        <v>45174742.5</v>
      </c>
      <c r="AA923" t="str">
        <f t="shared" si="89"/>
        <v>Normal</v>
      </c>
      <c r="AE923" s="2"/>
      <c r="AF923" s="2"/>
    </row>
    <row r="924" spans="1:32" x14ac:dyDescent="0.35">
      <c r="A924">
        <v>923</v>
      </c>
      <c r="B924" s="1">
        <v>42853</v>
      </c>
      <c r="C924" s="9" t="s">
        <v>1673</v>
      </c>
      <c r="D924" s="9" t="s">
        <v>4988</v>
      </c>
      <c r="E924" s="9" t="s">
        <v>6428</v>
      </c>
      <c r="F924" s="9" t="s">
        <v>31</v>
      </c>
      <c r="G924" s="9" t="s">
        <v>1674</v>
      </c>
      <c r="H924" s="9" t="s">
        <v>86</v>
      </c>
      <c r="I924" s="11">
        <v>18429897</v>
      </c>
      <c r="J924" s="11">
        <v>2243769</v>
      </c>
      <c r="K924" s="11">
        <v>18884534</v>
      </c>
      <c r="L924" s="3">
        <v>111</v>
      </c>
      <c r="M924" s="3">
        <v>1785</v>
      </c>
      <c r="N924" s="3">
        <v>1613355</v>
      </c>
      <c r="O924" s="2">
        <v>0.11700000000000001</v>
      </c>
      <c r="P924" s="2">
        <v>0.39200000000000002</v>
      </c>
      <c r="Q924" s="2">
        <v>-0.04</v>
      </c>
      <c r="R924" s="11">
        <v>180408387</v>
      </c>
      <c r="S924" s="11">
        <v>1528565</v>
      </c>
      <c r="T924">
        <v>2017</v>
      </c>
      <c r="U924">
        <v>4</v>
      </c>
      <c r="V924">
        <f t="shared" si="84"/>
        <v>600000</v>
      </c>
      <c r="W924">
        <f t="shared" si="85"/>
        <v>18429897</v>
      </c>
      <c r="X924">
        <f t="shared" si="86"/>
        <v>17829897</v>
      </c>
      <c r="Y924">
        <f t="shared" si="87"/>
        <v>-26144845.5</v>
      </c>
      <c r="Z924">
        <f t="shared" si="88"/>
        <v>45174742.5</v>
      </c>
      <c r="AA924" t="str">
        <f t="shared" si="89"/>
        <v>Normal</v>
      </c>
      <c r="AE924" s="2"/>
      <c r="AF924" s="2"/>
    </row>
    <row r="925" spans="1:32" x14ac:dyDescent="0.35">
      <c r="A925">
        <v>924</v>
      </c>
      <c r="B925" s="1">
        <v>42854</v>
      </c>
      <c r="C925" s="9" t="s">
        <v>1675</v>
      </c>
      <c r="D925" s="9" t="s">
        <v>4988</v>
      </c>
      <c r="E925" s="9" t="s">
        <v>6429</v>
      </c>
      <c r="F925" s="9" t="s">
        <v>294</v>
      </c>
      <c r="G925" s="9" t="s">
        <v>867</v>
      </c>
      <c r="H925" s="9" t="s">
        <v>105</v>
      </c>
      <c r="I925" s="11">
        <v>18429897</v>
      </c>
      <c r="J925" s="11">
        <v>2531926</v>
      </c>
      <c r="K925" s="11">
        <v>19696694</v>
      </c>
      <c r="L925" s="3">
        <v>291</v>
      </c>
      <c r="M925" s="3">
        <v>3087</v>
      </c>
      <c r="N925" s="3">
        <v>1704160</v>
      </c>
      <c r="O925" s="2">
        <v>6.5000000000000002E-2</v>
      </c>
      <c r="P925" s="2">
        <v>0.94199999999999995</v>
      </c>
      <c r="Q925" s="2">
        <v>0.5</v>
      </c>
      <c r="R925" s="11">
        <v>261717733</v>
      </c>
      <c r="S925" s="11">
        <v>1609442</v>
      </c>
      <c r="T925">
        <v>2017</v>
      </c>
      <c r="U925">
        <v>4</v>
      </c>
      <c r="V925">
        <f t="shared" si="84"/>
        <v>600000</v>
      </c>
      <c r="W925">
        <f t="shared" si="85"/>
        <v>18429897</v>
      </c>
      <c r="X925">
        <f t="shared" si="86"/>
        <v>17829897</v>
      </c>
      <c r="Y925">
        <f t="shared" si="87"/>
        <v>-26144845.5</v>
      </c>
      <c r="Z925">
        <f t="shared" si="88"/>
        <v>45174742.5</v>
      </c>
      <c r="AA925" t="str">
        <f t="shared" si="89"/>
        <v>Normal</v>
      </c>
      <c r="AE925" s="2"/>
      <c r="AF925" s="2"/>
    </row>
    <row r="926" spans="1:32" x14ac:dyDescent="0.35">
      <c r="A926">
        <v>925</v>
      </c>
      <c r="B926" s="1">
        <v>42795</v>
      </c>
      <c r="C926" s="9" t="s">
        <v>1407</v>
      </c>
      <c r="D926" s="9" t="s">
        <v>4988</v>
      </c>
      <c r="E926" s="9" t="s">
        <v>6430</v>
      </c>
      <c r="F926" s="9" t="s">
        <v>15</v>
      </c>
      <c r="G926" s="9" t="s">
        <v>1676</v>
      </c>
      <c r="H926" s="9" t="s">
        <v>105</v>
      </c>
      <c r="I926" s="11">
        <v>200000000</v>
      </c>
      <c r="J926" s="11">
        <v>1256481</v>
      </c>
      <c r="K926" s="11">
        <v>3158170</v>
      </c>
      <c r="L926" s="3">
        <v>309</v>
      </c>
      <c r="M926" s="3">
        <v>2505.5</v>
      </c>
      <c r="N926" s="3">
        <v>375598</v>
      </c>
      <c r="O926" s="2">
        <v>-0.03</v>
      </c>
      <c r="P926" s="2">
        <v>0.20300000000000001</v>
      </c>
      <c r="Q926" s="2">
        <v>-0.35100000000000003</v>
      </c>
      <c r="R926" s="11">
        <v>406491817</v>
      </c>
      <c r="S926" s="11">
        <v>1130401</v>
      </c>
      <c r="T926">
        <v>2017</v>
      </c>
      <c r="U926">
        <v>3</v>
      </c>
      <c r="V926">
        <f t="shared" si="84"/>
        <v>600000</v>
      </c>
      <c r="W926">
        <f t="shared" si="85"/>
        <v>18429897</v>
      </c>
      <c r="X926">
        <f t="shared" si="86"/>
        <v>17829897</v>
      </c>
      <c r="Y926">
        <f t="shared" si="87"/>
        <v>-26144845.5</v>
      </c>
      <c r="Z926">
        <f t="shared" si="88"/>
        <v>45174742.5</v>
      </c>
      <c r="AA926" t="str">
        <f t="shared" si="89"/>
        <v>Outlier</v>
      </c>
      <c r="AE926" s="2"/>
      <c r="AF926" s="2"/>
    </row>
    <row r="927" spans="1:32" x14ac:dyDescent="0.35">
      <c r="A927">
        <v>926</v>
      </c>
      <c r="B927" s="1">
        <v>42795</v>
      </c>
      <c r="C927" s="9" t="s">
        <v>1677</v>
      </c>
      <c r="D927" s="9" t="s">
        <v>4988</v>
      </c>
      <c r="E927" s="9" t="s">
        <v>6431</v>
      </c>
      <c r="F927" s="9" t="s">
        <v>15</v>
      </c>
      <c r="G927" s="9" t="s">
        <v>23</v>
      </c>
      <c r="H927" s="9" t="s">
        <v>105</v>
      </c>
      <c r="I927" s="11">
        <v>10000000</v>
      </c>
      <c r="J927" s="11">
        <v>4731201</v>
      </c>
      <c r="K927" s="11">
        <v>2905648</v>
      </c>
      <c r="L927" s="3">
        <v>88</v>
      </c>
      <c r="M927" s="3">
        <v>2505.5</v>
      </c>
      <c r="N927" s="3">
        <v>1445656</v>
      </c>
      <c r="O927" s="2">
        <v>0.16899999999999998</v>
      </c>
      <c r="P927" s="2">
        <v>0.50800000000000001</v>
      </c>
      <c r="Q927" s="2">
        <v>-8.199999999999999E-2</v>
      </c>
      <c r="R927" s="11">
        <v>139262663</v>
      </c>
      <c r="S927" s="11">
        <v>917524</v>
      </c>
      <c r="T927">
        <v>2017</v>
      </c>
      <c r="U927">
        <v>3</v>
      </c>
      <c r="V927">
        <f t="shared" si="84"/>
        <v>600000</v>
      </c>
      <c r="W927">
        <f t="shared" si="85"/>
        <v>18429897</v>
      </c>
      <c r="X927">
        <f t="shared" si="86"/>
        <v>17829897</v>
      </c>
      <c r="Y927">
        <f t="shared" si="87"/>
        <v>-26144845.5</v>
      </c>
      <c r="Z927">
        <f t="shared" si="88"/>
        <v>45174742.5</v>
      </c>
      <c r="AA927" t="str">
        <f t="shared" si="89"/>
        <v>Normal</v>
      </c>
      <c r="AE927" s="2"/>
      <c r="AF927" s="2"/>
    </row>
    <row r="928" spans="1:32" x14ac:dyDescent="0.35">
      <c r="A928">
        <v>927</v>
      </c>
      <c r="B928" s="1">
        <v>42795</v>
      </c>
      <c r="C928" s="9" t="s">
        <v>1678</v>
      </c>
      <c r="D928" s="9" t="s">
        <v>4988</v>
      </c>
      <c r="E928" s="9" t="s">
        <v>6432</v>
      </c>
      <c r="F928" s="9" t="s">
        <v>554</v>
      </c>
      <c r="G928" s="9" t="s">
        <v>1679</v>
      </c>
      <c r="H928" s="9" t="s">
        <v>86</v>
      </c>
      <c r="I928" s="11">
        <v>18429897</v>
      </c>
      <c r="J928" s="11">
        <v>2715474</v>
      </c>
      <c r="K928" s="11">
        <v>13956611</v>
      </c>
      <c r="L928" s="3">
        <v>66</v>
      </c>
      <c r="M928" s="3">
        <v>2229</v>
      </c>
      <c r="N928" s="3">
        <v>1923206</v>
      </c>
      <c r="O928" s="2">
        <v>-0.8</v>
      </c>
      <c r="P928" s="2">
        <v>1.1740000000000002</v>
      </c>
      <c r="Q928" s="2">
        <v>0.32799999999999996</v>
      </c>
      <c r="R928" s="11">
        <v>14276450</v>
      </c>
      <c r="S928" s="11">
        <v>1643238</v>
      </c>
      <c r="T928">
        <v>2017</v>
      </c>
      <c r="U928">
        <v>3</v>
      </c>
      <c r="V928">
        <f t="shared" si="84"/>
        <v>600000</v>
      </c>
      <c r="W928">
        <f t="shared" si="85"/>
        <v>18429897</v>
      </c>
      <c r="X928">
        <f t="shared" si="86"/>
        <v>17829897</v>
      </c>
      <c r="Y928">
        <f t="shared" si="87"/>
        <v>-26144845.5</v>
      </c>
      <c r="Z928">
        <f t="shared" si="88"/>
        <v>45174742.5</v>
      </c>
      <c r="AA928" t="str">
        <f t="shared" si="89"/>
        <v>Normal</v>
      </c>
      <c r="AE928" s="2"/>
      <c r="AF928" s="2"/>
    </row>
    <row r="929" spans="1:32" x14ac:dyDescent="0.35">
      <c r="A929">
        <v>928</v>
      </c>
      <c r="B929" s="1">
        <v>42795</v>
      </c>
      <c r="C929" s="9" t="s">
        <v>1680</v>
      </c>
      <c r="D929" s="9" t="s">
        <v>4925</v>
      </c>
      <c r="E929" s="9" t="s">
        <v>6433</v>
      </c>
      <c r="F929" s="9" t="s">
        <v>27</v>
      </c>
      <c r="G929" s="9" t="s">
        <v>1681</v>
      </c>
      <c r="H929" s="9" t="s">
        <v>86</v>
      </c>
      <c r="I929" s="11">
        <v>18429897</v>
      </c>
      <c r="J929" s="11">
        <v>1520686</v>
      </c>
      <c r="K929" s="11">
        <v>8277497</v>
      </c>
      <c r="L929" s="3">
        <v>329</v>
      </c>
      <c r="M929" s="3">
        <v>4751</v>
      </c>
      <c r="N929" s="3">
        <v>1597670</v>
      </c>
      <c r="O929" s="2">
        <v>0.23499999999999999</v>
      </c>
      <c r="P929" s="2">
        <v>0.85599999999999998</v>
      </c>
      <c r="Q929" s="2">
        <v>0.20899999999999999</v>
      </c>
      <c r="R929" s="11">
        <v>56545161</v>
      </c>
      <c r="S929" s="11">
        <v>1370337</v>
      </c>
      <c r="T929">
        <v>2017</v>
      </c>
      <c r="U929">
        <v>3</v>
      </c>
      <c r="V929">
        <f t="shared" si="84"/>
        <v>600000</v>
      </c>
      <c r="W929">
        <f t="shared" si="85"/>
        <v>18429897</v>
      </c>
      <c r="X929">
        <f t="shared" si="86"/>
        <v>17829897</v>
      </c>
      <c r="Y929">
        <f t="shared" si="87"/>
        <v>-26144845.5</v>
      </c>
      <c r="Z929">
        <f t="shared" si="88"/>
        <v>45174742.5</v>
      </c>
      <c r="AA929" t="str">
        <f t="shared" si="89"/>
        <v>Normal</v>
      </c>
      <c r="AE929" s="2"/>
      <c r="AF929" s="2"/>
    </row>
    <row r="930" spans="1:32" x14ac:dyDescent="0.35">
      <c r="A930">
        <v>929</v>
      </c>
      <c r="B930" s="1">
        <v>42796</v>
      </c>
      <c r="C930" s="9" t="s">
        <v>1682</v>
      </c>
      <c r="D930" s="9" t="s">
        <v>4988</v>
      </c>
      <c r="E930" s="9" t="s">
        <v>6434</v>
      </c>
      <c r="F930" s="9" t="s">
        <v>124</v>
      </c>
      <c r="G930" s="9" t="s">
        <v>1683</v>
      </c>
      <c r="H930" s="9" t="s">
        <v>105</v>
      </c>
      <c r="I930" s="11">
        <v>1500000</v>
      </c>
      <c r="J930" s="11">
        <v>2103474</v>
      </c>
      <c r="K930" s="11">
        <v>8713361</v>
      </c>
      <c r="L930" s="3">
        <v>237</v>
      </c>
      <c r="M930" s="3">
        <v>1695</v>
      </c>
      <c r="N930" s="3">
        <v>1433241</v>
      </c>
      <c r="O930" s="2">
        <v>5.9000000000000004E-2</v>
      </c>
      <c r="P930" s="2">
        <v>0.66299999999999992</v>
      </c>
      <c r="Q930" s="2">
        <v>0</v>
      </c>
      <c r="R930" s="11">
        <v>428983115</v>
      </c>
      <c r="S930" s="11">
        <v>1061333</v>
      </c>
      <c r="T930">
        <v>2017</v>
      </c>
      <c r="U930">
        <v>3</v>
      </c>
      <c r="V930">
        <f t="shared" si="84"/>
        <v>600000</v>
      </c>
      <c r="W930">
        <f t="shared" si="85"/>
        <v>18429897</v>
      </c>
      <c r="X930">
        <f t="shared" si="86"/>
        <v>17829897</v>
      </c>
      <c r="Y930">
        <f t="shared" si="87"/>
        <v>-26144845.5</v>
      </c>
      <c r="Z930">
        <f t="shared" si="88"/>
        <v>45174742.5</v>
      </c>
      <c r="AA930" t="str">
        <f t="shared" si="89"/>
        <v>Normal</v>
      </c>
      <c r="AE930" s="2"/>
      <c r="AF930" s="2"/>
    </row>
    <row r="931" spans="1:32" x14ac:dyDescent="0.35">
      <c r="A931">
        <v>930</v>
      </c>
      <c r="B931" s="1">
        <v>42796</v>
      </c>
      <c r="C931" s="9" t="s">
        <v>1684</v>
      </c>
      <c r="D931" s="9" t="s">
        <v>4930</v>
      </c>
      <c r="E931" s="9" t="s">
        <v>6435</v>
      </c>
      <c r="F931" s="9" t="s">
        <v>35</v>
      </c>
      <c r="G931" s="9" t="s">
        <v>1525</v>
      </c>
      <c r="H931" s="9" t="s">
        <v>86</v>
      </c>
      <c r="I931" s="11">
        <v>500000</v>
      </c>
      <c r="J931" s="11">
        <v>2898525</v>
      </c>
      <c r="K931" s="11">
        <v>17480137</v>
      </c>
      <c r="L931" s="3">
        <v>136</v>
      </c>
      <c r="M931" s="3">
        <v>3403</v>
      </c>
      <c r="N931" s="3">
        <v>1591930</v>
      </c>
      <c r="O931" s="2">
        <v>1.6E-2</v>
      </c>
      <c r="P931" s="2">
        <v>0.93200000000000005</v>
      </c>
      <c r="Q931" s="2">
        <v>-0.19500000000000001</v>
      </c>
      <c r="R931" s="11">
        <v>405415646</v>
      </c>
      <c r="S931" s="11">
        <v>224942</v>
      </c>
      <c r="T931">
        <v>2017</v>
      </c>
      <c r="U931">
        <v>3</v>
      </c>
      <c r="V931">
        <f t="shared" si="84"/>
        <v>600000</v>
      </c>
      <c r="W931">
        <f t="shared" si="85"/>
        <v>18429897</v>
      </c>
      <c r="X931">
        <f t="shared" si="86"/>
        <v>17829897</v>
      </c>
      <c r="Y931">
        <f t="shared" si="87"/>
        <v>-26144845.5</v>
      </c>
      <c r="Z931">
        <f t="shared" si="88"/>
        <v>45174742.5</v>
      </c>
      <c r="AA931" t="str">
        <f t="shared" si="89"/>
        <v>Normal</v>
      </c>
      <c r="AE931" s="2"/>
      <c r="AF931" s="2"/>
    </row>
    <row r="932" spans="1:32" x14ac:dyDescent="0.35">
      <c r="A932">
        <v>931</v>
      </c>
      <c r="B932" s="1">
        <v>42796</v>
      </c>
      <c r="C932" s="9" t="s">
        <v>1685</v>
      </c>
      <c r="D932" s="9" t="s">
        <v>4988</v>
      </c>
      <c r="E932" s="9" t="s">
        <v>5908</v>
      </c>
      <c r="F932" s="9" t="s">
        <v>19</v>
      </c>
      <c r="G932" s="9" t="s">
        <v>1686</v>
      </c>
      <c r="H932" s="9" t="s">
        <v>105</v>
      </c>
      <c r="I932" s="11">
        <v>2500000</v>
      </c>
      <c r="J932" s="11">
        <v>2696984</v>
      </c>
      <c r="K932" s="11">
        <v>18419878</v>
      </c>
      <c r="L932" s="3">
        <v>131</v>
      </c>
      <c r="M932" s="3">
        <v>2106</v>
      </c>
      <c r="N932" s="3">
        <v>1113774</v>
      </c>
      <c r="O932" s="2">
        <v>0.24399999999999999</v>
      </c>
      <c r="P932" s="2">
        <v>0.63500000000000001</v>
      </c>
      <c r="Q932" s="2">
        <v>0.125</v>
      </c>
      <c r="R932" s="11">
        <v>222695450</v>
      </c>
      <c r="S932" s="11">
        <v>1595431</v>
      </c>
      <c r="T932">
        <v>2017</v>
      </c>
      <c r="U932">
        <v>3</v>
      </c>
      <c r="V932">
        <f t="shared" si="84"/>
        <v>600000</v>
      </c>
      <c r="W932">
        <f t="shared" si="85"/>
        <v>18429897</v>
      </c>
      <c r="X932">
        <f t="shared" si="86"/>
        <v>17829897</v>
      </c>
      <c r="Y932">
        <f t="shared" si="87"/>
        <v>-26144845.5</v>
      </c>
      <c r="Z932">
        <f t="shared" si="88"/>
        <v>45174742.5</v>
      </c>
      <c r="AA932" t="str">
        <f t="shared" si="89"/>
        <v>Normal</v>
      </c>
      <c r="AE932" s="2"/>
      <c r="AF932" s="2"/>
    </row>
    <row r="933" spans="1:32" x14ac:dyDescent="0.35">
      <c r="A933">
        <v>932</v>
      </c>
      <c r="B933" s="1">
        <v>42796</v>
      </c>
      <c r="C933" s="9" t="s">
        <v>1687</v>
      </c>
      <c r="D933" s="9" t="s">
        <v>4930</v>
      </c>
      <c r="E933" s="9" t="s">
        <v>6436</v>
      </c>
      <c r="F933" s="9" t="s">
        <v>1255</v>
      </c>
      <c r="G933" s="9" t="s">
        <v>1688</v>
      </c>
      <c r="H933" s="9" t="s">
        <v>86</v>
      </c>
      <c r="I933" s="11">
        <v>18429897</v>
      </c>
      <c r="J933" s="11">
        <v>3504884</v>
      </c>
      <c r="K933" s="11">
        <v>18019566</v>
      </c>
      <c r="L933" s="3">
        <v>24</v>
      </c>
      <c r="M933" s="3">
        <v>2505.5</v>
      </c>
      <c r="N933" s="3">
        <v>1213056</v>
      </c>
      <c r="O933" s="2">
        <v>0.248</v>
      </c>
      <c r="P933" s="2">
        <v>0.307</v>
      </c>
      <c r="Q933" s="2">
        <v>0.34200000000000003</v>
      </c>
      <c r="R933" s="11">
        <v>208436758</v>
      </c>
      <c r="S933" s="11">
        <v>105382</v>
      </c>
      <c r="T933">
        <v>2017</v>
      </c>
      <c r="U933">
        <v>3</v>
      </c>
      <c r="V933">
        <f t="shared" si="84"/>
        <v>600000</v>
      </c>
      <c r="W933">
        <f t="shared" si="85"/>
        <v>18429897</v>
      </c>
      <c r="X933">
        <f t="shared" si="86"/>
        <v>17829897</v>
      </c>
      <c r="Y933">
        <f t="shared" si="87"/>
        <v>-26144845.5</v>
      </c>
      <c r="Z933">
        <f t="shared" si="88"/>
        <v>45174742.5</v>
      </c>
      <c r="AA933" t="str">
        <f t="shared" si="89"/>
        <v>Normal</v>
      </c>
      <c r="AE933" s="2"/>
      <c r="AF933" s="2"/>
    </row>
    <row r="934" spans="1:32" x14ac:dyDescent="0.35">
      <c r="A934">
        <v>933</v>
      </c>
      <c r="B934" s="1">
        <v>42796</v>
      </c>
      <c r="C934" s="9" t="s">
        <v>1689</v>
      </c>
      <c r="D934" s="9" t="s">
        <v>4988</v>
      </c>
      <c r="E934" s="9" t="s">
        <v>6437</v>
      </c>
      <c r="F934" s="9" t="s">
        <v>35</v>
      </c>
      <c r="G934" s="9" t="s">
        <v>1690</v>
      </c>
      <c r="H934" s="9" t="s">
        <v>105</v>
      </c>
      <c r="I934" s="11">
        <v>7600000</v>
      </c>
      <c r="J934" s="11">
        <v>1302313</v>
      </c>
      <c r="K934" s="11">
        <v>15681316</v>
      </c>
      <c r="L934" s="3">
        <v>427</v>
      </c>
      <c r="M934" s="3">
        <v>1955</v>
      </c>
      <c r="N934" s="3">
        <v>1018455</v>
      </c>
      <c r="O934" s="2">
        <v>0.57100000000000006</v>
      </c>
      <c r="P934" s="2">
        <v>0.69799999999999995</v>
      </c>
      <c r="Q934" s="2">
        <v>0.47899999999999998</v>
      </c>
      <c r="R934" s="11">
        <v>277550553</v>
      </c>
      <c r="S934" s="11">
        <v>1605243</v>
      </c>
      <c r="T934">
        <v>2017</v>
      </c>
      <c r="U934">
        <v>3</v>
      </c>
      <c r="V934">
        <f t="shared" si="84"/>
        <v>600000</v>
      </c>
      <c r="W934">
        <f t="shared" si="85"/>
        <v>18429897</v>
      </c>
      <c r="X934">
        <f t="shared" si="86"/>
        <v>17829897</v>
      </c>
      <c r="Y934">
        <f t="shared" si="87"/>
        <v>-26144845.5</v>
      </c>
      <c r="Z934">
        <f t="shared" si="88"/>
        <v>45174742.5</v>
      </c>
      <c r="AA934" t="str">
        <f t="shared" si="89"/>
        <v>Normal</v>
      </c>
      <c r="AE934" s="2"/>
      <c r="AF934" s="2"/>
    </row>
    <row r="935" spans="1:32" x14ac:dyDescent="0.35">
      <c r="A935">
        <v>934</v>
      </c>
      <c r="B935" s="1">
        <v>42797</v>
      </c>
      <c r="C935" s="9" t="s">
        <v>1691</v>
      </c>
      <c r="D935" s="9" t="s">
        <v>4988</v>
      </c>
      <c r="E935" s="9" t="s">
        <v>6438</v>
      </c>
      <c r="F935" s="9" t="s">
        <v>15</v>
      </c>
      <c r="G935" s="9" t="s">
        <v>1692</v>
      </c>
      <c r="H935" s="9" t="s">
        <v>86</v>
      </c>
      <c r="I935" s="11">
        <v>18429897</v>
      </c>
      <c r="J935" s="11">
        <v>3253181</v>
      </c>
      <c r="K935" s="11">
        <v>19609603</v>
      </c>
      <c r="L935" s="3">
        <v>421</v>
      </c>
      <c r="M935" s="3">
        <v>4797</v>
      </c>
      <c r="N935" s="3">
        <v>1911242</v>
      </c>
      <c r="O935" s="2">
        <v>0.124</v>
      </c>
      <c r="P935" s="2">
        <v>1.155</v>
      </c>
      <c r="Q935" s="2">
        <v>-3.1E-2</v>
      </c>
      <c r="R935" s="11">
        <v>258845474</v>
      </c>
      <c r="S935" s="11">
        <v>1124517</v>
      </c>
      <c r="T935">
        <v>2017</v>
      </c>
      <c r="U935">
        <v>3</v>
      </c>
      <c r="V935">
        <f t="shared" si="84"/>
        <v>600000</v>
      </c>
      <c r="W935">
        <f t="shared" si="85"/>
        <v>18429897</v>
      </c>
      <c r="X935">
        <f t="shared" si="86"/>
        <v>17829897</v>
      </c>
      <c r="Y935">
        <f t="shared" si="87"/>
        <v>-26144845.5</v>
      </c>
      <c r="Z935">
        <f t="shared" si="88"/>
        <v>45174742.5</v>
      </c>
      <c r="AA935" t="str">
        <f t="shared" si="89"/>
        <v>Normal</v>
      </c>
      <c r="AE935" s="2"/>
      <c r="AF935" s="2"/>
    </row>
    <row r="936" spans="1:32" x14ac:dyDescent="0.35">
      <c r="A936">
        <v>935</v>
      </c>
      <c r="B936" s="1">
        <v>42797</v>
      </c>
      <c r="C936" s="9" t="s">
        <v>1693</v>
      </c>
      <c r="D936" s="9" t="s">
        <v>4930</v>
      </c>
      <c r="E936" s="9" t="s">
        <v>6439</v>
      </c>
      <c r="F936" s="9" t="s">
        <v>15</v>
      </c>
      <c r="G936" s="9" t="s">
        <v>1694</v>
      </c>
      <c r="H936" s="9" t="s">
        <v>86</v>
      </c>
      <c r="I936" s="11">
        <v>275000</v>
      </c>
      <c r="J936" s="11">
        <v>2224532</v>
      </c>
      <c r="K936" s="11">
        <v>14425239</v>
      </c>
      <c r="L936" s="3">
        <v>279</v>
      </c>
      <c r="M936" s="3">
        <v>600</v>
      </c>
      <c r="N936" s="3">
        <v>725004</v>
      </c>
      <c r="O936" s="2">
        <v>0.157</v>
      </c>
      <c r="P936" s="2">
        <v>0.47299999999999998</v>
      </c>
      <c r="Q936" s="2">
        <v>-0.16500000000000001</v>
      </c>
      <c r="R936" s="11">
        <v>67504701</v>
      </c>
      <c r="S936" s="11">
        <v>1129608</v>
      </c>
      <c r="T936">
        <v>2017</v>
      </c>
      <c r="U936">
        <v>3</v>
      </c>
      <c r="V936">
        <f t="shared" si="84"/>
        <v>600000</v>
      </c>
      <c r="W936">
        <f t="shared" si="85"/>
        <v>18429897</v>
      </c>
      <c r="X936">
        <f t="shared" si="86"/>
        <v>17829897</v>
      </c>
      <c r="Y936">
        <f t="shared" si="87"/>
        <v>-26144845.5</v>
      </c>
      <c r="Z936">
        <f t="shared" si="88"/>
        <v>45174742.5</v>
      </c>
      <c r="AA936" t="str">
        <f t="shared" si="89"/>
        <v>Normal</v>
      </c>
      <c r="AE936" s="2"/>
      <c r="AF936" s="2"/>
    </row>
    <row r="937" spans="1:32" x14ac:dyDescent="0.35">
      <c r="A937">
        <v>936</v>
      </c>
      <c r="B937" s="1">
        <v>42797</v>
      </c>
      <c r="C937" s="9" t="s">
        <v>1695</v>
      </c>
      <c r="D937" s="9" t="s">
        <v>4988</v>
      </c>
      <c r="E937" s="9" t="s">
        <v>6440</v>
      </c>
      <c r="F937" s="9" t="s">
        <v>294</v>
      </c>
      <c r="G937" s="9" t="s">
        <v>1696</v>
      </c>
      <c r="H937" s="9" t="s">
        <v>86</v>
      </c>
      <c r="I937" s="11">
        <v>18429897</v>
      </c>
      <c r="J937" s="11">
        <v>4704160</v>
      </c>
      <c r="K937" s="11">
        <v>17708467</v>
      </c>
      <c r="L937" s="3">
        <v>177</v>
      </c>
      <c r="M937" s="3">
        <v>3356</v>
      </c>
      <c r="N937" s="3">
        <v>1553458</v>
      </c>
      <c r="O937" s="2">
        <v>0.216</v>
      </c>
      <c r="P937" s="2">
        <v>0.253</v>
      </c>
      <c r="Q937" s="2">
        <v>0.22</v>
      </c>
      <c r="R937" s="11">
        <v>250264963</v>
      </c>
      <c r="S937" s="11">
        <v>1914111</v>
      </c>
      <c r="T937">
        <v>2017</v>
      </c>
      <c r="U937">
        <v>3</v>
      </c>
      <c r="V937">
        <f t="shared" si="84"/>
        <v>600000</v>
      </c>
      <c r="W937">
        <f t="shared" si="85"/>
        <v>18429897</v>
      </c>
      <c r="X937">
        <f t="shared" si="86"/>
        <v>17829897</v>
      </c>
      <c r="Y937">
        <f t="shared" si="87"/>
        <v>-26144845.5</v>
      </c>
      <c r="Z937">
        <f t="shared" si="88"/>
        <v>45174742.5</v>
      </c>
      <c r="AA937" t="str">
        <f t="shared" si="89"/>
        <v>Normal</v>
      </c>
      <c r="AE937" s="2"/>
      <c r="AF937" s="2"/>
    </row>
    <row r="938" spans="1:32" x14ac:dyDescent="0.35">
      <c r="A938">
        <v>937</v>
      </c>
      <c r="B938" s="1">
        <v>42797</v>
      </c>
      <c r="C938" s="9" t="s">
        <v>1697</v>
      </c>
      <c r="D938" s="9" t="s">
        <v>4930</v>
      </c>
      <c r="E938" s="9" t="s">
        <v>6441</v>
      </c>
      <c r="F938" s="9" t="s">
        <v>408</v>
      </c>
      <c r="G938" s="9" t="s">
        <v>1698</v>
      </c>
      <c r="H938" s="9" t="s">
        <v>105</v>
      </c>
      <c r="I938" s="11">
        <v>6700000</v>
      </c>
      <c r="J938" s="11">
        <v>806455</v>
      </c>
      <c r="K938" s="11">
        <v>10853541</v>
      </c>
      <c r="L938" s="3">
        <v>111</v>
      </c>
      <c r="M938" s="3">
        <v>4161</v>
      </c>
      <c r="N938" s="3">
        <v>42150</v>
      </c>
      <c r="O938" s="2">
        <v>0.32400000000000001</v>
      </c>
      <c r="P938" s="2">
        <v>0.94099999999999995</v>
      </c>
      <c r="Q938" s="2">
        <v>0.36749999999999999</v>
      </c>
      <c r="R938" s="11">
        <v>41808058</v>
      </c>
      <c r="S938" s="11">
        <v>374405</v>
      </c>
      <c r="T938">
        <v>2017</v>
      </c>
      <c r="U938">
        <v>3</v>
      </c>
      <c r="V938">
        <f t="shared" si="84"/>
        <v>600000</v>
      </c>
      <c r="W938">
        <f t="shared" si="85"/>
        <v>18429897</v>
      </c>
      <c r="X938">
        <f t="shared" si="86"/>
        <v>17829897</v>
      </c>
      <c r="Y938">
        <f t="shared" si="87"/>
        <v>-26144845.5</v>
      </c>
      <c r="Z938">
        <f t="shared" si="88"/>
        <v>45174742.5</v>
      </c>
      <c r="AA938" t="str">
        <f t="shared" si="89"/>
        <v>Normal</v>
      </c>
      <c r="AE938" s="2"/>
      <c r="AF938" s="2"/>
    </row>
    <row r="939" spans="1:32" x14ac:dyDescent="0.35">
      <c r="A939">
        <v>938</v>
      </c>
      <c r="B939" s="1">
        <v>42797</v>
      </c>
      <c r="C939" s="9" t="s">
        <v>1699</v>
      </c>
      <c r="D939" s="9" t="s">
        <v>4988</v>
      </c>
      <c r="E939" s="9" t="s">
        <v>6442</v>
      </c>
      <c r="F939" s="9" t="s">
        <v>124</v>
      </c>
      <c r="G939" s="9" t="s">
        <v>1700</v>
      </c>
      <c r="H939" s="9" t="s">
        <v>86</v>
      </c>
      <c r="I939" s="11">
        <v>18429897</v>
      </c>
      <c r="J939" s="11">
        <v>759226</v>
      </c>
      <c r="K939" s="11">
        <v>1114044</v>
      </c>
      <c r="L939" s="3">
        <v>157</v>
      </c>
      <c r="M939" s="3">
        <v>967</v>
      </c>
      <c r="N939" s="3">
        <v>837328</v>
      </c>
      <c r="O939" s="2">
        <v>0.311</v>
      </c>
      <c r="P939" s="2">
        <v>0.65400000000000003</v>
      </c>
      <c r="Q939" s="2">
        <v>0.10299999999999999</v>
      </c>
      <c r="R939" s="11">
        <v>298695480</v>
      </c>
      <c r="S939" s="11">
        <v>1008193.5</v>
      </c>
      <c r="T939">
        <v>2017</v>
      </c>
      <c r="U939">
        <v>3</v>
      </c>
      <c r="V939">
        <f t="shared" si="84"/>
        <v>600000</v>
      </c>
      <c r="W939">
        <f t="shared" si="85"/>
        <v>18429897</v>
      </c>
      <c r="X939">
        <f t="shared" si="86"/>
        <v>17829897</v>
      </c>
      <c r="Y939">
        <f t="shared" si="87"/>
        <v>-26144845.5</v>
      </c>
      <c r="Z939">
        <f t="shared" si="88"/>
        <v>45174742.5</v>
      </c>
      <c r="AA939" t="str">
        <f t="shared" si="89"/>
        <v>Normal</v>
      </c>
      <c r="AE939" s="2"/>
      <c r="AF939" s="2"/>
    </row>
    <row r="940" spans="1:32" x14ac:dyDescent="0.35">
      <c r="A940">
        <v>939</v>
      </c>
      <c r="B940" s="1">
        <v>42797</v>
      </c>
      <c r="C940" s="9" t="s">
        <v>1701</v>
      </c>
      <c r="D940" s="9" t="s">
        <v>4925</v>
      </c>
      <c r="E940" s="9" t="s">
        <v>6443</v>
      </c>
      <c r="F940" s="9" t="s">
        <v>15</v>
      </c>
      <c r="G940" s="9" t="s">
        <v>1702</v>
      </c>
      <c r="H940" s="9" t="s">
        <v>105</v>
      </c>
      <c r="I940" s="11">
        <v>200000000</v>
      </c>
      <c r="J940" s="11">
        <v>2319059</v>
      </c>
      <c r="K940" s="11">
        <v>16347521</v>
      </c>
      <c r="L940" s="3">
        <v>463</v>
      </c>
      <c r="M940" s="3">
        <v>3794</v>
      </c>
      <c r="N940" s="3">
        <v>1830256</v>
      </c>
      <c r="O940" s="2">
        <v>0.184</v>
      </c>
      <c r="P940" s="2">
        <v>0.53500000000000003</v>
      </c>
      <c r="Q940" s="2">
        <v>-5.9000000000000004E-2</v>
      </c>
      <c r="R940" s="11">
        <v>178317365</v>
      </c>
      <c r="S940" s="11">
        <v>1472436</v>
      </c>
      <c r="T940">
        <v>2017</v>
      </c>
      <c r="U940">
        <v>3</v>
      </c>
      <c r="V940">
        <f t="shared" si="84"/>
        <v>600000</v>
      </c>
      <c r="W940">
        <f t="shared" si="85"/>
        <v>18429897</v>
      </c>
      <c r="X940">
        <f t="shared" si="86"/>
        <v>17829897</v>
      </c>
      <c r="Y940">
        <f t="shared" si="87"/>
        <v>-26144845.5</v>
      </c>
      <c r="Z940">
        <f t="shared" si="88"/>
        <v>45174742.5</v>
      </c>
      <c r="AA940" t="str">
        <f t="shared" si="89"/>
        <v>Outlier</v>
      </c>
      <c r="AE940" s="2"/>
      <c r="AF940" s="2"/>
    </row>
    <row r="941" spans="1:32" x14ac:dyDescent="0.35">
      <c r="A941">
        <v>940</v>
      </c>
      <c r="B941" s="1">
        <v>42798</v>
      </c>
      <c r="C941" s="9" t="s">
        <v>1703</v>
      </c>
      <c r="D941" s="9" t="s">
        <v>2539</v>
      </c>
      <c r="E941" s="9" t="s">
        <v>6444</v>
      </c>
      <c r="F941" s="9" t="s">
        <v>31</v>
      </c>
      <c r="G941" s="9" t="s">
        <v>414</v>
      </c>
      <c r="H941" s="9" t="s">
        <v>105</v>
      </c>
      <c r="I941" s="11">
        <v>19500000</v>
      </c>
      <c r="J941" s="11">
        <v>2551596</v>
      </c>
      <c r="K941" s="11">
        <v>18602353</v>
      </c>
      <c r="L941" s="3">
        <v>254</v>
      </c>
      <c r="M941" s="3">
        <v>3201</v>
      </c>
      <c r="N941" s="3">
        <v>486691</v>
      </c>
      <c r="O941" s="2">
        <v>0.113</v>
      </c>
      <c r="P941" s="2">
        <v>0.68799999999999994</v>
      </c>
      <c r="Q941" s="2">
        <v>-0.22700000000000001</v>
      </c>
      <c r="R941" s="11">
        <v>299807955</v>
      </c>
      <c r="S941" s="11">
        <v>1809740</v>
      </c>
      <c r="T941">
        <v>2017</v>
      </c>
      <c r="U941">
        <v>3</v>
      </c>
      <c r="V941">
        <f t="shared" si="84"/>
        <v>600000</v>
      </c>
      <c r="W941">
        <f t="shared" si="85"/>
        <v>18429897</v>
      </c>
      <c r="X941">
        <f t="shared" si="86"/>
        <v>17829897</v>
      </c>
      <c r="Y941">
        <f t="shared" si="87"/>
        <v>-26144845.5</v>
      </c>
      <c r="Z941">
        <f t="shared" si="88"/>
        <v>45174742.5</v>
      </c>
      <c r="AA941" t="str">
        <f t="shared" si="89"/>
        <v>Normal</v>
      </c>
      <c r="AE941" s="2"/>
      <c r="AF941" s="2"/>
    </row>
    <row r="942" spans="1:32" x14ac:dyDescent="0.35">
      <c r="A942">
        <v>941</v>
      </c>
      <c r="B942" s="1">
        <v>42800</v>
      </c>
      <c r="C942" s="9" t="s">
        <v>1704</v>
      </c>
      <c r="D942" s="9" t="s">
        <v>4988</v>
      </c>
      <c r="E942" s="9" t="s">
        <v>6445</v>
      </c>
      <c r="F942" s="9" t="s">
        <v>31</v>
      </c>
      <c r="G942" s="9" t="s">
        <v>1705</v>
      </c>
      <c r="H942" s="9" t="s">
        <v>86</v>
      </c>
      <c r="I942" s="11">
        <v>1200000</v>
      </c>
      <c r="J942" s="11">
        <v>3460558</v>
      </c>
      <c r="K942" s="11">
        <v>6315072</v>
      </c>
      <c r="L942" s="3">
        <v>412</v>
      </c>
      <c r="M942" s="3">
        <v>1720</v>
      </c>
      <c r="N942" s="3">
        <v>1589895</v>
      </c>
      <c r="O942" s="2">
        <v>0.28899999999999998</v>
      </c>
      <c r="P942" s="2">
        <v>1.1299999999999999E-2</v>
      </c>
      <c r="Q942" s="2">
        <v>0.26900000000000002</v>
      </c>
      <c r="R942" s="11">
        <v>114947206</v>
      </c>
      <c r="S942" s="11">
        <v>1669294</v>
      </c>
      <c r="T942">
        <v>2017</v>
      </c>
      <c r="U942">
        <v>3</v>
      </c>
      <c r="V942">
        <f t="shared" si="84"/>
        <v>600000</v>
      </c>
      <c r="W942">
        <f t="shared" si="85"/>
        <v>18429897</v>
      </c>
      <c r="X942">
        <f t="shared" si="86"/>
        <v>17829897</v>
      </c>
      <c r="Y942">
        <f t="shared" si="87"/>
        <v>-26144845.5</v>
      </c>
      <c r="Z942">
        <f t="shared" si="88"/>
        <v>45174742.5</v>
      </c>
      <c r="AA942" t="str">
        <f t="shared" si="89"/>
        <v>Normal</v>
      </c>
      <c r="AE942" s="2"/>
      <c r="AF942" s="2"/>
    </row>
    <row r="943" spans="1:32" x14ac:dyDescent="0.35">
      <c r="A943">
        <v>942</v>
      </c>
      <c r="B943" s="1">
        <v>42800</v>
      </c>
      <c r="C943" s="9" t="s">
        <v>1706</v>
      </c>
      <c r="D943" s="9" t="s">
        <v>4988</v>
      </c>
      <c r="E943" s="9" t="s">
        <v>6446</v>
      </c>
      <c r="F943" s="9" t="s">
        <v>19</v>
      </c>
      <c r="G943" s="9" t="s">
        <v>1707</v>
      </c>
      <c r="H943" s="9" t="s">
        <v>86</v>
      </c>
      <c r="I943" s="11">
        <v>150000</v>
      </c>
      <c r="J943" s="11">
        <v>2032091</v>
      </c>
      <c r="K943" s="11">
        <v>8620527</v>
      </c>
      <c r="L943" s="3">
        <v>155</v>
      </c>
      <c r="M943" s="3">
        <v>924</v>
      </c>
      <c r="N943" s="3">
        <v>1004972</v>
      </c>
      <c r="O943" s="2">
        <v>0.105</v>
      </c>
      <c r="P943" s="2">
        <v>0.45</v>
      </c>
      <c r="Q943" s="2">
        <v>0.32400000000000001</v>
      </c>
      <c r="R943" s="11">
        <v>182028893</v>
      </c>
      <c r="S943" s="11">
        <v>1382066</v>
      </c>
      <c r="T943">
        <v>2017</v>
      </c>
      <c r="U943">
        <v>3</v>
      </c>
      <c r="V943">
        <f t="shared" si="84"/>
        <v>600000</v>
      </c>
      <c r="W943">
        <f t="shared" si="85"/>
        <v>18429897</v>
      </c>
      <c r="X943">
        <f t="shared" si="86"/>
        <v>17829897</v>
      </c>
      <c r="Y943">
        <f t="shared" si="87"/>
        <v>-26144845.5</v>
      </c>
      <c r="Z943">
        <f t="shared" si="88"/>
        <v>45174742.5</v>
      </c>
      <c r="AA943" t="str">
        <f t="shared" si="89"/>
        <v>Normal</v>
      </c>
      <c r="AE943" s="2"/>
      <c r="AF943" s="2"/>
    </row>
    <row r="944" spans="1:32" x14ac:dyDescent="0.35">
      <c r="A944">
        <v>943</v>
      </c>
      <c r="B944" s="1">
        <v>42800</v>
      </c>
      <c r="C944" s="9" t="s">
        <v>1708</v>
      </c>
      <c r="D944" s="9" t="s">
        <v>4988</v>
      </c>
      <c r="E944" s="9" t="s">
        <v>6447</v>
      </c>
      <c r="F944" s="9" t="s">
        <v>31</v>
      </c>
      <c r="G944" s="9" t="s">
        <v>1709</v>
      </c>
      <c r="H944" s="9" t="s">
        <v>105</v>
      </c>
      <c r="I944" s="11">
        <v>1790000</v>
      </c>
      <c r="J944" s="11">
        <v>4570305</v>
      </c>
      <c r="K944" s="11">
        <v>11485053</v>
      </c>
      <c r="L944" s="3">
        <v>136</v>
      </c>
      <c r="M944" s="3">
        <v>2505.5</v>
      </c>
      <c r="N944" s="3">
        <v>269802</v>
      </c>
      <c r="O944" s="2">
        <v>-0.13800000000000001</v>
      </c>
      <c r="P944" s="2">
        <v>0.40100000000000002</v>
      </c>
      <c r="Q944" s="2">
        <v>1</v>
      </c>
      <c r="R944" s="11">
        <v>200976772</v>
      </c>
      <c r="S944" s="11">
        <v>1067590</v>
      </c>
      <c r="T944">
        <v>2017</v>
      </c>
      <c r="U944">
        <v>3</v>
      </c>
      <c r="V944">
        <f t="shared" si="84"/>
        <v>600000</v>
      </c>
      <c r="W944">
        <f t="shared" si="85"/>
        <v>18429897</v>
      </c>
      <c r="X944">
        <f t="shared" si="86"/>
        <v>17829897</v>
      </c>
      <c r="Y944">
        <f t="shared" si="87"/>
        <v>-26144845.5</v>
      </c>
      <c r="Z944">
        <f t="shared" si="88"/>
        <v>45174742.5</v>
      </c>
      <c r="AA944" t="str">
        <f t="shared" si="89"/>
        <v>Normal</v>
      </c>
      <c r="AE944" s="2"/>
      <c r="AF944" s="2"/>
    </row>
    <row r="945" spans="1:32" x14ac:dyDescent="0.35">
      <c r="A945">
        <v>944</v>
      </c>
      <c r="B945" s="1">
        <v>42801</v>
      </c>
      <c r="C945" s="9" t="s">
        <v>1710</v>
      </c>
      <c r="D945" s="9" t="s">
        <v>4930</v>
      </c>
      <c r="E945" s="9" t="s">
        <v>6448</v>
      </c>
      <c r="F945" s="9" t="s">
        <v>41</v>
      </c>
      <c r="G945" s="9" t="s">
        <v>853</v>
      </c>
      <c r="H945" s="9" t="s">
        <v>105</v>
      </c>
      <c r="I945" s="11">
        <v>10000000</v>
      </c>
      <c r="J945" s="11">
        <v>2381360</v>
      </c>
      <c r="K945" s="11">
        <v>13067221</v>
      </c>
      <c r="L945" s="3">
        <v>405</v>
      </c>
      <c r="M945" s="3">
        <v>1025</v>
      </c>
      <c r="N945" s="3">
        <v>212978</v>
      </c>
      <c r="O945" s="2">
        <v>-0.18</v>
      </c>
      <c r="P945" s="2">
        <v>0.73399999999999999</v>
      </c>
      <c r="Q945" s="2">
        <v>0.52800000000000002</v>
      </c>
      <c r="R945" s="11">
        <v>88474016</v>
      </c>
      <c r="S945" s="11">
        <v>1816048</v>
      </c>
      <c r="T945">
        <v>2017</v>
      </c>
      <c r="U945">
        <v>3</v>
      </c>
      <c r="V945">
        <f t="shared" si="84"/>
        <v>600000</v>
      </c>
      <c r="W945">
        <f t="shared" si="85"/>
        <v>18429897</v>
      </c>
      <c r="X945">
        <f t="shared" si="86"/>
        <v>17829897</v>
      </c>
      <c r="Y945">
        <f t="shared" si="87"/>
        <v>-26144845.5</v>
      </c>
      <c r="Z945">
        <f t="shared" si="88"/>
        <v>45174742.5</v>
      </c>
      <c r="AA945" t="str">
        <f t="shared" si="89"/>
        <v>Normal</v>
      </c>
      <c r="AE945" s="2"/>
      <c r="AF945" s="2"/>
    </row>
    <row r="946" spans="1:32" x14ac:dyDescent="0.35">
      <c r="A946">
        <v>945</v>
      </c>
      <c r="B946" s="1">
        <v>42801</v>
      </c>
      <c r="C946" s="9" t="s">
        <v>1711</v>
      </c>
      <c r="D946" s="9" t="s">
        <v>4930</v>
      </c>
      <c r="E946" s="9" t="s">
        <v>6449</v>
      </c>
      <c r="F946" s="9" t="s">
        <v>15</v>
      </c>
      <c r="G946" s="9" t="s">
        <v>1712</v>
      </c>
      <c r="H946" s="9" t="s">
        <v>105</v>
      </c>
      <c r="I946" s="11">
        <v>10000000</v>
      </c>
      <c r="J946" s="11">
        <v>664095</v>
      </c>
      <c r="K946" s="11">
        <v>13527554</v>
      </c>
      <c r="L946" s="3">
        <v>480</v>
      </c>
      <c r="M946" s="3">
        <v>4749</v>
      </c>
      <c r="N946" s="3">
        <v>244247</v>
      </c>
      <c r="O946" s="2">
        <v>6.0999999999999999E-2</v>
      </c>
      <c r="P946" s="2">
        <v>0.66299999999999992</v>
      </c>
      <c r="Q946" s="2">
        <v>0.159</v>
      </c>
      <c r="R946" s="11">
        <v>475768183</v>
      </c>
      <c r="S946" s="11">
        <v>1419203</v>
      </c>
      <c r="T946">
        <v>2017</v>
      </c>
      <c r="U946">
        <v>3</v>
      </c>
      <c r="V946">
        <f t="shared" si="84"/>
        <v>600000</v>
      </c>
      <c r="W946">
        <f t="shared" si="85"/>
        <v>18429897</v>
      </c>
      <c r="X946">
        <f t="shared" si="86"/>
        <v>17829897</v>
      </c>
      <c r="Y946">
        <f t="shared" si="87"/>
        <v>-26144845.5</v>
      </c>
      <c r="Z946">
        <f t="shared" si="88"/>
        <v>45174742.5</v>
      </c>
      <c r="AA946" t="str">
        <f t="shared" si="89"/>
        <v>Normal</v>
      </c>
      <c r="AE946" s="2"/>
      <c r="AF946" s="2"/>
    </row>
    <row r="947" spans="1:32" x14ac:dyDescent="0.35">
      <c r="A947">
        <v>946</v>
      </c>
      <c r="B947" s="1">
        <v>42801</v>
      </c>
      <c r="C947" s="9" t="s">
        <v>1713</v>
      </c>
      <c r="D947" s="9" t="s">
        <v>4930</v>
      </c>
      <c r="E947" s="9" t="s">
        <v>6450</v>
      </c>
      <c r="F947" s="9" t="s">
        <v>63</v>
      </c>
      <c r="G947" s="9" t="s">
        <v>1714</v>
      </c>
      <c r="H947" s="9" t="s">
        <v>105</v>
      </c>
      <c r="I947" s="11">
        <v>1000000</v>
      </c>
      <c r="J947" s="11">
        <v>613703</v>
      </c>
      <c r="K947" s="11">
        <v>7946089</v>
      </c>
      <c r="L947" s="3">
        <v>495</v>
      </c>
      <c r="M947" s="3">
        <v>3258</v>
      </c>
      <c r="N947" s="3">
        <v>930917</v>
      </c>
      <c r="O947" s="2">
        <v>1.6E-2</v>
      </c>
      <c r="P947" s="2">
        <v>0.35</v>
      </c>
      <c r="Q947" s="2">
        <v>5.5999999999999994E-2</v>
      </c>
      <c r="R947" s="11">
        <v>327060515</v>
      </c>
      <c r="S947" s="11">
        <v>1115225</v>
      </c>
      <c r="T947">
        <v>2017</v>
      </c>
      <c r="U947">
        <v>3</v>
      </c>
      <c r="V947">
        <f t="shared" si="84"/>
        <v>600000</v>
      </c>
      <c r="W947">
        <f t="shared" si="85"/>
        <v>18429897</v>
      </c>
      <c r="X947">
        <f t="shared" si="86"/>
        <v>17829897</v>
      </c>
      <c r="Y947">
        <f t="shared" si="87"/>
        <v>-26144845.5</v>
      </c>
      <c r="Z947">
        <f t="shared" si="88"/>
        <v>45174742.5</v>
      </c>
      <c r="AA947" t="str">
        <f t="shared" si="89"/>
        <v>Normal</v>
      </c>
      <c r="AE947" s="2"/>
      <c r="AF947" s="2"/>
    </row>
    <row r="948" spans="1:32" x14ac:dyDescent="0.35">
      <c r="A948">
        <v>947</v>
      </c>
      <c r="B948" s="1">
        <v>42801</v>
      </c>
      <c r="C948" s="9" t="s">
        <v>1715</v>
      </c>
      <c r="D948" s="9" t="s">
        <v>4988</v>
      </c>
      <c r="E948" s="9" t="s">
        <v>6451</v>
      </c>
      <c r="F948" s="9" t="s">
        <v>27</v>
      </c>
      <c r="G948" s="9" t="s">
        <v>1716</v>
      </c>
      <c r="H948" s="9" t="s">
        <v>86</v>
      </c>
      <c r="I948" s="11">
        <v>30000</v>
      </c>
      <c r="J948" s="11">
        <v>4867561</v>
      </c>
      <c r="K948" s="11">
        <v>17102845</v>
      </c>
      <c r="L948" s="3">
        <v>137</v>
      </c>
      <c r="M948" s="3">
        <v>4290</v>
      </c>
      <c r="N948" s="3">
        <v>616270</v>
      </c>
      <c r="O948" s="2">
        <v>0.61399999999999999</v>
      </c>
      <c r="P948" s="2">
        <v>0.78099999999999992</v>
      </c>
      <c r="Q948" s="2">
        <v>-0.19600000000000001</v>
      </c>
      <c r="R948" s="11">
        <v>270083013</v>
      </c>
      <c r="S948" s="11">
        <v>982789</v>
      </c>
      <c r="T948">
        <v>2017</v>
      </c>
      <c r="U948">
        <v>3</v>
      </c>
      <c r="V948">
        <f t="shared" si="84"/>
        <v>600000</v>
      </c>
      <c r="W948">
        <f t="shared" si="85"/>
        <v>18429897</v>
      </c>
      <c r="X948">
        <f t="shared" si="86"/>
        <v>17829897</v>
      </c>
      <c r="Y948">
        <f t="shared" si="87"/>
        <v>-26144845.5</v>
      </c>
      <c r="Z948">
        <f t="shared" si="88"/>
        <v>45174742.5</v>
      </c>
      <c r="AA948" t="str">
        <f t="shared" si="89"/>
        <v>Normal</v>
      </c>
      <c r="AE948" s="2"/>
      <c r="AF948" s="2"/>
    </row>
    <row r="949" spans="1:32" x14ac:dyDescent="0.35">
      <c r="A949">
        <v>948</v>
      </c>
      <c r="B949" s="1">
        <v>42801</v>
      </c>
      <c r="C949" s="9" t="s">
        <v>1717</v>
      </c>
      <c r="D949" s="9" t="s">
        <v>4988</v>
      </c>
      <c r="E949" s="9" t="s">
        <v>6452</v>
      </c>
      <c r="F949" s="9" t="s">
        <v>15</v>
      </c>
      <c r="G949" s="9" t="s">
        <v>1718</v>
      </c>
      <c r="H949" s="9" t="s">
        <v>105</v>
      </c>
      <c r="I949" s="11">
        <v>3650000</v>
      </c>
      <c r="J949" s="11">
        <v>687791</v>
      </c>
      <c r="K949" s="11">
        <v>16291994</v>
      </c>
      <c r="L949" s="3">
        <v>297</v>
      </c>
      <c r="M949" s="3">
        <v>1516</v>
      </c>
      <c r="N949" s="3">
        <v>1789252</v>
      </c>
      <c r="O949" s="2">
        <v>9.6000000000000002E-2</v>
      </c>
      <c r="P949" s="2">
        <v>0.77400000000000002</v>
      </c>
      <c r="Q949" s="2">
        <v>0.36749999999999999</v>
      </c>
      <c r="R949" s="11">
        <v>150691139</v>
      </c>
      <c r="S949" s="11">
        <v>666267</v>
      </c>
      <c r="T949">
        <v>2017</v>
      </c>
      <c r="U949">
        <v>3</v>
      </c>
      <c r="V949">
        <f t="shared" si="84"/>
        <v>600000</v>
      </c>
      <c r="W949">
        <f t="shared" si="85"/>
        <v>18429897</v>
      </c>
      <c r="X949">
        <f t="shared" si="86"/>
        <v>17829897</v>
      </c>
      <c r="Y949">
        <f t="shared" si="87"/>
        <v>-26144845.5</v>
      </c>
      <c r="Z949">
        <f t="shared" si="88"/>
        <v>45174742.5</v>
      </c>
      <c r="AA949" t="str">
        <f t="shared" si="89"/>
        <v>Normal</v>
      </c>
      <c r="AE949" s="2"/>
      <c r="AF949" s="2"/>
    </row>
    <row r="950" spans="1:32" x14ac:dyDescent="0.35">
      <c r="A950">
        <v>949</v>
      </c>
      <c r="B950" s="1">
        <v>42802</v>
      </c>
      <c r="C950" s="9" t="s">
        <v>49</v>
      </c>
      <c r="D950" s="9" t="s">
        <v>4928</v>
      </c>
      <c r="E950" s="9" t="s">
        <v>6453</v>
      </c>
      <c r="F950" s="9" t="s">
        <v>19</v>
      </c>
      <c r="G950" s="9" t="s">
        <v>1719</v>
      </c>
      <c r="H950" s="9" t="s">
        <v>105</v>
      </c>
      <c r="I950" s="11">
        <v>15000000</v>
      </c>
      <c r="J950" s="11">
        <v>4740298</v>
      </c>
      <c r="K950" s="11">
        <v>18851128</v>
      </c>
      <c r="L950" s="3">
        <v>149</v>
      </c>
      <c r="M950" s="3">
        <v>2505.5</v>
      </c>
      <c r="N950" s="3">
        <v>1526302</v>
      </c>
      <c r="O950" s="2">
        <v>0.129</v>
      </c>
      <c r="P950" s="2">
        <v>0.80500000000000005</v>
      </c>
      <c r="Q950" s="2">
        <v>-2.7999999999999997E-2</v>
      </c>
      <c r="R950" s="11">
        <v>482933349</v>
      </c>
      <c r="S950" s="11">
        <v>22925</v>
      </c>
      <c r="T950">
        <v>2017</v>
      </c>
      <c r="U950">
        <v>3</v>
      </c>
      <c r="V950">
        <f t="shared" si="84"/>
        <v>600000</v>
      </c>
      <c r="W950">
        <f t="shared" si="85"/>
        <v>18429897</v>
      </c>
      <c r="X950">
        <f t="shared" si="86"/>
        <v>17829897</v>
      </c>
      <c r="Y950">
        <f t="shared" si="87"/>
        <v>-26144845.5</v>
      </c>
      <c r="Z950">
        <f t="shared" si="88"/>
        <v>45174742.5</v>
      </c>
      <c r="AA950" t="str">
        <f t="shared" si="89"/>
        <v>Normal</v>
      </c>
      <c r="AE950" s="2"/>
      <c r="AF950" s="2"/>
    </row>
    <row r="951" spans="1:32" x14ac:dyDescent="0.35">
      <c r="A951">
        <v>950</v>
      </c>
      <c r="B951" s="1">
        <v>42802</v>
      </c>
      <c r="C951" s="9" t="s">
        <v>1720</v>
      </c>
      <c r="D951" s="9" t="s">
        <v>4930</v>
      </c>
      <c r="E951" s="9" t="s">
        <v>6454</v>
      </c>
      <c r="F951" s="9" t="s">
        <v>35</v>
      </c>
      <c r="G951" s="9" t="s">
        <v>1721</v>
      </c>
      <c r="H951" s="9" t="s">
        <v>86</v>
      </c>
      <c r="I951" s="11">
        <v>1100000</v>
      </c>
      <c r="J951" s="11">
        <v>2531926</v>
      </c>
      <c r="K951" s="11">
        <v>11560793</v>
      </c>
      <c r="L951" s="3">
        <v>100</v>
      </c>
      <c r="M951" s="3">
        <v>3294</v>
      </c>
      <c r="N951" s="3">
        <v>286183</v>
      </c>
      <c r="O951" s="2">
        <v>3.9E-2</v>
      </c>
      <c r="P951" s="2">
        <v>0.61399999999999999</v>
      </c>
      <c r="Q951" s="2">
        <v>0.192</v>
      </c>
      <c r="R951" s="11">
        <v>99439000</v>
      </c>
      <c r="S951" s="11">
        <v>1437022</v>
      </c>
      <c r="T951">
        <v>2017</v>
      </c>
      <c r="U951">
        <v>3</v>
      </c>
      <c r="V951">
        <f t="shared" si="84"/>
        <v>600000</v>
      </c>
      <c r="W951">
        <f t="shared" si="85"/>
        <v>18429897</v>
      </c>
      <c r="X951">
        <f t="shared" si="86"/>
        <v>17829897</v>
      </c>
      <c r="Y951">
        <f t="shared" si="87"/>
        <v>-26144845.5</v>
      </c>
      <c r="Z951">
        <f t="shared" si="88"/>
        <v>45174742.5</v>
      </c>
      <c r="AA951" t="str">
        <f t="shared" si="89"/>
        <v>Normal</v>
      </c>
      <c r="AE951" s="2"/>
      <c r="AF951" s="2"/>
    </row>
    <row r="952" spans="1:32" x14ac:dyDescent="0.35">
      <c r="A952">
        <v>951</v>
      </c>
      <c r="B952" s="1">
        <v>42802</v>
      </c>
      <c r="C952" s="9" t="s">
        <v>1561</v>
      </c>
      <c r="D952" s="9" t="s">
        <v>4988</v>
      </c>
      <c r="E952" s="9" t="s">
        <v>6455</v>
      </c>
      <c r="F952" s="9" t="s">
        <v>31</v>
      </c>
      <c r="G952" s="9" t="s">
        <v>387</v>
      </c>
      <c r="H952" s="9" t="s">
        <v>86</v>
      </c>
      <c r="I952" s="11">
        <v>120000</v>
      </c>
      <c r="J952" s="11">
        <v>485177</v>
      </c>
      <c r="K952" s="11">
        <v>1641425</v>
      </c>
      <c r="L952" s="3">
        <v>196</v>
      </c>
      <c r="M952" s="3">
        <v>1887</v>
      </c>
      <c r="N952" s="3">
        <v>1006379</v>
      </c>
      <c r="O952" s="2">
        <v>0.24399999999999999</v>
      </c>
      <c r="P952" s="2">
        <v>0.49</v>
      </c>
      <c r="Q952" s="2">
        <v>0.68300000000000005</v>
      </c>
      <c r="R952" s="11">
        <v>450480337</v>
      </c>
      <c r="S952" s="11">
        <v>1564532</v>
      </c>
      <c r="T952">
        <v>2017</v>
      </c>
      <c r="U952">
        <v>3</v>
      </c>
      <c r="V952">
        <f t="shared" si="84"/>
        <v>600000</v>
      </c>
      <c r="W952">
        <f t="shared" si="85"/>
        <v>18429897</v>
      </c>
      <c r="X952">
        <f t="shared" si="86"/>
        <v>17829897</v>
      </c>
      <c r="Y952">
        <f t="shared" si="87"/>
        <v>-26144845.5</v>
      </c>
      <c r="Z952">
        <f t="shared" si="88"/>
        <v>45174742.5</v>
      </c>
      <c r="AA952" t="str">
        <f t="shared" si="89"/>
        <v>Normal</v>
      </c>
      <c r="AE952" s="2"/>
      <c r="AF952" s="2"/>
    </row>
    <row r="953" spans="1:32" x14ac:dyDescent="0.35">
      <c r="A953">
        <v>952</v>
      </c>
      <c r="B953" s="1">
        <v>42802</v>
      </c>
      <c r="C953" s="9" t="s">
        <v>1722</v>
      </c>
      <c r="D953" s="9" t="s">
        <v>4988</v>
      </c>
      <c r="E953" s="9" t="s">
        <v>6456</v>
      </c>
      <c r="F953" s="9" t="s">
        <v>19</v>
      </c>
      <c r="G953" s="9" t="s">
        <v>1723</v>
      </c>
      <c r="H953" s="9" t="s">
        <v>105</v>
      </c>
      <c r="I953" s="11">
        <v>18429897</v>
      </c>
      <c r="J953" s="11">
        <v>1537428</v>
      </c>
      <c r="K953" s="11">
        <v>10153449</v>
      </c>
      <c r="L953" s="3">
        <v>35</v>
      </c>
      <c r="M953" s="3">
        <v>2773</v>
      </c>
      <c r="N953" s="3">
        <v>1531532</v>
      </c>
      <c r="O953" s="2">
        <v>0.17599999999999999</v>
      </c>
      <c r="P953" s="2">
        <v>0.52800000000000002</v>
      </c>
      <c r="Q953" s="2">
        <v>0.11700000000000001</v>
      </c>
      <c r="R953" s="11">
        <v>442447871</v>
      </c>
      <c r="S953" s="11">
        <v>115197</v>
      </c>
      <c r="T953">
        <v>2017</v>
      </c>
      <c r="U953">
        <v>3</v>
      </c>
      <c r="V953">
        <f t="shared" si="84"/>
        <v>600000</v>
      </c>
      <c r="W953">
        <f t="shared" si="85"/>
        <v>18429897</v>
      </c>
      <c r="X953">
        <f t="shared" si="86"/>
        <v>17829897</v>
      </c>
      <c r="Y953">
        <f t="shared" si="87"/>
        <v>-26144845.5</v>
      </c>
      <c r="Z953">
        <f t="shared" si="88"/>
        <v>45174742.5</v>
      </c>
      <c r="AA953" t="str">
        <f t="shared" si="89"/>
        <v>Normal</v>
      </c>
      <c r="AE953" s="2"/>
      <c r="AF953" s="2"/>
    </row>
    <row r="954" spans="1:32" x14ac:dyDescent="0.35">
      <c r="A954">
        <v>953</v>
      </c>
      <c r="B954" s="1">
        <v>42803</v>
      </c>
      <c r="C954" s="9" t="s">
        <v>1724</v>
      </c>
      <c r="D954" s="9" t="s">
        <v>4988</v>
      </c>
      <c r="E954" s="9" t="s">
        <v>6457</v>
      </c>
      <c r="F954" s="9" t="s">
        <v>15</v>
      </c>
      <c r="G954" s="9" t="s">
        <v>1725</v>
      </c>
      <c r="H954" s="9" t="s">
        <v>86</v>
      </c>
      <c r="I954" s="11">
        <v>500000</v>
      </c>
      <c r="J954" s="11">
        <v>2531926</v>
      </c>
      <c r="K954" s="11">
        <v>1681870</v>
      </c>
      <c r="L954" s="3">
        <v>86</v>
      </c>
      <c r="M954" s="3">
        <v>2313</v>
      </c>
      <c r="N954" s="3">
        <v>1308454</v>
      </c>
      <c r="O954" s="2">
        <v>-0.8</v>
      </c>
      <c r="P954" s="2">
        <v>1.034</v>
      </c>
      <c r="Q954" s="2">
        <v>0.248</v>
      </c>
      <c r="R954" s="11">
        <v>173188328</v>
      </c>
      <c r="S954" s="11">
        <v>908889</v>
      </c>
      <c r="T954">
        <v>2017</v>
      </c>
      <c r="U954">
        <v>3</v>
      </c>
      <c r="V954">
        <f t="shared" si="84"/>
        <v>600000</v>
      </c>
      <c r="W954">
        <f t="shared" si="85"/>
        <v>18429897</v>
      </c>
      <c r="X954">
        <f t="shared" si="86"/>
        <v>17829897</v>
      </c>
      <c r="Y954">
        <f t="shared" si="87"/>
        <v>-26144845.5</v>
      </c>
      <c r="Z954">
        <f t="shared" si="88"/>
        <v>45174742.5</v>
      </c>
      <c r="AA954" t="str">
        <f t="shared" si="89"/>
        <v>Normal</v>
      </c>
      <c r="AE954" s="2"/>
      <c r="AF954" s="2"/>
    </row>
    <row r="955" spans="1:32" x14ac:dyDescent="0.35">
      <c r="A955">
        <v>954</v>
      </c>
      <c r="B955" s="1">
        <v>42803</v>
      </c>
      <c r="C955" s="9" t="s">
        <v>1726</v>
      </c>
      <c r="D955" s="9" t="s">
        <v>4988</v>
      </c>
      <c r="E955" s="9" t="s">
        <v>6458</v>
      </c>
      <c r="F955" s="9" t="s">
        <v>31</v>
      </c>
      <c r="G955" s="9" t="s">
        <v>1727</v>
      </c>
      <c r="H955" s="9" t="s">
        <v>105</v>
      </c>
      <c r="I955" s="11">
        <v>4500000</v>
      </c>
      <c r="J955" s="11">
        <v>2150958</v>
      </c>
      <c r="K955" s="11">
        <v>3956052</v>
      </c>
      <c r="L955" s="3">
        <v>299</v>
      </c>
      <c r="M955" s="3">
        <v>1641</v>
      </c>
      <c r="N955" s="3">
        <v>18853</v>
      </c>
      <c r="O955" s="2">
        <v>-8.199999999999999E-2</v>
      </c>
      <c r="P955" s="2">
        <v>0.82499999999999996</v>
      </c>
      <c r="Q955" s="2">
        <v>-0.107</v>
      </c>
      <c r="R955" s="11">
        <v>91885680</v>
      </c>
      <c r="S955" s="11">
        <v>670273</v>
      </c>
      <c r="T955">
        <v>2017</v>
      </c>
      <c r="U955">
        <v>3</v>
      </c>
      <c r="V955">
        <f t="shared" si="84"/>
        <v>600000</v>
      </c>
      <c r="W955">
        <f t="shared" si="85"/>
        <v>18429897</v>
      </c>
      <c r="X955">
        <f t="shared" si="86"/>
        <v>17829897</v>
      </c>
      <c r="Y955">
        <f t="shared" si="87"/>
        <v>-26144845.5</v>
      </c>
      <c r="Z955">
        <f t="shared" si="88"/>
        <v>45174742.5</v>
      </c>
      <c r="AA955" t="str">
        <f t="shared" si="89"/>
        <v>Normal</v>
      </c>
      <c r="AE955" s="2"/>
      <c r="AF955" s="2"/>
    </row>
    <row r="956" spans="1:32" x14ac:dyDescent="0.35">
      <c r="A956">
        <v>955</v>
      </c>
      <c r="B956" s="1">
        <v>42804</v>
      </c>
      <c r="C956" s="9" t="s">
        <v>1728</v>
      </c>
      <c r="D956" s="9" t="s">
        <v>2539</v>
      </c>
      <c r="E956" s="9" t="s">
        <v>6459</v>
      </c>
      <c r="F956" s="9" t="s">
        <v>27</v>
      </c>
      <c r="G956" s="9" t="s">
        <v>1315</v>
      </c>
      <c r="H956" s="9" t="s">
        <v>86</v>
      </c>
      <c r="I956" s="11">
        <v>443000</v>
      </c>
      <c r="J956" s="11">
        <v>3932190</v>
      </c>
      <c r="K956" s="11">
        <v>5774978</v>
      </c>
      <c r="L956" s="3">
        <v>345</v>
      </c>
      <c r="M956" s="3">
        <v>2505.5</v>
      </c>
      <c r="N956" s="3">
        <v>12487</v>
      </c>
      <c r="O956" s="2">
        <v>0.04</v>
      </c>
      <c r="P956" s="2">
        <v>0.59799999999999998</v>
      </c>
      <c r="Q956" s="2">
        <v>0.152</v>
      </c>
      <c r="R956" s="11">
        <v>395763544</v>
      </c>
      <c r="S956" s="11">
        <v>1928484</v>
      </c>
      <c r="T956">
        <v>2017</v>
      </c>
      <c r="U956">
        <v>3</v>
      </c>
      <c r="V956">
        <f t="shared" si="84"/>
        <v>600000</v>
      </c>
      <c r="W956">
        <f t="shared" si="85"/>
        <v>18429897</v>
      </c>
      <c r="X956">
        <f t="shared" si="86"/>
        <v>17829897</v>
      </c>
      <c r="Y956">
        <f t="shared" si="87"/>
        <v>-26144845.5</v>
      </c>
      <c r="Z956">
        <f t="shared" si="88"/>
        <v>45174742.5</v>
      </c>
      <c r="AA956" t="str">
        <f t="shared" si="89"/>
        <v>Normal</v>
      </c>
      <c r="AE956" s="2"/>
      <c r="AF956" s="2"/>
    </row>
    <row r="957" spans="1:32" x14ac:dyDescent="0.35">
      <c r="A957">
        <v>956</v>
      </c>
      <c r="B957" s="1">
        <v>42804</v>
      </c>
      <c r="C957" s="9" t="s">
        <v>1729</v>
      </c>
      <c r="D957" s="9" t="s">
        <v>4925</v>
      </c>
      <c r="E957" s="9" t="s">
        <v>6460</v>
      </c>
      <c r="F957" s="9" t="s">
        <v>27</v>
      </c>
      <c r="G957" s="9" t="s">
        <v>1730</v>
      </c>
      <c r="H957" s="9" t="s">
        <v>86</v>
      </c>
      <c r="I957" s="11">
        <v>18429897</v>
      </c>
      <c r="J957" s="11">
        <v>3062717</v>
      </c>
      <c r="K957" s="11">
        <v>3781163</v>
      </c>
      <c r="L957" s="3">
        <v>254</v>
      </c>
      <c r="M957" s="3">
        <v>2529</v>
      </c>
      <c r="N957" s="3">
        <v>1167595</v>
      </c>
      <c r="O957" s="2">
        <v>-4.9000000000000002E-2</v>
      </c>
      <c r="P957" s="2">
        <v>0.50800000000000001</v>
      </c>
      <c r="Q957" s="2">
        <v>0.11900000000000001</v>
      </c>
      <c r="R957" s="11">
        <v>448500532</v>
      </c>
      <c r="S957" s="11">
        <v>1644822</v>
      </c>
      <c r="T957">
        <v>2017</v>
      </c>
      <c r="U957">
        <v>3</v>
      </c>
      <c r="V957">
        <f t="shared" si="84"/>
        <v>600000</v>
      </c>
      <c r="W957">
        <f t="shared" si="85"/>
        <v>18429897</v>
      </c>
      <c r="X957">
        <f t="shared" si="86"/>
        <v>17829897</v>
      </c>
      <c r="Y957">
        <f t="shared" si="87"/>
        <v>-26144845.5</v>
      </c>
      <c r="Z957">
        <f t="shared" si="88"/>
        <v>45174742.5</v>
      </c>
      <c r="AA957" t="str">
        <f t="shared" si="89"/>
        <v>Normal</v>
      </c>
      <c r="AE957" s="2"/>
      <c r="AF957" s="2"/>
    </row>
    <row r="958" spans="1:32" x14ac:dyDescent="0.35">
      <c r="A958">
        <v>957</v>
      </c>
      <c r="B958" s="1">
        <v>42804</v>
      </c>
      <c r="C958" s="9" t="s">
        <v>1731</v>
      </c>
      <c r="D958" s="9" t="s">
        <v>4930</v>
      </c>
      <c r="E958" s="9" t="s">
        <v>6461</v>
      </c>
      <c r="F958" s="9" t="s">
        <v>15</v>
      </c>
      <c r="G958" s="9" t="s">
        <v>1525</v>
      </c>
      <c r="H958" s="9" t="s">
        <v>86</v>
      </c>
      <c r="I958" s="11">
        <v>600000</v>
      </c>
      <c r="J958" s="11">
        <v>2015904</v>
      </c>
      <c r="K958" s="11">
        <v>14502453</v>
      </c>
      <c r="L958" s="3">
        <v>280</v>
      </c>
      <c r="M958" s="3">
        <v>3192</v>
      </c>
      <c r="N958" s="3">
        <v>1847416</v>
      </c>
      <c r="O958" s="2">
        <v>7.3999999999999996E-2</v>
      </c>
      <c r="P958" s="2">
        <v>0.55000000000000004</v>
      </c>
      <c r="Q958" s="2">
        <v>-0.13600000000000001</v>
      </c>
      <c r="R958" s="11">
        <v>90270237</v>
      </c>
      <c r="S958" s="11">
        <v>66754</v>
      </c>
      <c r="T958">
        <v>2017</v>
      </c>
      <c r="U958">
        <v>3</v>
      </c>
      <c r="V958">
        <f t="shared" si="84"/>
        <v>600000</v>
      </c>
      <c r="W958">
        <f t="shared" si="85"/>
        <v>18429897</v>
      </c>
      <c r="X958">
        <f t="shared" si="86"/>
        <v>17829897</v>
      </c>
      <c r="Y958">
        <f t="shared" si="87"/>
        <v>-26144845.5</v>
      </c>
      <c r="Z958">
        <f t="shared" si="88"/>
        <v>45174742.5</v>
      </c>
      <c r="AA958" t="str">
        <f t="shared" si="89"/>
        <v>Normal</v>
      </c>
      <c r="AE958" s="2"/>
      <c r="AF958" s="2"/>
    </row>
    <row r="959" spans="1:32" x14ac:dyDescent="0.35">
      <c r="A959">
        <v>958</v>
      </c>
      <c r="B959" s="1">
        <v>42804</v>
      </c>
      <c r="C959" s="9" t="s">
        <v>1732</v>
      </c>
      <c r="D959" s="9" t="s">
        <v>4988</v>
      </c>
      <c r="E959" s="9" t="s">
        <v>6462</v>
      </c>
      <c r="F959" s="9" t="s">
        <v>15</v>
      </c>
      <c r="G959" s="9" t="s">
        <v>1733</v>
      </c>
      <c r="H959" s="9" t="s">
        <v>86</v>
      </c>
      <c r="I959" s="11">
        <v>18429897</v>
      </c>
      <c r="J959" s="11">
        <v>3180453</v>
      </c>
      <c r="K959" s="11">
        <v>8863498</v>
      </c>
      <c r="L959" s="3">
        <v>383</v>
      </c>
      <c r="M959" s="3">
        <v>3377</v>
      </c>
      <c r="N959" s="3">
        <v>101119</v>
      </c>
      <c r="O959" s="2">
        <v>0.14800000000000002</v>
      </c>
      <c r="P959" s="2">
        <v>1.0629999999999999E-2</v>
      </c>
      <c r="Q959" s="2">
        <v>0.435</v>
      </c>
      <c r="R959" s="11">
        <v>459439052</v>
      </c>
      <c r="S959" s="11">
        <v>825876</v>
      </c>
      <c r="T959">
        <v>2017</v>
      </c>
      <c r="U959">
        <v>3</v>
      </c>
      <c r="V959">
        <f t="shared" si="84"/>
        <v>600000</v>
      </c>
      <c r="W959">
        <f t="shared" si="85"/>
        <v>18429897</v>
      </c>
      <c r="X959">
        <f t="shared" si="86"/>
        <v>17829897</v>
      </c>
      <c r="Y959">
        <f t="shared" si="87"/>
        <v>-26144845.5</v>
      </c>
      <c r="Z959">
        <f t="shared" si="88"/>
        <v>45174742.5</v>
      </c>
      <c r="AA959" t="str">
        <f t="shared" si="89"/>
        <v>Normal</v>
      </c>
      <c r="AE959" s="2"/>
      <c r="AF959" s="2"/>
    </row>
    <row r="960" spans="1:32" x14ac:dyDescent="0.35">
      <c r="A960">
        <v>959</v>
      </c>
      <c r="B960" s="1">
        <v>42808</v>
      </c>
      <c r="C960" s="9" t="s">
        <v>1734</v>
      </c>
      <c r="D960" s="9" t="s">
        <v>4988</v>
      </c>
      <c r="E960" s="9" t="s">
        <v>6463</v>
      </c>
      <c r="F960" s="9" t="s">
        <v>27</v>
      </c>
      <c r="G960" s="9" t="s">
        <v>1735</v>
      </c>
      <c r="H960" s="9" t="s">
        <v>105</v>
      </c>
      <c r="I960" s="11">
        <v>18429897</v>
      </c>
      <c r="J960" s="11">
        <v>4857883</v>
      </c>
      <c r="K960" s="11">
        <v>4464617</v>
      </c>
      <c r="L960" s="3">
        <v>447</v>
      </c>
      <c r="M960" s="3">
        <v>3407</v>
      </c>
      <c r="N960" s="3">
        <v>331455</v>
      </c>
      <c r="O960" s="2">
        <v>0.02</v>
      </c>
      <c r="P960" s="2">
        <v>0.92799999999999994</v>
      </c>
      <c r="Q960" s="2">
        <v>6.6000000000000003E-2</v>
      </c>
      <c r="R960" s="11">
        <v>232891352</v>
      </c>
      <c r="S960" s="11">
        <v>1738634</v>
      </c>
      <c r="T960">
        <v>2017</v>
      </c>
      <c r="U960">
        <v>3</v>
      </c>
      <c r="V960">
        <f t="shared" si="84"/>
        <v>600000</v>
      </c>
      <c r="W960">
        <f t="shared" si="85"/>
        <v>18429897</v>
      </c>
      <c r="X960">
        <f t="shared" si="86"/>
        <v>17829897</v>
      </c>
      <c r="Y960">
        <f t="shared" si="87"/>
        <v>-26144845.5</v>
      </c>
      <c r="Z960">
        <f t="shared" si="88"/>
        <v>45174742.5</v>
      </c>
      <c r="AA960" t="str">
        <f t="shared" si="89"/>
        <v>Normal</v>
      </c>
      <c r="AE960" s="2"/>
      <c r="AF960" s="2"/>
    </row>
    <row r="961" spans="1:32" x14ac:dyDescent="0.35">
      <c r="A961">
        <v>960</v>
      </c>
      <c r="B961" s="1">
        <v>42809</v>
      </c>
      <c r="C961" s="9" t="s">
        <v>1736</v>
      </c>
      <c r="D961" s="9" t="s">
        <v>4925</v>
      </c>
      <c r="E961" s="9" t="s">
        <v>6464</v>
      </c>
      <c r="F961" s="9" t="s">
        <v>124</v>
      </c>
      <c r="G961" s="9" t="s">
        <v>1737</v>
      </c>
      <c r="H961" s="9" t="s">
        <v>105</v>
      </c>
      <c r="I961" s="11">
        <v>3350000</v>
      </c>
      <c r="J961" s="11">
        <v>2070818</v>
      </c>
      <c r="K961" s="11">
        <v>194555</v>
      </c>
      <c r="L961" s="3">
        <v>286</v>
      </c>
      <c r="M961" s="3">
        <v>1684</v>
      </c>
      <c r="N961" s="3">
        <v>377382</v>
      </c>
      <c r="O961" s="2">
        <v>0.41100000000000003</v>
      </c>
      <c r="P961" s="2">
        <v>0.30099999999999999</v>
      </c>
      <c r="Q961" s="2">
        <v>0.376</v>
      </c>
      <c r="R961" s="11">
        <v>381021811</v>
      </c>
      <c r="S961" s="11">
        <v>1311000</v>
      </c>
      <c r="T961">
        <v>2017</v>
      </c>
      <c r="U961">
        <v>3</v>
      </c>
      <c r="V961">
        <f t="shared" si="84"/>
        <v>600000</v>
      </c>
      <c r="W961">
        <f t="shared" si="85"/>
        <v>18429897</v>
      </c>
      <c r="X961">
        <f t="shared" si="86"/>
        <v>17829897</v>
      </c>
      <c r="Y961">
        <f t="shared" si="87"/>
        <v>-26144845.5</v>
      </c>
      <c r="Z961">
        <f t="shared" si="88"/>
        <v>45174742.5</v>
      </c>
      <c r="AA961" t="str">
        <f t="shared" si="89"/>
        <v>Normal</v>
      </c>
      <c r="AE961" s="2"/>
      <c r="AF961" s="2"/>
    </row>
    <row r="962" spans="1:32" x14ac:dyDescent="0.35">
      <c r="A962">
        <v>961</v>
      </c>
      <c r="B962" s="1">
        <v>42809</v>
      </c>
      <c r="C962" s="9" t="s">
        <v>1738</v>
      </c>
      <c r="D962" s="9" t="s">
        <v>4988</v>
      </c>
      <c r="E962" s="9" t="s">
        <v>6465</v>
      </c>
      <c r="F962" s="9" t="s">
        <v>554</v>
      </c>
      <c r="G962" s="9" t="s">
        <v>856</v>
      </c>
      <c r="H962" s="9" t="s">
        <v>86</v>
      </c>
      <c r="I962" s="11">
        <v>100000</v>
      </c>
      <c r="J962" s="11">
        <v>784149</v>
      </c>
      <c r="K962" s="11">
        <v>4406194</v>
      </c>
      <c r="L962" s="3">
        <v>124</v>
      </c>
      <c r="M962" s="3">
        <v>3847</v>
      </c>
      <c r="N962" s="3">
        <v>637870</v>
      </c>
      <c r="O962" s="2">
        <v>0.35200000000000004</v>
      </c>
      <c r="P962" s="2">
        <v>0.25600000000000001</v>
      </c>
      <c r="Q962" s="2">
        <v>0.10199999999999999</v>
      </c>
      <c r="R962" s="11">
        <v>350581579</v>
      </c>
      <c r="S962" s="11">
        <v>282141</v>
      </c>
      <c r="T962">
        <v>2017</v>
      </c>
      <c r="U962">
        <v>3</v>
      </c>
      <c r="V962">
        <f t="shared" ref="V962:V1025" si="90">_xlfn.PERCENTILE.INC(I962:I4005,0.25)</f>
        <v>600000</v>
      </c>
      <c r="W962">
        <f t="shared" ref="W962:W1025" si="91">_xlfn.PERCENTILE.INC(I962:I4005,0.75)</f>
        <v>18429897</v>
      </c>
      <c r="X962">
        <f t="shared" ref="X962:X1025" si="92">W962-V962</f>
        <v>17829897</v>
      </c>
      <c r="Y962">
        <f t="shared" ref="Y962:Y1025" si="93">V962-1.5*X962</f>
        <v>-26144845.5</v>
      </c>
      <c r="Z962">
        <f t="shared" ref="Z962:Z1025" si="94">W962+1.5*X962</f>
        <v>45174742.5</v>
      </c>
      <c r="AA962" t="str">
        <f t="shared" ref="AA962:AA1025" si="95">IF(OR(I962&lt;$Y$2, I962&gt;$Z$2), "Outlier", "Normal")</f>
        <v>Normal</v>
      </c>
      <c r="AE962" s="2"/>
      <c r="AF962" s="2"/>
    </row>
    <row r="963" spans="1:32" x14ac:dyDescent="0.35">
      <c r="A963">
        <v>962</v>
      </c>
      <c r="B963" s="1">
        <v>42810</v>
      </c>
      <c r="C963" s="9" t="s">
        <v>1739</v>
      </c>
      <c r="D963" s="9" t="s">
        <v>4988</v>
      </c>
      <c r="E963" s="9" t="s">
        <v>6466</v>
      </c>
      <c r="F963" s="9" t="s">
        <v>31</v>
      </c>
      <c r="G963" s="9" t="s">
        <v>1740</v>
      </c>
      <c r="H963" s="9" t="s">
        <v>105</v>
      </c>
      <c r="I963" s="11">
        <v>1350000</v>
      </c>
      <c r="J963" s="11">
        <v>2531926</v>
      </c>
      <c r="K963" s="11">
        <v>13887773</v>
      </c>
      <c r="L963" s="3">
        <v>357</v>
      </c>
      <c r="M963" s="3">
        <v>1136</v>
      </c>
      <c r="N963" s="3">
        <v>1780731</v>
      </c>
      <c r="O963" s="2">
        <v>7.3999999999999996E-2</v>
      </c>
      <c r="P963" s="2">
        <v>0.23300000000000001</v>
      </c>
      <c r="Q963" s="2">
        <v>1.7000000000000001E-2</v>
      </c>
      <c r="R963" s="11">
        <v>436540664</v>
      </c>
      <c r="S963" s="11">
        <v>861470</v>
      </c>
      <c r="T963">
        <v>2017</v>
      </c>
      <c r="U963">
        <v>3</v>
      </c>
      <c r="V963">
        <f t="shared" si="90"/>
        <v>600000</v>
      </c>
      <c r="W963">
        <f t="shared" si="91"/>
        <v>18429897</v>
      </c>
      <c r="X963">
        <f t="shared" si="92"/>
        <v>17829897</v>
      </c>
      <c r="Y963">
        <f t="shared" si="93"/>
        <v>-26144845.5</v>
      </c>
      <c r="Z963">
        <f t="shared" si="94"/>
        <v>45174742.5</v>
      </c>
      <c r="AA963" t="str">
        <f t="shared" si="95"/>
        <v>Normal</v>
      </c>
      <c r="AE963" s="2"/>
      <c r="AF963" s="2"/>
    </row>
    <row r="964" spans="1:32" x14ac:dyDescent="0.35">
      <c r="A964">
        <v>963</v>
      </c>
      <c r="B964" s="1">
        <v>42810</v>
      </c>
      <c r="C964" s="9" t="s">
        <v>1741</v>
      </c>
      <c r="D964" s="9" t="s">
        <v>4930</v>
      </c>
      <c r="E964" s="9" t="s">
        <v>6467</v>
      </c>
      <c r="F964" s="9" t="s">
        <v>810</v>
      </c>
      <c r="G964" s="9" t="s">
        <v>1742</v>
      </c>
      <c r="H964" s="9" t="s">
        <v>86</v>
      </c>
      <c r="I964" s="11">
        <v>18429897</v>
      </c>
      <c r="J964" s="11">
        <v>4203772</v>
      </c>
      <c r="K964" s="11">
        <v>15906438</v>
      </c>
      <c r="L964" s="3">
        <v>89</v>
      </c>
      <c r="M964" s="3">
        <v>4744</v>
      </c>
      <c r="N964" s="3">
        <v>1894306</v>
      </c>
      <c r="O964" s="2">
        <v>-7.2999999999999995E-2</v>
      </c>
      <c r="P964" s="2">
        <v>0.22800000000000001</v>
      </c>
      <c r="Q964" s="2">
        <v>-9.5000000000000001E-2</v>
      </c>
      <c r="R964" s="11">
        <v>104965271</v>
      </c>
      <c r="S964" s="11">
        <v>169971</v>
      </c>
      <c r="T964">
        <v>2017</v>
      </c>
      <c r="U964">
        <v>3</v>
      </c>
      <c r="V964">
        <f t="shared" si="90"/>
        <v>600000</v>
      </c>
      <c r="W964">
        <f t="shared" si="91"/>
        <v>18429897</v>
      </c>
      <c r="X964">
        <f t="shared" si="92"/>
        <v>17829897</v>
      </c>
      <c r="Y964">
        <f t="shared" si="93"/>
        <v>-26144845.5</v>
      </c>
      <c r="Z964">
        <f t="shared" si="94"/>
        <v>45174742.5</v>
      </c>
      <c r="AA964" t="str">
        <f t="shared" si="95"/>
        <v>Normal</v>
      </c>
      <c r="AE964" s="2"/>
      <c r="AF964" s="2"/>
    </row>
    <row r="965" spans="1:32" x14ac:dyDescent="0.35">
      <c r="A965">
        <v>964</v>
      </c>
      <c r="B965" s="1">
        <v>42810</v>
      </c>
      <c r="C965" s="9" t="s">
        <v>648</v>
      </c>
      <c r="D965" s="9" t="s">
        <v>4988</v>
      </c>
      <c r="E965" s="9" t="s">
        <v>6468</v>
      </c>
      <c r="F965" s="9" t="s">
        <v>27</v>
      </c>
      <c r="G965" s="9" t="s">
        <v>1743</v>
      </c>
      <c r="H965" s="9" t="s">
        <v>105</v>
      </c>
      <c r="I965" s="11">
        <v>3100000</v>
      </c>
      <c r="J965" s="11">
        <v>1103790</v>
      </c>
      <c r="K965" s="11">
        <v>5991469</v>
      </c>
      <c r="L965" s="3">
        <v>73</v>
      </c>
      <c r="M965" s="3">
        <v>4056</v>
      </c>
      <c r="N965" s="3">
        <v>613083</v>
      </c>
      <c r="O965" s="2">
        <v>0.114</v>
      </c>
      <c r="P965" s="2">
        <v>0.69700000000000006</v>
      </c>
      <c r="Q965" s="2">
        <v>1.2E-2</v>
      </c>
      <c r="R965" s="11">
        <v>202842576</v>
      </c>
      <c r="S965" s="11">
        <v>490399</v>
      </c>
      <c r="T965">
        <v>2017</v>
      </c>
      <c r="U965">
        <v>3</v>
      </c>
      <c r="V965">
        <f t="shared" si="90"/>
        <v>600000</v>
      </c>
      <c r="W965">
        <f t="shared" si="91"/>
        <v>18429897</v>
      </c>
      <c r="X965">
        <f t="shared" si="92"/>
        <v>17829897</v>
      </c>
      <c r="Y965">
        <f t="shared" si="93"/>
        <v>-26144845.5</v>
      </c>
      <c r="Z965">
        <f t="shared" si="94"/>
        <v>45174742.5</v>
      </c>
      <c r="AA965" t="str">
        <f t="shared" si="95"/>
        <v>Normal</v>
      </c>
      <c r="AE965" s="2"/>
      <c r="AF965" s="2"/>
    </row>
    <row r="966" spans="1:32" x14ac:dyDescent="0.35">
      <c r="A966">
        <v>965</v>
      </c>
      <c r="B966" s="1">
        <v>42810</v>
      </c>
      <c r="C966" s="9" t="s">
        <v>1744</v>
      </c>
      <c r="D966" s="9" t="s">
        <v>4988</v>
      </c>
      <c r="E966" s="9" t="s">
        <v>6469</v>
      </c>
      <c r="F966" s="9" t="s">
        <v>19</v>
      </c>
      <c r="G966" s="9" t="s">
        <v>1745</v>
      </c>
      <c r="H966" s="9" t="s">
        <v>86</v>
      </c>
      <c r="I966" s="11">
        <v>200000</v>
      </c>
      <c r="J966" s="11">
        <v>4746730</v>
      </c>
      <c r="K966" s="11">
        <v>1557555</v>
      </c>
      <c r="L966" s="3">
        <v>182</v>
      </c>
      <c r="M966" s="3">
        <v>2779</v>
      </c>
      <c r="N966" s="3">
        <v>1465813</v>
      </c>
      <c r="O966" s="2">
        <v>9.3000000000000013E-2</v>
      </c>
      <c r="P966" s="2">
        <v>0.38100000000000001</v>
      </c>
      <c r="Q966" s="2">
        <v>0.36749999999999999</v>
      </c>
      <c r="R966" s="11">
        <v>272859369</v>
      </c>
      <c r="S966" s="11">
        <v>817060</v>
      </c>
      <c r="T966">
        <v>2017</v>
      </c>
      <c r="U966">
        <v>3</v>
      </c>
      <c r="V966">
        <f t="shared" si="90"/>
        <v>600000</v>
      </c>
      <c r="W966">
        <f t="shared" si="91"/>
        <v>18429897</v>
      </c>
      <c r="X966">
        <f t="shared" si="92"/>
        <v>17829897</v>
      </c>
      <c r="Y966">
        <f t="shared" si="93"/>
        <v>-26144845.5</v>
      </c>
      <c r="Z966">
        <f t="shared" si="94"/>
        <v>45174742.5</v>
      </c>
      <c r="AA966" t="str">
        <f t="shared" si="95"/>
        <v>Normal</v>
      </c>
      <c r="AE966" s="2"/>
      <c r="AF966" s="2"/>
    </row>
    <row r="967" spans="1:32" x14ac:dyDescent="0.35">
      <c r="A967">
        <v>966</v>
      </c>
      <c r="B967" s="1">
        <v>42811</v>
      </c>
      <c r="C967" s="9" t="s">
        <v>1746</v>
      </c>
      <c r="D967" s="9" t="s">
        <v>4930</v>
      </c>
      <c r="E967" s="9" t="s">
        <v>6470</v>
      </c>
      <c r="F967" s="9" t="s">
        <v>19</v>
      </c>
      <c r="G967" s="9" t="s">
        <v>1315</v>
      </c>
      <c r="H967" s="9" t="s">
        <v>86</v>
      </c>
      <c r="I967" s="11">
        <v>18429897</v>
      </c>
      <c r="J967" s="11">
        <v>2949765</v>
      </c>
      <c r="K967" s="11">
        <v>11190256</v>
      </c>
      <c r="L967" s="3">
        <v>167</v>
      </c>
      <c r="M967" s="3">
        <v>942</v>
      </c>
      <c r="N967" s="3">
        <v>20176</v>
      </c>
      <c r="O967" s="2">
        <v>0.107</v>
      </c>
      <c r="P967" s="2">
        <v>0.875</v>
      </c>
      <c r="Q967" s="2">
        <v>-0.125</v>
      </c>
      <c r="R967" s="11">
        <v>81717872</v>
      </c>
      <c r="S967" s="11">
        <v>1748248</v>
      </c>
      <c r="T967">
        <v>2017</v>
      </c>
      <c r="U967">
        <v>3</v>
      </c>
      <c r="V967">
        <f t="shared" si="90"/>
        <v>600000</v>
      </c>
      <c r="W967">
        <f t="shared" si="91"/>
        <v>18429897</v>
      </c>
      <c r="X967">
        <f t="shared" si="92"/>
        <v>17829897</v>
      </c>
      <c r="Y967">
        <f t="shared" si="93"/>
        <v>-26144845.5</v>
      </c>
      <c r="Z967">
        <f t="shared" si="94"/>
        <v>45174742.5</v>
      </c>
      <c r="AA967" t="str">
        <f t="shared" si="95"/>
        <v>Normal</v>
      </c>
      <c r="AE967" s="2"/>
      <c r="AF967" s="2"/>
    </row>
    <row r="968" spans="1:32" x14ac:dyDescent="0.35">
      <c r="A968">
        <v>967</v>
      </c>
      <c r="B968" s="1">
        <v>42815</v>
      </c>
      <c r="C968" s="9" t="s">
        <v>398</v>
      </c>
      <c r="D968" s="9" t="s">
        <v>4925</v>
      </c>
      <c r="E968" s="9" t="s">
        <v>6443</v>
      </c>
      <c r="F968" s="9" t="s">
        <v>15</v>
      </c>
      <c r="G968" s="9" t="s">
        <v>1747</v>
      </c>
      <c r="H968" s="9" t="s">
        <v>105</v>
      </c>
      <c r="I968" s="11">
        <v>200000000</v>
      </c>
      <c r="J968" s="11">
        <v>3015835</v>
      </c>
      <c r="K968" s="11">
        <v>15679640</v>
      </c>
      <c r="L968" s="3">
        <v>77</v>
      </c>
      <c r="M968" s="3">
        <v>4525</v>
      </c>
      <c r="N968" s="3">
        <v>1022182</v>
      </c>
      <c r="O968" s="2">
        <v>0.04</v>
      </c>
      <c r="P968" s="2">
        <v>0.68299999999999994</v>
      </c>
      <c r="Q968" s="2">
        <v>0.26700000000000002</v>
      </c>
      <c r="R968" s="11">
        <v>63693106</v>
      </c>
      <c r="S968" s="11">
        <v>371200</v>
      </c>
      <c r="T968">
        <v>2017</v>
      </c>
      <c r="U968">
        <v>3</v>
      </c>
      <c r="V968">
        <f t="shared" si="90"/>
        <v>600000</v>
      </c>
      <c r="W968">
        <f t="shared" si="91"/>
        <v>18429897</v>
      </c>
      <c r="X968">
        <f t="shared" si="92"/>
        <v>17829897</v>
      </c>
      <c r="Y968">
        <f t="shared" si="93"/>
        <v>-26144845.5</v>
      </c>
      <c r="Z968">
        <f t="shared" si="94"/>
        <v>45174742.5</v>
      </c>
      <c r="AA968" t="str">
        <f t="shared" si="95"/>
        <v>Outlier</v>
      </c>
      <c r="AE968" s="2"/>
      <c r="AF968" s="2"/>
    </row>
    <row r="969" spans="1:32" x14ac:dyDescent="0.35">
      <c r="A969">
        <v>968</v>
      </c>
      <c r="B969" s="1">
        <v>42815</v>
      </c>
      <c r="C969" s="9" t="s">
        <v>1748</v>
      </c>
      <c r="D969" s="9" t="s">
        <v>4930</v>
      </c>
      <c r="E969" s="9" t="s">
        <v>5244</v>
      </c>
      <c r="F969" s="9" t="s">
        <v>31</v>
      </c>
      <c r="G969" s="9" t="s">
        <v>1749</v>
      </c>
      <c r="H969" s="9" t="s">
        <v>105</v>
      </c>
      <c r="I969" s="11">
        <v>3670000</v>
      </c>
      <c r="J969" s="11">
        <v>1598863</v>
      </c>
      <c r="K969" s="11">
        <v>1493070</v>
      </c>
      <c r="L969" s="3">
        <v>30</v>
      </c>
      <c r="M969" s="3">
        <v>2794</v>
      </c>
      <c r="N969" s="3">
        <v>1255620</v>
      </c>
      <c r="O969" s="2">
        <v>-0.09</v>
      </c>
      <c r="P969" s="2">
        <v>0.29299999999999998</v>
      </c>
      <c r="Q969" s="2">
        <v>2.2000000000000002E-2</v>
      </c>
      <c r="R969" s="11">
        <v>349524424</v>
      </c>
      <c r="S969" s="11">
        <v>1054141</v>
      </c>
      <c r="T969">
        <v>2017</v>
      </c>
      <c r="U969">
        <v>3</v>
      </c>
      <c r="V969">
        <f t="shared" si="90"/>
        <v>600000</v>
      </c>
      <c r="W969">
        <f t="shared" si="91"/>
        <v>18429897</v>
      </c>
      <c r="X969">
        <f t="shared" si="92"/>
        <v>17829897</v>
      </c>
      <c r="Y969">
        <f t="shared" si="93"/>
        <v>-26144845.5</v>
      </c>
      <c r="Z969">
        <f t="shared" si="94"/>
        <v>45174742.5</v>
      </c>
      <c r="AA969" t="str">
        <f t="shared" si="95"/>
        <v>Normal</v>
      </c>
      <c r="AE969" s="2"/>
      <c r="AF969" s="2"/>
    </row>
    <row r="970" spans="1:32" x14ac:dyDescent="0.35">
      <c r="A970">
        <v>969</v>
      </c>
      <c r="B970" s="1">
        <v>42815</v>
      </c>
      <c r="C970" s="9" t="s">
        <v>1750</v>
      </c>
      <c r="D970" s="9" t="s">
        <v>4988</v>
      </c>
      <c r="E970" s="9" t="s">
        <v>5388</v>
      </c>
      <c r="F970" s="9" t="s">
        <v>31</v>
      </c>
      <c r="G970" s="9" t="s">
        <v>4842</v>
      </c>
      <c r="H970" s="9" t="s">
        <v>105</v>
      </c>
      <c r="I970" s="11">
        <v>5300000</v>
      </c>
      <c r="J970" s="11">
        <v>4603876</v>
      </c>
      <c r="K970" s="11">
        <v>15931279</v>
      </c>
      <c r="L970" s="3">
        <v>473</v>
      </c>
      <c r="M970" s="3">
        <v>4083</v>
      </c>
      <c r="N970" s="3">
        <v>1725845</v>
      </c>
      <c r="O970" s="2">
        <v>0.127</v>
      </c>
      <c r="P970" s="2">
        <v>0.20600000000000002</v>
      </c>
      <c r="Q970" s="2">
        <v>0.247</v>
      </c>
      <c r="R970" s="11">
        <v>411228872</v>
      </c>
      <c r="S970" s="11">
        <v>1314640</v>
      </c>
      <c r="T970">
        <v>2017</v>
      </c>
      <c r="U970">
        <v>3</v>
      </c>
      <c r="V970">
        <f t="shared" si="90"/>
        <v>600000</v>
      </c>
      <c r="W970">
        <f t="shared" si="91"/>
        <v>18429897</v>
      </c>
      <c r="X970">
        <f t="shared" si="92"/>
        <v>17829897</v>
      </c>
      <c r="Y970">
        <f t="shared" si="93"/>
        <v>-26144845.5</v>
      </c>
      <c r="Z970">
        <f t="shared" si="94"/>
        <v>45174742.5</v>
      </c>
      <c r="AA970" t="str">
        <f t="shared" si="95"/>
        <v>Normal</v>
      </c>
      <c r="AE970" s="2"/>
      <c r="AF970" s="2"/>
    </row>
    <row r="971" spans="1:32" x14ac:dyDescent="0.35">
      <c r="A971">
        <v>970</v>
      </c>
      <c r="B971" s="1">
        <v>42816</v>
      </c>
      <c r="C971" s="9" t="s">
        <v>1751</v>
      </c>
      <c r="D971" s="9" t="s">
        <v>4925</v>
      </c>
      <c r="E971" s="9" t="s">
        <v>6471</v>
      </c>
      <c r="F971" s="9" t="s">
        <v>27</v>
      </c>
      <c r="G971" s="9" t="s">
        <v>1752</v>
      </c>
      <c r="H971" s="9" t="s">
        <v>86</v>
      </c>
      <c r="I971" s="11">
        <v>18429897</v>
      </c>
      <c r="J971" s="11">
        <v>199577</v>
      </c>
      <c r="K971" s="11">
        <v>10153449</v>
      </c>
      <c r="L971" s="3">
        <v>340</v>
      </c>
      <c r="M971" s="3">
        <v>185</v>
      </c>
      <c r="N971" s="3">
        <v>1643526</v>
      </c>
      <c r="O971" s="2">
        <v>0.05</v>
      </c>
      <c r="P971" s="2">
        <v>0.23699999999999999</v>
      </c>
      <c r="Q971" s="2">
        <v>0.152</v>
      </c>
      <c r="R971" s="11">
        <v>320394710</v>
      </c>
      <c r="S971" s="11">
        <v>1545992</v>
      </c>
      <c r="T971">
        <v>2017</v>
      </c>
      <c r="U971">
        <v>3</v>
      </c>
      <c r="V971">
        <f t="shared" si="90"/>
        <v>600000</v>
      </c>
      <c r="W971">
        <f t="shared" si="91"/>
        <v>18429897</v>
      </c>
      <c r="X971">
        <f t="shared" si="92"/>
        <v>17829897</v>
      </c>
      <c r="Y971">
        <f t="shared" si="93"/>
        <v>-26144845.5</v>
      </c>
      <c r="Z971">
        <f t="shared" si="94"/>
        <v>45174742.5</v>
      </c>
      <c r="AA971" t="str">
        <f t="shared" si="95"/>
        <v>Normal</v>
      </c>
      <c r="AE971" s="2"/>
      <c r="AF971" s="2"/>
    </row>
    <row r="972" spans="1:32" x14ac:dyDescent="0.35">
      <c r="A972">
        <v>971</v>
      </c>
      <c r="B972" s="1">
        <v>42816</v>
      </c>
      <c r="C972" s="9" t="s">
        <v>1753</v>
      </c>
      <c r="D972" s="9" t="s">
        <v>4988</v>
      </c>
      <c r="E972" s="9" t="s">
        <v>6472</v>
      </c>
      <c r="F972" s="9" t="s">
        <v>15</v>
      </c>
      <c r="G972" s="9" t="s">
        <v>1754</v>
      </c>
      <c r="H972" s="9" t="s">
        <v>86</v>
      </c>
      <c r="I972" s="11">
        <v>191000</v>
      </c>
      <c r="J972" s="11">
        <v>1507383</v>
      </c>
      <c r="K972" s="11">
        <v>12494897</v>
      </c>
      <c r="L972" s="3">
        <v>360</v>
      </c>
      <c r="M972" s="3">
        <v>1722</v>
      </c>
      <c r="N972" s="3">
        <v>122618</v>
      </c>
      <c r="O972" s="2">
        <v>6.8000000000000005E-2</v>
      </c>
      <c r="P972" s="2">
        <v>0.73299999999999998</v>
      </c>
      <c r="Q972" s="2">
        <v>-0.23300000000000001</v>
      </c>
      <c r="R972" s="11">
        <v>291045275</v>
      </c>
      <c r="S972" s="11">
        <v>1216639</v>
      </c>
      <c r="T972">
        <v>2017</v>
      </c>
      <c r="U972">
        <v>3</v>
      </c>
      <c r="V972">
        <f t="shared" si="90"/>
        <v>600000</v>
      </c>
      <c r="W972">
        <f t="shared" si="91"/>
        <v>18429897</v>
      </c>
      <c r="X972">
        <f t="shared" si="92"/>
        <v>17829897</v>
      </c>
      <c r="Y972">
        <f t="shared" si="93"/>
        <v>-26144845.5</v>
      </c>
      <c r="Z972">
        <f t="shared" si="94"/>
        <v>45174742.5</v>
      </c>
      <c r="AA972" t="str">
        <f t="shared" si="95"/>
        <v>Normal</v>
      </c>
      <c r="AE972" s="2"/>
      <c r="AF972" s="2"/>
    </row>
    <row r="973" spans="1:32" x14ac:dyDescent="0.35">
      <c r="A973">
        <v>972</v>
      </c>
      <c r="B973" s="1">
        <v>42817</v>
      </c>
      <c r="C973" s="9" t="s">
        <v>1755</v>
      </c>
      <c r="D973" s="9" t="s">
        <v>4988</v>
      </c>
      <c r="E973" s="9" t="s">
        <v>6473</v>
      </c>
      <c r="F973" s="9" t="s">
        <v>19</v>
      </c>
      <c r="G973" s="9" t="s">
        <v>1756</v>
      </c>
      <c r="H973" s="9" t="s">
        <v>105</v>
      </c>
      <c r="I973" s="11">
        <v>15000000</v>
      </c>
      <c r="J973" s="11">
        <v>2103632</v>
      </c>
      <c r="K973" s="11">
        <v>1122324</v>
      </c>
      <c r="L973" s="3">
        <v>37</v>
      </c>
      <c r="M973" s="3">
        <v>1533</v>
      </c>
      <c r="N973" s="3">
        <v>826254</v>
      </c>
      <c r="O973" s="2">
        <v>0.13900000000000001</v>
      </c>
      <c r="P973" s="2">
        <v>0.78700000000000003</v>
      </c>
      <c r="Q973" s="2">
        <v>0.14099999999999999</v>
      </c>
      <c r="R973" s="11">
        <v>161350195</v>
      </c>
      <c r="S973" s="11">
        <v>270038</v>
      </c>
      <c r="T973">
        <v>2017</v>
      </c>
      <c r="U973">
        <v>3</v>
      </c>
      <c r="V973">
        <f t="shared" si="90"/>
        <v>600000</v>
      </c>
      <c r="W973">
        <f t="shared" si="91"/>
        <v>18429897</v>
      </c>
      <c r="X973">
        <f t="shared" si="92"/>
        <v>17829897</v>
      </c>
      <c r="Y973">
        <f t="shared" si="93"/>
        <v>-26144845.5</v>
      </c>
      <c r="Z973">
        <f t="shared" si="94"/>
        <v>45174742.5</v>
      </c>
      <c r="AA973" t="str">
        <f t="shared" si="95"/>
        <v>Normal</v>
      </c>
      <c r="AE973" s="2"/>
      <c r="AF973" s="2"/>
    </row>
    <row r="974" spans="1:32" x14ac:dyDescent="0.35">
      <c r="A974">
        <v>973</v>
      </c>
      <c r="B974" s="1">
        <v>42817</v>
      </c>
      <c r="C974" s="9" t="s">
        <v>1757</v>
      </c>
      <c r="D974" s="9" t="s">
        <v>4930</v>
      </c>
      <c r="E974" s="9" t="s">
        <v>6474</v>
      </c>
      <c r="F974" s="9" t="s">
        <v>41</v>
      </c>
      <c r="G974" s="9" t="s">
        <v>1758</v>
      </c>
      <c r="H974" s="9" t="s">
        <v>105</v>
      </c>
      <c r="I974" s="11">
        <v>56000000</v>
      </c>
      <c r="J974" s="11">
        <v>2396831</v>
      </c>
      <c r="K974" s="11">
        <v>6182686</v>
      </c>
      <c r="L974" s="3">
        <v>399</v>
      </c>
      <c r="M974" s="3">
        <v>4077</v>
      </c>
      <c r="N974" s="3">
        <v>152678</v>
      </c>
      <c r="O974" s="2">
        <v>0.106</v>
      </c>
      <c r="P974" s="2">
        <v>0.55299999999999994</v>
      </c>
      <c r="Q974" s="2">
        <v>0.64100000000000001</v>
      </c>
      <c r="R974" s="11">
        <v>438008223</v>
      </c>
      <c r="S974" s="11">
        <v>1674600</v>
      </c>
      <c r="T974">
        <v>2017</v>
      </c>
      <c r="U974">
        <v>3</v>
      </c>
      <c r="V974">
        <f t="shared" si="90"/>
        <v>600000</v>
      </c>
      <c r="W974">
        <f t="shared" si="91"/>
        <v>18429897</v>
      </c>
      <c r="X974">
        <f t="shared" si="92"/>
        <v>17829897</v>
      </c>
      <c r="Y974">
        <f t="shared" si="93"/>
        <v>-26144845.5</v>
      </c>
      <c r="Z974">
        <f t="shared" si="94"/>
        <v>45174742.5</v>
      </c>
      <c r="AA974" t="str">
        <f t="shared" si="95"/>
        <v>Outlier</v>
      </c>
      <c r="AE974" s="2"/>
      <c r="AF974" s="2"/>
    </row>
    <row r="975" spans="1:32" x14ac:dyDescent="0.35">
      <c r="A975">
        <v>974</v>
      </c>
      <c r="B975" s="1">
        <v>42818</v>
      </c>
      <c r="C975" s="9" t="s">
        <v>1759</v>
      </c>
      <c r="D975" s="9" t="s">
        <v>4930</v>
      </c>
      <c r="E975" s="9" t="s">
        <v>1760</v>
      </c>
      <c r="F975" s="9" t="s">
        <v>15</v>
      </c>
      <c r="G975" s="9" t="s">
        <v>1761</v>
      </c>
      <c r="H975" s="9" t="s">
        <v>86</v>
      </c>
      <c r="I975" s="11">
        <v>382000</v>
      </c>
      <c r="J975" s="11">
        <v>2381180</v>
      </c>
      <c r="K975" s="11">
        <v>2863847</v>
      </c>
      <c r="L975" s="3">
        <v>185</v>
      </c>
      <c r="M975" s="3">
        <v>2349</v>
      </c>
      <c r="N975" s="3">
        <v>19118</v>
      </c>
      <c r="O975" s="2">
        <v>0.13400000000000001</v>
      </c>
      <c r="P975" s="2">
        <v>0.27900000000000003</v>
      </c>
      <c r="Q975" s="2">
        <v>0.17699999999999999</v>
      </c>
      <c r="R975" s="11">
        <v>371021075</v>
      </c>
      <c r="S975" s="11">
        <v>1008193.5</v>
      </c>
      <c r="T975">
        <v>2017</v>
      </c>
      <c r="U975">
        <v>3</v>
      </c>
      <c r="V975">
        <f t="shared" si="90"/>
        <v>600000</v>
      </c>
      <c r="W975">
        <f t="shared" si="91"/>
        <v>18429897</v>
      </c>
      <c r="X975">
        <f t="shared" si="92"/>
        <v>17829897</v>
      </c>
      <c r="Y975">
        <f t="shared" si="93"/>
        <v>-26144845.5</v>
      </c>
      <c r="Z975">
        <f t="shared" si="94"/>
        <v>45174742.5</v>
      </c>
      <c r="AA975" t="str">
        <f t="shared" si="95"/>
        <v>Normal</v>
      </c>
      <c r="AE975" s="2"/>
      <c r="AF975" s="2"/>
    </row>
    <row r="976" spans="1:32" x14ac:dyDescent="0.35">
      <c r="A976">
        <v>975</v>
      </c>
      <c r="B976" s="1">
        <v>42818</v>
      </c>
      <c r="C976" s="9" t="s">
        <v>1762</v>
      </c>
      <c r="D976" s="9" t="s">
        <v>4988</v>
      </c>
      <c r="E976" s="9" t="s">
        <v>6475</v>
      </c>
      <c r="F976" s="9" t="s">
        <v>15</v>
      </c>
      <c r="G976" s="9" t="s">
        <v>1763</v>
      </c>
      <c r="H976" s="9" t="s">
        <v>86</v>
      </c>
      <c r="I976" s="11">
        <v>18429897</v>
      </c>
      <c r="J976" s="11">
        <v>756663</v>
      </c>
      <c r="K976" s="11">
        <v>4372966</v>
      </c>
      <c r="L976" s="3">
        <v>254</v>
      </c>
      <c r="M976" s="3">
        <v>630</v>
      </c>
      <c r="N976" s="3">
        <v>310406</v>
      </c>
      <c r="O976" s="2">
        <v>4.0999999999999995E-2</v>
      </c>
      <c r="P976" s="2">
        <v>1.135</v>
      </c>
      <c r="Q976" s="2">
        <v>0.33200000000000002</v>
      </c>
      <c r="R976" s="11">
        <v>244023086</v>
      </c>
      <c r="S976" s="11">
        <v>1701802</v>
      </c>
      <c r="T976">
        <v>2017</v>
      </c>
      <c r="U976">
        <v>3</v>
      </c>
      <c r="V976">
        <f t="shared" si="90"/>
        <v>600000</v>
      </c>
      <c r="W976">
        <f t="shared" si="91"/>
        <v>18429897</v>
      </c>
      <c r="X976">
        <f t="shared" si="92"/>
        <v>17829897</v>
      </c>
      <c r="Y976">
        <f t="shared" si="93"/>
        <v>-26144845.5</v>
      </c>
      <c r="Z976">
        <f t="shared" si="94"/>
        <v>45174742.5</v>
      </c>
      <c r="AA976" t="str">
        <f t="shared" si="95"/>
        <v>Normal</v>
      </c>
      <c r="AE976" s="2"/>
      <c r="AF976" s="2"/>
    </row>
    <row r="977" spans="1:32" x14ac:dyDescent="0.35">
      <c r="A977">
        <v>976</v>
      </c>
      <c r="B977" s="1">
        <v>42818</v>
      </c>
      <c r="C977" s="9" t="s">
        <v>1544</v>
      </c>
      <c r="D977" s="9" t="s">
        <v>4930</v>
      </c>
      <c r="E977" s="9" t="s">
        <v>6476</v>
      </c>
      <c r="F977" s="9" t="s">
        <v>27</v>
      </c>
      <c r="G977" s="9" t="s">
        <v>1764</v>
      </c>
      <c r="H977" s="9" t="s">
        <v>105</v>
      </c>
      <c r="I977" s="11">
        <v>100000000</v>
      </c>
      <c r="J977" s="11">
        <v>1143452</v>
      </c>
      <c r="K977" s="11">
        <v>15490682</v>
      </c>
      <c r="L977" s="3">
        <v>247</v>
      </c>
      <c r="M977" s="3">
        <v>3095</v>
      </c>
      <c r="N977" s="3">
        <v>1866069</v>
      </c>
      <c r="O977" s="2">
        <v>0.192</v>
      </c>
      <c r="P977" s="2">
        <v>0.60599999999999998</v>
      </c>
      <c r="Q977" s="2">
        <v>0.17399999999999999</v>
      </c>
      <c r="R977" s="11">
        <v>320287232</v>
      </c>
      <c r="S977" s="11">
        <v>380508</v>
      </c>
      <c r="T977">
        <v>2017</v>
      </c>
      <c r="U977">
        <v>3</v>
      </c>
      <c r="V977">
        <f t="shared" si="90"/>
        <v>600000</v>
      </c>
      <c r="W977">
        <f t="shared" si="91"/>
        <v>18429897</v>
      </c>
      <c r="X977">
        <f t="shared" si="92"/>
        <v>17829897</v>
      </c>
      <c r="Y977">
        <f t="shared" si="93"/>
        <v>-26144845.5</v>
      </c>
      <c r="Z977">
        <f t="shared" si="94"/>
        <v>45174742.5</v>
      </c>
      <c r="AA977" t="str">
        <f t="shared" si="95"/>
        <v>Outlier</v>
      </c>
      <c r="AE977" s="2"/>
      <c r="AF977" s="2"/>
    </row>
    <row r="978" spans="1:32" x14ac:dyDescent="0.35">
      <c r="A978">
        <v>977</v>
      </c>
      <c r="B978" s="1">
        <v>42821</v>
      </c>
      <c r="C978" s="9" t="s">
        <v>1765</v>
      </c>
      <c r="D978" s="9" t="s">
        <v>4988</v>
      </c>
      <c r="E978" s="9" t="s">
        <v>6477</v>
      </c>
      <c r="F978" s="9" t="s">
        <v>27</v>
      </c>
      <c r="G978" s="9" t="s">
        <v>1766</v>
      </c>
      <c r="H978" s="9" t="s">
        <v>86</v>
      </c>
      <c r="I978" s="11">
        <v>18429897</v>
      </c>
      <c r="J978" s="11">
        <v>494305</v>
      </c>
      <c r="K978" s="11">
        <v>4654045</v>
      </c>
      <c r="L978" s="3">
        <v>125</v>
      </c>
      <c r="M978" s="3">
        <v>835</v>
      </c>
      <c r="N978" s="3">
        <v>529215</v>
      </c>
      <c r="O978" s="2">
        <v>-2.4E-2</v>
      </c>
      <c r="P978" s="2">
        <v>0.629</v>
      </c>
      <c r="Q978" s="2">
        <v>0.29699999999999999</v>
      </c>
      <c r="R978" s="11">
        <v>394216653</v>
      </c>
      <c r="S978" s="11">
        <v>591800</v>
      </c>
      <c r="T978">
        <v>2017</v>
      </c>
      <c r="U978">
        <v>3</v>
      </c>
      <c r="V978">
        <f t="shared" si="90"/>
        <v>600000</v>
      </c>
      <c r="W978">
        <f t="shared" si="91"/>
        <v>18429897</v>
      </c>
      <c r="X978">
        <f t="shared" si="92"/>
        <v>17829897</v>
      </c>
      <c r="Y978">
        <f t="shared" si="93"/>
        <v>-26144845.5</v>
      </c>
      <c r="Z978">
        <f t="shared" si="94"/>
        <v>45174742.5</v>
      </c>
      <c r="AA978" t="str">
        <f t="shared" si="95"/>
        <v>Normal</v>
      </c>
      <c r="AE978" s="2"/>
      <c r="AF978" s="2"/>
    </row>
    <row r="979" spans="1:32" x14ac:dyDescent="0.35">
      <c r="A979">
        <v>978</v>
      </c>
      <c r="B979" s="1">
        <v>42822</v>
      </c>
      <c r="C979" s="9" t="s">
        <v>717</v>
      </c>
      <c r="D979" s="9" t="s">
        <v>4925</v>
      </c>
      <c r="E979" s="9" t="s">
        <v>6421</v>
      </c>
      <c r="F979" s="9" t="s">
        <v>31</v>
      </c>
      <c r="G979" s="9" t="s">
        <v>329</v>
      </c>
      <c r="H979" s="9" t="s">
        <v>105</v>
      </c>
      <c r="I979" s="11">
        <v>500000</v>
      </c>
      <c r="J979" s="11">
        <v>2870840</v>
      </c>
      <c r="K979" s="11">
        <v>965639</v>
      </c>
      <c r="L979" s="3">
        <v>134</v>
      </c>
      <c r="M979" s="3">
        <v>2260</v>
      </c>
      <c r="N979" s="3">
        <v>1479129</v>
      </c>
      <c r="O979" s="2">
        <v>-9.8000000000000004E-2</v>
      </c>
      <c r="P979" s="2">
        <v>0.58099999999999996</v>
      </c>
      <c r="Q979" s="2">
        <v>-0.08</v>
      </c>
      <c r="R979" s="11">
        <v>77707578</v>
      </c>
      <c r="S979" s="11">
        <v>126421</v>
      </c>
      <c r="T979">
        <v>2017</v>
      </c>
      <c r="U979">
        <v>3</v>
      </c>
      <c r="V979">
        <f t="shared" si="90"/>
        <v>600000</v>
      </c>
      <c r="W979">
        <f t="shared" si="91"/>
        <v>18429897</v>
      </c>
      <c r="X979">
        <f t="shared" si="92"/>
        <v>17829897</v>
      </c>
      <c r="Y979">
        <f t="shared" si="93"/>
        <v>-26144845.5</v>
      </c>
      <c r="Z979">
        <f t="shared" si="94"/>
        <v>45174742.5</v>
      </c>
      <c r="AA979" t="str">
        <f t="shared" si="95"/>
        <v>Normal</v>
      </c>
      <c r="AE979" s="2"/>
      <c r="AF979" s="2"/>
    </row>
    <row r="980" spans="1:32" x14ac:dyDescent="0.35">
      <c r="A980">
        <v>979</v>
      </c>
      <c r="B980" s="1">
        <v>42822</v>
      </c>
      <c r="C980" s="9" t="s">
        <v>1767</v>
      </c>
      <c r="D980" s="9" t="s">
        <v>4930</v>
      </c>
      <c r="E980" s="9" t="s">
        <v>6478</v>
      </c>
      <c r="F980" s="9" t="s">
        <v>27</v>
      </c>
      <c r="G980" s="9" t="s">
        <v>1768</v>
      </c>
      <c r="H980" s="9" t="s">
        <v>105</v>
      </c>
      <c r="I980" s="11">
        <v>18429897</v>
      </c>
      <c r="J980" s="11">
        <v>1767326</v>
      </c>
      <c r="K980" s="11">
        <v>4374905</v>
      </c>
      <c r="L980" s="3">
        <v>74</v>
      </c>
      <c r="M980" s="3">
        <v>4962</v>
      </c>
      <c r="N980" s="3">
        <v>1418088</v>
      </c>
      <c r="O980" s="2">
        <v>-5.7999999999999996E-2</v>
      </c>
      <c r="P980" s="2">
        <v>0.25900000000000001</v>
      </c>
      <c r="Q980" s="2">
        <v>7.0000000000000007E-2</v>
      </c>
      <c r="R980" s="11">
        <v>282898992</v>
      </c>
      <c r="S980" s="11">
        <v>1547626</v>
      </c>
      <c r="T980">
        <v>2017</v>
      </c>
      <c r="U980">
        <v>3</v>
      </c>
      <c r="V980">
        <f t="shared" si="90"/>
        <v>600000</v>
      </c>
      <c r="W980">
        <f t="shared" si="91"/>
        <v>18429897</v>
      </c>
      <c r="X980">
        <f t="shared" si="92"/>
        <v>17829897</v>
      </c>
      <c r="Y980">
        <f t="shared" si="93"/>
        <v>-26144845.5</v>
      </c>
      <c r="Z980">
        <f t="shared" si="94"/>
        <v>45174742.5</v>
      </c>
      <c r="AA980" t="str">
        <f t="shared" si="95"/>
        <v>Normal</v>
      </c>
      <c r="AE980" s="2"/>
      <c r="AF980" s="2"/>
    </row>
    <row r="981" spans="1:32" x14ac:dyDescent="0.35">
      <c r="A981">
        <v>980</v>
      </c>
      <c r="B981" s="1">
        <v>42822</v>
      </c>
      <c r="C981" s="9" t="s">
        <v>1769</v>
      </c>
      <c r="D981" s="9" t="s">
        <v>4988</v>
      </c>
      <c r="E981" s="9" t="s">
        <v>6479</v>
      </c>
      <c r="F981" s="9" t="s">
        <v>19</v>
      </c>
      <c r="G981" s="9" t="s">
        <v>522</v>
      </c>
      <c r="H981" s="9" t="s">
        <v>105</v>
      </c>
      <c r="I981" s="11">
        <v>300000</v>
      </c>
      <c r="J981" s="11">
        <v>2837544</v>
      </c>
      <c r="K981" s="11">
        <v>1826414</v>
      </c>
      <c r="L981" s="3">
        <v>415</v>
      </c>
      <c r="M981" s="3">
        <v>2505.5</v>
      </c>
      <c r="N981" s="3">
        <v>1734998</v>
      </c>
      <c r="O981" s="2">
        <v>-1.4999999999999999E-2</v>
      </c>
      <c r="P981" s="2">
        <v>0.91</v>
      </c>
      <c r="Q981" s="2">
        <v>0.32</v>
      </c>
      <c r="R981" s="11">
        <v>101449815</v>
      </c>
      <c r="S981" s="11">
        <v>436197</v>
      </c>
      <c r="T981">
        <v>2017</v>
      </c>
      <c r="U981">
        <v>3</v>
      </c>
      <c r="V981">
        <f t="shared" si="90"/>
        <v>600000</v>
      </c>
      <c r="W981">
        <f t="shared" si="91"/>
        <v>18429897</v>
      </c>
      <c r="X981">
        <f t="shared" si="92"/>
        <v>17829897</v>
      </c>
      <c r="Y981">
        <f t="shared" si="93"/>
        <v>-26144845.5</v>
      </c>
      <c r="Z981">
        <f t="shared" si="94"/>
        <v>45174742.5</v>
      </c>
      <c r="AA981" t="str">
        <f t="shared" si="95"/>
        <v>Normal</v>
      </c>
      <c r="AE981" s="2"/>
      <c r="AF981" s="2"/>
    </row>
    <row r="982" spans="1:32" x14ac:dyDescent="0.35">
      <c r="A982">
        <v>981</v>
      </c>
      <c r="B982" s="1">
        <v>42823</v>
      </c>
      <c r="C982" s="9" t="s">
        <v>1770</v>
      </c>
      <c r="D982" s="9" t="s">
        <v>4925</v>
      </c>
      <c r="E982" s="9" t="s">
        <v>6480</v>
      </c>
      <c r="F982" s="9" t="s">
        <v>15</v>
      </c>
      <c r="G982" s="9" t="s">
        <v>856</v>
      </c>
      <c r="H982" s="9" t="s">
        <v>86</v>
      </c>
      <c r="I982" s="11">
        <v>18429897</v>
      </c>
      <c r="J982" s="11">
        <v>2956777</v>
      </c>
      <c r="K982" s="11">
        <v>12494733</v>
      </c>
      <c r="L982" s="3">
        <v>217</v>
      </c>
      <c r="M982" s="3">
        <v>2505.5</v>
      </c>
      <c r="N982" s="3">
        <v>1018455</v>
      </c>
      <c r="O982" s="2">
        <v>-0.13800000000000001</v>
      </c>
      <c r="P982" s="2">
        <v>0.86499999999999999</v>
      </c>
      <c r="Q982" s="2">
        <v>0.36749999999999999</v>
      </c>
      <c r="R982" s="11">
        <v>181136591</v>
      </c>
      <c r="S982" s="11">
        <v>1881897</v>
      </c>
      <c r="T982">
        <v>2017</v>
      </c>
      <c r="U982">
        <v>3</v>
      </c>
      <c r="V982">
        <f t="shared" si="90"/>
        <v>600000</v>
      </c>
      <c r="W982">
        <f t="shared" si="91"/>
        <v>18429897</v>
      </c>
      <c r="X982">
        <f t="shared" si="92"/>
        <v>17829897</v>
      </c>
      <c r="Y982">
        <f t="shared" si="93"/>
        <v>-26144845.5</v>
      </c>
      <c r="Z982">
        <f t="shared" si="94"/>
        <v>45174742.5</v>
      </c>
      <c r="AA982" t="str">
        <f t="shared" si="95"/>
        <v>Normal</v>
      </c>
      <c r="AE982" s="2"/>
      <c r="AF982" s="2"/>
    </row>
    <row r="983" spans="1:32" x14ac:dyDescent="0.35">
      <c r="A983">
        <v>982</v>
      </c>
      <c r="B983" s="1">
        <v>42823</v>
      </c>
      <c r="C983" s="9" t="s">
        <v>1771</v>
      </c>
      <c r="D983" s="9" t="s">
        <v>4988</v>
      </c>
      <c r="E983" s="9" t="s">
        <v>6481</v>
      </c>
      <c r="F983" s="9" t="s">
        <v>31</v>
      </c>
      <c r="G983" s="9" t="s">
        <v>1772</v>
      </c>
      <c r="H983" s="9" t="s">
        <v>86</v>
      </c>
      <c r="I983" s="11">
        <v>325000</v>
      </c>
      <c r="J983" s="11">
        <v>3515970</v>
      </c>
      <c r="K983" s="11">
        <v>19459531</v>
      </c>
      <c r="L983" s="3">
        <v>391</v>
      </c>
      <c r="M983" s="3">
        <v>249</v>
      </c>
      <c r="N983" s="3">
        <v>1950372</v>
      </c>
      <c r="O983" s="2">
        <v>-0.219</v>
      </c>
      <c r="P983" s="2">
        <v>0.36399999999999999</v>
      </c>
      <c r="Q983" s="2">
        <v>0.36799999999999999</v>
      </c>
      <c r="R983" s="11">
        <v>331303502</v>
      </c>
      <c r="S983" s="11">
        <v>1253533</v>
      </c>
      <c r="T983">
        <v>2017</v>
      </c>
      <c r="U983">
        <v>3</v>
      </c>
      <c r="V983">
        <f t="shared" si="90"/>
        <v>600000</v>
      </c>
      <c r="W983">
        <f t="shared" si="91"/>
        <v>18429897</v>
      </c>
      <c r="X983">
        <f t="shared" si="92"/>
        <v>17829897</v>
      </c>
      <c r="Y983">
        <f t="shared" si="93"/>
        <v>-26144845.5</v>
      </c>
      <c r="Z983">
        <f t="shared" si="94"/>
        <v>45174742.5</v>
      </c>
      <c r="AA983" t="str">
        <f t="shared" si="95"/>
        <v>Normal</v>
      </c>
      <c r="AE983" s="2"/>
      <c r="AF983" s="2"/>
    </row>
    <row r="984" spans="1:32" x14ac:dyDescent="0.35">
      <c r="A984">
        <v>983</v>
      </c>
      <c r="B984" s="1">
        <v>42823</v>
      </c>
      <c r="C984" s="9" t="s">
        <v>1773</v>
      </c>
      <c r="D984" s="9" t="s">
        <v>4925</v>
      </c>
      <c r="E984" s="9" t="s">
        <v>6482</v>
      </c>
      <c r="F984" s="9" t="s">
        <v>15</v>
      </c>
      <c r="G984" s="9" t="s">
        <v>1058</v>
      </c>
      <c r="H984" s="9" t="s">
        <v>86</v>
      </c>
      <c r="I984" s="11">
        <v>650000</v>
      </c>
      <c r="J984" s="11">
        <v>2744237</v>
      </c>
      <c r="K984" s="11">
        <v>3437055</v>
      </c>
      <c r="L984" s="3">
        <v>415</v>
      </c>
      <c r="M984" s="3">
        <v>2330</v>
      </c>
      <c r="N984" s="3">
        <v>852146</v>
      </c>
      <c r="O984" s="2">
        <v>0.221</v>
      </c>
      <c r="P984" s="2">
        <v>0.46899999999999997</v>
      </c>
      <c r="Q984" s="2">
        <v>-0.151</v>
      </c>
      <c r="R984" s="11">
        <v>401793041</v>
      </c>
      <c r="S984" s="11">
        <v>647911</v>
      </c>
      <c r="T984">
        <v>2017</v>
      </c>
      <c r="U984">
        <v>3</v>
      </c>
      <c r="V984">
        <f t="shared" si="90"/>
        <v>600000</v>
      </c>
      <c r="W984">
        <f t="shared" si="91"/>
        <v>18429897</v>
      </c>
      <c r="X984">
        <f t="shared" si="92"/>
        <v>17829897</v>
      </c>
      <c r="Y984">
        <f t="shared" si="93"/>
        <v>-26144845.5</v>
      </c>
      <c r="Z984">
        <f t="shared" si="94"/>
        <v>45174742.5</v>
      </c>
      <c r="AA984" t="str">
        <f t="shared" si="95"/>
        <v>Normal</v>
      </c>
      <c r="AE984" s="2"/>
      <c r="AF984" s="2"/>
    </row>
    <row r="985" spans="1:32" x14ac:dyDescent="0.35">
      <c r="A985">
        <v>984</v>
      </c>
      <c r="B985" s="1">
        <v>42823</v>
      </c>
      <c r="C985" s="9" t="s">
        <v>188</v>
      </c>
      <c r="D985" s="9" t="s">
        <v>4988</v>
      </c>
      <c r="E985" s="9" t="s">
        <v>5571</v>
      </c>
      <c r="F985" s="9" t="s">
        <v>15</v>
      </c>
      <c r="G985" s="9" t="s">
        <v>1774</v>
      </c>
      <c r="H985" s="9" t="s">
        <v>105</v>
      </c>
      <c r="I985" s="11">
        <v>18429897</v>
      </c>
      <c r="J985" s="11">
        <v>3246783</v>
      </c>
      <c r="K985" s="11">
        <v>14604287</v>
      </c>
      <c r="L985" s="3">
        <v>87</v>
      </c>
      <c r="M985" s="3">
        <v>4791</v>
      </c>
      <c r="N985" s="3">
        <v>1575106</v>
      </c>
      <c r="O985" s="2">
        <v>0.375</v>
      </c>
      <c r="P985" s="2">
        <v>0.747</v>
      </c>
      <c r="Q985" s="2">
        <v>0.115</v>
      </c>
      <c r="R985" s="11">
        <v>250264963</v>
      </c>
      <c r="S985" s="11">
        <v>920643</v>
      </c>
      <c r="T985">
        <v>2017</v>
      </c>
      <c r="U985">
        <v>3</v>
      </c>
      <c r="V985">
        <f t="shared" si="90"/>
        <v>600000</v>
      </c>
      <c r="W985">
        <f t="shared" si="91"/>
        <v>18429897</v>
      </c>
      <c r="X985">
        <f t="shared" si="92"/>
        <v>17829897</v>
      </c>
      <c r="Y985">
        <f t="shared" si="93"/>
        <v>-26144845.5</v>
      </c>
      <c r="Z985">
        <f t="shared" si="94"/>
        <v>45174742.5</v>
      </c>
      <c r="AA985" t="str">
        <f t="shared" si="95"/>
        <v>Normal</v>
      </c>
      <c r="AE985" s="2"/>
      <c r="AF985" s="2"/>
    </row>
    <row r="986" spans="1:32" x14ac:dyDescent="0.35">
      <c r="A986">
        <v>985</v>
      </c>
      <c r="B986" s="1">
        <v>42823</v>
      </c>
      <c r="C986" s="9" t="s">
        <v>54</v>
      </c>
      <c r="D986" s="9" t="s">
        <v>4925</v>
      </c>
      <c r="E986" s="9" t="s">
        <v>5331</v>
      </c>
      <c r="F986" s="9" t="s">
        <v>15</v>
      </c>
      <c r="G986" s="9" t="s">
        <v>1775</v>
      </c>
      <c r="H986" s="9" t="s">
        <v>105</v>
      </c>
      <c r="I986" s="11">
        <v>10000000</v>
      </c>
      <c r="J986" s="11">
        <v>2531926</v>
      </c>
      <c r="K986" s="11">
        <v>7317856</v>
      </c>
      <c r="L986" s="3">
        <v>168</v>
      </c>
      <c r="M986" s="3">
        <v>4757</v>
      </c>
      <c r="N986" s="3">
        <v>1018455</v>
      </c>
      <c r="O986" s="2">
        <v>0.23199999999999998</v>
      </c>
      <c r="P986" s="2">
        <v>0.57700000000000007</v>
      </c>
      <c r="Q986" s="2">
        <v>3.5000000000000003E-2</v>
      </c>
      <c r="R986" s="11">
        <v>456639004</v>
      </c>
      <c r="S986" s="11">
        <v>722606</v>
      </c>
      <c r="T986">
        <v>2017</v>
      </c>
      <c r="U986">
        <v>3</v>
      </c>
      <c r="V986">
        <f t="shared" si="90"/>
        <v>600000</v>
      </c>
      <c r="W986">
        <f t="shared" si="91"/>
        <v>18429897</v>
      </c>
      <c r="X986">
        <f t="shared" si="92"/>
        <v>17829897</v>
      </c>
      <c r="Y986">
        <f t="shared" si="93"/>
        <v>-26144845.5</v>
      </c>
      <c r="Z986">
        <f t="shared" si="94"/>
        <v>45174742.5</v>
      </c>
      <c r="AA986" t="str">
        <f t="shared" si="95"/>
        <v>Normal</v>
      </c>
      <c r="AE986" s="2"/>
      <c r="AF986" s="2"/>
    </row>
    <row r="987" spans="1:32" x14ac:dyDescent="0.35">
      <c r="A987">
        <v>986</v>
      </c>
      <c r="B987" s="1">
        <v>42823</v>
      </c>
      <c r="C987" s="9" t="s">
        <v>1273</v>
      </c>
      <c r="D987" s="9" t="s">
        <v>4988</v>
      </c>
      <c r="E987" s="9" t="s">
        <v>6483</v>
      </c>
      <c r="F987" s="9" t="s">
        <v>15</v>
      </c>
      <c r="G987" s="9" t="s">
        <v>1776</v>
      </c>
      <c r="H987" s="9" t="s">
        <v>86</v>
      </c>
      <c r="I987" s="11">
        <v>50000</v>
      </c>
      <c r="J987" s="11">
        <v>3269116</v>
      </c>
      <c r="K987" s="11">
        <v>1529323</v>
      </c>
      <c r="L987" s="3">
        <v>66</v>
      </c>
      <c r="M987" s="3">
        <v>4818</v>
      </c>
      <c r="N987" s="3">
        <v>1087023</v>
      </c>
      <c r="O987" s="2">
        <v>2.3E-2</v>
      </c>
      <c r="P987" s="2">
        <v>1.198</v>
      </c>
      <c r="Q987" s="2">
        <v>0.76</v>
      </c>
      <c r="R987" s="11">
        <v>17907432</v>
      </c>
      <c r="S987" s="11">
        <v>194699</v>
      </c>
      <c r="T987">
        <v>2017</v>
      </c>
      <c r="U987">
        <v>3</v>
      </c>
      <c r="V987">
        <f t="shared" si="90"/>
        <v>600000</v>
      </c>
      <c r="W987">
        <f t="shared" si="91"/>
        <v>18429897</v>
      </c>
      <c r="X987">
        <f t="shared" si="92"/>
        <v>17829897</v>
      </c>
      <c r="Y987">
        <f t="shared" si="93"/>
        <v>-26144845.5</v>
      </c>
      <c r="Z987">
        <f t="shared" si="94"/>
        <v>45174742.5</v>
      </c>
      <c r="AA987" t="str">
        <f t="shared" si="95"/>
        <v>Normal</v>
      </c>
      <c r="AE987" s="2"/>
      <c r="AF987" s="2"/>
    </row>
    <row r="988" spans="1:32" x14ac:dyDescent="0.35">
      <c r="A988">
        <v>987</v>
      </c>
      <c r="B988" s="1">
        <v>42824</v>
      </c>
      <c r="C988" s="9" t="s">
        <v>194</v>
      </c>
      <c r="D988" s="9" t="s">
        <v>4930</v>
      </c>
      <c r="E988" s="9" t="s">
        <v>6484</v>
      </c>
      <c r="F988" s="9" t="s">
        <v>31</v>
      </c>
      <c r="G988" s="9" t="s">
        <v>1777</v>
      </c>
      <c r="H988" s="9" t="s">
        <v>105</v>
      </c>
      <c r="I988" s="11">
        <v>18429897</v>
      </c>
      <c r="J988" s="11">
        <v>3090886</v>
      </c>
      <c r="K988" s="11">
        <v>13788948</v>
      </c>
      <c r="L988" s="3">
        <v>9</v>
      </c>
      <c r="M988" s="3">
        <v>1841</v>
      </c>
      <c r="N988" s="3">
        <v>634389</v>
      </c>
      <c r="O988" s="2">
        <v>-0.223</v>
      </c>
      <c r="P988" s="2">
        <v>0.69599999999999995</v>
      </c>
      <c r="Q988" s="2">
        <v>0.3</v>
      </c>
      <c r="R988" s="11">
        <v>106704350</v>
      </c>
      <c r="S988" s="11">
        <v>314088</v>
      </c>
      <c r="T988">
        <v>2017</v>
      </c>
      <c r="U988">
        <v>3</v>
      </c>
      <c r="V988">
        <f t="shared" si="90"/>
        <v>600000</v>
      </c>
      <c r="W988">
        <f t="shared" si="91"/>
        <v>18429897</v>
      </c>
      <c r="X988">
        <f t="shared" si="92"/>
        <v>17829897</v>
      </c>
      <c r="Y988">
        <f t="shared" si="93"/>
        <v>-26144845.5</v>
      </c>
      <c r="Z988">
        <f t="shared" si="94"/>
        <v>45174742.5</v>
      </c>
      <c r="AA988" t="str">
        <f t="shared" si="95"/>
        <v>Normal</v>
      </c>
      <c r="AE988" s="2"/>
      <c r="AF988" s="2"/>
    </row>
    <row r="989" spans="1:32" x14ac:dyDescent="0.35">
      <c r="A989">
        <v>988</v>
      </c>
      <c r="B989" s="1">
        <v>42824</v>
      </c>
      <c r="C989" s="9" t="s">
        <v>1778</v>
      </c>
      <c r="D989" s="9" t="s">
        <v>4930</v>
      </c>
      <c r="E989" s="9" t="s">
        <v>6485</v>
      </c>
      <c r="F989" s="9" t="s">
        <v>15</v>
      </c>
      <c r="G989" s="9" t="s">
        <v>1779</v>
      </c>
      <c r="H989" s="9" t="s">
        <v>86</v>
      </c>
      <c r="I989" s="11">
        <v>18429897</v>
      </c>
      <c r="J989" s="11">
        <v>1594746</v>
      </c>
      <c r="K989" s="11">
        <v>4277015</v>
      </c>
      <c r="L989" s="3">
        <v>493</v>
      </c>
      <c r="M989" s="3">
        <v>373</v>
      </c>
      <c r="N989" s="3">
        <v>317869</v>
      </c>
      <c r="O989" s="2">
        <v>0.158</v>
      </c>
      <c r="P989" s="2">
        <v>1.0820000000000001</v>
      </c>
      <c r="Q989" s="2">
        <v>0.20499999999999999</v>
      </c>
      <c r="R989" s="11">
        <v>128242144</v>
      </c>
      <c r="S989" s="11">
        <v>1074603</v>
      </c>
      <c r="T989">
        <v>2017</v>
      </c>
      <c r="U989">
        <v>3</v>
      </c>
      <c r="V989">
        <f t="shared" si="90"/>
        <v>600000</v>
      </c>
      <c r="W989">
        <f t="shared" si="91"/>
        <v>18429897</v>
      </c>
      <c r="X989">
        <f t="shared" si="92"/>
        <v>17829897</v>
      </c>
      <c r="Y989">
        <f t="shared" si="93"/>
        <v>-26144845.5</v>
      </c>
      <c r="Z989">
        <f t="shared" si="94"/>
        <v>45174742.5</v>
      </c>
      <c r="AA989" t="str">
        <f t="shared" si="95"/>
        <v>Normal</v>
      </c>
      <c r="AE989" s="2"/>
      <c r="AF989" s="2"/>
    </row>
    <row r="990" spans="1:32" x14ac:dyDescent="0.35">
      <c r="A990">
        <v>989</v>
      </c>
      <c r="B990" s="1">
        <v>42824</v>
      </c>
      <c r="C990" s="9" t="s">
        <v>1780</v>
      </c>
      <c r="D990" s="9" t="s">
        <v>4988</v>
      </c>
      <c r="E990" s="9" t="s">
        <v>6486</v>
      </c>
      <c r="F990" s="9" t="s">
        <v>19</v>
      </c>
      <c r="G990" s="9" t="s">
        <v>1781</v>
      </c>
      <c r="H990" s="9" t="s">
        <v>86</v>
      </c>
      <c r="I990" s="11">
        <v>18429897</v>
      </c>
      <c r="J990" s="11">
        <v>1246496</v>
      </c>
      <c r="K990" s="11">
        <v>10322054</v>
      </c>
      <c r="L990" s="3">
        <v>331</v>
      </c>
      <c r="M990" s="3">
        <v>1222</v>
      </c>
      <c r="N990" s="3">
        <v>171006</v>
      </c>
      <c r="O990" s="2">
        <v>-0.20100000000000001</v>
      </c>
      <c r="P990" s="2">
        <v>0.40500000000000003</v>
      </c>
      <c r="Q990" s="2">
        <v>-0.39799999999999996</v>
      </c>
      <c r="R990" s="11">
        <v>364618634</v>
      </c>
      <c r="S990" s="11">
        <v>1991798</v>
      </c>
      <c r="T990">
        <v>2017</v>
      </c>
      <c r="U990">
        <v>3</v>
      </c>
      <c r="V990">
        <f t="shared" si="90"/>
        <v>600000</v>
      </c>
      <c r="W990">
        <f t="shared" si="91"/>
        <v>18429897</v>
      </c>
      <c r="X990">
        <f t="shared" si="92"/>
        <v>17829897</v>
      </c>
      <c r="Y990">
        <f t="shared" si="93"/>
        <v>-26144845.5</v>
      </c>
      <c r="Z990">
        <f t="shared" si="94"/>
        <v>45174742.5</v>
      </c>
      <c r="AA990" t="str">
        <f t="shared" si="95"/>
        <v>Normal</v>
      </c>
      <c r="AE990" s="2"/>
      <c r="AF990" s="2"/>
    </row>
    <row r="991" spans="1:32" x14ac:dyDescent="0.35">
      <c r="A991">
        <v>990</v>
      </c>
      <c r="B991" s="1">
        <v>42825</v>
      </c>
      <c r="C991" s="9" t="s">
        <v>1352</v>
      </c>
      <c r="D991" s="9" t="s">
        <v>4988</v>
      </c>
      <c r="E991" s="9" t="s">
        <v>6487</v>
      </c>
      <c r="F991" s="9" t="s">
        <v>31</v>
      </c>
      <c r="G991" s="9" t="s">
        <v>1782</v>
      </c>
      <c r="H991" s="9" t="s">
        <v>86</v>
      </c>
      <c r="I991" s="11">
        <v>155000</v>
      </c>
      <c r="J991" s="11">
        <v>3941412</v>
      </c>
      <c r="K991" s="11">
        <v>10191403</v>
      </c>
      <c r="L991" s="3">
        <v>228</v>
      </c>
      <c r="M991" s="3">
        <v>1095</v>
      </c>
      <c r="N991" s="3">
        <v>998617</v>
      </c>
      <c r="O991" s="2">
        <v>0.10299999999999999</v>
      </c>
      <c r="P991" s="2">
        <v>0.75600000000000001</v>
      </c>
      <c r="Q991" s="2">
        <v>-0.192</v>
      </c>
      <c r="R991" s="11">
        <v>250264963</v>
      </c>
      <c r="S991" s="11">
        <v>358640</v>
      </c>
      <c r="T991">
        <v>2017</v>
      </c>
      <c r="U991">
        <v>3</v>
      </c>
      <c r="V991">
        <f t="shared" si="90"/>
        <v>600000</v>
      </c>
      <c r="W991">
        <f t="shared" si="91"/>
        <v>18429897</v>
      </c>
      <c r="X991">
        <f t="shared" si="92"/>
        <v>17829897</v>
      </c>
      <c r="Y991">
        <f t="shared" si="93"/>
        <v>-26144845.5</v>
      </c>
      <c r="Z991">
        <f t="shared" si="94"/>
        <v>45174742.5</v>
      </c>
      <c r="AA991" t="str">
        <f t="shared" si="95"/>
        <v>Normal</v>
      </c>
      <c r="AE991" s="2"/>
      <c r="AF991" s="2"/>
    </row>
    <row r="992" spans="1:32" x14ac:dyDescent="0.35">
      <c r="A992">
        <v>991</v>
      </c>
      <c r="B992" s="1">
        <v>42825</v>
      </c>
      <c r="C992" s="9" t="s">
        <v>1783</v>
      </c>
      <c r="D992" s="9" t="s">
        <v>4930</v>
      </c>
      <c r="E992" s="9" t="s">
        <v>6488</v>
      </c>
      <c r="F992" s="9" t="s">
        <v>31</v>
      </c>
      <c r="G992" s="9" t="s">
        <v>1784</v>
      </c>
      <c r="H992" s="9" t="s">
        <v>105</v>
      </c>
      <c r="I992" s="11">
        <v>3000000</v>
      </c>
      <c r="J992" s="11">
        <v>1726655</v>
      </c>
      <c r="K992" s="11">
        <v>10153449</v>
      </c>
      <c r="L992" s="3">
        <v>104</v>
      </c>
      <c r="M992" s="3">
        <v>435</v>
      </c>
      <c r="N992" s="3">
        <v>793593</v>
      </c>
      <c r="O992" s="2">
        <v>-0.04</v>
      </c>
      <c r="P992" s="2">
        <v>0.50800000000000001</v>
      </c>
      <c r="Q992" s="2">
        <v>0.17600000000000002</v>
      </c>
      <c r="R992" s="11">
        <v>100647626</v>
      </c>
      <c r="S992" s="11">
        <v>1907946</v>
      </c>
      <c r="T992">
        <v>2017</v>
      </c>
      <c r="U992">
        <v>3</v>
      </c>
      <c r="V992">
        <f t="shared" si="90"/>
        <v>600000</v>
      </c>
      <c r="W992">
        <f t="shared" si="91"/>
        <v>18429897</v>
      </c>
      <c r="X992">
        <f t="shared" si="92"/>
        <v>17829897</v>
      </c>
      <c r="Y992">
        <f t="shared" si="93"/>
        <v>-26144845.5</v>
      </c>
      <c r="Z992">
        <f t="shared" si="94"/>
        <v>45174742.5</v>
      </c>
      <c r="AA992" t="str">
        <f t="shared" si="95"/>
        <v>Normal</v>
      </c>
      <c r="AE992" s="2"/>
      <c r="AF992" s="2"/>
    </row>
    <row r="993" spans="1:32" x14ac:dyDescent="0.35">
      <c r="A993">
        <v>992</v>
      </c>
      <c r="B993" s="1">
        <v>42825</v>
      </c>
      <c r="C993" s="9" t="s">
        <v>719</v>
      </c>
      <c r="D993" s="9" t="s">
        <v>4925</v>
      </c>
      <c r="E993" s="9" t="s">
        <v>6013</v>
      </c>
      <c r="F993" s="9" t="s">
        <v>15</v>
      </c>
      <c r="G993" s="9" t="s">
        <v>683</v>
      </c>
      <c r="H993" s="9" t="s">
        <v>105</v>
      </c>
      <c r="I993" s="11">
        <v>7000000</v>
      </c>
      <c r="J993" s="11">
        <v>2754739</v>
      </c>
      <c r="K993" s="11">
        <v>2785382</v>
      </c>
      <c r="L993" s="3">
        <v>297</v>
      </c>
      <c r="M993" s="3">
        <v>3561</v>
      </c>
      <c r="N993" s="3">
        <v>418452</v>
      </c>
      <c r="O993" s="2">
        <v>1.6E-2</v>
      </c>
      <c r="P993" s="2">
        <v>1.135</v>
      </c>
      <c r="Q993" s="2">
        <v>3.4000000000000002E-2</v>
      </c>
      <c r="R993" s="11">
        <v>487034843</v>
      </c>
      <c r="S993" s="11">
        <v>1008193.5</v>
      </c>
      <c r="T993">
        <v>2017</v>
      </c>
      <c r="U993">
        <v>3</v>
      </c>
      <c r="V993">
        <f t="shared" si="90"/>
        <v>600000</v>
      </c>
      <c r="W993">
        <f t="shared" si="91"/>
        <v>18429897</v>
      </c>
      <c r="X993">
        <f t="shared" si="92"/>
        <v>17829897</v>
      </c>
      <c r="Y993">
        <f t="shared" si="93"/>
        <v>-26144845.5</v>
      </c>
      <c r="Z993">
        <f t="shared" si="94"/>
        <v>45174742.5</v>
      </c>
      <c r="AA993" t="str">
        <f t="shared" si="95"/>
        <v>Normal</v>
      </c>
      <c r="AE993" s="2"/>
      <c r="AF993" s="2"/>
    </row>
    <row r="994" spans="1:32" x14ac:dyDescent="0.35">
      <c r="A994">
        <v>993</v>
      </c>
      <c r="B994" s="1">
        <v>42825</v>
      </c>
      <c r="C994" s="9" t="s">
        <v>1785</v>
      </c>
      <c r="D994" s="9" t="s">
        <v>4988</v>
      </c>
      <c r="E994" s="9" t="s">
        <v>6489</v>
      </c>
      <c r="F994" s="9" t="s">
        <v>27</v>
      </c>
      <c r="G994" s="9" t="s">
        <v>1786</v>
      </c>
      <c r="H994" s="9" t="s">
        <v>105</v>
      </c>
      <c r="I994" s="11">
        <v>18429897</v>
      </c>
      <c r="J994" s="11">
        <v>2531926</v>
      </c>
      <c r="K994" s="11">
        <v>5093048</v>
      </c>
      <c r="L994" s="3">
        <v>273</v>
      </c>
      <c r="M994" s="3">
        <v>2636</v>
      </c>
      <c r="N994" s="3">
        <v>1532845</v>
      </c>
      <c r="O994" s="2">
        <v>0.41600000000000004</v>
      </c>
      <c r="P994" s="2">
        <v>0.75099999999999989</v>
      </c>
      <c r="Q994" s="2">
        <v>3.9E-2</v>
      </c>
      <c r="R994" s="11">
        <v>197878057</v>
      </c>
      <c r="S994" s="11">
        <v>1420517</v>
      </c>
      <c r="T994">
        <v>2017</v>
      </c>
      <c r="U994">
        <v>3</v>
      </c>
      <c r="V994">
        <f t="shared" si="90"/>
        <v>600000</v>
      </c>
      <c r="W994">
        <f t="shared" si="91"/>
        <v>18429897</v>
      </c>
      <c r="X994">
        <f t="shared" si="92"/>
        <v>17829897</v>
      </c>
      <c r="Y994">
        <f t="shared" si="93"/>
        <v>-26144845.5</v>
      </c>
      <c r="Z994">
        <f t="shared" si="94"/>
        <v>45174742.5</v>
      </c>
      <c r="AA994" t="str">
        <f t="shared" si="95"/>
        <v>Normal</v>
      </c>
      <c r="AE994" s="2"/>
      <c r="AF994" s="2"/>
    </row>
    <row r="995" spans="1:32" x14ac:dyDescent="0.35">
      <c r="A995">
        <v>994</v>
      </c>
      <c r="B995" s="1">
        <v>42825</v>
      </c>
      <c r="C995" s="9" t="s">
        <v>1787</v>
      </c>
      <c r="D995" s="9" t="s">
        <v>4930</v>
      </c>
      <c r="E995" s="9" t="s">
        <v>6490</v>
      </c>
      <c r="F995" s="9" t="s">
        <v>15</v>
      </c>
      <c r="G995" s="9" t="s">
        <v>1788</v>
      </c>
      <c r="H995" s="9" t="s">
        <v>86</v>
      </c>
      <c r="I995" s="11">
        <v>18429897</v>
      </c>
      <c r="J995" s="11">
        <v>2168462</v>
      </c>
      <c r="K995" s="11">
        <v>14773191</v>
      </c>
      <c r="L995" s="3">
        <v>115</v>
      </c>
      <c r="M995" s="3">
        <v>3622</v>
      </c>
      <c r="N995" s="3">
        <v>325238</v>
      </c>
      <c r="O995" s="2">
        <v>-0.13100000000000001</v>
      </c>
      <c r="P995" s="2">
        <v>0.85400000000000009</v>
      </c>
      <c r="Q995" s="2">
        <v>1.9E-2</v>
      </c>
      <c r="R995" s="11">
        <v>241832412</v>
      </c>
      <c r="S995" s="11">
        <v>1844420</v>
      </c>
      <c r="T995">
        <v>2017</v>
      </c>
      <c r="U995">
        <v>3</v>
      </c>
      <c r="V995">
        <f t="shared" si="90"/>
        <v>600000</v>
      </c>
      <c r="W995">
        <f t="shared" si="91"/>
        <v>18429897</v>
      </c>
      <c r="X995">
        <f t="shared" si="92"/>
        <v>17829897</v>
      </c>
      <c r="Y995">
        <f t="shared" si="93"/>
        <v>-26144845.5</v>
      </c>
      <c r="Z995">
        <f t="shared" si="94"/>
        <v>45174742.5</v>
      </c>
      <c r="AA995" t="str">
        <f t="shared" si="95"/>
        <v>Normal</v>
      </c>
      <c r="AE995" s="2"/>
      <c r="AF995" s="2"/>
    </row>
    <row r="996" spans="1:32" x14ac:dyDescent="0.35">
      <c r="A996">
        <v>995</v>
      </c>
      <c r="B996" s="1">
        <v>42825</v>
      </c>
      <c r="C996" s="9" t="s">
        <v>732</v>
      </c>
      <c r="D996" s="9" t="s">
        <v>4930</v>
      </c>
      <c r="E996" s="9" t="s">
        <v>6491</v>
      </c>
      <c r="F996" s="9" t="s">
        <v>41</v>
      </c>
      <c r="G996" s="9" t="s">
        <v>4843</v>
      </c>
      <c r="H996" s="9" t="s">
        <v>105</v>
      </c>
      <c r="I996" s="11">
        <v>25000000</v>
      </c>
      <c r="J996" s="11">
        <v>2657725</v>
      </c>
      <c r="K996" s="11">
        <v>18661025</v>
      </c>
      <c r="L996" s="3">
        <v>12</v>
      </c>
      <c r="M996" s="3">
        <v>1038</v>
      </c>
      <c r="N996" s="3">
        <v>948224</v>
      </c>
      <c r="O996" s="2">
        <v>4.9000000000000002E-2</v>
      </c>
      <c r="P996" s="2">
        <v>0.27600000000000002</v>
      </c>
      <c r="Q996" s="2">
        <v>5.3999999999999999E-2</v>
      </c>
      <c r="R996" s="11">
        <v>460427119</v>
      </c>
      <c r="S996" s="11">
        <v>57274</v>
      </c>
      <c r="T996">
        <v>2017</v>
      </c>
      <c r="U996">
        <v>3</v>
      </c>
      <c r="V996">
        <f t="shared" si="90"/>
        <v>600000</v>
      </c>
      <c r="W996">
        <f t="shared" si="91"/>
        <v>18429897</v>
      </c>
      <c r="X996">
        <f t="shared" si="92"/>
        <v>17829897</v>
      </c>
      <c r="Y996">
        <f t="shared" si="93"/>
        <v>-26144845.5</v>
      </c>
      <c r="Z996">
        <f t="shared" si="94"/>
        <v>45174742.5</v>
      </c>
      <c r="AA996" t="str">
        <f t="shared" si="95"/>
        <v>Normal</v>
      </c>
      <c r="AE996" s="2"/>
      <c r="AF996" s="2"/>
    </row>
    <row r="997" spans="1:32" x14ac:dyDescent="0.35">
      <c r="A997">
        <v>996</v>
      </c>
      <c r="B997" s="1">
        <v>42768</v>
      </c>
      <c r="C997" s="9" t="s">
        <v>1789</v>
      </c>
      <c r="D997" s="9" t="s">
        <v>4930</v>
      </c>
      <c r="E997" s="9" t="s">
        <v>6492</v>
      </c>
      <c r="F997" s="9" t="s">
        <v>41</v>
      </c>
      <c r="G997" s="9" t="s">
        <v>856</v>
      </c>
      <c r="H997" s="9" t="s">
        <v>86</v>
      </c>
      <c r="I997" s="11">
        <v>18429897</v>
      </c>
      <c r="J997" s="11">
        <v>2531926</v>
      </c>
      <c r="K997" s="11">
        <v>333318</v>
      </c>
      <c r="L997" s="3">
        <v>237</v>
      </c>
      <c r="M997" s="3">
        <v>3495</v>
      </c>
      <c r="N997" s="3">
        <v>857619</v>
      </c>
      <c r="O997" s="2">
        <v>9.4E-2</v>
      </c>
      <c r="P997" s="2">
        <v>0.68799999999999994</v>
      </c>
      <c r="Q997" s="2">
        <v>-0.32799999999999996</v>
      </c>
      <c r="R997" s="11">
        <v>253670700</v>
      </c>
      <c r="S997" s="11">
        <v>590310</v>
      </c>
      <c r="T997">
        <v>2017</v>
      </c>
      <c r="U997">
        <v>2</v>
      </c>
      <c r="V997">
        <f t="shared" si="90"/>
        <v>600000</v>
      </c>
      <c r="W997">
        <f t="shared" si="91"/>
        <v>18429897</v>
      </c>
      <c r="X997">
        <f t="shared" si="92"/>
        <v>17829897</v>
      </c>
      <c r="Y997">
        <f t="shared" si="93"/>
        <v>-26144845.5</v>
      </c>
      <c r="Z997">
        <f t="shared" si="94"/>
        <v>45174742.5</v>
      </c>
      <c r="AA997" t="str">
        <f t="shared" si="95"/>
        <v>Normal</v>
      </c>
      <c r="AE997" s="2"/>
      <c r="AF997" s="2"/>
    </row>
    <row r="998" spans="1:32" x14ac:dyDescent="0.35">
      <c r="A998">
        <v>997</v>
      </c>
      <c r="B998" s="1">
        <v>42769</v>
      </c>
      <c r="C998" s="9" t="s">
        <v>1790</v>
      </c>
      <c r="D998" s="9" t="s">
        <v>4988</v>
      </c>
      <c r="E998" s="9" t="s">
        <v>6493</v>
      </c>
      <c r="F998" s="9" t="s">
        <v>124</v>
      </c>
      <c r="G998" s="9" t="s">
        <v>1791</v>
      </c>
      <c r="H998" s="9" t="s">
        <v>86</v>
      </c>
      <c r="I998" s="11">
        <v>18429897</v>
      </c>
      <c r="J998" s="11">
        <v>2641355</v>
      </c>
      <c r="K998" s="11">
        <v>8336197</v>
      </c>
      <c r="L998" s="3">
        <v>256</v>
      </c>
      <c r="M998" s="3">
        <v>370</v>
      </c>
      <c r="N998" s="3">
        <v>1954298</v>
      </c>
      <c r="O998" s="2">
        <v>2.6000000000000002E-2</v>
      </c>
      <c r="P998" s="2">
        <v>0.77900000000000003</v>
      </c>
      <c r="Q998" s="2">
        <v>7.8E-2</v>
      </c>
      <c r="R998" s="11">
        <v>109623149</v>
      </c>
      <c r="S998" s="11">
        <v>1030801</v>
      </c>
      <c r="T998">
        <v>2017</v>
      </c>
      <c r="U998">
        <v>2</v>
      </c>
      <c r="V998">
        <f t="shared" si="90"/>
        <v>600000</v>
      </c>
      <c r="W998">
        <f t="shared" si="91"/>
        <v>18429897</v>
      </c>
      <c r="X998">
        <f t="shared" si="92"/>
        <v>17829897</v>
      </c>
      <c r="Y998">
        <f t="shared" si="93"/>
        <v>-26144845.5</v>
      </c>
      <c r="Z998">
        <f t="shared" si="94"/>
        <v>45174742.5</v>
      </c>
      <c r="AA998" t="str">
        <f t="shared" si="95"/>
        <v>Normal</v>
      </c>
      <c r="AE998" s="2"/>
      <c r="AF998" s="2"/>
    </row>
    <row r="999" spans="1:32" x14ac:dyDescent="0.35">
      <c r="A999">
        <v>998</v>
      </c>
      <c r="B999" s="1">
        <v>42772</v>
      </c>
      <c r="C999" s="9" t="s">
        <v>644</v>
      </c>
      <c r="D999" s="9" t="s">
        <v>4988</v>
      </c>
      <c r="E999" s="9" t="s">
        <v>1111</v>
      </c>
      <c r="F999" s="9" t="s">
        <v>15</v>
      </c>
      <c r="G999" s="9" t="s">
        <v>1792</v>
      </c>
      <c r="H999" s="9" t="s">
        <v>105</v>
      </c>
      <c r="I999" s="11">
        <v>2500000</v>
      </c>
      <c r="J999" s="11">
        <v>1816073</v>
      </c>
      <c r="K999" s="11">
        <v>17639746</v>
      </c>
      <c r="L999" s="3">
        <v>400</v>
      </c>
      <c r="M999" s="3">
        <v>3621</v>
      </c>
      <c r="N999" s="3">
        <v>208773</v>
      </c>
      <c r="O999" s="2">
        <v>1.6E-2</v>
      </c>
      <c r="P999" s="2">
        <v>0.49</v>
      </c>
      <c r="Q999" s="2">
        <v>0.36749999999999999</v>
      </c>
      <c r="R999" s="11">
        <v>73665127</v>
      </c>
      <c r="S999" s="11">
        <v>1085072</v>
      </c>
      <c r="T999">
        <v>2017</v>
      </c>
      <c r="U999">
        <v>2</v>
      </c>
      <c r="V999">
        <f t="shared" si="90"/>
        <v>600000</v>
      </c>
      <c r="W999">
        <f t="shared" si="91"/>
        <v>18429897</v>
      </c>
      <c r="X999">
        <f t="shared" si="92"/>
        <v>17829897</v>
      </c>
      <c r="Y999">
        <f t="shared" si="93"/>
        <v>-26144845.5</v>
      </c>
      <c r="Z999">
        <f t="shared" si="94"/>
        <v>45174742.5</v>
      </c>
      <c r="AA999" t="str">
        <f t="shared" si="95"/>
        <v>Normal</v>
      </c>
      <c r="AE999" s="2"/>
      <c r="AF999" s="2"/>
    </row>
    <row r="1000" spans="1:32" x14ac:dyDescent="0.35">
      <c r="A1000">
        <v>999</v>
      </c>
      <c r="B1000" s="1">
        <v>42772</v>
      </c>
      <c r="C1000" s="9" t="s">
        <v>1793</v>
      </c>
      <c r="D1000" s="9" t="s">
        <v>4930</v>
      </c>
      <c r="E1000" s="9" t="s">
        <v>6494</v>
      </c>
      <c r="F1000" s="9" t="s">
        <v>554</v>
      </c>
      <c r="G1000" s="9" t="s">
        <v>1794</v>
      </c>
      <c r="H1000" s="9" t="s">
        <v>86</v>
      </c>
      <c r="I1000" s="11">
        <v>18429897</v>
      </c>
      <c r="J1000" s="11">
        <v>4809621</v>
      </c>
      <c r="K1000" s="11">
        <v>5810582</v>
      </c>
      <c r="L1000" s="3">
        <v>199</v>
      </c>
      <c r="M1000" s="3">
        <v>4074</v>
      </c>
      <c r="N1000" s="3">
        <v>1712268</v>
      </c>
      <c r="O1000" s="2">
        <v>-2.7999999999999997E-2</v>
      </c>
      <c r="P1000" s="2">
        <v>0.93600000000000005</v>
      </c>
      <c r="Q1000" s="2">
        <v>0.36700000000000005</v>
      </c>
      <c r="R1000" s="11">
        <v>156314631</v>
      </c>
      <c r="S1000" s="11">
        <v>1746785</v>
      </c>
      <c r="T1000">
        <v>2017</v>
      </c>
      <c r="U1000">
        <v>2</v>
      </c>
      <c r="V1000">
        <f t="shared" si="90"/>
        <v>600000</v>
      </c>
      <c r="W1000">
        <f t="shared" si="91"/>
        <v>18429897</v>
      </c>
      <c r="X1000">
        <f t="shared" si="92"/>
        <v>17829897</v>
      </c>
      <c r="Y1000">
        <f t="shared" si="93"/>
        <v>-26144845.5</v>
      </c>
      <c r="Z1000">
        <f t="shared" si="94"/>
        <v>45174742.5</v>
      </c>
      <c r="AA1000" t="str">
        <f t="shared" si="95"/>
        <v>Normal</v>
      </c>
      <c r="AE1000" s="2"/>
      <c r="AF1000" s="2"/>
    </row>
    <row r="1001" spans="1:32" x14ac:dyDescent="0.35">
      <c r="A1001">
        <v>1000</v>
      </c>
      <c r="B1001" s="1">
        <v>42773</v>
      </c>
      <c r="C1001" s="9" t="s">
        <v>1795</v>
      </c>
      <c r="D1001" s="9" t="s">
        <v>4988</v>
      </c>
      <c r="E1001" s="9" t="s">
        <v>6445</v>
      </c>
      <c r="F1001" s="9" t="s">
        <v>31</v>
      </c>
      <c r="G1001" s="9" t="s">
        <v>1796</v>
      </c>
      <c r="H1001" s="9" t="s">
        <v>86</v>
      </c>
      <c r="I1001" s="11">
        <v>450000</v>
      </c>
      <c r="J1001" s="11">
        <v>2573441</v>
      </c>
      <c r="K1001" s="11">
        <v>18096091</v>
      </c>
      <c r="L1001" s="3">
        <v>53</v>
      </c>
      <c r="M1001" s="3">
        <v>1305</v>
      </c>
      <c r="N1001" s="3">
        <v>1369079</v>
      </c>
      <c r="O1001" s="2">
        <v>0.19600000000000001</v>
      </c>
      <c r="P1001" s="2">
        <v>0.66700000000000004</v>
      </c>
      <c r="Q1001" s="2">
        <v>0.309</v>
      </c>
      <c r="R1001" s="11">
        <v>234532681</v>
      </c>
      <c r="S1001" s="11">
        <v>649317</v>
      </c>
      <c r="T1001">
        <v>2017</v>
      </c>
      <c r="U1001">
        <v>2</v>
      </c>
      <c r="V1001">
        <f t="shared" si="90"/>
        <v>600000</v>
      </c>
      <c r="W1001">
        <f t="shared" si="91"/>
        <v>18429897</v>
      </c>
      <c r="X1001">
        <f t="shared" si="92"/>
        <v>17829897</v>
      </c>
      <c r="Y1001">
        <f t="shared" si="93"/>
        <v>-26144845.5</v>
      </c>
      <c r="Z1001">
        <f t="shared" si="94"/>
        <v>45174742.5</v>
      </c>
      <c r="AA1001" t="str">
        <f t="shared" si="95"/>
        <v>Normal</v>
      </c>
      <c r="AE1001" s="2"/>
      <c r="AF1001" s="2"/>
    </row>
    <row r="1002" spans="1:32" x14ac:dyDescent="0.35">
      <c r="A1002">
        <v>1001</v>
      </c>
      <c r="B1002" s="1">
        <v>42773</v>
      </c>
      <c r="C1002" s="9" t="s">
        <v>1797</v>
      </c>
      <c r="D1002" s="9" t="s">
        <v>4988</v>
      </c>
      <c r="E1002" s="9" t="s">
        <v>6495</v>
      </c>
      <c r="F1002" s="9" t="s">
        <v>63</v>
      </c>
      <c r="G1002" s="9" t="s">
        <v>1798</v>
      </c>
      <c r="H1002" s="9" t="s">
        <v>105</v>
      </c>
      <c r="I1002" s="11">
        <v>10000000</v>
      </c>
      <c r="J1002" s="11">
        <v>4045336</v>
      </c>
      <c r="K1002" s="11">
        <v>19382397</v>
      </c>
      <c r="L1002" s="3">
        <v>440</v>
      </c>
      <c r="M1002" s="3">
        <v>1676</v>
      </c>
      <c r="N1002" s="3">
        <v>1581928</v>
      </c>
      <c r="O1002" s="2">
        <v>0.184</v>
      </c>
      <c r="P1002" s="2">
        <v>0.76100000000000001</v>
      </c>
      <c r="Q1002" s="2">
        <v>-0.60699999999999998</v>
      </c>
      <c r="R1002" s="11">
        <v>310055340</v>
      </c>
      <c r="S1002" s="11">
        <v>187077</v>
      </c>
      <c r="T1002">
        <v>2017</v>
      </c>
      <c r="U1002">
        <v>2</v>
      </c>
      <c r="V1002">
        <f t="shared" si="90"/>
        <v>600000</v>
      </c>
      <c r="W1002">
        <f t="shared" si="91"/>
        <v>18429897</v>
      </c>
      <c r="X1002">
        <f t="shared" si="92"/>
        <v>17829897</v>
      </c>
      <c r="Y1002">
        <f t="shared" si="93"/>
        <v>-26144845.5</v>
      </c>
      <c r="Z1002">
        <f t="shared" si="94"/>
        <v>45174742.5</v>
      </c>
      <c r="AA1002" t="str">
        <f t="shared" si="95"/>
        <v>Normal</v>
      </c>
      <c r="AE1002" s="2"/>
      <c r="AF1002" s="2"/>
    </row>
    <row r="1003" spans="1:32" x14ac:dyDescent="0.35">
      <c r="A1003">
        <v>1002</v>
      </c>
      <c r="B1003" s="1">
        <v>42774</v>
      </c>
      <c r="C1003" s="9" t="s">
        <v>1799</v>
      </c>
      <c r="D1003" s="9" t="s">
        <v>4988</v>
      </c>
      <c r="E1003" s="9" t="s">
        <v>6496</v>
      </c>
      <c r="F1003" s="9" t="s">
        <v>15</v>
      </c>
      <c r="G1003" s="9" t="s">
        <v>1800</v>
      </c>
      <c r="H1003" s="9" t="s">
        <v>86</v>
      </c>
      <c r="I1003" s="11">
        <v>1000000</v>
      </c>
      <c r="J1003" s="11">
        <v>3688794</v>
      </c>
      <c r="K1003" s="11">
        <v>13140263</v>
      </c>
      <c r="L1003" s="3">
        <v>209</v>
      </c>
      <c r="M1003" s="3">
        <v>2205</v>
      </c>
      <c r="N1003" s="3">
        <v>1555740</v>
      </c>
      <c r="O1003" s="2">
        <v>-0.156</v>
      </c>
      <c r="P1003" s="2">
        <v>0.56100000000000005</v>
      </c>
      <c r="Q1003" s="2">
        <v>-8.4000000000000005E-2</v>
      </c>
      <c r="R1003" s="11">
        <v>481840400</v>
      </c>
      <c r="S1003" s="11">
        <v>1307922</v>
      </c>
      <c r="T1003">
        <v>2017</v>
      </c>
      <c r="U1003">
        <v>2</v>
      </c>
      <c r="V1003">
        <f t="shared" si="90"/>
        <v>600000</v>
      </c>
      <c r="W1003">
        <f t="shared" si="91"/>
        <v>18429897</v>
      </c>
      <c r="X1003">
        <f t="shared" si="92"/>
        <v>17829897</v>
      </c>
      <c r="Y1003">
        <f t="shared" si="93"/>
        <v>-26144845.5</v>
      </c>
      <c r="Z1003">
        <f t="shared" si="94"/>
        <v>45174742.5</v>
      </c>
      <c r="AA1003" t="str">
        <f t="shared" si="95"/>
        <v>Normal</v>
      </c>
      <c r="AE1003" s="2"/>
      <c r="AF1003" s="2"/>
    </row>
    <row r="1004" spans="1:32" x14ac:dyDescent="0.35">
      <c r="A1004">
        <v>1003</v>
      </c>
      <c r="B1004" s="1">
        <v>42774</v>
      </c>
      <c r="C1004" s="9" t="s">
        <v>1801</v>
      </c>
      <c r="D1004" s="9" t="s">
        <v>4930</v>
      </c>
      <c r="E1004" s="9" t="s">
        <v>6497</v>
      </c>
      <c r="F1004" s="9" t="s">
        <v>19</v>
      </c>
      <c r="G1004" s="9" t="s">
        <v>1802</v>
      </c>
      <c r="H1004" s="9" t="s">
        <v>105</v>
      </c>
      <c r="I1004" s="11">
        <v>1200000</v>
      </c>
      <c r="J1004" s="11">
        <v>2800419</v>
      </c>
      <c r="K1004" s="11">
        <v>13913327</v>
      </c>
      <c r="L1004" s="3">
        <v>362</v>
      </c>
      <c r="M1004" s="3">
        <v>2917</v>
      </c>
      <c r="N1004" s="3">
        <v>1546383</v>
      </c>
      <c r="O1004" s="2">
        <v>0.16699999999999998</v>
      </c>
      <c r="P1004" s="2">
        <v>0.877</v>
      </c>
      <c r="Q1004" s="2">
        <v>0.55100000000000005</v>
      </c>
      <c r="R1004" s="11">
        <v>223126134</v>
      </c>
      <c r="S1004" s="11">
        <v>846302</v>
      </c>
      <c r="T1004">
        <v>2017</v>
      </c>
      <c r="U1004">
        <v>2</v>
      </c>
      <c r="V1004">
        <f t="shared" si="90"/>
        <v>600000</v>
      </c>
      <c r="W1004">
        <f t="shared" si="91"/>
        <v>18429897</v>
      </c>
      <c r="X1004">
        <f t="shared" si="92"/>
        <v>17829897</v>
      </c>
      <c r="Y1004">
        <f t="shared" si="93"/>
        <v>-26144845.5</v>
      </c>
      <c r="Z1004">
        <f t="shared" si="94"/>
        <v>45174742.5</v>
      </c>
      <c r="AA1004" t="str">
        <f t="shared" si="95"/>
        <v>Normal</v>
      </c>
      <c r="AE1004" s="2"/>
      <c r="AF1004" s="2"/>
    </row>
    <row r="1005" spans="1:32" x14ac:dyDescent="0.35">
      <c r="A1005">
        <v>1004</v>
      </c>
      <c r="B1005" s="1">
        <v>42774</v>
      </c>
      <c r="C1005" s="9" t="s">
        <v>1803</v>
      </c>
      <c r="D1005" s="9" t="s">
        <v>4988</v>
      </c>
      <c r="E1005" s="9" t="s">
        <v>6498</v>
      </c>
      <c r="F1005" s="9" t="s">
        <v>31</v>
      </c>
      <c r="G1005" s="9" t="s">
        <v>1804</v>
      </c>
      <c r="H1005" s="9" t="s">
        <v>105</v>
      </c>
      <c r="I1005" s="11">
        <v>55000000</v>
      </c>
      <c r="J1005" s="11">
        <v>4434286</v>
      </c>
      <c r="K1005" s="11">
        <v>12317522</v>
      </c>
      <c r="L1005" s="3">
        <v>254</v>
      </c>
      <c r="M1005" s="3">
        <v>2667</v>
      </c>
      <c r="N1005" s="3">
        <v>870387</v>
      </c>
      <c r="O1005" s="2">
        <v>-9.0999999999999998E-2</v>
      </c>
      <c r="P1005" s="2">
        <v>0.30299999999999999</v>
      </c>
      <c r="Q1005" s="2">
        <v>0.32600000000000001</v>
      </c>
      <c r="R1005" s="11">
        <v>432519265</v>
      </c>
      <c r="S1005" s="11">
        <v>410910</v>
      </c>
      <c r="T1005">
        <v>2017</v>
      </c>
      <c r="U1005">
        <v>2</v>
      </c>
      <c r="V1005">
        <f t="shared" si="90"/>
        <v>600000</v>
      </c>
      <c r="W1005">
        <f t="shared" si="91"/>
        <v>18429897</v>
      </c>
      <c r="X1005">
        <f t="shared" si="92"/>
        <v>17829897</v>
      </c>
      <c r="Y1005">
        <f t="shared" si="93"/>
        <v>-26144845.5</v>
      </c>
      <c r="Z1005">
        <f t="shared" si="94"/>
        <v>45174742.5</v>
      </c>
      <c r="AA1005" t="str">
        <f t="shared" si="95"/>
        <v>Outlier</v>
      </c>
      <c r="AE1005" s="2"/>
      <c r="AF1005" s="2"/>
    </row>
    <row r="1006" spans="1:32" x14ac:dyDescent="0.35">
      <c r="A1006">
        <v>1005</v>
      </c>
      <c r="B1006" s="1">
        <v>42774</v>
      </c>
      <c r="C1006" s="9" t="s">
        <v>1805</v>
      </c>
      <c r="D1006" s="9" t="s">
        <v>4930</v>
      </c>
      <c r="E1006" s="9" t="s">
        <v>6499</v>
      </c>
      <c r="F1006" s="9" t="s">
        <v>63</v>
      </c>
      <c r="G1006" s="9" t="s">
        <v>1806</v>
      </c>
      <c r="H1006" s="9" t="s">
        <v>86</v>
      </c>
      <c r="I1006" s="11">
        <v>18429897</v>
      </c>
      <c r="J1006" s="11">
        <v>658774</v>
      </c>
      <c r="K1006" s="11">
        <v>5744187</v>
      </c>
      <c r="L1006" s="3">
        <v>254</v>
      </c>
      <c r="M1006" s="3">
        <v>567</v>
      </c>
      <c r="N1006" s="3">
        <v>1162290</v>
      </c>
      <c r="O1006" s="2">
        <v>-0.113</v>
      </c>
      <c r="P1006" s="2">
        <v>0.70599999999999996</v>
      </c>
      <c r="Q1006" s="2">
        <v>0.223</v>
      </c>
      <c r="R1006" s="11">
        <v>6603178</v>
      </c>
      <c r="S1006" s="11">
        <v>194727</v>
      </c>
      <c r="T1006">
        <v>2017</v>
      </c>
      <c r="U1006">
        <v>2</v>
      </c>
      <c r="V1006">
        <f t="shared" si="90"/>
        <v>600000</v>
      </c>
      <c r="W1006">
        <f t="shared" si="91"/>
        <v>18429897</v>
      </c>
      <c r="X1006">
        <f t="shared" si="92"/>
        <v>17829897</v>
      </c>
      <c r="Y1006">
        <f t="shared" si="93"/>
        <v>-26144845.5</v>
      </c>
      <c r="Z1006">
        <f t="shared" si="94"/>
        <v>45174742.5</v>
      </c>
      <c r="AA1006" t="str">
        <f t="shared" si="95"/>
        <v>Normal</v>
      </c>
      <c r="AE1006" s="2"/>
      <c r="AF1006" s="2"/>
    </row>
    <row r="1007" spans="1:32" x14ac:dyDescent="0.35">
      <c r="A1007">
        <v>1006</v>
      </c>
      <c r="B1007" s="1">
        <v>42774</v>
      </c>
      <c r="C1007" s="9" t="s">
        <v>1807</v>
      </c>
      <c r="D1007" s="9" t="s">
        <v>4988</v>
      </c>
      <c r="E1007" s="9" t="s">
        <v>6500</v>
      </c>
      <c r="F1007" s="9" t="s">
        <v>19</v>
      </c>
      <c r="G1007" s="9" t="s">
        <v>1808</v>
      </c>
      <c r="H1007" s="9" t="s">
        <v>86</v>
      </c>
      <c r="I1007" s="11">
        <v>40000</v>
      </c>
      <c r="J1007" s="11">
        <v>4606864</v>
      </c>
      <c r="K1007" s="11">
        <v>17746019</v>
      </c>
      <c r="L1007" s="3">
        <v>16</v>
      </c>
      <c r="M1007" s="3">
        <v>1924</v>
      </c>
      <c r="N1007" s="3">
        <v>729788</v>
      </c>
      <c r="O1007" s="2">
        <v>0.17800000000000002</v>
      </c>
      <c r="P1007" s="2">
        <v>1.0959999999999999</v>
      </c>
      <c r="Q1007" s="2">
        <v>-2.6000000000000002E-2</v>
      </c>
      <c r="R1007" s="11">
        <v>241096654</v>
      </c>
      <c r="S1007" s="11">
        <v>667263</v>
      </c>
      <c r="T1007">
        <v>2017</v>
      </c>
      <c r="U1007">
        <v>2</v>
      </c>
      <c r="V1007">
        <f t="shared" si="90"/>
        <v>600000</v>
      </c>
      <c r="W1007">
        <f t="shared" si="91"/>
        <v>18429897</v>
      </c>
      <c r="X1007">
        <f t="shared" si="92"/>
        <v>17829897</v>
      </c>
      <c r="Y1007">
        <f t="shared" si="93"/>
        <v>-26144845.5</v>
      </c>
      <c r="Z1007">
        <f t="shared" si="94"/>
        <v>45174742.5</v>
      </c>
      <c r="AA1007" t="str">
        <f t="shared" si="95"/>
        <v>Normal</v>
      </c>
      <c r="AE1007" s="2"/>
      <c r="AF1007" s="2"/>
    </row>
    <row r="1008" spans="1:32" x14ac:dyDescent="0.35">
      <c r="A1008">
        <v>1007</v>
      </c>
      <c r="B1008" s="1">
        <v>42775</v>
      </c>
      <c r="C1008" s="9" t="s">
        <v>1809</v>
      </c>
      <c r="D1008" s="9" t="s">
        <v>4925</v>
      </c>
      <c r="E1008" s="9" t="s">
        <v>6501</v>
      </c>
      <c r="F1008" s="9" t="s">
        <v>15</v>
      </c>
      <c r="G1008" s="9" t="s">
        <v>1810</v>
      </c>
      <c r="H1008" s="9" t="s">
        <v>105</v>
      </c>
      <c r="I1008" s="11">
        <v>6000000</v>
      </c>
      <c r="J1008" s="11">
        <v>4254125</v>
      </c>
      <c r="K1008" s="11">
        <v>778071</v>
      </c>
      <c r="L1008" s="3">
        <v>395</v>
      </c>
      <c r="M1008" s="3">
        <v>2552</v>
      </c>
      <c r="N1008" s="3">
        <v>1802309</v>
      </c>
      <c r="O1008" s="2">
        <v>3.7999999999999999E-2</v>
      </c>
      <c r="P1008" s="2">
        <v>0.435</v>
      </c>
      <c r="Q1008" s="2">
        <v>0.28499999999999998</v>
      </c>
      <c r="R1008" s="11">
        <v>194634761</v>
      </c>
      <c r="S1008" s="11">
        <v>1792553</v>
      </c>
      <c r="T1008">
        <v>2017</v>
      </c>
      <c r="U1008">
        <v>2</v>
      </c>
      <c r="V1008">
        <f t="shared" si="90"/>
        <v>600000</v>
      </c>
      <c r="W1008">
        <f t="shared" si="91"/>
        <v>18429897</v>
      </c>
      <c r="X1008">
        <f t="shared" si="92"/>
        <v>17829897</v>
      </c>
      <c r="Y1008">
        <f t="shared" si="93"/>
        <v>-26144845.5</v>
      </c>
      <c r="Z1008">
        <f t="shared" si="94"/>
        <v>45174742.5</v>
      </c>
      <c r="AA1008" t="str">
        <f t="shared" si="95"/>
        <v>Normal</v>
      </c>
      <c r="AE1008" s="2"/>
      <c r="AF1008" s="2"/>
    </row>
    <row r="1009" spans="1:32" x14ac:dyDescent="0.35">
      <c r="A1009">
        <v>1008</v>
      </c>
      <c r="B1009" s="1">
        <v>42775</v>
      </c>
      <c r="C1009" s="9" t="s">
        <v>989</v>
      </c>
      <c r="D1009" s="9" t="s">
        <v>4933</v>
      </c>
      <c r="E1009" s="9" t="s">
        <v>6502</v>
      </c>
      <c r="F1009" s="9" t="s">
        <v>31</v>
      </c>
      <c r="G1009" s="9" t="s">
        <v>1811</v>
      </c>
      <c r="H1009" s="9" t="s">
        <v>86</v>
      </c>
      <c r="I1009" s="11">
        <v>18429897</v>
      </c>
      <c r="J1009" s="11">
        <v>2528091</v>
      </c>
      <c r="K1009" s="11">
        <v>1264951</v>
      </c>
      <c r="L1009" s="3">
        <v>124</v>
      </c>
      <c r="M1009" s="3">
        <v>3088</v>
      </c>
      <c r="N1009" s="3">
        <v>451357</v>
      </c>
      <c r="O1009" s="2">
        <v>0.19500000000000001</v>
      </c>
      <c r="P1009" s="2">
        <v>1.0680000000000001</v>
      </c>
      <c r="Q1009" s="2">
        <v>-0.27900000000000003</v>
      </c>
      <c r="R1009" s="11">
        <v>440396090</v>
      </c>
      <c r="S1009" s="11">
        <v>96179</v>
      </c>
      <c r="T1009">
        <v>2017</v>
      </c>
      <c r="U1009">
        <v>2</v>
      </c>
      <c r="V1009">
        <f t="shared" si="90"/>
        <v>600000</v>
      </c>
      <c r="W1009">
        <f t="shared" si="91"/>
        <v>18429897</v>
      </c>
      <c r="X1009">
        <f t="shared" si="92"/>
        <v>17829897</v>
      </c>
      <c r="Y1009">
        <f t="shared" si="93"/>
        <v>-26144845.5</v>
      </c>
      <c r="Z1009">
        <f t="shared" si="94"/>
        <v>45174742.5</v>
      </c>
      <c r="AA1009" t="str">
        <f t="shared" si="95"/>
        <v>Normal</v>
      </c>
      <c r="AE1009" s="2"/>
      <c r="AF1009" s="2"/>
    </row>
    <row r="1010" spans="1:32" x14ac:dyDescent="0.35">
      <c r="A1010">
        <v>1009</v>
      </c>
      <c r="B1010" s="1">
        <v>42775</v>
      </c>
      <c r="C1010" s="9" t="s">
        <v>1644</v>
      </c>
      <c r="D1010" s="9" t="s">
        <v>4925</v>
      </c>
      <c r="E1010" s="9" t="s">
        <v>6503</v>
      </c>
      <c r="F1010" s="9" t="s">
        <v>15</v>
      </c>
      <c r="G1010" s="9" t="s">
        <v>1812</v>
      </c>
      <c r="H1010" s="9" t="s">
        <v>105</v>
      </c>
      <c r="I1010" s="11">
        <v>8000000</v>
      </c>
      <c r="J1010" s="11">
        <v>3672291</v>
      </c>
      <c r="K1010" s="11">
        <v>12075761</v>
      </c>
      <c r="L1010" s="3">
        <v>254</v>
      </c>
      <c r="M1010" s="3">
        <v>3177</v>
      </c>
      <c r="N1010" s="3">
        <v>1179785</v>
      </c>
      <c r="O1010" s="2">
        <v>0.19600000000000001</v>
      </c>
      <c r="P1010" s="2">
        <v>0.50800000000000001</v>
      </c>
      <c r="Q1010" s="2">
        <v>-4.0999999999999995E-2</v>
      </c>
      <c r="R1010" s="11">
        <v>473052616</v>
      </c>
      <c r="S1010" s="11">
        <v>1273074</v>
      </c>
      <c r="T1010">
        <v>2017</v>
      </c>
      <c r="U1010">
        <v>2</v>
      </c>
      <c r="V1010">
        <f t="shared" si="90"/>
        <v>600000</v>
      </c>
      <c r="W1010">
        <f t="shared" si="91"/>
        <v>18429897</v>
      </c>
      <c r="X1010">
        <f t="shared" si="92"/>
        <v>17829897</v>
      </c>
      <c r="Y1010">
        <f t="shared" si="93"/>
        <v>-26144845.5</v>
      </c>
      <c r="Z1010">
        <f t="shared" si="94"/>
        <v>45174742.5</v>
      </c>
      <c r="AA1010" t="str">
        <f t="shared" si="95"/>
        <v>Normal</v>
      </c>
      <c r="AE1010" s="2"/>
      <c r="AF1010" s="2"/>
    </row>
    <row r="1011" spans="1:32" x14ac:dyDescent="0.35">
      <c r="A1011">
        <v>1010</v>
      </c>
      <c r="B1011" s="1">
        <v>42776</v>
      </c>
      <c r="C1011" s="9" t="s">
        <v>1813</v>
      </c>
      <c r="D1011" s="9" t="s">
        <v>4925</v>
      </c>
      <c r="E1011" s="9" t="s">
        <v>5690</v>
      </c>
      <c r="F1011" s="9" t="s">
        <v>15</v>
      </c>
      <c r="G1011" s="9" t="s">
        <v>1814</v>
      </c>
      <c r="H1011" s="9" t="s">
        <v>105</v>
      </c>
      <c r="I1011" s="11">
        <v>500000</v>
      </c>
      <c r="J1011" s="11">
        <v>2610970</v>
      </c>
      <c r="K1011" s="11">
        <v>16769822</v>
      </c>
      <c r="L1011" s="3">
        <v>472</v>
      </c>
      <c r="M1011" s="3">
        <v>3345</v>
      </c>
      <c r="N1011" s="3">
        <v>422176</v>
      </c>
      <c r="O1011" s="2">
        <v>1.6E-2</v>
      </c>
      <c r="P1011" s="2">
        <v>0.43</v>
      </c>
      <c r="Q1011" s="2">
        <v>0.18600000000000003</v>
      </c>
      <c r="R1011" s="11">
        <v>211134578</v>
      </c>
      <c r="S1011" s="11">
        <v>520741</v>
      </c>
      <c r="T1011">
        <v>2017</v>
      </c>
      <c r="U1011">
        <v>2</v>
      </c>
      <c r="V1011">
        <f t="shared" si="90"/>
        <v>600000</v>
      </c>
      <c r="W1011">
        <f t="shared" si="91"/>
        <v>18429897</v>
      </c>
      <c r="X1011">
        <f t="shared" si="92"/>
        <v>17829897</v>
      </c>
      <c r="Y1011">
        <f t="shared" si="93"/>
        <v>-26144845.5</v>
      </c>
      <c r="Z1011">
        <f t="shared" si="94"/>
        <v>45174742.5</v>
      </c>
      <c r="AA1011" t="str">
        <f t="shared" si="95"/>
        <v>Normal</v>
      </c>
      <c r="AE1011" s="2"/>
      <c r="AF1011" s="2"/>
    </row>
    <row r="1012" spans="1:32" x14ac:dyDescent="0.35">
      <c r="A1012">
        <v>1011</v>
      </c>
      <c r="B1012" s="1">
        <v>42776</v>
      </c>
      <c r="C1012" s="9" t="s">
        <v>1815</v>
      </c>
      <c r="D1012" s="9" t="s">
        <v>4988</v>
      </c>
      <c r="E1012" s="9" t="s">
        <v>6504</v>
      </c>
      <c r="F1012" s="9" t="s">
        <v>31</v>
      </c>
      <c r="G1012" s="9" t="s">
        <v>1816</v>
      </c>
      <c r="H1012" s="9" t="s">
        <v>86</v>
      </c>
      <c r="I1012" s="11">
        <v>18429897</v>
      </c>
      <c r="J1012" s="11">
        <v>1358447</v>
      </c>
      <c r="K1012" s="11">
        <v>16303345</v>
      </c>
      <c r="L1012" s="3">
        <v>333</v>
      </c>
      <c r="M1012" s="3">
        <v>2276</v>
      </c>
      <c r="N1012" s="3">
        <v>745135</v>
      </c>
      <c r="O1012" s="2">
        <v>0.26800000000000002</v>
      </c>
      <c r="P1012" s="2">
        <v>0.50800000000000001</v>
      </c>
      <c r="Q1012" s="2">
        <v>0.252</v>
      </c>
      <c r="R1012" s="11">
        <v>473888628</v>
      </c>
      <c r="S1012" s="11">
        <v>1244181</v>
      </c>
      <c r="T1012">
        <v>2017</v>
      </c>
      <c r="U1012">
        <v>2</v>
      </c>
      <c r="V1012">
        <f t="shared" si="90"/>
        <v>600000</v>
      </c>
      <c r="W1012">
        <f t="shared" si="91"/>
        <v>18429897</v>
      </c>
      <c r="X1012">
        <f t="shared" si="92"/>
        <v>17829897</v>
      </c>
      <c r="Y1012">
        <f t="shared" si="93"/>
        <v>-26144845.5</v>
      </c>
      <c r="Z1012">
        <f t="shared" si="94"/>
        <v>45174742.5</v>
      </c>
      <c r="AA1012" t="str">
        <f t="shared" si="95"/>
        <v>Normal</v>
      </c>
      <c r="AE1012" s="2"/>
      <c r="AF1012" s="2"/>
    </row>
    <row r="1013" spans="1:32" x14ac:dyDescent="0.35">
      <c r="A1013">
        <v>1012</v>
      </c>
      <c r="B1013" s="1">
        <v>42779</v>
      </c>
      <c r="C1013" s="9" t="s">
        <v>545</v>
      </c>
      <c r="D1013" s="9" t="s">
        <v>4930</v>
      </c>
      <c r="E1013" s="9" t="s">
        <v>6505</v>
      </c>
      <c r="F1013" s="9" t="s">
        <v>15</v>
      </c>
      <c r="G1013" s="9" t="s">
        <v>1817</v>
      </c>
      <c r="H1013" s="9" t="s">
        <v>105</v>
      </c>
      <c r="I1013" s="11">
        <v>5800000</v>
      </c>
      <c r="J1013" s="11">
        <v>4003354</v>
      </c>
      <c r="K1013" s="11">
        <v>13589500</v>
      </c>
      <c r="L1013" s="3">
        <v>492</v>
      </c>
      <c r="M1013" s="3">
        <v>2537</v>
      </c>
      <c r="N1013" s="3">
        <v>1926421</v>
      </c>
      <c r="O1013" s="2">
        <v>0.17699999999999999</v>
      </c>
      <c r="P1013" s="2">
        <v>0.50800000000000001</v>
      </c>
      <c r="Q1013" s="2">
        <v>0.154</v>
      </c>
      <c r="R1013" s="11">
        <v>306435148</v>
      </c>
      <c r="S1013" s="11">
        <v>1746507</v>
      </c>
      <c r="T1013">
        <v>2017</v>
      </c>
      <c r="U1013">
        <v>2</v>
      </c>
      <c r="V1013">
        <f t="shared" si="90"/>
        <v>600000</v>
      </c>
      <c r="W1013">
        <f t="shared" si="91"/>
        <v>18429897</v>
      </c>
      <c r="X1013">
        <f t="shared" si="92"/>
        <v>17829897</v>
      </c>
      <c r="Y1013">
        <f t="shared" si="93"/>
        <v>-26144845.5</v>
      </c>
      <c r="Z1013">
        <f t="shared" si="94"/>
        <v>45174742.5</v>
      </c>
      <c r="AA1013" t="str">
        <f t="shared" si="95"/>
        <v>Normal</v>
      </c>
      <c r="AE1013" s="2"/>
      <c r="AF1013" s="2"/>
    </row>
    <row r="1014" spans="1:32" x14ac:dyDescent="0.35">
      <c r="A1014">
        <v>1013</v>
      </c>
      <c r="B1014" s="1">
        <v>42779</v>
      </c>
      <c r="C1014" s="9" t="s">
        <v>1818</v>
      </c>
      <c r="D1014" s="9" t="s">
        <v>4930</v>
      </c>
      <c r="E1014" s="9" t="s">
        <v>6506</v>
      </c>
      <c r="F1014" s="9" t="s">
        <v>15</v>
      </c>
      <c r="G1014" s="9" t="s">
        <v>1819</v>
      </c>
      <c r="H1014" s="9" t="s">
        <v>105</v>
      </c>
      <c r="I1014" s="11">
        <v>7500000</v>
      </c>
      <c r="J1014" s="11">
        <v>2531926</v>
      </c>
      <c r="K1014" s="11">
        <v>7588272</v>
      </c>
      <c r="L1014" s="3">
        <v>465</v>
      </c>
      <c r="M1014" s="3">
        <v>1720</v>
      </c>
      <c r="N1014" s="3">
        <v>391883</v>
      </c>
      <c r="O1014" s="2">
        <v>3.0000000000000001E-3</v>
      </c>
      <c r="P1014" s="2">
        <v>1.159E-2</v>
      </c>
      <c r="Q1014" s="2">
        <v>0.19800000000000001</v>
      </c>
      <c r="R1014" s="11">
        <v>215549700</v>
      </c>
      <c r="S1014" s="11">
        <v>640370</v>
      </c>
      <c r="T1014">
        <v>2017</v>
      </c>
      <c r="U1014">
        <v>2</v>
      </c>
      <c r="V1014">
        <f t="shared" si="90"/>
        <v>600000</v>
      </c>
      <c r="W1014">
        <f t="shared" si="91"/>
        <v>18429897</v>
      </c>
      <c r="X1014">
        <f t="shared" si="92"/>
        <v>17829897</v>
      </c>
      <c r="Y1014">
        <f t="shared" si="93"/>
        <v>-26144845.5</v>
      </c>
      <c r="Z1014">
        <f t="shared" si="94"/>
        <v>45174742.5</v>
      </c>
      <c r="AA1014" t="str">
        <f t="shared" si="95"/>
        <v>Normal</v>
      </c>
      <c r="AE1014" s="2"/>
      <c r="AF1014" s="2"/>
    </row>
    <row r="1015" spans="1:32" x14ac:dyDescent="0.35">
      <c r="A1015">
        <v>1014</v>
      </c>
      <c r="B1015" s="1">
        <v>42779</v>
      </c>
      <c r="C1015" s="9" t="s">
        <v>1820</v>
      </c>
      <c r="D1015" s="9" t="s">
        <v>4988</v>
      </c>
      <c r="E1015" s="9" t="s">
        <v>6507</v>
      </c>
      <c r="F1015" s="9" t="s">
        <v>35</v>
      </c>
      <c r="G1015" s="9" t="s">
        <v>1821</v>
      </c>
      <c r="H1015" s="9" t="s">
        <v>105</v>
      </c>
      <c r="I1015" s="11">
        <v>3200000</v>
      </c>
      <c r="J1015" s="11">
        <v>1585964</v>
      </c>
      <c r="K1015" s="11">
        <v>7263856</v>
      </c>
      <c r="L1015" s="3">
        <v>362</v>
      </c>
      <c r="M1015" s="3">
        <v>1394</v>
      </c>
      <c r="N1015" s="3">
        <v>1771956</v>
      </c>
      <c r="O1015" s="2">
        <v>9.2999999999999999E-2</v>
      </c>
      <c r="P1015" s="2">
        <v>0.50800000000000001</v>
      </c>
      <c r="Q1015" s="2">
        <v>0.14099999999999999</v>
      </c>
      <c r="R1015" s="11">
        <v>250264963</v>
      </c>
      <c r="S1015" s="11">
        <v>811714</v>
      </c>
      <c r="T1015">
        <v>2017</v>
      </c>
      <c r="U1015">
        <v>2</v>
      </c>
      <c r="V1015">
        <f t="shared" si="90"/>
        <v>600000</v>
      </c>
      <c r="W1015">
        <f t="shared" si="91"/>
        <v>18429897</v>
      </c>
      <c r="X1015">
        <f t="shared" si="92"/>
        <v>17829897</v>
      </c>
      <c r="Y1015">
        <f t="shared" si="93"/>
        <v>-26144845.5</v>
      </c>
      <c r="Z1015">
        <f t="shared" si="94"/>
        <v>45174742.5</v>
      </c>
      <c r="AA1015" t="str">
        <f t="shared" si="95"/>
        <v>Normal</v>
      </c>
      <c r="AE1015" s="2"/>
      <c r="AF1015" s="2"/>
    </row>
    <row r="1016" spans="1:32" x14ac:dyDescent="0.35">
      <c r="A1016">
        <v>1015</v>
      </c>
      <c r="B1016" s="1">
        <v>42779</v>
      </c>
      <c r="C1016" s="9" t="s">
        <v>1822</v>
      </c>
      <c r="D1016" s="9" t="s">
        <v>4988</v>
      </c>
      <c r="E1016" s="9" t="s">
        <v>6508</v>
      </c>
      <c r="F1016" s="9" t="s">
        <v>19</v>
      </c>
      <c r="G1016" s="9" t="s">
        <v>1823</v>
      </c>
      <c r="H1016" s="9" t="s">
        <v>105</v>
      </c>
      <c r="I1016" s="11">
        <v>15000000</v>
      </c>
      <c r="J1016" s="11">
        <v>2606072</v>
      </c>
      <c r="K1016" s="11">
        <v>8570519</v>
      </c>
      <c r="L1016" s="3">
        <v>402</v>
      </c>
      <c r="M1016" s="3">
        <v>1589</v>
      </c>
      <c r="N1016" s="3">
        <v>1626208</v>
      </c>
      <c r="O1016" s="2">
        <v>0.27399999999999997</v>
      </c>
      <c r="P1016" s="2">
        <v>1.113</v>
      </c>
      <c r="Q1016" s="2">
        <v>2.1000000000000001E-2</v>
      </c>
      <c r="R1016" s="11">
        <v>5754704</v>
      </c>
      <c r="S1016" s="11">
        <v>821499</v>
      </c>
      <c r="T1016">
        <v>2017</v>
      </c>
      <c r="U1016">
        <v>2</v>
      </c>
      <c r="V1016">
        <f t="shared" si="90"/>
        <v>600000</v>
      </c>
      <c r="W1016">
        <f t="shared" si="91"/>
        <v>18429897</v>
      </c>
      <c r="X1016">
        <f t="shared" si="92"/>
        <v>17829897</v>
      </c>
      <c r="Y1016">
        <f t="shared" si="93"/>
        <v>-26144845.5</v>
      </c>
      <c r="Z1016">
        <f t="shared" si="94"/>
        <v>45174742.5</v>
      </c>
      <c r="AA1016" t="str">
        <f t="shared" si="95"/>
        <v>Normal</v>
      </c>
      <c r="AE1016" s="2"/>
      <c r="AF1016" s="2"/>
    </row>
    <row r="1017" spans="1:32" x14ac:dyDescent="0.35">
      <c r="A1017">
        <v>1016</v>
      </c>
      <c r="B1017" s="1">
        <v>42779</v>
      </c>
      <c r="C1017" s="9" t="s">
        <v>1824</v>
      </c>
      <c r="D1017" s="9" t="s">
        <v>4988</v>
      </c>
      <c r="E1017" s="9" t="s">
        <v>6475</v>
      </c>
      <c r="F1017" s="9" t="s">
        <v>27</v>
      </c>
      <c r="G1017" s="9" t="s">
        <v>1825</v>
      </c>
      <c r="H1017" s="9" t="s">
        <v>86</v>
      </c>
      <c r="I1017" s="11">
        <v>330000</v>
      </c>
      <c r="J1017" s="11">
        <v>4190164</v>
      </c>
      <c r="K1017" s="11">
        <v>5201391</v>
      </c>
      <c r="L1017" s="3">
        <v>303</v>
      </c>
      <c r="M1017" s="3">
        <v>2220</v>
      </c>
      <c r="N1017" s="3">
        <v>1018455</v>
      </c>
      <c r="O1017" s="2">
        <v>5.5999999999999994E-2</v>
      </c>
      <c r="P1017" s="2">
        <v>0.40799999999999997</v>
      </c>
      <c r="Q1017" s="2">
        <v>0.435</v>
      </c>
      <c r="R1017" s="11">
        <v>340505293</v>
      </c>
      <c r="S1017" s="11">
        <v>1422533</v>
      </c>
      <c r="T1017">
        <v>2017</v>
      </c>
      <c r="U1017">
        <v>2</v>
      </c>
      <c r="V1017">
        <f t="shared" si="90"/>
        <v>600000</v>
      </c>
      <c r="W1017">
        <f t="shared" si="91"/>
        <v>18429897</v>
      </c>
      <c r="X1017">
        <f t="shared" si="92"/>
        <v>17829897</v>
      </c>
      <c r="Y1017">
        <f t="shared" si="93"/>
        <v>-26144845.5</v>
      </c>
      <c r="Z1017">
        <f t="shared" si="94"/>
        <v>45174742.5</v>
      </c>
      <c r="AA1017" t="str">
        <f t="shared" si="95"/>
        <v>Normal</v>
      </c>
      <c r="AE1017" s="2"/>
      <c r="AF1017" s="2"/>
    </row>
    <row r="1018" spans="1:32" x14ac:dyDescent="0.35">
      <c r="A1018">
        <v>1017</v>
      </c>
      <c r="B1018" s="1">
        <v>42779</v>
      </c>
      <c r="C1018" s="9" t="s">
        <v>1826</v>
      </c>
      <c r="D1018" s="9" t="s">
        <v>4930</v>
      </c>
      <c r="E1018" s="9" t="s">
        <v>6509</v>
      </c>
      <c r="F1018" s="9" t="s">
        <v>15</v>
      </c>
      <c r="G1018" s="9" t="s">
        <v>844</v>
      </c>
      <c r="H1018" s="9" t="s">
        <v>86</v>
      </c>
      <c r="I1018" s="11">
        <v>400000</v>
      </c>
      <c r="J1018" s="11">
        <v>1931951</v>
      </c>
      <c r="K1018" s="11">
        <v>8440897</v>
      </c>
      <c r="L1018" s="3">
        <v>113</v>
      </c>
      <c r="M1018" s="3">
        <v>2505.5</v>
      </c>
      <c r="N1018" s="3">
        <v>1018455</v>
      </c>
      <c r="O1018" s="2">
        <v>0.54300000000000004</v>
      </c>
      <c r="P1018" s="2">
        <v>0.55899999999999994</v>
      </c>
      <c r="Q1018" s="2">
        <v>0.56299999999999994</v>
      </c>
      <c r="R1018" s="11">
        <v>186678186</v>
      </c>
      <c r="S1018" s="11">
        <v>1516044</v>
      </c>
      <c r="T1018">
        <v>2017</v>
      </c>
      <c r="U1018">
        <v>2</v>
      </c>
      <c r="V1018">
        <f t="shared" si="90"/>
        <v>600000</v>
      </c>
      <c r="W1018">
        <f t="shared" si="91"/>
        <v>18429897</v>
      </c>
      <c r="X1018">
        <f t="shared" si="92"/>
        <v>17829897</v>
      </c>
      <c r="Y1018">
        <f t="shared" si="93"/>
        <v>-26144845.5</v>
      </c>
      <c r="Z1018">
        <f t="shared" si="94"/>
        <v>45174742.5</v>
      </c>
      <c r="AA1018" t="str">
        <f t="shared" si="95"/>
        <v>Normal</v>
      </c>
      <c r="AE1018" s="2"/>
      <c r="AF1018" s="2"/>
    </row>
    <row r="1019" spans="1:32" x14ac:dyDescent="0.35">
      <c r="A1019">
        <v>1018</v>
      </c>
      <c r="B1019" s="1">
        <v>42780</v>
      </c>
      <c r="C1019" s="9" t="s">
        <v>1827</v>
      </c>
      <c r="D1019" s="9" t="s">
        <v>4988</v>
      </c>
      <c r="E1019" s="9" t="s">
        <v>6510</v>
      </c>
      <c r="F1019" s="9" t="s">
        <v>35</v>
      </c>
      <c r="G1019" s="9" t="s">
        <v>1828</v>
      </c>
      <c r="H1019" s="9" t="s">
        <v>86</v>
      </c>
      <c r="I1019" s="11">
        <v>300000</v>
      </c>
      <c r="J1019" s="11">
        <v>2480825</v>
      </c>
      <c r="K1019" s="11">
        <v>2185637</v>
      </c>
      <c r="L1019" s="3">
        <v>55</v>
      </c>
      <c r="M1019" s="3">
        <v>1132</v>
      </c>
      <c r="N1019" s="3">
        <v>11277</v>
      </c>
      <c r="O1019" s="2">
        <v>0.41799999999999998</v>
      </c>
      <c r="P1019" s="2">
        <v>0.50800000000000001</v>
      </c>
      <c r="Q1019" s="2">
        <v>8.6999999999999994E-2</v>
      </c>
      <c r="R1019" s="11">
        <v>351111663</v>
      </c>
      <c r="S1019" s="11">
        <v>800826</v>
      </c>
      <c r="T1019">
        <v>2017</v>
      </c>
      <c r="U1019">
        <v>2</v>
      </c>
      <c r="V1019">
        <f t="shared" si="90"/>
        <v>600000</v>
      </c>
      <c r="W1019">
        <f t="shared" si="91"/>
        <v>18429897</v>
      </c>
      <c r="X1019">
        <f t="shared" si="92"/>
        <v>17829897</v>
      </c>
      <c r="Y1019">
        <f t="shared" si="93"/>
        <v>-26144845.5</v>
      </c>
      <c r="Z1019">
        <f t="shared" si="94"/>
        <v>45174742.5</v>
      </c>
      <c r="AA1019" t="str">
        <f t="shared" si="95"/>
        <v>Normal</v>
      </c>
      <c r="AE1019" s="2"/>
      <c r="AF1019" s="2"/>
    </row>
    <row r="1020" spans="1:32" x14ac:dyDescent="0.35">
      <c r="A1020">
        <v>1019</v>
      </c>
      <c r="B1020" s="1">
        <v>42780</v>
      </c>
      <c r="C1020" s="9" t="s">
        <v>1829</v>
      </c>
      <c r="D1020" s="9" t="s">
        <v>4988</v>
      </c>
      <c r="E1020" s="9" t="s">
        <v>5244</v>
      </c>
      <c r="F1020" s="9" t="s">
        <v>31</v>
      </c>
      <c r="G1020" s="9" t="s">
        <v>762</v>
      </c>
      <c r="H1020" s="9" t="s">
        <v>105</v>
      </c>
      <c r="I1020" s="11">
        <v>22400000</v>
      </c>
      <c r="J1020" s="11">
        <v>2531926</v>
      </c>
      <c r="K1020" s="11">
        <v>6465415</v>
      </c>
      <c r="L1020" s="3">
        <v>193</v>
      </c>
      <c r="M1020" s="3">
        <v>622</v>
      </c>
      <c r="N1020" s="3">
        <v>1581827</v>
      </c>
      <c r="O1020" s="2">
        <v>0.14300000000000002</v>
      </c>
      <c r="P1020" s="2">
        <v>0.504</v>
      </c>
      <c r="Q1020" s="2">
        <v>-0.19399999999999998</v>
      </c>
      <c r="R1020" s="11">
        <v>191844629</v>
      </c>
      <c r="S1020" s="11">
        <v>187010</v>
      </c>
      <c r="T1020">
        <v>2017</v>
      </c>
      <c r="U1020">
        <v>2</v>
      </c>
      <c r="V1020">
        <f t="shared" si="90"/>
        <v>600000</v>
      </c>
      <c r="W1020">
        <f t="shared" si="91"/>
        <v>18429897</v>
      </c>
      <c r="X1020">
        <f t="shared" si="92"/>
        <v>17829897</v>
      </c>
      <c r="Y1020">
        <f t="shared" si="93"/>
        <v>-26144845.5</v>
      </c>
      <c r="Z1020">
        <f t="shared" si="94"/>
        <v>45174742.5</v>
      </c>
      <c r="AA1020" t="str">
        <f t="shared" si="95"/>
        <v>Normal</v>
      </c>
      <c r="AE1020" s="2"/>
      <c r="AF1020" s="2"/>
    </row>
    <row r="1021" spans="1:32" x14ac:dyDescent="0.35">
      <c r="A1021">
        <v>1020</v>
      </c>
      <c r="B1021" s="1">
        <v>42780</v>
      </c>
      <c r="C1021" s="9" t="s">
        <v>1830</v>
      </c>
      <c r="D1021" s="9" t="s">
        <v>4930</v>
      </c>
      <c r="E1021" s="9" t="s">
        <v>5395</v>
      </c>
      <c r="F1021" s="9" t="s">
        <v>27</v>
      </c>
      <c r="G1021" s="9" t="s">
        <v>1831</v>
      </c>
      <c r="H1021" s="9" t="s">
        <v>86</v>
      </c>
      <c r="I1021" s="11">
        <v>18429897</v>
      </c>
      <c r="J1021" s="11">
        <v>596966</v>
      </c>
      <c r="K1021" s="11">
        <v>18827375</v>
      </c>
      <c r="L1021" s="3">
        <v>240</v>
      </c>
      <c r="M1021" s="3">
        <v>2072</v>
      </c>
      <c r="N1021" s="3">
        <v>1332160</v>
      </c>
      <c r="O1021" s="2">
        <v>7.400000000000001E-2</v>
      </c>
      <c r="P1021" s="2">
        <v>0.95599999999999996</v>
      </c>
      <c r="Q1021" s="2">
        <v>4.0999999999999995E-2</v>
      </c>
      <c r="R1021" s="11">
        <v>52372574</v>
      </c>
      <c r="S1021" s="11">
        <v>1091971</v>
      </c>
      <c r="T1021">
        <v>2017</v>
      </c>
      <c r="U1021">
        <v>2</v>
      </c>
      <c r="V1021">
        <f t="shared" si="90"/>
        <v>600000</v>
      </c>
      <c r="W1021">
        <f t="shared" si="91"/>
        <v>18429897</v>
      </c>
      <c r="X1021">
        <f t="shared" si="92"/>
        <v>17829897</v>
      </c>
      <c r="Y1021">
        <f t="shared" si="93"/>
        <v>-26144845.5</v>
      </c>
      <c r="Z1021">
        <f t="shared" si="94"/>
        <v>45174742.5</v>
      </c>
      <c r="AA1021" t="str">
        <f t="shared" si="95"/>
        <v>Normal</v>
      </c>
      <c r="AE1021" s="2"/>
      <c r="AF1021" s="2"/>
    </row>
    <row r="1022" spans="1:32" x14ac:dyDescent="0.35">
      <c r="A1022">
        <v>1021</v>
      </c>
      <c r="B1022" s="1">
        <v>42781</v>
      </c>
      <c r="C1022" s="9" t="s">
        <v>356</v>
      </c>
      <c r="D1022" s="9" t="s">
        <v>4988</v>
      </c>
      <c r="E1022" s="9" t="s">
        <v>6511</v>
      </c>
      <c r="F1022" s="9" t="s">
        <v>27</v>
      </c>
      <c r="G1022" s="9" t="s">
        <v>1832</v>
      </c>
      <c r="H1022" s="9" t="s">
        <v>86</v>
      </c>
      <c r="I1022" s="11">
        <v>18429897</v>
      </c>
      <c r="J1022" s="11">
        <v>298617</v>
      </c>
      <c r="K1022" s="11">
        <v>14167922</v>
      </c>
      <c r="L1022" s="3">
        <v>178</v>
      </c>
      <c r="M1022" s="3">
        <v>2503</v>
      </c>
      <c r="N1022" s="3">
        <v>1966007</v>
      </c>
      <c r="O1022" s="2">
        <v>8.3000000000000004E-2</v>
      </c>
      <c r="P1022" s="2">
        <v>0.50800000000000001</v>
      </c>
      <c r="Q1022" s="2">
        <v>0.122</v>
      </c>
      <c r="R1022" s="11">
        <v>450941298</v>
      </c>
      <c r="S1022" s="11">
        <v>1397486</v>
      </c>
      <c r="T1022">
        <v>2017</v>
      </c>
      <c r="U1022">
        <v>2</v>
      </c>
      <c r="V1022">
        <f t="shared" si="90"/>
        <v>600000</v>
      </c>
      <c r="W1022">
        <f t="shared" si="91"/>
        <v>18429897</v>
      </c>
      <c r="X1022">
        <f t="shared" si="92"/>
        <v>17829897</v>
      </c>
      <c r="Y1022">
        <f t="shared" si="93"/>
        <v>-26144845.5</v>
      </c>
      <c r="Z1022">
        <f t="shared" si="94"/>
        <v>45174742.5</v>
      </c>
      <c r="AA1022" t="str">
        <f t="shared" si="95"/>
        <v>Normal</v>
      </c>
      <c r="AE1022" s="2"/>
      <c r="AF1022" s="2"/>
    </row>
    <row r="1023" spans="1:32" x14ac:dyDescent="0.35">
      <c r="A1023">
        <v>1022</v>
      </c>
      <c r="B1023" s="1">
        <v>42781</v>
      </c>
      <c r="C1023" s="9" t="s">
        <v>417</v>
      </c>
      <c r="D1023" s="9" t="s">
        <v>4988</v>
      </c>
      <c r="E1023" s="9" t="s">
        <v>5187</v>
      </c>
      <c r="F1023" s="9" t="s">
        <v>15</v>
      </c>
      <c r="G1023" s="9" t="s">
        <v>1833</v>
      </c>
      <c r="H1023" s="9" t="s">
        <v>105</v>
      </c>
      <c r="I1023" s="11">
        <v>6500000</v>
      </c>
      <c r="J1023" s="11">
        <v>378854</v>
      </c>
      <c r="K1023" s="11">
        <v>2924050</v>
      </c>
      <c r="L1023" s="3">
        <v>55</v>
      </c>
      <c r="M1023" s="3">
        <v>857</v>
      </c>
      <c r="N1023" s="3">
        <v>583252</v>
      </c>
      <c r="O1023" s="2">
        <v>0</v>
      </c>
      <c r="P1023" s="2">
        <v>0.57899999999999996</v>
      </c>
      <c r="Q1023" s="2">
        <v>-0.45200000000000001</v>
      </c>
      <c r="R1023" s="11">
        <v>449333888</v>
      </c>
      <c r="S1023" s="11">
        <v>929104</v>
      </c>
      <c r="T1023">
        <v>2017</v>
      </c>
      <c r="U1023">
        <v>2</v>
      </c>
      <c r="V1023">
        <f t="shared" si="90"/>
        <v>600000</v>
      </c>
      <c r="W1023">
        <f t="shared" si="91"/>
        <v>18429897</v>
      </c>
      <c r="X1023">
        <f t="shared" si="92"/>
        <v>17829897</v>
      </c>
      <c r="Y1023">
        <f t="shared" si="93"/>
        <v>-26144845.5</v>
      </c>
      <c r="Z1023">
        <f t="shared" si="94"/>
        <v>45174742.5</v>
      </c>
      <c r="AA1023" t="str">
        <f t="shared" si="95"/>
        <v>Normal</v>
      </c>
      <c r="AE1023" s="2"/>
      <c r="AF1023" s="2"/>
    </row>
    <row r="1024" spans="1:32" x14ac:dyDescent="0.35">
      <c r="A1024">
        <v>1023</v>
      </c>
      <c r="B1024" s="1">
        <v>42781</v>
      </c>
      <c r="C1024" s="9" t="s">
        <v>1834</v>
      </c>
      <c r="D1024" s="9" t="s">
        <v>4930</v>
      </c>
      <c r="E1024" s="9" t="s">
        <v>6512</v>
      </c>
      <c r="F1024" s="9" t="s">
        <v>1835</v>
      </c>
      <c r="G1024" s="9" t="s">
        <v>1836</v>
      </c>
      <c r="H1024" s="9" t="s">
        <v>86</v>
      </c>
      <c r="I1024" s="11">
        <v>350000</v>
      </c>
      <c r="J1024" s="11">
        <v>4345232</v>
      </c>
      <c r="K1024" s="11">
        <v>5796888</v>
      </c>
      <c r="L1024" s="3">
        <v>254</v>
      </c>
      <c r="M1024" s="3">
        <v>737</v>
      </c>
      <c r="N1024" s="3">
        <v>797473</v>
      </c>
      <c r="O1024" s="2">
        <v>1.6E-2</v>
      </c>
      <c r="P1024" s="2">
        <v>1.141</v>
      </c>
      <c r="Q1024" s="2">
        <v>0.435</v>
      </c>
      <c r="R1024" s="11">
        <v>160161279</v>
      </c>
      <c r="S1024" s="11">
        <v>998913</v>
      </c>
      <c r="T1024">
        <v>2017</v>
      </c>
      <c r="U1024">
        <v>2</v>
      </c>
      <c r="V1024">
        <f t="shared" si="90"/>
        <v>600000</v>
      </c>
      <c r="W1024">
        <f t="shared" si="91"/>
        <v>18429897</v>
      </c>
      <c r="X1024">
        <f t="shared" si="92"/>
        <v>17829897</v>
      </c>
      <c r="Y1024">
        <f t="shared" si="93"/>
        <v>-26144845.5</v>
      </c>
      <c r="Z1024">
        <f t="shared" si="94"/>
        <v>45174742.5</v>
      </c>
      <c r="AA1024" t="str">
        <f t="shared" si="95"/>
        <v>Normal</v>
      </c>
      <c r="AE1024" s="2"/>
      <c r="AF1024" s="2"/>
    </row>
    <row r="1025" spans="1:32" x14ac:dyDescent="0.35">
      <c r="A1025">
        <v>1024</v>
      </c>
      <c r="B1025" s="1">
        <v>42782</v>
      </c>
      <c r="C1025" s="9" t="s">
        <v>1837</v>
      </c>
      <c r="D1025" s="9" t="s">
        <v>4988</v>
      </c>
      <c r="E1025" s="9" t="s">
        <v>6513</v>
      </c>
      <c r="F1025" s="9" t="s">
        <v>31</v>
      </c>
      <c r="G1025" s="9" t="s">
        <v>1838</v>
      </c>
      <c r="H1025" s="9" t="s">
        <v>105</v>
      </c>
      <c r="I1025" s="11">
        <v>3000000</v>
      </c>
      <c r="J1025" s="11">
        <v>4213126</v>
      </c>
      <c r="K1025" s="11">
        <v>5262826</v>
      </c>
      <c r="L1025" s="3">
        <v>251</v>
      </c>
      <c r="M1025" s="3">
        <v>2652</v>
      </c>
      <c r="N1025" s="3">
        <v>1373247</v>
      </c>
      <c r="O1025" s="2">
        <v>0.25800000000000001</v>
      </c>
      <c r="P1025" s="2">
        <v>0.42599999999999999</v>
      </c>
      <c r="Q1025" s="2">
        <v>-0.06</v>
      </c>
      <c r="R1025" s="11">
        <v>125692269</v>
      </c>
      <c r="S1025" s="11">
        <v>1339022</v>
      </c>
      <c r="T1025">
        <v>2017</v>
      </c>
      <c r="U1025">
        <v>2</v>
      </c>
      <c r="V1025">
        <f t="shared" si="90"/>
        <v>600000</v>
      </c>
      <c r="W1025">
        <f t="shared" si="91"/>
        <v>18429897</v>
      </c>
      <c r="X1025">
        <f t="shared" si="92"/>
        <v>17829897</v>
      </c>
      <c r="Y1025">
        <f t="shared" si="93"/>
        <v>-26144845.5</v>
      </c>
      <c r="Z1025">
        <f t="shared" si="94"/>
        <v>45174742.5</v>
      </c>
      <c r="AA1025" t="str">
        <f t="shared" si="95"/>
        <v>Normal</v>
      </c>
      <c r="AE1025" s="2"/>
      <c r="AF1025" s="2"/>
    </row>
    <row r="1026" spans="1:32" x14ac:dyDescent="0.35">
      <c r="A1026">
        <v>1025</v>
      </c>
      <c r="B1026" s="1">
        <v>42782</v>
      </c>
      <c r="C1026" s="9" t="s">
        <v>1839</v>
      </c>
      <c r="D1026" s="9" t="s">
        <v>4988</v>
      </c>
      <c r="E1026" s="9" t="s">
        <v>6514</v>
      </c>
      <c r="F1026" s="9" t="s">
        <v>15</v>
      </c>
      <c r="G1026" s="9" t="s">
        <v>1840</v>
      </c>
      <c r="H1026" s="9" t="s">
        <v>105</v>
      </c>
      <c r="I1026" s="11">
        <v>3000000</v>
      </c>
      <c r="J1026" s="11">
        <v>4112993</v>
      </c>
      <c r="K1026" s="11">
        <v>5705283</v>
      </c>
      <c r="L1026" s="3">
        <v>477</v>
      </c>
      <c r="M1026" s="3">
        <v>1156</v>
      </c>
      <c r="N1026" s="3">
        <v>681548</v>
      </c>
      <c r="O1026" s="2">
        <v>-0.15</v>
      </c>
      <c r="P1026" s="2">
        <v>0.90200000000000002</v>
      </c>
      <c r="Q1026" s="2">
        <v>-0.107</v>
      </c>
      <c r="R1026" s="11">
        <v>298732735</v>
      </c>
      <c r="S1026" s="11">
        <v>839972</v>
      </c>
      <c r="T1026">
        <v>2017</v>
      </c>
      <c r="U1026">
        <v>2</v>
      </c>
      <c r="V1026">
        <f t="shared" ref="V1026:V1089" si="96">_xlfn.PERCENTILE.INC(I1026:I4069,0.25)</f>
        <v>600000</v>
      </c>
      <c r="W1026">
        <f t="shared" ref="W1026:W1089" si="97">_xlfn.PERCENTILE.INC(I1026:I4069,0.75)</f>
        <v>18429897</v>
      </c>
      <c r="X1026">
        <f t="shared" ref="X1026:X1089" si="98">W1026-V1026</f>
        <v>17829897</v>
      </c>
      <c r="Y1026">
        <f t="shared" ref="Y1026:Y1089" si="99">V1026-1.5*X1026</f>
        <v>-26144845.5</v>
      </c>
      <c r="Z1026">
        <f t="shared" ref="Z1026:Z1089" si="100">W1026+1.5*X1026</f>
        <v>45174742.5</v>
      </c>
      <c r="AA1026" t="str">
        <f t="shared" ref="AA1026:AA1089" si="101">IF(OR(I1026&lt;$Y$2, I1026&gt;$Z$2), "Outlier", "Normal")</f>
        <v>Normal</v>
      </c>
      <c r="AE1026" s="2"/>
      <c r="AF1026" s="2"/>
    </row>
    <row r="1027" spans="1:32" x14ac:dyDescent="0.35">
      <c r="A1027">
        <v>1026</v>
      </c>
      <c r="B1027" s="1">
        <v>42783</v>
      </c>
      <c r="C1027" s="9" t="s">
        <v>1841</v>
      </c>
      <c r="D1027" s="9" t="s">
        <v>4930</v>
      </c>
      <c r="E1027" s="9" t="s">
        <v>6515</v>
      </c>
      <c r="F1027" s="9" t="s">
        <v>124</v>
      </c>
      <c r="G1027" s="9" t="s">
        <v>1842</v>
      </c>
      <c r="H1027" s="9" t="s">
        <v>86</v>
      </c>
      <c r="I1027" s="11">
        <v>500000</v>
      </c>
      <c r="J1027" s="11">
        <v>296728</v>
      </c>
      <c r="K1027" s="11">
        <v>13853032</v>
      </c>
      <c r="L1027" s="3">
        <v>477</v>
      </c>
      <c r="M1027" s="3">
        <v>4346</v>
      </c>
      <c r="N1027" s="3">
        <v>1018455</v>
      </c>
      <c r="O1027" s="2">
        <v>0.249</v>
      </c>
      <c r="P1027" s="2">
        <v>1.1200000000000001</v>
      </c>
      <c r="Q1027" s="2">
        <v>1.4999999999999999E-2</v>
      </c>
      <c r="R1027" s="11">
        <v>381098349</v>
      </c>
      <c r="S1027" s="11">
        <v>1436249</v>
      </c>
      <c r="T1027">
        <v>2017</v>
      </c>
      <c r="U1027">
        <v>2</v>
      </c>
      <c r="V1027">
        <f t="shared" si="96"/>
        <v>600000</v>
      </c>
      <c r="W1027">
        <f t="shared" si="97"/>
        <v>18429897</v>
      </c>
      <c r="X1027">
        <f t="shared" si="98"/>
        <v>17829897</v>
      </c>
      <c r="Y1027">
        <f t="shared" si="99"/>
        <v>-26144845.5</v>
      </c>
      <c r="Z1027">
        <f t="shared" si="100"/>
        <v>45174742.5</v>
      </c>
      <c r="AA1027" t="str">
        <f t="shared" si="101"/>
        <v>Normal</v>
      </c>
      <c r="AE1027" s="2"/>
      <c r="AF1027" s="2"/>
    </row>
    <row r="1028" spans="1:32" x14ac:dyDescent="0.35">
      <c r="A1028">
        <v>1027</v>
      </c>
      <c r="B1028" s="1">
        <v>42783</v>
      </c>
      <c r="C1028" s="9" t="s">
        <v>458</v>
      </c>
      <c r="D1028" s="9" t="s">
        <v>4988</v>
      </c>
      <c r="E1028" s="9" t="s">
        <v>6516</v>
      </c>
      <c r="F1028" s="9" t="s">
        <v>15</v>
      </c>
      <c r="G1028" s="9" t="s">
        <v>1843</v>
      </c>
      <c r="H1028" s="9" t="s">
        <v>86</v>
      </c>
      <c r="I1028" s="11">
        <v>400000</v>
      </c>
      <c r="J1028" s="11">
        <v>406671</v>
      </c>
      <c r="K1028" s="11">
        <v>17910697</v>
      </c>
      <c r="L1028" s="3">
        <v>309</v>
      </c>
      <c r="M1028" s="3">
        <v>865</v>
      </c>
      <c r="N1028" s="3">
        <v>340268</v>
      </c>
      <c r="O1028" s="2">
        <v>0.307</v>
      </c>
      <c r="P1028" s="2">
        <v>0.50800000000000001</v>
      </c>
      <c r="Q1028" s="2">
        <v>-1.8000000000000002E-2</v>
      </c>
      <c r="R1028" s="11">
        <v>243878051</v>
      </c>
      <c r="S1028" s="11">
        <v>1270498</v>
      </c>
      <c r="T1028">
        <v>2017</v>
      </c>
      <c r="U1028">
        <v>2</v>
      </c>
      <c r="V1028">
        <f t="shared" si="96"/>
        <v>600000</v>
      </c>
      <c r="W1028">
        <f t="shared" si="97"/>
        <v>18429897</v>
      </c>
      <c r="X1028">
        <f t="shared" si="98"/>
        <v>17829897</v>
      </c>
      <c r="Y1028">
        <f t="shared" si="99"/>
        <v>-26144845.5</v>
      </c>
      <c r="Z1028">
        <f t="shared" si="100"/>
        <v>45174742.5</v>
      </c>
      <c r="AA1028" t="str">
        <f t="shared" si="101"/>
        <v>Normal</v>
      </c>
      <c r="AE1028" s="2"/>
      <c r="AF1028" s="2"/>
    </row>
    <row r="1029" spans="1:32" x14ac:dyDescent="0.35">
      <c r="A1029">
        <v>1028</v>
      </c>
      <c r="B1029" s="1">
        <v>42783</v>
      </c>
      <c r="C1029" s="9" t="s">
        <v>663</v>
      </c>
      <c r="D1029" s="9" t="s">
        <v>4925</v>
      </c>
      <c r="E1029" s="9" t="s">
        <v>5945</v>
      </c>
      <c r="F1029" s="9" t="s">
        <v>15</v>
      </c>
      <c r="G1029" s="9" t="s">
        <v>1844</v>
      </c>
      <c r="H1029" s="9" t="s">
        <v>105</v>
      </c>
      <c r="I1029" s="11">
        <v>15200000</v>
      </c>
      <c r="J1029" s="11">
        <v>1417444</v>
      </c>
      <c r="K1029" s="11">
        <v>14232033</v>
      </c>
      <c r="L1029" s="3">
        <v>425</v>
      </c>
      <c r="M1029" s="3">
        <v>2434</v>
      </c>
      <c r="N1029" s="3">
        <v>1018455</v>
      </c>
      <c r="O1029" s="2">
        <v>0.23399999999999999</v>
      </c>
      <c r="P1029" s="2">
        <v>1.1479999999999999</v>
      </c>
      <c r="Q1029" s="2">
        <v>0.114</v>
      </c>
      <c r="R1029" s="11">
        <v>254587216</v>
      </c>
      <c r="S1029" s="11">
        <v>209121</v>
      </c>
      <c r="T1029">
        <v>2017</v>
      </c>
      <c r="U1029">
        <v>2</v>
      </c>
      <c r="V1029">
        <f t="shared" si="96"/>
        <v>600000</v>
      </c>
      <c r="W1029">
        <f t="shared" si="97"/>
        <v>18429897</v>
      </c>
      <c r="X1029">
        <f t="shared" si="98"/>
        <v>17829897</v>
      </c>
      <c r="Y1029">
        <f t="shared" si="99"/>
        <v>-26144845.5</v>
      </c>
      <c r="Z1029">
        <f t="shared" si="100"/>
        <v>45174742.5</v>
      </c>
      <c r="AA1029" t="str">
        <f t="shared" si="101"/>
        <v>Normal</v>
      </c>
      <c r="AE1029" s="2"/>
      <c r="AF1029" s="2"/>
    </row>
    <row r="1030" spans="1:32" x14ac:dyDescent="0.35">
      <c r="A1030">
        <v>1029</v>
      </c>
      <c r="B1030" s="1">
        <v>42783</v>
      </c>
      <c r="C1030" s="9" t="s">
        <v>1845</v>
      </c>
      <c r="D1030" s="9" t="s">
        <v>4988</v>
      </c>
      <c r="E1030" s="9" t="s">
        <v>6517</v>
      </c>
      <c r="F1030" s="9" t="s">
        <v>15</v>
      </c>
      <c r="G1030" s="9" t="s">
        <v>1846</v>
      </c>
      <c r="H1030" s="9" t="s">
        <v>86</v>
      </c>
      <c r="I1030" s="11">
        <v>18429897</v>
      </c>
      <c r="J1030" s="11">
        <v>2835169</v>
      </c>
      <c r="K1030" s="11">
        <v>9819680</v>
      </c>
      <c r="L1030" s="3">
        <v>159</v>
      </c>
      <c r="M1030" s="3">
        <v>4022</v>
      </c>
      <c r="N1030" s="3">
        <v>1018455</v>
      </c>
      <c r="O1030" s="2">
        <v>9.4E-2</v>
      </c>
      <c r="P1030" s="2">
        <v>1.1439999999999999E-2</v>
      </c>
      <c r="Q1030" s="2">
        <v>0.29699999999999999</v>
      </c>
      <c r="R1030" s="11">
        <v>146961898</v>
      </c>
      <c r="S1030" s="11">
        <v>44903</v>
      </c>
      <c r="T1030">
        <v>2017</v>
      </c>
      <c r="U1030">
        <v>2</v>
      </c>
      <c r="V1030">
        <f t="shared" si="96"/>
        <v>600000</v>
      </c>
      <c r="W1030">
        <f t="shared" si="97"/>
        <v>18429897</v>
      </c>
      <c r="X1030">
        <f t="shared" si="98"/>
        <v>17829897</v>
      </c>
      <c r="Y1030">
        <f t="shared" si="99"/>
        <v>-26144845.5</v>
      </c>
      <c r="Z1030">
        <f t="shared" si="100"/>
        <v>45174742.5</v>
      </c>
      <c r="AA1030" t="str">
        <f t="shared" si="101"/>
        <v>Normal</v>
      </c>
      <c r="AE1030" s="2"/>
      <c r="AF1030" s="2"/>
    </row>
    <row r="1031" spans="1:32" x14ac:dyDescent="0.35">
      <c r="A1031">
        <v>1030</v>
      </c>
      <c r="B1031" s="1">
        <v>42783</v>
      </c>
      <c r="C1031" s="9" t="s">
        <v>1847</v>
      </c>
      <c r="D1031" s="9" t="s">
        <v>4988</v>
      </c>
      <c r="E1031" s="9" t="s">
        <v>6518</v>
      </c>
      <c r="F1031" s="9" t="s">
        <v>41</v>
      </c>
      <c r="G1031" s="9" t="s">
        <v>1848</v>
      </c>
      <c r="H1031" s="9" t="s">
        <v>105</v>
      </c>
      <c r="I1031" s="11">
        <v>18429897</v>
      </c>
      <c r="J1031" s="11">
        <v>1683967</v>
      </c>
      <c r="K1031" s="11">
        <v>3299297</v>
      </c>
      <c r="L1031" s="3">
        <v>484</v>
      </c>
      <c r="M1031" s="3">
        <v>563</v>
      </c>
      <c r="N1031" s="3">
        <v>1539191</v>
      </c>
      <c r="O1031" s="2">
        <v>0.22600000000000001</v>
      </c>
      <c r="P1031" s="2">
        <v>0.314</v>
      </c>
      <c r="Q1031" s="2">
        <v>0.41899999999999998</v>
      </c>
      <c r="R1031" s="11">
        <v>352045791</v>
      </c>
      <c r="S1031" s="11">
        <v>1941676</v>
      </c>
      <c r="T1031">
        <v>2017</v>
      </c>
      <c r="U1031">
        <v>2</v>
      </c>
      <c r="V1031">
        <f t="shared" si="96"/>
        <v>600000</v>
      </c>
      <c r="W1031">
        <f t="shared" si="97"/>
        <v>18429897</v>
      </c>
      <c r="X1031">
        <f t="shared" si="98"/>
        <v>17829897</v>
      </c>
      <c r="Y1031">
        <f t="shared" si="99"/>
        <v>-26144845.5</v>
      </c>
      <c r="Z1031">
        <f t="shared" si="100"/>
        <v>45174742.5</v>
      </c>
      <c r="AA1031" t="str">
        <f t="shared" si="101"/>
        <v>Normal</v>
      </c>
      <c r="AE1031" s="2"/>
      <c r="AF1031" s="2"/>
    </row>
    <row r="1032" spans="1:32" x14ac:dyDescent="0.35">
      <c r="A1032">
        <v>1031</v>
      </c>
      <c r="B1032" s="1">
        <v>42783</v>
      </c>
      <c r="C1032" s="9" t="s">
        <v>1849</v>
      </c>
      <c r="D1032" s="9" t="s">
        <v>4925</v>
      </c>
      <c r="E1032" s="9" t="s">
        <v>6519</v>
      </c>
      <c r="F1032" s="9" t="s">
        <v>31</v>
      </c>
      <c r="G1032" s="9" t="s">
        <v>1850</v>
      </c>
      <c r="H1032" s="9" t="s">
        <v>86</v>
      </c>
      <c r="I1032" s="11">
        <v>40000</v>
      </c>
      <c r="J1032" s="11">
        <v>2448049</v>
      </c>
      <c r="K1032" s="11">
        <v>2943494</v>
      </c>
      <c r="L1032" s="3">
        <v>471</v>
      </c>
      <c r="M1032" s="3">
        <v>2276</v>
      </c>
      <c r="N1032" s="3">
        <v>1308071</v>
      </c>
      <c r="O1032" s="2">
        <v>0.38</v>
      </c>
      <c r="P1032" s="2">
        <v>0.80200000000000005</v>
      </c>
      <c r="Q1032" s="2">
        <v>0.29799999999999999</v>
      </c>
      <c r="R1032" s="11">
        <v>335100530</v>
      </c>
      <c r="S1032" s="11">
        <v>1067265</v>
      </c>
      <c r="T1032">
        <v>2017</v>
      </c>
      <c r="U1032">
        <v>2</v>
      </c>
      <c r="V1032">
        <f t="shared" si="96"/>
        <v>600000</v>
      </c>
      <c r="W1032">
        <f t="shared" si="97"/>
        <v>18429897</v>
      </c>
      <c r="X1032">
        <f t="shared" si="98"/>
        <v>17829897</v>
      </c>
      <c r="Y1032">
        <f t="shared" si="99"/>
        <v>-26144845.5</v>
      </c>
      <c r="Z1032">
        <f t="shared" si="100"/>
        <v>45174742.5</v>
      </c>
      <c r="AA1032" t="str">
        <f t="shared" si="101"/>
        <v>Normal</v>
      </c>
      <c r="AE1032" s="2"/>
      <c r="AF1032" s="2"/>
    </row>
    <row r="1033" spans="1:32" x14ac:dyDescent="0.35">
      <c r="A1033">
        <v>1032</v>
      </c>
      <c r="B1033" s="1">
        <v>42784</v>
      </c>
      <c r="C1033" s="9" t="s">
        <v>1851</v>
      </c>
      <c r="D1033" s="9" t="s">
        <v>4988</v>
      </c>
      <c r="E1033" s="9" t="s">
        <v>6520</v>
      </c>
      <c r="F1033" s="9" t="s">
        <v>19</v>
      </c>
      <c r="G1033" s="9" t="s">
        <v>1850</v>
      </c>
      <c r="H1033" s="9" t="s">
        <v>86</v>
      </c>
      <c r="I1033" s="11">
        <v>40000</v>
      </c>
      <c r="J1033" s="11">
        <v>881512</v>
      </c>
      <c r="K1033" s="11">
        <v>16301210</v>
      </c>
      <c r="L1033" s="3">
        <v>67</v>
      </c>
      <c r="M1033" s="3">
        <v>2385</v>
      </c>
      <c r="N1033" s="3">
        <v>1198850</v>
      </c>
      <c r="O1033" s="2">
        <v>0.10800000000000001</v>
      </c>
      <c r="P1033" s="2">
        <v>0.627</v>
      </c>
      <c r="Q1033" s="2">
        <v>-0.13600000000000001</v>
      </c>
      <c r="R1033" s="11">
        <v>387254398</v>
      </c>
      <c r="S1033" s="11">
        <v>1563385</v>
      </c>
      <c r="T1033">
        <v>2017</v>
      </c>
      <c r="U1033">
        <v>2</v>
      </c>
      <c r="V1033">
        <f t="shared" si="96"/>
        <v>600000</v>
      </c>
      <c r="W1033">
        <f t="shared" si="97"/>
        <v>18429897</v>
      </c>
      <c r="X1033">
        <f t="shared" si="98"/>
        <v>17829897</v>
      </c>
      <c r="Y1033">
        <f t="shared" si="99"/>
        <v>-26144845.5</v>
      </c>
      <c r="Z1033">
        <f t="shared" si="100"/>
        <v>45174742.5</v>
      </c>
      <c r="AA1033" t="str">
        <f t="shared" si="101"/>
        <v>Normal</v>
      </c>
      <c r="AE1033" s="2"/>
      <c r="AF1033" s="2"/>
    </row>
    <row r="1034" spans="1:32" x14ac:dyDescent="0.35">
      <c r="A1034">
        <v>1033</v>
      </c>
      <c r="B1034" s="1">
        <v>42786</v>
      </c>
      <c r="C1034" s="9" t="s">
        <v>398</v>
      </c>
      <c r="D1034" s="9" t="s">
        <v>4925</v>
      </c>
      <c r="E1034" s="9" t="s">
        <v>4976</v>
      </c>
      <c r="F1034" s="9" t="s">
        <v>15</v>
      </c>
      <c r="G1034" s="9" t="s">
        <v>1852</v>
      </c>
      <c r="H1034" s="9" t="s">
        <v>105</v>
      </c>
      <c r="I1034" s="11">
        <v>38700000</v>
      </c>
      <c r="J1034" s="11">
        <v>3659274</v>
      </c>
      <c r="K1034" s="11">
        <v>13584752</v>
      </c>
      <c r="L1034" s="3">
        <v>351</v>
      </c>
      <c r="M1034" s="3">
        <v>2785</v>
      </c>
      <c r="N1034" s="3">
        <v>625642</v>
      </c>
      <c r="O1034" s="2">
        <v>0.125</v>
      </c>
      <c r="P1034" s="2">
        <v>0.88300000000000001</v>
      </c>
      <c r="Q1034" s="2">
        <v>7.2999999999999995E-2</v>
      </c>
      <c r="R1034" s="11">
        <v>497430124</v>
      </c>
      <c r="S1034" s="11">
        <v>1139214</v>
      </c>
      <c r="T1034">
        <v>2017</v>
      </c>
      <c r="U1034">
        <v>2</v>
      </c>
      <c r="V1034">
        <f t="shared" si="96"/>
        <v>600000</v>
      </c>
      <c r="W1034">
        <f t="shared" si="97"/>
        <v>18429897</v>
      </c>
      <c r="X1034">
        <f t="shared" si="98"/>
        <v>17829897</v>
      </c>
      <c r="Y1034">
        <f t="shared" si="99"/>
        <v>-26144845.5</v>
      </c>
      <c r="Z1034">
        <f t="shared" si="100"/>
        <v>45174742.5</v>
      </c>
      <c r="AA1034" t="str">
        <f t="shared" si="101"/>
        <v>Normal</v>
      </c>
      <c r="AE1034" s="2"/>
      <c r="AF1034" s="2"/>
    </row>
    <row r="1035" spans="1:32" x14ac:dyDescent="0.35">
      <c r="A1035">
        <v>1034</v>
      </c>
      <c r="B1035" s="1">
        <v>42787</v>
      </c>
      <c r="C1035" s="9" t="s">
        <v>637</v>
      </c>
      <c r="D1035" s="9" t="s">
        <v>4988</v>
      </c>
      <c r="E1035" s="9" t="s">
        <v>5935</v>
      </c>
      <c r="F1035" s="9" t="s">
        <v>19</v>
      </c>
      <c r="G1035" s="9" t="s">
        <v>1853</v>
      </c>
      <c r="H1035" s="9" t="s">
        <v>105</v>
      </c>
      <c r="I1035" s="11">
        <v>15000000</v>
      </c>
      <c r="J1035" s="11">
        <v>2531926</v>
      </c>
      <c r="K1035" s="11">
        <v>10254716</v>
      </c>
      <c r="L1035" s="3">
        <v>231</v>
      </c>
      <c r="M1035" s="3">
        <v>4434</v>
      </c>
      <c r="N1035" s="3">
        <v>630751</v>
      </c>
      <c r="O1035" s="2">
        <v>0.54700000000000004</v>
      </c>
      <c r="P1035" s="2">
        <v>0.94299999999999995</v>
      </c>
      <c r="Q1035" s="2">
        <v>0.126</v>
      </c>
      <c r="R1035" s="11">
        <v>366860936</v>
      </c>
      <c r="S1035" s="11">
        <v>528471</v>
      </c>
      <c r="T1035">
        <v>2017</v>
      </c>
      <c r="U1035">
        <v>2</v>
      </c>
      <c r="V1035">
        <f t="shared" si="96"/>
        <v>600000</v>
      </c>
      <c r="W1035">
        <f t="shared" si="97"/>
        <v>18429897</v>
      </c>
      <c r="X1035">
        <f t="shared" si="98"/>
        <v>17829897</v>
      </c>
      <c r="Y1035">
        <f t="shared" si="99"/>
        <v>-26144845.5</v>
      </c>
      <c r="Z1035">
        <f t="shared" si="100"/>
        <v>45174742.5</v>
      </c>
      <c r="AA1035" t="str">
        <f t="shared" si="101"/>
        <v>Normal</v>
      </c>
      <c r="AE1035" s="2"/>
      <c r="AF1035" s="2"/>
    </row>
    <row r="1036" spans="1:32" x14ac:dyDescent="0.35">
      <c r="A1036">
        <v>1035</v>
      </c>
      <c r="B1036" s="1">
        <v>42788</v>
      </c>
      <c r="C1036" s="9" t="s">
        <v>1854</v>
      </c>
      <c r="D1036" s="9" t="s">
        <v>4988</v>
      </c>
      <c r="E1036" s="9" t="s">
        <v>6521</v>
      </c>
      <c r="F1036" s="9" t="s">
        <v>15</v>
      </c>
      <c r="G1036" s="9" t="s">
        <v>1850</v>
      </c>
      <c r="H1036" s="9" t="s">
        <v>86</v>
      </c>
      <c r="I1036" s="11">
        <v>40000</v>
      </c>
      <c r="J1036" s="11">
        <v>351373</v>
      </c>
      <c r="K1036" s="11">
        <v>11586119</v>
      </c>
      <c r="L1036" s="3">
        <v>136</v>
      </c>
      <c r="M1036" s="3">
        <v>2935</v>
      </c>
      <c r="N1036" s="3">
        <v>971382</v>
      </c>
      <c r="O1036" s="2">
        <v>0.18100000000000002</v>
      </c>
      <c r="P1036" s="2">
        <v>0.44500000000000001</v>
      </c>
      <c r="Q1036" s="2">
        <v>0.17699999999999999</v>
      </c>
      <c r="R1036" s="11">
        <v>430036173</v>
      </c>
      <c r="S1036" s="11">
        <v>232488</v>
      </c>
      <c r="T1036">
        <v>2017</v>
      </c>
      <c r="U1036">
        <v>2</v>
      </c>
      <c r="V1036">
        <f t="shared" si="96"/>
        <v>600000</v>
      </c>
      <c r="W1036">
        <f t="shared" si="97"/>
        <v>18429897</v>
      </c>
      <c r="X1036">
        <f t="shared" si="98"/>
        <v>17829897</v>
      </c>
      <c r="Y1036">
        <f t="shared" si="99"/>
        <v>-26144845.5</v>
      </c>
      <c r="Z1036">
        <f t="shared" si="100"/>
        <v>45174742.5</v>
      </c>
      <c r="AA1036" t="str">
        <f t="shared" si="101"/>
        <v>Normal</v>
      </c>
      <c r="AE1036" s="2"/>
      <c r="AF1036" s="2"/>
    </row>
    <row r="1037" spans="1:32" x14ac:dyDescent="0.35">
      <c r="A1037">
        <v>1036</v>
      </c>
      <c r="B1037" s="1">
        <v>42789</v>
      </c>
      <c r="C1037" s="9" t="s">
        <v>1141</v>
      </c>
      <c r="D1037" s="9" t="s">
        <v>4988</v>
      </c>
      <c r="E1037" s="9" t="s">
        <v>6522</v>
      </c>
      <c r="F1037" s="9" t="s">
        <v>27</v>
      </c>
      <c r="G1037" s="9" t="s">
        <v>1855</v>
      </c>
      <c r="H1037" s="9" t="s">
        <v>105</v>
      </c>
      <c r="I1037" s="11">
        <v>1100000</v>
      </c>
      <c r="J1037" s="11">
        <v>3718608</v>
      </c>
      <c r="K1037" s="11">
        <v>16984287</v>
      </c>
      <c r="L1037" s="3">
        <v>208</v>
      </c>
      <c r="M1037" s="3">
        <v>1916</v>
      </c>
      <c r="N1037" s="3">
        <v>270753</v>
      </c>
      <c r="O1037" s="2">
        <v>-8.1000000000000003E-2</v>
      </c>
      <c r="P1037" s="2">
        <v>1</v>
      </c>
      <c r="Q1037" s="2">
        <v>0.222</v>
      </c>
      <c r="R1037" s="11">
        <v>53439898</v>
      </c>
      <c r="S1037" s="11">
        <v>1700971</v>
      </c>
      <c r="T1037">
        <v>2017</v>
      </c>
      <c r="U1037">
        <v>2</v>
      </c>
      <c r="V1037">
        <f t="shared" si="96"/>
        <v>600000</v>
      </c>
      <c r="W1037">
        <f t="shared" si="97"/>
        <v>18429897</v>
      </c>
      <c r="X1037">
        <f t="shared" si="98"/>
        <v>17829897</v>
      </c>
      <c r="Y1037">
        <f t="shared" si="99"/>
        <v>-26144845.5</v>
      </c>
      <c r="Z1037">
        <f t="shared" si="100"/>
        <v>45174742.5</v>
      </c>
      <c r="AA1037" t="str">
        <f t="shared" si="101"/>
        <v>Normal</v>
      </c>
      <c r="AE1037" s="2"/>
      <c r="AF1037" s="2"/>
    </row>
    <row r="1038" spans="1:32" x14ac:dyDescent="0.35">
      <c r="A1038">
        <v>1037</v>
      </c>
      <c r="B1038" s="1">
        <v>42789</v>
      </c>
      <c r="C1038" s="9" t="s">
        <v>1856</v>
      </c>
      <c r="D1038" s="9" t="s">
        <v>4988</v>
      </c>
      <c r="E1038" s="9" t="s">
        <v>6523</v>
      </c>
      <c r="F1038" s="9" t="s">
        <v>31</v>
      </c>
      <c r="G1038" s="9" t="s">
        <v>1857</v>
      </c>
      <c r="H1038" s="9" t="s">
        <v>86</v>
      </c>
      <c r="I1038" s="11">
        <v>18429897</v>
      </c>
      <c r="J1038" s="11">
        <v>4515886</v>
      </c>
      <c r="K1038" s="11">
        <v>16294903</v>
      </c>
      <c r="L1038" s="3">
        <v>453</v>
      </c>
      <c r="M1038" s="3">
        <v>2012</v>
      </c>
      <c r="N1038" s="3">
        <v>1074191</v>
      </c>
      <c r="O1038" s="2">
        <v>0.29499999999999998</v>
      </c>
      <c r="P1038" s="2">
        <v>0.60899999999999999</v>
      </c>
      <c r="Q1038" s="2">
        <v>0.11900000000000001</v>
      </c>
      <c r="R1038" s="11">
        <v>86771055</v>
      </c>
      <c r="S1038" s="11">
        <v>1008193.5</v>
      </c>
      <c r="T1038">
        <v>2017</v>
      </c>
      <c r="U1038">
        <v>2</v>
      </c>
      <c r="V1038">
        <f t="shared" si="96"/>
        <v>600000</v>
      </c>
      <c r="W1038">
        <f t="shared" si="97"/>
        <v>18429897</v>
      </c>
      <c r="X1038">
        <f t="shared" si="98"/>
        <v>17829897</v>
      </c>
      <c r="Y1038">
        <f t="shared" si="99"/>
        <v>-26144845.5</v>
      </c>
      <c r="Z1038">
        <f t="shared" si="100"/>
        <v>45174742.5</v>
      </c>
      <c r="AA1038" t="str">
        <f t="shared" si="101"/>
        <v>Normal</v>
      </c>
      <c r="AE1038" s="2"/>
      <c r="AF1038" s="2"/>
    </row>
    <row r="1039" spans="1:32" x14ac:dyDescent="0.35">
      <c r="A1039">
        <v>1038</v>
      </c>
      <c r="B1039" s="1">
        <v>42790</v>
      </c>
      <c r="C1039" s="9" t="s">
        <v>1858</v>
      </c>
      <c r="D1039" s="9" t="s">
        <v>4988</v>
      </c>
      <c r="E1039" s="9" t="s">
        <v>6524</v>
      </c>
      <c r="F1039" s="9" t="s">
        <v>63</v>
      </c>
      <c r="G1039" s="9" t="s">
        <v>1859</v>
      </c>
      <c r="H1039" s="9" t="s">
        <v>86</v>
      </c>
      <c r="I1039" s="11">
        <v>18429897</v>
      </c>
      <c r="J1039" s="11">
        <v>93120</v>
      </c>
      <c r="K1039" s="11">
        <v>1836979</v>
      </c>
      <c r="L1039" s="3">
        <v>462</v>
      </c>
      <c r="M1039" s="3">
        <v>3138</v>
      </c>
      <c r="N1039" s="3">
        <v>1018455</v>
      </c>
      <c r="O1039" s="2">
        <v>0.2</v>
      </c>
      <c r="P1039" s="2">
        <v>0.85699999999999998</v>
      </c>
      <c r="Q1039" s="2">
        <v>7.8E-2</v>
      </c>
      <c r="R1039" s="11">
        <v>231967807</v>
      </c>
      <c r="S1039" s="11">
        <v>810110</v>
      </c>
      <c r="T1039">
        <v>2017</v>
      </c>
      <c r="U1039">
        <v>2</v>
      </c>
      <c r="V1039">
        <f t="shared" si="96"/>
        <v>600000</v>
      </c>
      <c r="W1039">
        <f t="shared" si="97"/>
        <v>18429897</v>
      </c>
      <c r="X1039">
        <f t="shared" si="98"/>
        <v>17829897</v>
      </c>
      <c r="Y1039">
        <f t="shared" si="99"/>
        <v>-26144845.5</v>
      </c>
      <c r="Z1039">
        <f t="shared" si="100"/>
        <v>45174742.5</v>
      </c>
      <c r="AA1039" t="str">
        <f t="shared" si="101"/>
        <v>Normal</v>
      </c>
      <c r="AE1039" s="2"/>
      <c r="AF1039" s="2"/>
    </row>
    <row r="1040" spans="1:32" x14ac:dyDescent="0.35">
      <c r="A1040">
        <v>1039</v>
      </c>
      <c r="B1040" s="1">
        <v>42793</v>
      </c>
      <c r="C1040" s="9" t="s">
        <v>1860</v>
      </c>
      <c r="D1040" s="9" t="s">
        <v>4988</v>
      </c>
      <c r="E1040" s="9" t="s">
        <v>6525</v>
      </c>
      <c r="F1040" s="9" t="s">
        <v>15</v>
      </c>
      <c r="G1040" s="9" t="s">
        <v>1861</v>
      </c>
      <c r="H1040" s="9" t="s">
        <v>86</v>
      </c>
      <c r="I1040" s="11">
        <v>18429897</v>
      </c>
      <c r="J1040" s="11">
        <v>2194631</v>
      </c>
      <c r="K1040" s="11">
        <v>7962634</v>
      </c>
      <c r="L1040" s="3">
        <v>175</v>
      </c>
      <c r="M1040" s="3">
        <v>2505.5</v>
      </c>
      <c r="N1040" s="3">
        <v>550547</v>
      </c>
      <c r="O1040" s="2">
        <v>-1.0999999999999999E-2</v>
      </c>
      <c r="P1040" s="2">
        <v>0.628</v>
      </c>
      <c r="Q1040" s="2">
        <v>0.32799999999999996</v>
      </c>
      <c r="R1040" s="11">
        <v>389013925</v>
      </c>
      <c r="S1040" s="11">
        <v>776082</v>
      </c>
      <c r="T1040">
        <v>2017</v>
      </c>
      <c r="U1040">
        <v>2</v>
      </c>
      <c r="V1040">
        <f t="shared" si="96"/>
        <v>600000</v>
      </c>
      <c r="W1040">
        <f t="shared" si="97"/>
        <v>18429897</v>
      </c>
      <c r="X1040">
        <f t="shared" si="98"/>
        <v>17829897</v>
      </c>
      <c r="Y1040">
        <f t="shared" si="99"/>
        <v>-26144845.5</v>
      </c>
      <c r="Z1040">
        <f t="shared" si="100"/>
        <v>45174742.5</v>
      </c>
      <c r="AA1040" t="str">
        <f t="shared" si="101"/>
        <v>Normal</v>
      </c>
      <c r="AE1040" s="2"/>
      <c r="AF1040" s="2"/>
    </row>
    <row r="1041" spans="1:32" x14ac:dyDescent="0.35">
      <c r="A1041">
        <v>1040</v>
      </c>
      <c r="B1041" s="1">
        <v>42793</v>
      </c>
      <c r="C1041" s="9" t="s">
        <v>427</v>
      </c>
      <c r="D1041" s="9" t="s">
        <v>4988</v>
      </c>
      <c r="E1041" s="9" t="s">
        <v>6526</v>
      </c>
      <c r="F1041" s="9" t="s">
        <v>19</v>
      </c>
      <c r="G1041" s="9" t="s">
        <v>1862</v>
      </c>
      <c r="H1041" s="9" t="s">
        <v>86</v>
      </c>
      <c r="I1041" s="11">
        <v>375000</v>
      </c>
      <c r="J1041" s="11">
        <v>4139323</v>
      </c>
      <c r="K1041" s="11">
        <v>952316</v>
      </c>
      <c r="L1041" s="3">
        <v>233</v>
      </c>
      <c r="M1041" s="3">
        <v>3439</v>
      </c>
      <c r="N1041" s="3">
        <v>1266135</v>
      </c>
      <c r="O1041" s="2">
        <v>-0.10100000000000001</v>
      </c>
      <c r="P1041" s="2">
        <v>0.54600000000000004</v>
      </c>
      <c r="Q1041" s="2">
        <v>6.7000000000000004E-2</v>
      </c>
      <c r="R1041" s="11">
        <v>236981119</v>
      </c>
      <c r="S1041" s="11">
        <v>354767</v>
      </c>
      <c r="T1041">
        <v>2017</v>
      </c>
      <c r="U1041">
        <v>2</v>
      </c>
      <c r="V1041">
        <f t="shared" si="96"/>
        <v>600000</v>
      </c>
      <c r="W1041">
        <f t="shared" si="97"/>
        <v>18429897</v>
      </c>
      <c r="X1041">
        <f t="shared" si="98"/>
        <v>17829897</v>
      </c>
      <c r="Y1041">
        <f t="shared" si="99"/>
        <v>-26144845.5</v>
      </c>
      <c r="Z1041">
        <f t="shared" si="100"/>
        <v>45174742.5</v>
      </c>
      <c r="AA1041" t="str">
        <f t="shared" si="101"/>
        <v>Normal</v>
      </c>
      <c r="AE1041" s="2"/>
      <c r="AF1041" s="2"/>
    </row>
    <row r="1042" spans="1:32" x14ac:dyDescent="0.35">
      <c r="A1042">
        <v>1041</v>
      </c>
      <c r="B1042" s="1">
        <v>42793</v>
      </c>
      <c r="C1042" s="9" t="s">
        <v>1863</v>
      </c>
      <c r="D1042" s="9" t="s">
        <v>4925</v>
      </c>
      <c r="E1042" s="9" t="s">
        <v>5147</v>
      </c>
      <c r="F1042" s="9" t="s">
        <v>15</v>
      </c>
      <c r="G1042" s="9" t="s">
        <v>856</v>
      </c>
      <c r="H1042" s="9" t="s">
        <v>86</v>
      </c>
      <c r="I1042" s="11">
        <v>94000</v>
      </c>
      <c r="J1042" s="11">
        <v>3536700</v>
      </c>
      <c r="K1042" s="11">
        <v>7757437</v>
      </c>
      <c r="L1042" s="3">
        <v>260</v>
      </c>
      <c r="M1042" s="3">
        <v>1943</v>
      </c>
      <c r="N1042" s="3">
        <v>47120</v>
      </c>
      <c r="O1042" s="2">
        <v>0.16800000000000001</v>
      </c>
      <c r="P1042" s="2">
        <v>0.89400000000000002</v>
      </c>
      <c r="Q1042" s="2">
        <v>0.36749999999999999</v>
      </c>
      <c r="R1042" s="11">
        <v>419030853</v>
      </c>
      <c r="S1042" s="11">
        <v>1844950</v>
      </c>
      <c r="T1042">
        <v>2017</v>
      </c>
      <c r="U1042">
        <v>2</v>
      </c>
      <c r="V1042">
        <f t="shared" si="96"/>
        <v>600000</v>
      </c>
      <c r="W1042">
        <f t="shared" si="97"/>
        <v>18429897</v>
      </c>
      <c r="X1042">
        <f t="shared" si="98"/>
        <v>17829897</v>
      </c>
      <c r="Y1042">
        <f t="shared" si="99"/>
        <v>-26144845.5</v>
      </c>
      <c r="Z1042">
        <f t="shared" si="100"/>
        <v>45174742.5</v>
      </c>
      <c r="AA1042" t="str">
        <f t="shared" si="101"/>
        <v>Normal</v>
      </c>
      <c r="AE1042" s="2"/>
      <c r="AF1042" s="2"/>
    </row>
    <row r="1043" spans="1:32" x14ac:dyDescent="0.35">
      <c r="A1043">
        <v>1042</v>
      </c>
      <c r="B1043" s="1">
        <v>42794</v>
      </c>
      <c r="C1043" s="9" t="s">
        <v>1864</v>
      </c>
      <c r="D1043" s="9" t="s">
        <v>4988</v>
      </c>
      <c r="E1043" s="9" t="s">
        <v>6527</v>
      </c>
      <c r="F1043" s="9" t="s">
        <v>27</v>
      </c>
      <c r="G1043" s="9" t="s">
        <v>1865</v>
      </c>
      <c r="H1043" s="9" t="s">
        <v>105</v>
      </c>
      <c r="I1043" s="11">
        <v>1000000</v>
      </c>
      <c r="J1043" s="11">
        <v>4285609</v>
      </c>
      <c r="K1043" s="11">
        <v>12776108</v>
      </c>
      <c r="L1043" s="3">
        <v>368</v>
      </c>
      <c r="M1043" s="3">
        <v>348</v>
      </c>
      <c r="N1043" s="3">
        <v>90038</v>
      </c>
      <c r="O1043" s="2">
        <v>0.108</v>
      </c>
      <c r="P1043" s="2">
        <v>0.74199999999999999</v>
      </c>
      <c r="Q1043" s="2">
        <v>0.30299999999999999</v>
      </c>
      <c r="R1043" s="11">
        <v>250264963</v>
      </c>
      <c r="S1043" s="11">
        <v>1054442</v>
      </c>
      <c r="T1043">
        <v>2017</v>
      </c>
      <c r="U1043">
        <v>2</v>
      </c>
      <c r="V1043">
        <f t="shared" si="96"/>
        <v>612500</v>
      </c>
      <c r="W1043">
        <f t="shared" si="97"/>
        <v>18429897</v>
      </c>
      <c r="X1043">
        <f t="shared" si="98"/>
        <v>17817397</v>
      </c>
      <c r="Y1043">
        <f t="shared" si="99"/>
        <v>-26113595.5</v>
      </c>
      <c r="Z1043">
        <f t="shared" si="100"/>
        <v>45155992.5</v>
      </c>
      <c r="AA1043" t="str">
        <f t="shared" si="101"/>
        <v>Normal</v>
      </c>
      <c r="AE1043" s="2"/>
      <c r="AF1043" s="2"/>
    </row>
    <row r="1044" spans="1:32" x14ac:dyDescent="0.35">
      <c r="A1044">
        <v>1043</v>
      </c>
      <c r="B1044" s="1">
        <v>42794</v>
      </c>
      <c r="C1044" s="9" t="s">
        <v>245</v>
      </c>
      <c r="D1044" s="9" t="s">
        <v>4928</v>
      </c>
      <c r="E1044" s="9" t="s">
        <v>6528</v>
      </c>
      <c r="F1044" s="9" t="s">
        <v>15</v>
      </c>
      <c r="G1044" s="9" t="s">
        <v>1866</v>
      </c>
      <c r="H1044" s="9" t="s">
        <v>105</v>
      </c>
      <c r="I1044" s="11">
        <v>70000000</v>
      </c>
      <c r="J1044" s="11">
        <v>2087745</v>
      </c>
      <c r="K1044" s="11">
        <v>4247217</v>
      </c>
      <c r="L1044" s="3">
        <v>242</v>
      </c>
      <c r="M1044" s="3">
        <v>2697</v>
      </c>
      <c r="N1044" s="3">
        <v>431326</v>
      </c>
      <c r="O1044" s="2">
        <v>-0.129</v>
      </c>
      <c r="P1044" s="2">
        <v>1.0529999999999999</v>
      </c>
      <c r="Q1044" s="2">
        <v>0.46300000000000002</v>
      </c>
      <c r="R1044" s="11">
        <v>157272573</v>
      </c>
      <c r="S1044" s="11">
        <v>1223159</v>
      </c>
      <c r="T1044">
        <v>2017</v>
      </c>
      <c r="U1044">
        <v>2</v>
      </c>
      <c r="V1044">
        <f t="shared" si="96"/>
        <v>606250</v>
      </c>
      <c r="W1044">
        <f t="shared" si="97"/>
        <v>18429897</v>
      </c>
      <c r="X1044">
        <f t="shared" si="98"/>
        <v>17823647</v>
      </c>
      <c r="Y1044">
        <f t="shared" si="99"/>
        <v>-26129220.5</v>
      </c>
      <c r="Z1044">
        <f t="shared" si="100"/>
        <v>45165367.5</v>
      </c>
      <c r="AA1044" t="str">
        <f t="shared" si="101"/>
        <v>Outlier</v>
      </c>
      <c r="AE1044" s="2"/>
      <c r="AF1044" s="2"/>
    </row>
    <row r="1045" spans="1:32" x14ac:dyDescent="0.35">
      <c r="A1045">
        <v>1044</v>
      </c>
      <c r="B1045" s="1">
        <v>42737</v>
      </c>
      <c r="C1045" s="9" t="s">
        <v>1867</v>
      </c>
      <c r="D1045" s="9" t="s">
        <v>4988</v>
      </c>
      <c r="E1045" s="9" t="s">
        <v>6529</v>
      </c>
      <c r="F1045" s="9" t="s">
        <v>41</v>
      </c>
      <c r="G1045" s="9" t="s">
        <v>1868</v>
      </c>
      <c r="H1045" s="9" t="s">
        <v>86</v>
      </c>
      <c r="I1045" s="11">
        <v>366000</v>
      </c>
      <c r="J1045" s="11">
        <v>1873862</v>
      </c>
      <c r="K1045" s="11">
        <v>3085473</v>
      </c>
      <c r="L1045" s="3">
        <v>200</v>
      </c>
      <c r="M1045" s="3">
        <v>1294</v>
      </c>
      <c r="N1045" s="3">
        <v>1512014</v>
      </c>
      <c r="O1045" s="2">
        <v>0.10199999999999999</v>
      </c>
      <c r="P1045" s="2">
        <v>0.98599999999999999</v>
      </c>
      <c r="Q1045" s="2">
        <v>0.36749999999999999</v>
      </c>
      <c r="R1045" s="11">
        <v>245432701</v>
      </c>
      <c r="S1045" s="11">
        <v>765477</v>
      </c>
      <c r="T1045">
        <v>2017</v>
      </c>
      <c r="U1045">
        <v>1</v>
      </c>
      <c r="V1045">
        <f t="shared" si="96"/>
        <v>600000</v>
      </c>
      <c r="W1045">
        <f t="shared" si="97"/>
        <v>18429897</v>
      </c>
      <c r="X1045">
        <f t="shared" si="98"/>
        <v>17829897</v>
      </c>
      <c r="Y1045">
        <f t="shared" si="99"/>
        <v>-26144845.5</v>
      </c>
      <c r="Z1045">
        <f t="shared" si="100"/>
        <v>45174742.5</v>
      </c>
      <c r="AA1045" t="str">
        <f t="shared" si="101"/>
        <v>Normal</v>
      </c>
      <c r="AE1045" s="2"/>
      <c r="AF1045" s="2"/>
    </row>
    <row r="1046" spans="1:32" x14ac:dyDescent="0.35">
      <c r="A1046">
        <v>1045</v>
      </c>
      <c r="B1046" s="1">
        <v>42738</v>
      </c>
      <c r="C1046" s="9" t="s">
        <v>1869</v>
      </c>
      <c r="D1046" s="9" t="s">
        <v>4930</v>
      </c>
      <c r="E1046" s="9" t="s">
        <v>6530</v>
      </c>
      <c r="F1046" s="9" t="s">
        <v>1870</v>
      </c>
      <c r="G1046" s="9" t="s">
        <v>1871</v>
      </c>
      <c r="H1046" s="9" t="s">
        <v>86</v>
      </c>
      <c r="I1046" s="11">
        <v>825000</v>
      </c>
      <c r="J1046" s="11">
        <v>3551696</v>
      </c>
      <c r="K1046" s="11">
        <v>9869537</v>
      </c>
      <c r="L1046" s="3">
        <v>254</v>
      </c>
      <c r="M1046" s="3">
        <v>1824</v>
      </c>
      <c r="N1046" s="3">
        <v>1606318</v>
      </c>
      <c r="O1046" s="2">
        <v>0.09</v>
      </c>
      <c r="P1046" s="2">
        <v>1.068E-2</v>
      </c>
      <c r="Q1046" s="2">
        <v>0.46100000000000002</v>
      </c>
      <c r="R1046" s="11">
        <v>376622182</v>
      </c>
      <c r="S1046" s="11">
        <v>1122796</v>
      </c>
      <c r="T1046">
        <v>2017</v>
      </c>
      <c r="U1046">
        <v>1</v>
      </c>
      <c r="V1046">
        <f t="shared" si="96"/>
        <v>618750</v>
      </c>
      <c r="W1046">
        <f t="shared" si="97"/>
        <v>18429897</v>
      </c>
      <c r="X1046">
        <f t="shared" si="98"/>
        <v>17811147</v>
      </c>
      <c r="Y1046">
        <f t="shared" si="99"/>
        <v>-26097970.5</v>
      </c>
      <c r="Z1046">
        <f t="shared" si="100"/>
        <v>45146617.5</v>
      </c>
      <c r="AA1046" t="str">
        <f t="shared" si="101"/>
        <v>Normal</v>
      </c>
      <c r="AE1046" s="2"/>
      <c r="AF1046" s="2"/>
    </row>
    <row r="1047" spans="1:32" x14ac:dyDescent="0.35">
      <c r="A1047">
        <v>1046</v>
      </c>
      <c r="B1047" s="1">
        <v>42738</v>
      </c>
      <c r="C1047" s="9" t="s">
        <v>1872</v>
      </c>
      <c r="D1047" s="9" t="s">
        <v>1873</v>
      </c>
      <c r="E1047" s="9" t="s">
        <v>6350</v>
      </c>
      <c r="F1047" s="9" t="s">
        <v>31</v>
      </c>
      <c r="G1047" s="9" t="s">
        <v>1874</v>
      </c>
      <c r="H1047" s="9" t="s">
        <v>86</v>
      </c>
      <c r="I1047" s="11">
        <v>18429897</v>
      </c>
      <c r="J1047" s="11">
        <v>784992</v>
      </c>
      <c r="K1047" s="11">
        <v>10546486</v>
      </c>
      <c r="L1047" s="3">
        <v>189</v>
      </c>
      <c r="M1047" s="3">
        <v>1652</v>
      </c>
      <c r="N1047" s="3">
        <v>2006</v>
      </c>
      <c r="O1047" s="2">
        <v>0.108</v>
      </c>
      <c r="P1047" s="2">
        <v>0.96599999999999997</v>
      </c>
      <c r="Q1047" s="2">
        <v>2.4E-2</v>
      </c>
      <c r="R1047" s="11">
        <v>193170778</v>
      </c>
      <c r="S1047" s="11">
        <v>1769061</v>
      </c>
      <c r="T1047">
        <v>2017</v>
      </c>
      <c r="U1047">
        <v>1</v>
      </c>
      <c r="V1047">
        <f t="shared" si="96"/>
        <v>612500</v>
      </c>
      <c r="W1047">
        <f t="shared" si="97"/>
        <v>18429897</v>
      </c>
      <c r="X1047">
        <f t="shared" si="98"/>
        <v>17817397</v>
      </c>
      <c r="Y1047">
        <f t="shared" si="99"/>
        <v>-26113595.5</v>
      </c>
      <c r="Z1047">
        <f t="shared" si="100"/>
        <v>45155992.5</v>
      </c>
      <c r="AA1047" t="str">
        <f t="shared" si="101"/>
        <v>Normal</v>
      </c>
      <c r="AE1047" s="2"/>
      <c r="AF1047" s="2"/>
    </row>
    <row r="1048" spans="1:32" x14ac:dyDescent="0.35">
      <c r="A1048">
        <v>1047</v>
      </c>
      <c r="B1048" s="1">
        <v>42738</v>
      </c>
      <c r="C1048" s="9" t="s">
        <v>1875</v>
      </c>
      <c r="D1048" s="9" t="s">
        <v>4988</v>
      </c>
      <c r="E1048" s="9" t="s">
        <v>6531</v>
      </c>
      <c r="F1048" s="9" t="s">
        <v>19</v>
      </c>
      <c r="G1048" s="9" t="s">
        <v>1876</v>
      </c>
      <c r="H1048" s="9" t="s">
        <v>86</v>
      </c>
      <c r="I1048" s="11">
        <v>18429897</v>
      </c>
      <c r="J1048" s="11">
        <v>1212318</v>
      </c>
      <c r="K1048" s="11">
        <v>14310622</v>
      </c>
      <c r="L1048" s="3">
        <v>136</v>
      </c>
      <c r="M1048" s="3">
        <v>726</v>
      </c>
      <c r="N1048" s="3">
        <v>556196</v>
      </c>
      <c r="O1048" s="2">
        <v>0.218</v>
      </c>
      <c r="P1048" s="2">
        <v>1.117</v>
      </c>
      <c r="Q1048" s="2">
        <v>0.18600000000000003</v>
      </c>
      <c r="R1048" s="11">
        <v>25596133</v>
      </c>
      <c r="S1048" s="11">
        <v>1948225</v>
      </c>
      <c r="T1048">
        <v>2017</v>
      </c>
      <c r="U1048">
        <v>1</v>
      </c>
      <c r="V1048">
        <f t="shared" si="96"/>
        <v>606250</v>
      </c>
      <c r="W1048">
        <f t="shared" si="97"/>
        <v>18429897</v>
      </c>
      <c r="X1048">
        <f t="shared" si="98"/>
        <v>17823647</v>
      </c>
      <c r="Y1048">
        <f t="shared" si="99"/>
        <v>-26129220.5</v>
      </c>
      <c r="Z1048">
        <f t="shared" si="100"/>
        <v>45165367.5</v>
      </c>
      <c r="AA1048" t="str">
        <f t="shared" si="101"/>
        <v>Normal</v>
      </c>
      <c r="AE1048" s="2"/>
      <c r="AF1048" s="2"/>
    </row>
    <row r="1049" spans="1:32" x14ac:dyDescent="0.35">
      <c r="A1049">
        <v>1048</v>
      </c>
      <c r="B1049" s="1">
        <v>42739</v>
      </c>
      <c r="C1049" s="9" t="s">
        <v>1877</v>
      </c>
      <c r="D1049" s="9" t="s">
        <v>4930</v>
      </c>
      <c r="E1049" s="9" t="s">
        <v>6532</v>
      </c>
      <c r="F1049" s="9" t="s">
        <v>35</v>
      </c>
      <c r="G1049" s="9" t="s">
        <v>1190</v>
      </c>
      <c r="H1049" s="9" t="s">
        <v>86</v>
      </c>
      <c r="I1049" s="11">
        <v>18429897</v>
      </c>
      <c r="J1049" s="11">
        <v>3012185</v>
      </c>
      <c r="K1049" s="11">
        <v>380764</v>
      </c>
      <c r="L1049" s="3">
        <v>166</v>
      </c>
      <c r="M1049" s="3">
        <v>1481</v>
      </c>
      <c r="N1049" s="3">
        <v>1018455</v>
      </c>
      <c r="O1049" s="2">
        <v>-0.23199999999999998</v>
      </c>
      <c r="P1049" s="2">
        <v>0.35700000000000004</v>
      </c>
      <c r="Q1049" s="2">
        <v>0.29100000000000004</v>
      </c>
      <c r="R1049" s="11">
        <v>212474769</v>
      </c>
      <c r="S1049" s="11">
        <v>596902</v>
      </c>
      <c r="T1049">
        <v>2017</v>
      </c>
      <c r="U1049">
        <v>1</v>
      </c>
      <c r="V1049">
        <f t="shared" si="96"/>
        <v>600000</v>
      </c>
      <c r="W1049">
        <f t="shared" si="97"/>
        <v>18429897</v>
      </c>
      <c r="X1049">
        <f t="shared" si="98"/>
        <v>17829897</v>
      </c>
      <c r="Y1049">
        <f t="shared" si="99"/>
        <v>-26144845.5</v>
      </c>
      <c r="Z1049">
        <f t="shared" si="100"/>
        <v>45174742.5</v>
      </c>
      <c r="AA1049" t="str">
        <f t="shared" si="101"/>
        <v>Normal</v>
      </c>
      <c r="AE1049" s="2"/>
      <c r="AF1049" s="2"/>
    </row>
    <row r="1050" spans="1:32" x14ac:dyDescent="0.35">
      <c r="A1050">
        <v>1049</v>
      </c>
      <c r="B1050" s="1">
        <v>42740</v>
      </c>
      <c r="C1050" s="9" t="s">
        <v>1878</v>
      </c>
      <c r="D1050" s="9" t="s">
        <v>4988</v>
      </c>
      <c r="E1050" s="9" t="s">
        <v>6533</v>
      </c>
      <c r="F1050" s="9" t="s">
        <v>15</v>
      </c>
      <c r="G1050" s="9" t="s">
        <v>1879</v>
      </c>
      <c r="H1050" s="9" t="s">
        <v>105</v>
      </c>
      <c r="I1050" s="11">
        <v>18429897</v>
      </c>
      <c r="J1050" s="11">
        <v>3348903</v>
      </c>
      <c r="K1050" s="11">
        <v>5034862</v>
      </c>
      <c r="L1050" s="3">
        <v>169</v>
      </c>
      <c r="M1050" s="3">
        <v>4572</v>
      </c>
      <c r="N1050" s="3">
        <v>27742</v>
      </c>
      <c r="O1050" s="2">
        <v>-0.10199999999999999</v>
      </c>
      <c r="P1050" s="2">
        <v>0.84</v>
      </c>
      <c r="Q1050" s="2">
        <v>-0.153</v>
      </c>
      <c r="R1050" s="11">
        <v>367596578</v>
      </c>
      <c r="S1050" s="11">
        <v>1082290</v>
      </c>
      <c r="T1050">
        <v>2017</v>
      </c>
      <c r="U1050">
        <v>1</v>
      </c>
      <c r="V1050">
        <f t="shared" si="96"/>
        <v>600000</v>
      </c>
      <c r="W1050">
        <f t="shared" si="97"/>
        <v>18429897</v>
      </c>
      <c r="X1050">
        <f t="shared" si="98"/>
        <v>17829897</v>
      </c>
      <c r="Y1050">
        <f t="shared" si="99"/>
        <v>-26144845.5</v>
      </c>
      <c r="Z1050">
        <f t="shared" si="100"/>
        <v>45174742.5</v>
      </c>
      <c r="AA1050" t="str">
        <f t="shared" si="101"/>
        <v>Normal</v>
      </c>
      <c r="AE1050" s="2"/>
      <c r="AF1050" s="2"/>
    </row>
    <row r="1051" spans="1:32" x14ac:dyDescent="0.35">
      <c r="A1051">
        <v>1050</v>
      </c>
      <c r="B1051" s="1">
        <v>42740</v>
      </c>
      <c r="C1051" s="9" t="s">
        <v>1880</v>
      </c>
      <c r="D1051" s="9" t="s">
        <v>4930</v>
      </c>
      <c r="E1051" s="9" t="s">
        <v>6534</v>
      </c>
      <c r="F1051" s="9" t="s">
        <v>15</v>
      </c>
      <c r="G1051" s="9" t="s">
        <v>1881</v>
      </c>
      <c r="H1051" s="9" t="s">
        <v>105</v>
      </c>
      <c r="I1051" s="11">
        <v>18429897</v>
      </c>
      <c r="J1051" s="11">
        <v>615969</v>
      </c>
      <c r="K1051" s="11">
        <v>15620592</v>
      </c>
      <c r="L1051" s="3">
        <v>279</v>
      </c>
      <c r="M1051" s="3">
        <v>1634</v>
      </c>
      <c r="N1051" s="3">
        <v>1884140</v>
      </c>
      <c r="O1051" s="2">
        <v>2.3E-2</v>
      </c>
      <c r="P1051" s="2">
        <v>0.28199999999999997</v>
      </c>
      <c r="Q1051" s="2">
        <v>2E-3</v>
      </c>
      <c r="R1051" s="11">
        <v>481872472</v>
      </c>
      <c r="S1051" s="11">
        <v>732027</v>
      </c>
      <c r="T1051">
        <v>2017</v>
      </c>
      <c r="U1051">
        <v>1</v>
      </c>
      <c r="V1051">
        <f t="shared" si="96"/>
        <v>600000</v>
      </c>
      <c r="W1051">
        <f t="shared" si="97"/>
        <v>18429897</v>
      </c>
      <c r="X1051">
        <f t="shared" si="98"/>
        <v>17829897</v>
      </c>
      <c r="Y1051">
        <f t="shared" si="99"/>
        <v>-26144845.5</v>
      </c>
      <c r="Z1051">
        <f t="shared" si="100"/>
        <v>45174742.5</v>
      </c>
      <c r="AA1051" t="str">
        <f t="shared" si="101"/>
        <v>Normal</v>
      </c>
      <c r="AE1051" s="2"/>
      <c r="AF1051" s="2"/>
    </row>
    <row r="1052" spans="1:32" x14ac:dyDescent="0.35">
      <c r="A1052">
        <v>1051</v>
      </c>
      <c r="B1052" s="1">
        <v>42741</v>
      </c>
      <c r="C1052" s="9" t="s">
        <v>1882</v>
      </c>
      <c r="D1052" s="9" t="s">
        <v>4928</v>
      </c>
      <c r="E1052" s="9" t="s">
        <v>6535</v>
      </c>
      <c r="F1052" s="9" t="s">
        <v>31</v>
      </c>
      <c r="G1052" s="9" t="s">
        <v>1883</v>
      </c>
      <c r="H1052" s="9" t="s">
        <v>105</v>
      </c>
      <c r="I1052" s="11">
        <v>13000000</v>
      </c>
      <c r="J1052" s="11">
        <v>2551384</v>
      </c>
      <c r="K1052" s="11">
        <v>10153449</v>
      </c>
      <c r="L1052" s="3">
        <v>331</v>
      </c>
      <c r="M1052" s="3">
        <v>3675</v>
      </c>
      <c r="N1052" s="3">
        <v>1018455</v>
      </c>
      <c r="O1052" s="2">
        <v>0.38500000000000001</v>
      </c>
      <c r="P1052" s="2">
        <v>0.7</v>
      </c>
      <c r="Q1052" s="2">
        <v>-6.7000000000000004E-2</v>
      </c>
      <c r="R1052" s="11">
        <v>108184218</v>
      </c>
      <c r="S1052" s="11">
        <v>61952</v>
      </c>
      <c r="T1052">
        <v>2017</v>
      </c>
      <c r="U1052">
        <v>1</v>
      </c>
      <c r="V1052">
        <f t="shared" si="96"/>
        <v>600000</v>
      </c>
      <c r="W1052">
        <f t="shared" si="97"/>
        <v>18429897</v>
      </c>
      <c r="X1052">
        <f t="shared" si="98"/>
        <v>17829897</v>
      </c>
      <c r="Y1052">
        <f t="shared" si="99"/>
        <v>-26144845.5</v>
      </c>
      <c r="Z1052">
        <f t="shared" si="100"/>
        <v>45174742.5</v>
      </c>
      <c r="AA1052" t="str">
        <f t="shared" si="101"/>
        <v>Normal</v>
      </c>
      <c r="AE1052" s="2"/>
      <c r="AF1052" s="2"/>
    </row>
    <row r="1053" spans="1:32" x14ac:dyDescent="0.35">
      <c r="A1053">
        <v>1052</v>
      </c>
      <c r="B1053" s="1">
        <v>42742</v>
      </c>
      <c r="C1053" s="9" t="s">
        <v>1884</v>
      </c>
      <c r="D1053" s="9" t="s">
        <v>4988</v>
      </c>
      <c r="E1053" s="9" t="s">
        <v>5092</v>
      </c>
      <c r="F1053" s="9" t="s">
        <v>31</v>
      </c>
      <c r="G1053" s="9" t="s">
        <v>1885</v>
      </c>
      <c r="H1053" s="9" t="s">
        <v>105</v>
      </c>
      <c r="I1053" s="11">
        <v>57000000</v>
      </c>
      <c r="J1053" s="11">
        <v>1837298</v>
      </c>
      <c r="K1053" s="11">
        <v>18000650</v>
      </c>
      <c r="L1053" s="3">
        <v>71</v>
      </c>
      <c r="M1053" s="3">
        <v>2072</v>
      </c>
      <c r="N1053" s="3">
        <v>1590519</v>
      </c>
      <c r="O1053" s="2">
        <v>0.59399999999999997</v>
      </c>
      <c r="P1053" s="2">
        <v>1.061E-2</v>
      </c>
      <c r="Q1053" s="2">
        <v>8.5999999999999993E-2</v>
      </c>
      <c r="R1053" s="11">
        <v>301073018</v>
      </c>
      <c r="S1053" s="11">
        <v>1339393</v>
      </c>
      <c r="T1053">
        <v>2017</v>
      </c>
      <c r="U1053">
        <v>1</v>
      </c>
      <c r="V1053">
        <f t="shared" si="96"/>
        <v>600000</v>
      </c>
      <c r="W1053">
        <f t="shared" si="97"/>
        <v>18429897</v>
      </c>
      <c r="X1053">
        <f t="shared" si="98"/>
        <v>17829897</v>
      </c>
      <c r="Y1053">
        <f t="shared" si="99"/>
        <v>-26144845.5</v>
      </c>
      <c r="Z1053">
        <f t="shared" si="100"/>
        <v>45174742.5</v>
      </c>
      <c r="AA1053" t="str">
        <f t="shared" si="101"/>
        <v>Outlier</v>
      </c>
      <c r="AE1053" s="2"/>
      <c r="AF1053" s="2"/>
    </row>
    <row r="1054" spans="1:32" x14ac:dyDescent="0.35">
      <c r="A1054">
        <v>1053</v>
      </c>
      <c r="B1054" s="1">
        <v>42744</v>
      </c>
      <c r="C1054" s="9" t="s">
        <v>1886</v>
      </c>
      <c r="D1054" s="9" t="s">
        <v>4988</v>
      </c>
      <c r="E1054" s="9" t="s">
        <v>6536</v>
      </c>
      <c r="F1054" s="9" t="s">
        <v>35</v>
      </c>
      <c r="G1054" s="9" t="s">
        <v>1887</v>
      </c>
      <c r="H1054" s="9" t="s">
        <v>105</v>
      </c>
      <c r="I1054" s="11">
        <v>35000000</v>
      </c>
      <c r="J1054" s="11">
        <v>2518687</v>
      </c>
      <c r="K1054" s="11">
        <v>16313922</v>
      </c>
      <c r="L1054" s="3">
        <v>443</v>
      </c>
      <c r="M1054" s="3">
        <v>378</v>
      </c>
      <c r="N1054" s="3">
        <v>1018455</v>
      </c>
      <c r="O1054" s="2">
        <v>0.121</v>
      </c>
      <c r="P1054" s="2">
        <v>0.92600000000000005</v>
      </c>
      <c r="Q1054" s="2">
        <v>-3.3000000000000002E-2</v>
      </c>
      <c r="R1054" s="11">
        <v>249280067</v>
      </c>
      <c r="S1054" s="11">
        <v>1675186</v>
      </c>
      <c r="T1054">
        <v>2017</v>
      </c>
      <c r="U1054">
        <v>1</v>
      </c>
      <c r="V1054">
        <f t="shared" si="96"/>
        <v>600000</v>
      </c>
      <c r="W1054">
        <f t="shared" si="97"/>
        <v>18429897</v>
      </c>
      <c r="X1054">
        <f t="shared" si="98"/>
        <v>17829897</v>
      </c>
      <c r="Y1054">
        <f t="shared" si="99"/>
        <v>-26144845.5</v>
      </c>
      <c r="Z1054">
        <f t="shared" si="100"/>
        <v>45174742.5</v>
      </c>
      <c r="AA1054" t="str">
        <f t="shared" si="101"/>
        <v>Normal</v>
      </c>
      <c r="AE1054" s="2"/>
      <c r="AF1054" s="2"/>
    </row>
    <row r="1055" spans="1:32" x14ac:dyDescent="0.35">
      <c r="A1055">
        <v>1054</v>
      </c>
      <c r="B1055" s="1">
        <v>42745</v>
      </c>
      <c r="C1055" s="9" t="s">
        <v>1888</v>
      </c>
      <c r="D1055" s="9" t="s">
        <v>4930</v>
      </c>
      <c r="E1055" s="9" t="s">
        <v>6537</v>
      </c>
      <c r="F1055" s="9" t="s">
        <v>31</v>
      </c>
      <c r="G1055" s="9" t="s">
        <v>1889</v>
      </c>
      <c r="H1055" s="9" t="s">
        <v>105</v>
      </c>
      <c r="I1055" s="11">
        <v>800000</v>
      </c>
      <c r="J1055" s="11">
        <v>4792977</v>
      </c>
      <c r="K1055" s="11">
        <v>16793766</v>
      </c>
      <c r="L1055" s="3">
        <v>130</v>
      </c>
      <c r="M1055" s="3">
        <v>4196</v>
      </c>
      <c r="N1055" s="3">
        <v>899117</v>
      </c>
      <c r="O1055" s="2">
        <v>0.129</v>
      </c>
      <c r="P1055" s="2">
        <v>0.78299999999999992</v>
      </c>
      <c r="Q1055" s="2">
        <v>0.127</v>
      </c>
      <c r="R1055" s="11">
        <v>436309602</v>
      </c>
      <c r="S1055" s="11">
        <v>937020</v>
      </c>
      <c r="T1055">
        <v>2017</v>
      </c>
      <c r="U1055">
        <v>1</v>
      </c>
      <c r="V1055">
        <f t="shared" si="96"/>
        <v>600000</v>
      </c>
      <c r="W1055">
        <f t="shared" si="97"/>
        <v>18429897</v>
      </c>
      <c r="X1055">
        <f t="shared" si="98"/>
        <v>17829897</v>
      </c>
      <c r="Y1055">
        <f t="shared" si="99"/>
        <v>-26144845.5</v>
      </c>
      <c r="Z1055">
        <f t="shared" si="100"/>
        <v>45174742.5</v>
      </c>
      <c r="AA1055" t="str">
        <f t="shared" si="101"/>
        <v>Normal</v>
      </c>
      <c r="AE1055" s="2"/>
      <c r="AF1055" s="2"/>
    </row>
    <row r="1056" spans="1:32" x14ac:dyDescent="0.35">
      <c r="A1056">
        <v>1055</v>
      </c>
      <c r="B1056" s="1">
        <v>42745</v>
      </c>
      <c r="C1056" s="9" t="s">
        <v>1890</v>
      </c>
      <c r="D1056" s="9" t="s">
        <v>4930</v>
      </c>
      <c r="E1056" s="9" t="s">
        <v>1891</v>
      </c>
      <c r="F1056" s="9" t="s">
        <v>31</v>
      </c>
      <c r="G1056" s="9" t="s">
        <v>1892</v>
      </c>
      <c r="H1056" s="9" t="s">
        <v>105</v>
      </c>
      <c r="I1056" s="11">
        <v>5000000</v>
      </c>
      <c r="J1056" s="11">
        <v>401520</v>
      </c>
      <c r="K1056" s="11">
        <v>10261851</v>
      </c>
      <c r="L1056" s="3">
        <v>61</v>
      </c>
      <c r="M1056" s="3">
        <v>4533</v>
      </c>
      <c r="N1056" s="3">
        <v>1504843</v>
      </c>
      <c r="O1056" s="2">
        <v>-0.36899999999999999</v>
      </c>
      <c r="P1056" s="2">
        <v>0.89400000000000002</v>
      </c>
      <c r="Q1056" s="2">
        <v>8.1000000000000003E-2</v>
      </c>
      <c r="R1056" s="11">
        <v>382063019</v>
      </c>
      <c r="S1056" s="11">
        <v>1913749</v>
      </c>
      <c r="T1056">
        <v>2017</v>
      </c>
      <c r="U1056">
        <v>1</v>
      </c>
      <c r="V1056">
        <f t="shared" si="96"/>
        <v>600000</v>
      </c>
      <c r="W1056">
        <f t="shared" si="97"/>
        <v>18429897</v>
      </c>
      <c r="X1056">
        <f t="shared" si="98"/>
        <v>17829897</v>
      </c>
      <c r="Y1056">
        <f t="shared" si="99"/>
        <v>-26144845.5</v>
      </c>
      <c r="Z1056">
        <f t="shared" si="100"/>
        <v>45174742.5</v>
      </c>
      <c r="AA1056" t="str">
        <f t="shared" si="101"/>
        <v>Normal</v>
      </c>
      <c r="AE1056" s="2"/>
      <c r="AF1056" s="2"/>
    </row>
    <row r="1057" spans="1:32" x14ac:dyDescent="0.35">
      <c r="A1057">
        <v>1056</v>
      </c>
      <c r="B1057" s="1">
        <v>42745</v>
      </c>
      <c r="C1057" s="9" t="s">
        <v>1893</v>
      </c>
      <c r="D1057" s="9" t="s">
        <v>4988</v>
      </c>
      <c r="E1057" s="9" t="s">
        <v>6538</v>
      </c>
      <c r="F1057" s="9" t="s">
        <v>19</v>
      </c>
      <c r="G1057" s="9" t="s">
        <v>1894</v>
      </c>
      <c r="H1057" s="9" t="s">
        <v>105</v>
      </c>
      <c r="I1057" s="11">
        <v>2250000</v>
      </c>
      <c r="J1057" s="11">
        <v>4977413</v>
      </c>
      <c r="K1057" s="11">
        <v>19171220</v>
      </c>
      <c r="L1057" s="3">
        <v>335</v>
      </c>
      <c r="M1057" s="3">
        <v>1216</v>
      </c>
      <c r="N1057" s="3">
        <v>497455</v>
      </c>
      <c r="O1057" s="2">
        <v>0.30099999999999999</v>
      </c>
      <c r="P1057" s="2">
        <v>0.373</v>
      </c>
      <c r="Q1057" s="2">
        <v>0.03</v>
      </c>
      <c r="R1057" s="11">
        <v>250264963</v>
      </c>
      <c r="S1057" s="11">
        <v>1506896</v>
      </c>
      <c r="T1057">
        <v>2017</v>
      </c>
      <c r="U1057">
        <v>1</v>
      </c>
      <c r="V1057">
        <f t="shared" si="96"/>
        <v>600000</v>
      </c>
      <c r="W1057">
        <f t="shared" si="97"/>
        <v>18429897</v>
      </c>
      <c r="X1057">
        <f t="shared" si="98"/>
        <v>17829897</v>
      </c>
      <c r="Y1057">
        <f t="shared" si="99"/>
        <v>-26144845.5</v>
      </c>
      <c r="Z1057">
        <f t="shared" si="100"/>
        <v>45174742.5</v>
      </c>
      <c r="AA1057" t="str">
        <f t="shared" si="101"/>
        <v>Normal</v>
      </c>
      <c r="AE1057" s="2"/>
      <c r="AF1057" s="2"/>
    </row>
    <row r="1058" spans="1:32" x14ac:dyDescent="0.35">
      <c r="A1058">
        <v>1057</v>
      </c>
      <c r="B1058" s="1">
        <v>42745</v>
      </c>
      <c r="C1058" s="9" t="s">
        <v>1895</v>
      </c>
      <c r="D1058" s="9" t="s">
        <v>4988</v>
      </c>
      <c r="E1058" s="9" t="s">
        <v>1896</v>
      </c>
      <c r="F1058" s="9" t="s">
        <v>15</v>
      </c>
      <c r="G1058" s="9" t="s">
        <v>1897</v>
      </c>
      <c r="H1058" s="9" t="s">
        <v>86</v>
      </c>
      <c r="I1058" s="11">
        <v>18429897</v>
      </c>
      <c r="J1058" s="11">
        <v>2258901</v>
      </c>
      <c r="K1058" s="11">
        <v>8377234</v>
      </c>
      <c r="L1058" s="3">
        <v>108</v>
      </c>
      <c r="M1058" s="3">
        <v>893</v>
      </c>
      <c r="N1058" s="3">
        <v>827855</v>
      </c>
      <c r="O1058" s="2">
        <v>0.21</v>
      </c>
      <c r="P1058" s="2">
        <v>1.131</v>
      </c>
      <c r="Q1058" s="2">
        <v>0.13800000000000001</v>
      </c>
      <c r="R1058" s="11">
        <v>140797189</v>
      </c>
      <c r="S1058" s="11">
        <v>1941178</v>
      </c>
      <c r="T1058">
        <v>2017</v>
      </c>
      <c r="U1058">
        <v>1</v>
      </c>
      <c r="V1058">
        <f t="shared" si="96"/>
        <v>600000</v>
      </c>
      <c r="W1058">
        <f t="shared" si="97"/>
        <v>18429897</v>
      </c>
      <c r="X1058">
        <f t="shared" si="98"/>
        <v>17829897</v>
      </c>
      <c r="Y1058">
        <f t="shared" si="99"/>
        <v>-26144845.5</v>
      </c>
      <c r="Z1058">
        <f t="shared" si="100"/>
        <v>45174742.5</v>
      </c>
      <c r="AA1058" t="str">
        <f t="shared" si="101"/>
        <v>Normal</v>
      </c>
      <c r="AE1058" s="2"/>
      <c r="AF1058" s="2"/>
    </row>
    <row r="1059" spans="1:32" x14ac:dyDescent="0.35">
      <c r="A1059">
        <v>1058</v>
      </c>
      <c r="B1059" s="1">
        <v>42745</v>
      </c>
      <c r="C1059" s="9" t="s">
        <v>1273</v>
      </c>
      <c r="D1059" s="9" t="s">
        <v>4988</v>
      </c>
      <c r="E1059" s="9" t="s">
        <v>6539</v>
      </c>
      <c r="F1059" s="9" t="s">
        <v>15</v>
      </c>
      <c r="G1059" s="9" t="s">
        <v>1898</v>
      </c>
      <c r="H1059" s="9" t="s">
        <v>86</v>
      </c>
      <c r="I1059" s="11">
        <v>100000</v>
      </c>
      <c r="J1059" s="11">
        <v>3865082</v>
      </c>
      <c r="K1059" s="11">
        <v>18071605</v>
      </c>
      <c r="L1059" s="3">
        <v>376</v>
      </c>
      <c r="M1059" s="3">
        <v>4656</v>
      </c>
      <c r="N1059" s="3">
        <v>757380</v>
      </c>
      <c r="O1059" s="2">
        <v>0.17699999999999999</v>
      </c>
      <c r="P1059" s="2">
        <v>0.41200000000000003</v>
      </c>
      <c r="Q1059" s="2">
        <v>-7.0999999999999994E-2</v>
      </c>
      <c r="R1059" s="11">
        <v>14241274</v>
      </c>
      <c r="S1059" s="11">
        <v>69707</v>
      </c>
      <c r="T1059">
        <v>2017</v>
      </c>
      <c r="U1059">
        <v>1</v>
      </c>
      <c r="V1059">
        <f t="shared" si="96"/>
        <v>600000</v>
      </c>
      <c r="W1059">
        <f t="shared" si="97"/>
        <v>18429897</v>
      </c>
      <c r="X1059">
        <f t="shared" si="98"/>
        <v>17829897</v>
      </c>
      <c r="Y1059">
        <f t="shared" si="99"/>
        <v>-26144845.5</v>
      </c>
      <c r="Z1059">
        <f t="shared" si="100"/>
        <v>45174742.5</v>
      </c>
      <c r="AA1059" t="str">
        <f t="shared" si="101"/>
        <v>Normal</v>
      </c>
      <c r="AE1059" s="2"/>
      <c r="AF1059" s="2"/>
    </row>
    <row r="1060" spans="1:32" x14ac:dyDescent="0.35">
      <c r="A1060">
        <v>1059</v>
      </c>
      <c r="B1060" s="1">
        <v>42745</v>
      </c>
      <c r="C1060" s="9" t="s">
        <v>65</v>
      </c>
      <c r="D1060" s="9" t="s">
        <v>4925</v>
      </c>
      <c r="E1060" s="9" t="s">
        <v>5932</v>
      </c>
      <c r="F1060" s="9" t="s">
        <v>15</v>
      </c>
      <c r="G1060" s="9" t="s">
        <v>1899</v>
      </c>
      <c r="H1060" s="9" t="s">
        <v>105</v>
      </c>
      <c r="I1060" s="11">
        <v>3500000</v>
      </c>
      <c r="J1060" s="11">
        <v>2133863</v>
      </c>
      <c r="K1060" s="11">
        <v>7897789</v>
      </c>
      <c r="L1060" s="3">
        <v>474</v>
      </c>
      <c r="M1060" s="3">
        <v>533</v>
      </c>
      <c r="N1060" s="3">
        <v>1143759</v>
      </c>
      <c r="O1060" s="2">
        <v>-0.129</v>
      </c>
      <c r="P1060" s="2">
        <v>0.36700000000000005</v>
      </c>
      <c r="Q1060" s="2">
        <v>-0.11599999999999999</v>
      </c>
      <c r="R1060" s="11">
        <v>427783170</v>
      </c>
      <c r="S1060" s="11">
        <v>430468</v>
      </c>
      <c r="T1060">
        <v>2017</v>
      </c>
      <c r="U1060">
        <v>1</v>
      </c>
      <c r="V1060">
        <f t="shared" si="96"/>
        <v>600000</v>
      </c>
      <c r="W1060">
        <f t="shared" si="97"/>
        <v>18429897</v>
      </c>
      <c r="X1060">
        <f t="shared" si="98"/>
        <v>17829897</v>
      </c>
      <c r="Y1060">
        <f t="shared" si="99"/>
        <v>-26144845.5</v>
      </c>
      <c r="Z1060">
        <f t="shared" si="100"/>
        <v>45174742.5</v>
      </c>
      <c r="AA1060" t="str">
        <f t="shared" si="101"/>
        <v>Normal</v>
      </c>
      <c r="AE1060" s="2"/>
      <c r="AF1060" s="2"/>
    </row>
    <row r="1061" spans="1:32" x14ac:dyDescent="0.35">
      <c r="A1061">
        <v>1060</v>
      </c>
      <c r="B1061" s="1">
        <v>42746</v>
      </c>
      <c r="C1061" s="9" t="s">
        <v>1900</v>
      </c>
      <c r="D1061" s="9" t="s">
        <v>4988</v>
      </c>
      <c r="E1061" s="9" t="s">
        <v>6417</v>
      </c>
      <c r="F1061" s="9" t="s">
        <v>19</v>
      </c>
      <c r="G1061" s="9" t="s">
        <v>1901</v>
      </c>
      <c r="H1061" s="9" t="s">
        <v>86</v>
      </c>
      <c r="I1061" s="11">
        <v>18429897</v>
      </c>
      <c r="J1061" s="11">
        <v>1568588</v>
      </c>
      <c r="K1061" s="11">
        <v>8935958</v>
      </c>
      <c r="L1061" s="3">
        <v>347</v>
      </c>
      <c r="M1061" s="3">
        <v>4450</v>
      </c>
      <c r="N1061" s="3">
        <v>421081</v>
      </c>
      <c r="O1061" s="2">
        <v>1.6E-2</v>
      </c>
      <c r="P1061" s="2">
        <v>0.34</v>
      </c>
      <c r="Q1061" s="2">
        <v>-0.19800000000000001</v>
      </c>
      <c r="R1061" s="11">
        <v>258165989</v>
      </c>
      <c r="S1061" s="11">
        <v>562362</v>
      </c>
      <c r="T1061">
        <v>2017</v>
      </c>
      <c r="U1061">
        <v>1</v>
      </c>
      <c r="V1061">
        <f t="shared" si="96"/>
        <v>600000</v>
      </c>
      <c r="W1061">
        <f t="shared" si="97"/>
        <v>18429897</v>
      </c>
      <c r="X1061">
        <f t="shared" si="98"/>
        <v>17829897</v>
      </c>
      <c r="Y1061">
        <f t="shared" si="99"/>
        <v>-26144845.5</v>
      </c>
      <c r="Z1061">
        <f t="shared" si="100"/>
        <v>45174742.5</v>
      </c>
      <c r="AA1061" t="str">
        <f t="shared" si="101"/>
        <v>Normal</v>
      </c>
      <c r="AE1061" s="2"/>
      <c r="AF1061" s="2"/>
    </row>
    <row r="1062" spans="1:32" x14ac:dyDescent="0.35">
      <c r="A1062">
        <v>1061</v>
      </c>
      <c r="B1062" s="1">
        <v>42747</v>
      </c>
      <c r="C1062" s="9" t="s">
        <v>1902</v>
      </c>
      <c r="D1062" s="9" t="s">
        <v>4988</v>
      </c>
      <c r="E1062" s="9" t="s">
        <v>6540</v>
      </c>
      <c r="F1062" s="9" t="s">
        <v>15</v>
      </c>
      <c r="G1062" s="9" t="s">
        <v>1903</v>
      </c>
      <c r="H1062" s="9" t="s">
        <v>105</v>
      </c>
      <c r="I1062" s="11">
        <v>1350000</v>
      </c>
      <c r="J1062" s="11">
        <v>3857586</v>
      </c>
      <c r="K1062" s="11">
        <v>13744507</v>
      </c>
      <c r="L1062" s="3">
        <v>389</v>
      </c>
      <c r="M1062" s="3">
        <v>907</v>
      </c>
      <c r="N1062" s="3">
        <v>1491041</v>
      </c>
      <c r="O1062" s="2">
        <v>0.42399999999999999</v>
      </c>
      <c r="P1062" s="2">
        <v>1.1359999999999999E-2</v>
      </c>
      <c r="Q1062" s="2">
        <v>-0.34699999999999998</v>
      </c>
      <c r="R1062" s="11">
        <v>311758176</v>
      </c>
      <c r="S1062" s="11">
        <v>1091146</v>
      </c>
      <c r="T1062">
        <v>2017</v>
      </c>
      <c r="U1062">
        <v>1</v>
      </c>
      <c r="V1062">
        <f t="shared" si="96"/>
        <v>600000</v>
      </c>
      <c r="W1062">
        <f t="shared" si="97"/>
        <v>18429897</v>
      </c>
      <c r="X1062">
        <f t="shared" si="98"/>
        <v>17829897</v>
      </c>
      <c r="Y1062">
        <f t="shared" si="99"/>
        <v>-26144845.5</v>
      </c>
      <c r="Z1062">
        <f t="shared" si="100"/>
        <v>45174742.5</v>
      </c>
      <c r="AA1062" t="str">
        <f t="shared" si="101"/>
        <v>Normal</v>
      </c>
      <c r="AE1062" s="2"/>
      <c r="AF1062" s="2"/>
    </row>
    <row r="1063" spans="1:32" x14ac:dyDescent="0.35">
      <c r="A1063">
        <v>1062</v>
      </c>
      <c r="B1063" s="1">
        <v>42747</v>
      </c>
      <c r="C1063" s="9" t="s">
        <v>1904</v>
      </c>
      <c r="D1063" s="9" t="s">
        <v>4988</v>
      </c>
      <c r="E1063" s="9" t="s">
        <v>6541</v>
      </c>
      <c r="F1063" s="9" t="s">
        <v>19</v>
      </c>
      <c r="G1063" s="9" t="s">
        <v>1905</v>
      </c>
      <c r="H1063" s="9" t="s">
        <v>105</v>
      </c>
      <c r="I1063" s="11">
        <v>10000000</v>
      </c>
      <c r="J1063" s="11">
        <v>3444571</v>
      </c>
      <c r="K1063" s="11">
        <v>8027129</v>
      </c>
      <c r="L1063" s="3">
        <v>249</v>
      </c>
      <c r="M1063" s="3">
        <v>4340</v>
      </c>
      <c r="N1063" s="3">
        <v>1683902</v>
      </c>
      <c r="O1063" s="2">
        <v>0.17899999999999999</v>
      </c>
      <c r="P1063" s="2">
        <v>0.66099999999999992</v>
      </c>
      <c r="Q1063" s="2">
        <v>-7.0000000000000007E-2</v>
      </c>
      <c r="R1063" s="11">
        <v>106067988</v>
      </c>
      <c r="S1063" s="11">
        <v>1866556</v>
      </c>
      <c r="T1063">
        <v>2017</v>
      </c>
      <c r="U1063">
        <v>1</v>
      </c>
      <c r="V1063">
        <f t="shared" si="96"/>
        <v>600000</v>
      </c>
      <c r="W1063">
        <f t="shared" si="97"/>
        <v>18429897</v>
      </c>
      <c r="X1063">
        <f t="shared" si="98"/>
        <v>17829897</v>
      </c>
      <c r="Y1063">
        <f t="shared" si="99"/>
        <v>-26144845.5</v>
      </c>
      <c r="Z1063">
        <f t="shared" si="100"/>
        <v>45174742.5</v>
      </c>
      <c r="AA1063" t="str">
        <f t="shared" si="101"/>
        <v>Normal</v>
      </c>
      <c r="AE1063" s="2"/>
      <c r="AF1063" s="2"/>
    </row>
    <row r="1064" spans="1:32" x14ac:dyDescent="0.35">
      <c r="A1064">
        <v>1063</v>
      </c>
      <c r="B1064" s="1">
        <v>42748</v>
      </c>
      <c r="C1064" s="9" t="s">
        <v>1906</v>
      </c>
      <c r="D1064" s="9" t="s">
        <v>4930</v>
      </c>
      <c r="E1064" s="9" t="s">
        <v>6542</v>
      </c>
      <c r="F1064" s="9" t="s">
        <v>31</v>
      </c>
      <c r="G1064" s="9" t="s">
        <v>1907</v>
      </c>
      <c r="H1064" s="9" t="s">
        <v>105</v>
      </c>
      <c r="I1064" s="11">
        <v>4100000</v>
      </c>
      <c r="J1064" s="11">
        <v>737408</v>
      </c>
      <c r="K1064" s="11">
        <v>3027293</v>
      </c>
      <c r="L1064" s="3">
        <v>176</v>
      </c>
      <c r="M1064" s="3">
        <v>4668</v>
      </c>
      <c r="N1064" s="3">
        <v>1778494</v>
      </c>
      <c r="O1064" s="2">
        <v>0.318</v>
      </c>
      <c r="P1064" s="2">
        <v>0.73299999999999998</v>
      </c>
      <c r="Q1064" s="2">
        <v>0.23499999999999999</v>
      </c>
      <c r="R1064" s="11">
        <v>132528993</v>
      </c>
      <c r="S1064" s="11">
        <v>818714</v>
      </c>
      <c r="T1064">
        <v>2017</v>
      </c>
      <c r="U1064">
        <v>1</v>
      </c>
      <c r="V1064">
        <f t="shared" si="96"/>
        <v>600000</v>
      </c>
      <c r="W1064">
        <f t="shared" si="97"/>
        <v>18429897</v>
      </c>
      <c r="X1064">
        <f t="shared" si="98"/>
        <v>17829897</v>
      </c>
      <c r="Y1064">
        <f t="shared" si="99"/>
        <v>-26144845.5</v>
      </c>
      <c r="Z1064">
        <f t="shared" si="100"/>
        <v>45174742.5</v>
      </c>
      <c r="AA1064" t="str">
        <f t="shared" si="101"/>
        <v>Normal</v>
      </c>
      <c r="AE1064" s="2"/>
      <c r="AF1064" s="2"/>
    </row>
    <row r="1065" spans="1:32" x14ac:dyDescent="0.35">
      <c r="A1065">
        <v>1064</v>
      </c>
      <c r="B1065" s="1">
        <v>42748</v>
      </c>
      <c r="C1065" s="9" t="s">
        <v>1908</v>
      </c>
      <c r="D1065" s="9" t="s">
        <v>4988</v>
      </c>
      <c r="E1065" s="9" t="s">
        <v>6543</v>
      </c>
      <c r="F1065" s="9" t="s">
        <v>15</v>
      </c>
      <c r="G1065" s="9" t="s">
        <v>1909</v>
      </c>
      <c r="H1065" s="9" t="s">
        <v>86</v>
      </c>
      <c r="I1065" s="11">
        <v>18429897</v>
      </c>
      <c r="J1065" s="11">
        <v>3532923</v>
      </c>
      <c r="K1065" s="11">
        <v>17934054</v>
      </c>
      <c r="L1065" s="3">
        <v>254</v>
      </c>
      <c r="M1065" s="3">
        <v>1238</v>
      </c>
      <c r="N1065" s="3">
        <v>1788095</v>
      </c>
      <c r="O1065" s="2">
        <v>0.13</v>
      </c>
      <c r="P1065" s="2">
        <v>0.57899999999999996</v>
      </c>
      <c r="Q1065" s="2">
        <v>5.0999999999999997E-2</v>
      </c>
      <c r="R1065" s="11">
        <v>132686037</v>
      </c>
      <c r="S1065" s="11">
        <v>463858</v>
      </c>
      <c r="T1065">
        <v>2017</v>
      </c>
      <c r="U1065">
        <v>1</v>
      </c>
      <c r="V1065">
        <f t="shared" si="96"/>
        <v>600000</v>
      </c>
      <c r="W1065">
        <f t="shared" si="97"/>
        <v>18429897</v>
      </c>
      <c r="X1065">
        <f t="shared" si="98"/>
        <v>17829897</v>
      </c>
      <c r="Y1065">
        <f t="shared" si="99"/>
        <v>-26144845.5</v>
      </c>
      <c r="Z1065">
        <f t="shared" si="100"/>
        <v>45174742.5</v>
      </c>
      <c r="AA1065" t="str">
        <f t="shared" si="101"/>
        <v>Normal</v>
      </c>
      <c r="AE1065" s="2"/>
      <c r="AF1065" s="2"/>
    </row>
    <row r="1066" spans="1:32" x14ac:dyDescent="0.35">
      <c r="A1066">
        <v>1065</v>
      </c>
      <c r="B1066" s="1">
        <v>42748</v>
      </c>
      <c r="C1066" s="9" t="s">
        <v>1910</v>
      </c>
      <c r="D1066" s="9" t="s">
        <v>4988</v>
      </c>
      <c r="E1066" s="9" t="s">
        <v>6544</v>
      </c>
      <c r="F1066" s="9" t="s">
        <v>15</v>
      </c>
      <c r="G1066" s="9" t="s">
        <v>1911</v>
      </c>
      <c r="H1066" s="9" t="s">
        <v>86</v>
      </c>
      <c r="I1066" s="11">
        <v>440000</v>
      </c>
      <c r="J1066" s="11">
        <v>3770325</v>
      </c>
      <c r="K1066" s="11">
        <v>9113241</v>
      </c>
      <c r="L1066" s="3">
        <v>182</v>
      </c>
      <c r="M1066" s="3">
        <v>1145</v>
      </c>
      <c r="N1066" s="3">
        <v>1279834</v>
      </c>
      <c r="O1066" s="2">
        <v>0.28399999999999997</v>
      </c>
      <c r="P1066" s="2">
        <v>0.22699999999999998</v>
      </c>
      <c r="Q1066" s="2">
        <v>0.10300000000000001</v>
      </c>
      <c r="R1066" s="11">
        <v>201023675</v>
      </c>
      <c r="S1066" s="11">
        <v>887640</v>
      </c>
      <c r="T1066">
        <v>2017</v>
      </c>
      <c r="U1066">
        <v>1</v>
      </c>
      <c r="V1066">
        <f t="shared" si="96"/>
        <v>600000</v>
      </c>
      <c r="W1066">
        <f t="shared" si="97"/>
        <v>18429897</v>
      </c>
      <c r="X1066">
        <f t="shared" si="98"/>
        <v>17829897</v>
      </c>
      <c r="Y1066">
        <f t="shared" si="99"/>
        <v>-26144845.5</v>
      </c>
      <c r="Z1066">
        <f t="shared" si="100"/>
        <v>45174742.5</v>
      </c>
      <c r="AA1066" t="str">
        <f t="shared" si="101"/>
        <v>Normal</v>
      </c>
      <c r="AE1066" s="2"/>
      <c r="AF1066" s="2"/>
    </row>
    <row r="1067" spans="1:32" x14ac:dyDescent="0.35">
      <c r="A1067">
        <v>1066</v>
      </c>
      <c r="B1067" s="1">
        <v>42749</v>
      </c>
      <c r="C1067" s="9" t="s">
        <v>273</v>
      </c>
      <c r="D1067" s="9" t="s">
        <v>4988</v>
      </c>
      <c r="E1067" s="9" t="s">
        <v>5512</v>
      </c>
      <c r="F1067" s="9" t="s">
        <v>15</v>
      </c>
      <c r="G1067" s="9" t="s">
        <v>1912</v>
      </c>
      <c r="H1067" s="9" t="s">
        <v>105</v>
      </c>
      <c r="I1067" s="11">
        <v>4500000</v>
      </c>
      <c r="J1067" s="11">
        <v>2531926</v>
      </c>
      <c r="K1067" s="11">
        <v>18546082</v>
      </c>
      <c r="L1067" s="3">
        <v>438</v>
      </c>
      <c r="M1067" s="3">
        <v>575</v>
      </c>
      <c r="N1067" s="3">
        <v>1595879</v>
      </c>
      <c r="O1067" s="2">
        <v>-0.14099999999999999</v>
      </c>
      <c r="P1067" s="2">
        <v>0.50800000000000001</v>
      </c>
      <c r="Q1067" s="2">
        <v>-0.1</v>
      </c>
      <c r="R1067" s="11">
        <v>251497705</v>
      </c>
      <c r="S1067" s="11">
        <v>928587</v>
      </c>
      <c r="T1067">
        <v>2017</v>
      </c>
      <c r="U1067">
        <v>1</v>
      </c>
      <c r="V1067">
        <f t="shared" si="96"/>
        <v>600000</v>
      </c>
      <c r="W1067">
        <f t="shared" si="97"/>
        <v>18429897</v>
      </c>
      <c r="X1067">
        <f t="shared" si="98"/>
        <v>17829897</v>
      </c>
      <c r="Y1067">
        <f t="shared" si="99"/>
        <v>-26144845.5</v>
      </c>
      <c r="Z1067">
        <f t="shared" si="100"/>
        <v>45174742.5</v>
      </c>
      <c r="AA1067" t="str">
        <f t="shared" si="101"/>
        <v>Normal</v>
      </c>
      <c r="AE1067" s="2"/>
      <c r="AF1067" s="2"/>
    </row>
    <row r="1068" spans="1:32" x14ac:dyDescent="0.35">
      <c r="A1068">
        <v>1067</v>
      </c>
      <c r="B1068" s="1">
        <v>42749</v>
      </c>
      <c r="C1068" s="9" t="s">
        <v>1913</v>
      </c>
      <c r="D1068" s="9" t="s">
        <v>4930</v>
      </c>
      <c r="E1068" s="9" t="s">
        <v>6545</v>
      </c>
      <c r="F1068" s="9" t="s">
        <v>15</v>
      </c>
      <c r="G1068" s="9" t="s">
        <v>1914</v>
      </c>
      <c r="H1068" s="9" t="s">
        <v>105</v>
      </c>
      <c r="I1068" s="11">
        <v>18429897</v>
      </c>
      <c r="J1068" s="11">
        <v>4629734</v>
      </c>
      <c r="K1068" s="11">
        <v>8042399</v>
      </c>
      <c r="L1068" s="3">
        <v>237</v>
      </c>
      <c r="M1068" s="3">
        <v>3945</v>
      </c>
      <c r="N1068" s="3">
        <v>1381756</v>
      </c>
      <c r="O1068" s="2">
        <v>-0.33500000000000002</v>
      </c>
      <c r="P1068" s="2">
        <v>0.21600000000000003</v>
      </c>
      <c r="Q1068" s="2">
        <v>0.58299999999999996</v>
      </c>
      <c r="R1068" s="11">
        <v>365999644</v>
      </c>
      <c r="S1068" s="11">
        <v>649116</v>
      </c>
      <c r="T1068">
        <v>2017</v>
      </c>
      <c r="U1068">
        <v>1</v>
      </c>
      <c r="V1068">
        <f t="shared" si="96"/>
        <v>600000</v>
      </c>
      <c r="W1068">
        <f t="shared" si="97"/>
        <v>18429897</v>
      </c>
      <c r="X1068">
        <f t="shared" si="98"/>
        <v>17829897</v>
      </c>
      <c r="Y1068">
        <f t="shared" si="99"/>
        <v>-26144845.5</v>
      </c>
      <c r="Z1068">
        <f t="shared" si="100"/>
        <v>45174742.5</v>
      </c>
      <c r="AA1068" t="str">
        <f t="shared" si="101"/>
        <v>Normal</v>
      </c>
      <c r="AE1068" s="2"/>
      <c r="AF1068" s="2"/>
    </row>
    <row r="1069" spans="1:32" x14ac:dyDescent="0.35">
      <c r="A1069">
        <v>1068</v>
      </c>
      <c r="B1069" s="1">
        <v>42751</v>
      </c>
      <c r="C1069" s="9" t="s">
        <v>1915</v>
      </c>
      <c r="D1069" s="9" t="s">
        <v>4988</v>
      </c>
      <c r="E1069" s="9" t="s">
        <v>6546</v>
      </c>
      <c r="F1069" s="9" t="s">
        <v>15</v>
      </c>
      <c r="G1069" s="9" t="s">
        <v>1916</v>
      </c>
      <c r="H1069" s="9" t="s">
        <v>86</v>
      </c>
      <c r="I1069" s="11">
        <v>18429897</v>
      </c>
      <c r="J1069" s="11">
        <v>3211625</v>
      </c>
      <c r="K1069" s="11">
        <v>19459435</v>
      </c>
      <c r="L1069" s="3">
        <v>251</v>
      </c>
      <c r="M1069" s="3">
        <v>1779</v>
      </c>
      <c r="N1069" s="3">
        <v>1906570</v>
      </c>
      <c r="O1069" s="2">
        <v>1.6E-2</v>
      </c>
      <c r="P1069" s="2">
        <v>0.50800000000000001</v>
      </c>
      <c r="Q1069" s="2">
        <v>0.14099999999999999</v>
      </c>
      <c r="R1069" s="11">
        <v>381382907</v>
      </c>
      <c r="S1069" s="11">
        <v>1429295</v>
      </c>
      <c r="T1069">
        <v>2017</v>
      </c>
      <c r="U1069">
        <v>1</v>
      </c>
      <c r="V1069">
        <f t="shared" si="96"/>
        <v>600000</v>
      </c>
      <c r="W1069">
        <f t="shared" si="97"/>
        <v>18429897</v>
      </c>
      <c r="X1069">
        <f t="shared" si="98"/>
        <v>17829897</v>
      </c>
      <c r="Y1069">
        <f t="shared" si="99"/>
        <v>-26144845.5</v>
      </c>
      <c r="Z1069">
        <f t="shared" si="100"/>
        <v>45174742.5</v>
      </c>
      <c r="AA1069" t="str">
        <f t="shared" si="101"/>
        <v>Normal</v>
      </c>
      <c r="AE1069" s="2"/>
      <c r="AF1069" s="2"/>
    </row>
    <row r="1070" spans="1:32" x14ac:dyDescent="0.35">
      <c r="A1070">
        <v>1069</v>
      </c>
      <c r="B1070" s="1">
        <v>42751</v>
      </c>
      <c r="C1070" s="9" t="s">
        <v>1917</v>
      </c>
      <c r="D1070" s="9" t="s">
        <v>4988</v>
      </c>
      <c r="E1070" s="9" t="s">
        <v>6547</v>
      </c>
      <c r="F1070" s="9" t="s">
        <v>15</v>
      </c>
      <c r="G1070" s="9" t="s">
        <v>1918</v>
      </c>
      <c r="H1070" s="9" t="s">
        <v>105</v>
      </c>
      <c r="I1070" s="11">
        <v>5000000</v>
      </c>
      <c r="J1070" s="11">
        <v>1681469</v>
      </c>
      <c r="K1070" s="11">
        <v>12097785</v>
      </c>
      <c r="L1070" s="3">
        <v>338</v>
      </c>
      <c r="M1070" s="3">
        <v>3233</v>
      </c>
      <c r="N1070" s="3">
        <v>197440</v>
      </c>
      <c r="O1070" s="2">
        <v>-4.0999999999999995E-2</v>
      </c>
      <c r="P1070" s="2">
        <v>0.39300000000000002</v>
      </c>
      <c r="Q1070" s="2">
        <v>-4.2000000000000003E-2</v>
      </c>
      <c r="R1070" s="11">
        <v>185009987</v>
      </c>
      <c r="S1070" s="11">
        <v>65221</v>
      </c>
      <c r="T1070">
        <v>2017</v>
      </c>
      <c r="U1070">
        <v>1</v>
      </c>
      <c r="V1070">
        <f t="shared" si="96"/>
        <v>600000</v>
      </c>
      <c r="W1070">
        <f t="shared" si="97"/>
        <v>18429897</v>
      </c>
      <c r="X1070">
        <f t="shared" si="98"/>
        <v>17829897</v>
      </c>
      <c r="Y1070">
        <f t="shared" si="99"/>
        <v>-26144845.5</v>
      </c>
      <c r="Z1070">
        <f t="shared" si="100"/>
        <v>45174742.5</v>
      </c>
      <c r="AA1070" t="str">
        <f t="shared" si="101"/>
        <v>Normal</v>
      </c>
      <c r="AE1070" s="2"/>
      <c r="AF1070" s="2"/>
    </row>
    <row r="1071" spans="1:32" x14ac:dyDescent="0.35">
      <c r="A1071">
        <v>1070</v>
      </c>
      <c r="B1071" s="1">
        <v>42751</v>
      </c>
      <c r="C1071" s="9" t="s">
        <v>1919</v>
      </c>
      <c r="D1071" s="9" t="s">
        <v>4930</v>
      </c>
      <c r="E1071" s="9" t="s">
        <v>6548</v>
      </c>
      <c r="F1071" s="9" t="s">
        <v>27</v>
      </c>
      <c r="G1071" s="9" t="s">
        <v>1920</v>
      </c>
      <c r="H1071" s="9" t="s">
        <v>86</v>
      </c>
      <c r="I1071" s="11">
        <v>18429897</v>
      </c>
      <c r="J1071" s="11">
        <v>73423</v>
      </c>
      <c r="K1071" s="11">
        <v>15389512</v>
      </c>
      <c r="L1071" s="3">
        <v>98</v>
      </c>
      <c r="M1071" s="3">
        <v>3090</v>
      </c>
      <c r="N1071" s="3">
        <v>396921</v>
      </c>
      <c r="O1071" s="2">
        <v>-0.9</v>
      </c>
      <c r="P1071" s="2">
        <v>0.60199999999999998</v>
      </c>
      <c r="Q1071" s="2">
        <v>-0.16400000000000001</v>
      </c>
      <c r="R1071" s="11">
        <v>250264963</v>
      </c>
      <c r="S1071" s="11">
        <v>621179</v>
      </c>
      <c r="T1071">
        <v>2017</v>
      </c>
      <c r="U1071">
        <v>1</v>
      </c>
      <c r="V1071">
        <f t="shared" si="96"/>
        <v>600000</v>
      </c>
      <c r="W1071">
        <f t="shared" si="97"/>
        <v>18429897</v>
      </c>
      <c r="X1071">
        <f t="shared" si="98"/>
        <v>17829897</v>
      </c>
      <c r="Y1071">
        <f t="shared" si="99"/>
        <v>-26144845.5</v>
      </c>
      <c r="Z1071">
        <f t="shared" si="100"/>
        <v>45174742.5</v>
      </c>
      <c r="AA1071" t="str">
        <f t="shared" si="101"/>
        <v>Normal</v>
      </c>
      <c r="AE1071" s="2"/>
      <c r="AF1071" s="2"/>
    </row>
    <row r="1072" spans="1:32" x14ac:dyDescent="0.35">
      <c r="A1072">
        <v>1071</v>
      </c>
      <c r="B1072" s="1">
        <v>42751</v>
      </c>
      <c r="C1072" s="9" t="s">
        <v>1921</v>
      </c>
      <c r="D1072" s="9" t="s">
        <v>4988</v>
      </c>
      <c r="E1072" s="9" t="s">
        <v>6549</v>
      </c>
      <c r="F1072" s="9" t="s">
        <v>31</v>
      </c>
      <c r="G1072" s="9" t="s">
        <v>856</v>
      </c>
      <c r="H1072" s="9" t="s">
        <v>86</v>
      </c>
      <c r="I1072" s="11">
        <v>700000</v>
      </c>
      <c r="J1072" s="11">
        <v>3381302</v>
      </c>
      <c r="K1072" s="11">
        <v>15135131</v>
      </c>
      <c r="L1072" s="3">
        <v>282</v>
      </c>
      <c r="M1072" s="3">
        <v>2615</v>
      </c>
      <c r="N1072" s="3">
        <v>840958</v>
      </c>
      <c r="O1072" s="2">
        <v>0.21</v>
      </c>
      <c r="P1072" s="2">
        <v>0.66</v>
      </c>
      <c r="Q1072" s="2">
        <v>0.52800000000000002</v>
      </c>
      <c r="R1072" s="11">
        <v>5251862</v>
      </c>
      <c r="S1072" s="11">
        <v>410258</v>
      </c>
      <c r="T1072">
        <v>2017</v>
      </c>
      <c r="U1072">
        <v>1</v>
      </c>
      <c r="V1072">
        <f t="shared" si="96"/>
        <v>600000</v>
      </c>
      <c r="W1072">
        <f t="shared" si="97"/>
        <v>18429897</v>
      </c>
      <c r="X1072">
        <f t="shared" si="98"/>
        <v>17829897</v>
      </c>
      <c r="Y1072">
        <f t="shared" si="99"/>
        <v>-26144845.5</v>
      </c>
      <c r="Z1072">
        <f t="shared" si="100"/>
        <v>45174742.5</v>
      </c>
      <c r="AA1072" t="str">
        <f t="shared" si="101"/>
        <v>Normal</v>
      </c>
      <c r="AE1072" s="2"/>
      <c r="AF1072" s="2"/>
    </row>
    <row r="1073" spans="1:32" x14ac:dyDescent="0.35">
      <c r="A1073">
        <v>1072</v>
      </c>
      <c r="B1073" s="1">
        <v>42752</v>
      </c>
      <c r="C1073" s="9" t="s">
        <v>1922</v>
      </c>
      <c r="D1073" s="9" t="s">
        <v>4988</v>
      </c>
      <c r="E1073" s="9" t="s">
        <v>5512</v>
      </c>
      <c r="F1073" s="9" t="s">
        <v>15</v>
      </c>
      <c r="G1073" s="9" t="s">
        <v>1923</v>
      </c>
      <c r="H1073" s="9" t="s">
        <v>105</v>
      </c>
      <c r="I1073" s="11">
        <v>800000</v>
      </c>
      <c r="J1073" s="11">
        <v>2531926</v>
      </c>
      <c r="K1073" s="11">
        <v>4119577</v>
      </c>
      <c r="L1073" s="3">
        <v>378</v>
      </c>
      <c r="M1073" s="3">
        <v>1250</v>
      </c>
      <c r="N1073" s="3">
        <v>1241917</v>
      </c>
      <c r="O1073" s="2">
        <v>6.9000000000000006E-2</v>
      </c>
      <c r="P1073" s="2">
        <v>0.73299999999999998</v>
      </c>
      <c r="Q1073" s="2">
        <v>-0.25</v>
      </c>
      <c r="R1073" s="11">
        <v>481551411</v>
      </c>
      <c r="S1073" s="11">
        <v>151541</v>
      </c>
      <c r="T1073">
        <v>2017</v>
      </c>
      <c r="U1073">
        <v>1</v>
      </c>
      <c r="V1073">
        <f t="shared" si="96"/>
        <v>600000</v>
      </c>
      <c r="W1073">
        <f t="shared" si="97"/>
        <v>18429897</v>
      </c>
      <c r="X1073">
        <f t="shared" si="98"/>
        <v>17829897</v>
      </c>
      <c r="Y1073">
        <f t="shared" si="99"/>
        <v>-26144845.5</v>
      </c>
      <c r="Z1073">
        <f t="shared" si="100"/>
        <v>45174742.5</v>
      </c>
      <c r="AA1073" t="str">
        <f t="shared" si="101"/>
        <v>Normal</v>
      </c>
      <c r="AE1073" s="2"/>
      <c r="AF1073" s="2"/>
    </row>
    <row r="1074" spans="1:32" x14ac:dyDescent="0.35">
      <c r="A1074">
        <v>1073</v>
      </c>
      <c r="B1074" s="1">
        <v>42752</v>
      </c>
      <c r="C1074" s="9" t="s">
        <v>1924</v>
      </c>
      <c r="D1074" s="9" t="s">
        <v>4988</v>
      </c>
      <c r="E1074" s="9" t="s">
        <v>6550</v>
      </c>
      <c r="F1074" s="9" t="s">
        <v>15</v>
      </c>
      <c r="G1074" s="9" t="s">
        <v>398</v>
      </c>
      <c r="H1074" s="9" t="s">
        <v>105</v>
      </c>
      <c r="I1074" s="11">
        <v>2000000</v>
      </c>
      <c r="J1074" s="11">
        <v>2634939</v>
      </c>
      <c r="K1074" s="11">
        <v>16328169</v>
      </c>
      <c r="L1074" s="3">
        <v>389</v>
      </c>
      <c r="M1074" s="3">
        <v>1859</v>
      </c>
      <c r="N1074" s="3">
        <v>1777928</v>
      </c>
      <c r="O1074" s="2">
        <v>0.114</v>
      </c>
      <c r="P1074" s="2">
        <v>1.093</v>
      </c>
      <c r="Q1074" s="2">
        <v>0.36749999999999999</v>
      </c>
      <c r="R1074" s="11">
        <v>90661980</v>
      </c>
      <c r="S1074" s="11">
        <v>185418</v>
      </c>
      <c r="T1074">
        <v>2017</v>
      </c>
      <c r="U1074">
        <v>1</v>
      </c>
      <c r="V1074">
        <f t="shared" si="96"/>
        <v>600000</v>
      </c>
      <c r="W1074">
        <f t="shared" si="97"/>
        <v>18429897</v>
      </c>
      <c r="X1074">
        <f t="shared" si="98"/>
        <v>17829897</v>
      </c>
      <c r="Y1074">
        <f t="shared" si="99"/>
        <v>-26144845.5</v>
      </c>
      <c r="Z1074">
        <f t="shared" si="100"/>
        <v>45174742.5</v>
      </c>
      <c r="AA1074" t="str">
        <f t="shared" si="101"/>
        <v>Normal</v>
      </c>
      <c r="AE1074" s="2"/>
      <c r="AF1074" s="2"/>
    </row>
    <row r="1075" spans="1:32" x14ac:dyDescent="0.35">
      <c r="A1075">
        <v>1074</v>
      </c>
      <c r="B1075" s="1">
        <v>42752</v>
      </c>
      <c r="C1075" s="9" t="s">
        <v>1925</v>
      </c>
      <c r="D1075" s="9" t="s">
        <v>4988</v>
      </c>
      <c r="E1075" s="9" t="s">
        <v>6551</v>
      </c>
      <c r="F1075" s="9" t="s">
        <v>15</v>
      </c>
      <c r="G1075" s="9" t="s">
        <v>4844</v>
      </c>
      <c r="H1075" s="9" t="s">
        <v>105</v>
      </c>
      <c r="I1075" s="11">
        <v>55000000</v>
      </c>
      <c r="J1075" s="11">
        <v>2344298</v>
      </c>
      <c r="K1075" s="11">
        <v>18904587</v>
      </c>
      <c r="L1075" s="3">
        <v>116</v>
      </c>
      <c r="M1075" s="3">
        <v>2528</v>
      </c>
      <c r="N1075" s="3">
        <v>189461</v>
      </c>
      <c r="O1075" s="2">
        <v>-0.11699999999999999</v>
      </c>
      <c r="P1075" s="2">
        <v>0.24299999999999999</v>
      </c>
      <c r="Q1075" s="2">
        <v>-9.9000000000000005E-2</v>
      </c>
      <c r="R1075" s="11">
        <v>268100391</v>
      </c>
      <c r="S1075" s="11">
        <v>1716902</v>
      </c>
      <c r="T1075">
        <v>2017</v>
      </c>
      <c r="U1075">
        <v>1</v>
      </c>
      <c r="V1075">
        <f t="shared" si="96"/>
        <v>600000</v>
      </c>
      <c r="W1075">
        <f t="shared" si="97"/>
        <v>18429897</v>
      </c>
      <c r="X1075">
        <f t="shared" si="98"/>
        <v>17829897</v>
      </c>
      <c r="Y1075">
        <f t="shared" si="99"/>
        <v>-26144845.5</v>
      </c>
      <c r="Z1075">
        <f t="shared" si="100"/>
        <v>45174742.5</v>
      </c>
      <c r="AA1075" t="str">
        <f t="shared" si="101"/>
        <v>Outlier</v>
      </c>
      <c r="AE1075" s="2"/>
      <c r="AF1075" s="2"/>
    </row>
    <row r="1076" spans="1:32" x14ac:dyDescent="0.35">
      <c r="A1076">
        <v>1075</v>
      </c>
      <c r="B1076" s="1">
        <v>42752</v>
      </c>
      <c r="C1076" s="9" t="s">
        <v>1926</v>
      </c>
      <c r="D1076" s="9" t="s">
        <v>4988</v>
      </c>
      <c r="E1076" s="9" t="s">
        <v>6552</v>
      </c>
      <c r="F1076" s="9" t="s">
        <v>27</v>
      </c>
      <c r="G1076" s="9" t="s">
        <v>1927</v>
      </c>
      <c r="H1076" s="9" t="s">
        <v>86</v>
      </c>
      <c r="I1076" s="11">
        <v>441000</v>
      </c>
      <c r="J1076" s="11">
        <v>835481</v>
      </c>
      <c r="K1076" s="11">
        <v>13256535</v>
      </c>
      <c r="L1076" s="3">
        <v>31</v>
      </c>
      <c r="M1076" s="3">
        <v>510</v>
      </c>
      <c r="N1076" s="3">
        <v>321524</v>
      </c>
      <c r="O1076" s="2">
        <v>-0.13400000000000001</v>
      </c>
      <c r="P1076" s="2">
        <v>0.69400000000000006</v>
      </c>
      <c r="Q1076" s="2">
        <v>9.0999999999999998E-2</v>
      </c>
      <c r="R1076" s="11">
        <v>425408594</v>
      </c>
      <c r="S1076" s="11">
        <v>976790</v>
      </c>
      <c r="T1076">
        <v>2017</v>
      </c>
      <c r="U1076">
        <v>1</v>
      </c>
      <c r="V1076">
        <f t="shared" si="96"/>
        <v>600000</v>
      </c>
      <c r="W1076">
        <f t="shared" si="97"/>
        <v>18429897</v>
      </c>
      <c r="X1076">
        <f t="shared" si="98"/>
        <v>17829897</v>
      </c>
      <c r="Y1076">
        <f t="shared" si="99"/>
        <v>-26144845.5</v>
      </c>
      <c r="Z1076">
        <f t="shared" si="100"/>
        <v>45174742.5</v>
      </c>
      <c r="AA1076" t="str">
        <f t="shared" si="101"/>
        <v>Normal</v>
      </c>
      <c r="AE1076" s="2"/>
      <c r="AF1076" s="2"/>
    </row>
    <row r="1077" spans="1:32" x14ac:dyDescent="0.35">
      <c r="A1077">
        <v>1076</v>
      </c>
      <c r="B1077" s="1">
        <v>42752</v>
      </c>
      <c r="C1077" s="9" t="s">
        <v>1928</v>
      </c>
      <c r="D1077" s="9" t="s">
        <v>4988</v>
      </c>
      <c r="E1077" s="9" t="s">
        <v>6553</v>
      </c>
      <c r="F1077" s="9" t="s">
        <v>1929</v>
      </c>
      <c r="G1077" s="9" t="s">
        <v>856</v>
      </c>
      <c r="H1077" s="9" t="s">
        <v>86</v>
      </c>
      <c r="I1077" s="11">
        <v>500000</v>
      </c>
      <c r="J1077" s="11">
        <v>3563296</v>
      </c>
      <c r="K1077" s="11">
        <v>18948115</v>
      </c>
      <c r="L1077" s="3">
        <v>101</v>
      </c>
      <c r="M1077" s="3">
        <v>2048</v>
      </c>
      <c r="N1077" s="3">
        <v>1000000000</v>
      </c>
      <c r="O1077" s="2">
        <v>0.128</v>
      </c>
      <c r="P1077" s="2">
        <v>0.33200000000000002</v>
      </c>
      <c r="Q1077" s="2">
        <v>0.18899999999999997</v>
      </c>
      <c r="R1077" s="11">
        <v>62379343</v>
      </c>
      <c r="S1077" s="11">
        <v>1950644</v>
      </c>
      <c r="T1077">
        <v>2017</v>
      </c>
      <c r="U1077">
        <v>1</v>
      </c>
      <c r="V1077">
        <f t="shared" si="96"/>
        <v>600000</v>
      </c>
      <c r="W1077">
        <f t="shared" si="97"/>
        <v>18429897</v>
      </c>
      <c r="X1077">
        <f t="shared" si="98"/>
        <v>17829897</v>
      </c>
      <c r="Y1077">
        <f t="shared" si="99"/>
        <v>-26144845.5</v>
      </c>
      <c r="Z1077">
        <f t="shared" si="100"/>
        <v>45174742.5</v>
      </c>
      <c r="AA1077" t="str">
        <f t="shared" si="101"/>
        <v>Normal</v>
      </c>
      <c r="AE1077" s="2"/>
      <c r="AF1077" s="2"/>
    </row>
    <row r="1078" spans="1:32" x14ac:dyDescent="0.35">
      <c r="A1078">
        <v>1077</v>
      </c>
      <c r="B1078" s="1">
        <v>42752</v>
      </c>
      <c r="C1078" s="9" t="s">
        <v>1930</v>
      </c>
      <c r="D1078" s="9" t="s">
        <v>4988</v>
      </c>
      <c r="E1078" s="9" t="s">
        <v>6554</v>
      </c>
      <c r="F1078" s="9" t="s">
        <v>15</v>
      </c>
      <c r="G1078" s="9" t="s">
        <v>1931</v>
      </c>
      <c r="H1078" s="9" t="s">
        <v>86</v>
      </c>
      <c r="I1078" s="11">
        <v>147000</v>
      </c>
      <c r="J1078" s="11">
        <v>846216</v>
      </c>
      <c r="K1078" s="11">
        <v>16937135</v>
      </c>
      <c r="L1078" s="3">
        <v>410</v>
      </c>
      <c r="M1078" s="3">
        <v>3567</v>
      </c>
      <c r="N1078" s="3">
        <v>619987</v>
      </c>
      <c r="O1078" s="2">
        <v>1.2E-2</v>
      </c>
      <c r="P1078" s="2">
        <v>1.127</v>
      </c>
      <c r="Q1078" s="2">
        <v>0.11700000000000001</v>
      </c>
      <c r="R1078" s="11">
        <v>62330981</v>
      </c>
      <c r="S1078" s="11">
        <v>373443</v>
      </c>
      <c r="T1078">
        <v>2017</v>
      </c>
      <c r="U1078">
        <v>1</v>
      </c>
      <c r="V1078">
        <f t="shared" si="96"/>
        <v>600000</v>
      </c>
      <c r="W1078">
        <f t="shared" si="97"/>
        <v>18429897</v>
      </c>
      <c r="X1078">
        <f t="shared" si="98"/>
        <v>17829897</v>
      </c>
      <c r="Y1078">
        <f t="shared" si="99"/>
        <v>-26144845.5</v>
      </c>
      <c r="Z1078">
        <f t="shared" si="100"/>
        <v>45174742.5</v>
      </c>
      <c r="AA1078" t="str">
        <f t="shared" si="101"/>
        <v>Normal</v>
      </c>
      <c r="AE1078" s="2"/>
      <c r="AF1078" s="2"/>
    </row>
    <row r="1079" spans="1:32" x14ac:dyDescent="0.35">
      <c r="A1079">
        <v>1078</v>
      </c>
      <c r="B1079" s="1">
        <v>42753</v>
      </c>
      <c r="C1079" s="9" t="s">
        <v>1932</v>
      </c>
      <c r="D1079" s="9" t="s">
        <v>4930</v>
      </c>
      <c r="E1079" s="9" t="s">
        <v>6555</v>
      </c>
      <c r="F1079" s="9" t="s">
        <v>27</v>
      </c>
      <c r="G1079" s="9" t="s">
        <v>1933</v>
      </c>
      <c r="H1079" s="9" t="s">
        <v>86</v>
      </c>
      <c r="I1079" s="11">
        <v>18429897</v>
      </c>
      <c r="J1079" s="11">
        <v>2100413</v>
      </c>
      <c r="K1079" s="11">
        <v>13356014</v>
      </c>
      <c r="L1079" s="3">
        <v>136</v>
      </c>
      <c r="M1079" s="3">
        <v>2137</v>
      </c>
      <c r="N1079" s="3">
        <v>1018455</v>
      </c>
      <c r="O1079" s="2">
        <v>0.121</v>
      </c>
      <c r="P1079" s="2">
        <v>1.1169999999999999E-2</v>
      </c>
      <c r="Q1079" s="2">
        <v>8.9999999999999993E-3</v>
      </c>
      <c r="R1079" s="11">
        <v>497566030</v>
      </c>
      <c r="S1079" s="11">
        <v>1894408</v>
      </c>
      <c r="T1079">
        <v>2017</v>
      </c>
      <c r="U1079">
        <v>1</v>
      </c>
      <c r="V1079">
        <f t="shared" si="96"/>
        <v>600000</v>
      </c>
      <c r="W1079">
        <f t="shared" si="97"/>
        <v>18429897</v>
      </c>
      <c r="X1079">
        <f t="shared" si="98"/>
        <v>17829897</v>
      </c>
      <c r="Y1079">
        <f t="shared" si="99"/>
        <v>-26144845.5</v>
      </c>
      <c r="Z1079">
        <f t="shared" si="100"/>
        <v>45174742.5</v>
      </c>
      <c r="AA1079" t="str">
        <f t="shared" si="101"/>
        <v>Normal</v>
      </c>
      <c r="AE1079" s="2"/>
      <c r="AF1079" s="2"/>
    </row>
    <row r="1080" spans="1:32" x14ac:dyDescent="0.35">
      <c r="A1080">
        <v>1079</v>
      </c>
      <c r="B1080" s="1">
        <v>42753</v>
      </c>
      <c r="C1080" s="9" t="s">
        <v>1934</v>
      </c>
      <c r="D1080" s="9" t="s">
        <v>4925</v>
      </c>
      <c r="E1080" s="9" t="s">
        <v>6556</v>
      </c>
      <c r="F1080" s="9" t="s">
        <v>19</v>
      </c>
      <c r="G1080" s="9" t="s">
        <v>1935</v>
      </c>
      <c r="H1080" s="9" t="s">
        <v>86</v>
      </c>
      <c r="I1080" s="11">
        <v>18429897</v>
      </c>
      <c r="J1080" s="11">
        <v>4184795</v>
      </c>
      <c r="K1080" s="11">
        <v>9596408</v>
      </c>
      <c r="L1080" s="3">
        <v>33</v>
      </c>
      <c r="M1080" s="3">
        <v>2004</v>
      </c>
      <c r="N1080" s="3">
        <v>1355959</v>
      </c>
      <c r="O1080" s="2">
        <v>0.22900000000000001</v>
      </c>
      <c r="P1080" s="2">
        <v>0.50800000000000001</v>
      </c>
      <c r="Q1080" s="2">
        <v>-0.249</v>
      </c>
      <c r="R1080" s="11">
        <v>91169613</v>
      </c>
      <c r="S1080" s="11">
        <v>1008125</v>
      </c>
      <c r="T1080">
        <v>2017</v>
      </c>
      <c r="U1080">
        <v>1</v>
      </c>
      <c r="V1080">
        <f t="shared" si="96"/>
        <v>600000</v>
      </c>
      <c r="W1080">
        <f t="shared" si="97"/>
        <v>18429897</v>
      </c>
      <c r="X1080">
        <f t="shared" si="98"/>
        <v>17829897</v>
      </c>
      <c r="Y1080">
        <f t="shared" si="99"/>
        <v>-26144845.5</v>
      </c>
      <c r="Z1080">
        <f t="shared" si="100"/>
        <v>45174742.5</v>
      </c>
      <c r="AA1080" t="str">
        <f t="shared" si="101"/>
        <v>Normal</v>
      </c>
      <c r="AE1080" s="2"/>
      <c r="AF1080" s="2"/>
    </row>
    <row r="1081" spans="1:32" x14ac:dyDescent="0.35">
      <c r="A1081">
        <v>1080</v>
      </c>
      <c r="B1081" s="1">
        <v>42753</v>
      </c>
      <c r="C1081" s="9" t="s">
        <v>1936</v>
      </c>
      <c r="D1081" s="9" t="s">
        <v>4925</v>
      </c>
      <c r="E1081" s="9" t="s">
        <v>6557</v>
      </c>
      <c r="F1081" s="9" t="s">
        <v>27</v>
      </c>
      <c r="G1081" s="9" t="s">
        <v>1937</v>
      </c>
      <c r="H1081" s="9" t="s">
        <v>86</v>
      </c>
      <c r="I1081" s="11">
        <v>650000</v>
      </c>
      <c r="J1081" s="11">
        <v>4603421</v>
      </c>
      <c r="K1081" s="11">
        <v>17159877</v>
      </c>
      <c r="L1081" s="3">
        <v>300</v>
      </c>
      <c r="M1081" s="3">
        <v>4209</v>
      </c>
      <c r="N1081" s="3">
        <v>1755457</v>
      </c>
      <c r="O1081" s="2">
        <v>0.44799999999999995</v>
      </c>
      <c r="P1081" s="2">
        <v>0.317</v>
      </c>
      <c r="Q1081" s="2">
        <v>0.56399999999999995</v>
      </c>
      <c r="R1081" s="11">
        <v>489007039</v>
      </c>
      <c r="S1081" s="11">
        <v>226411</v>
      </c>
      <c r="T1081">
        <v>2017</v>
      </c>
      <c r="U1081">
        <v>1</v>
      </c>
      <c r="V1081">
        <f t="shared" si="96"/>
        <v>600000</v>
      </c>
      <c r="W1081">
        <f t="shared" si="97"/>
        <v>18429897</v>
      </c>
      <c r="X1081">
        <f t="shared" si="98"/>
        <v>17829897</v>
      </c>
      <c r="Y1081">
        <f t="shared" si="99"/>
        <v>-26144845.5</v>
      </c>
      <c r="Z1081">
        <f t="shared" si="100"/>
        <v>45174742.5</v>
      </c>
      <c r="AA1081" t="str">
        <f t="shared" si="101"/>
        <v>Normal</v>
      </c>
      <c r="AE1081" s="2"/>
      <c r="AF1081" s="2"/>
    </row>
    <row r="1082" spans="1:32" x14ac:dyDescent="0.35">
      <c r="A1082">
        <v>1081</v>
      </c>
      <c r="B1082" s="1">
        <v>42753</v>
      </c>
      <c r="C1082" s="9" t="s">
        <v>1316</v>
      </c>
      <c r="D1082" s="9" t="s">
        <v>4930</v>
      </c>
      <c r="E1082" s="9" t="s">
        <v>6558</v>
      </c>
      <c r="F1082" s="9" t="s">
        <v>15</v>
      </c>
      <c r="G1082" s="9" t="s">
        <v>856</v>
      </c>
      <c r="H1082" s="9" t="s">
        <v>86</v>
      </c>
      <c r="I1082" s="11">
        <v>300000</v>
      </c>
      <c r="J1082" s="11">
        <v>4945882</v>
      </c>
      <c r="K1082" s="11">
        <v>3791396</v>
      </c>
      <c r="L1082" s="3">
        <v>441</v>
      </c>
      <c r="M1082" s="3">
        <v>2698</v>
      </c>
      <c r="N1082" s="3">
        <v>1804157</v>
      </c>
      <c r="O1082" s="2">
        <v>0.11599999999999999</v>
      </c>
      <c r="P1082" s="2">
        <v>0.31</v>
      </c>
      <c r="Q1082" s="2">
        <v>0.16600000000000001</v>
      </c>
      <c r="R1082" s="11">
        <v>217549444</v>
      </c>
      <c r="S1082" s="11">
        <v>408293</v>
      </c>
      <c r="T1082">
        <v>2017</v>
      </c>
      <c r="U1082">
        <v>1</v>
      </c>
      <c r="V1082">
        <f t="shared" si="96"/>
        <v>600000</v>
      </c>
      <c r="W1082">
        <f t="shared" si="97"/>
        <v>18429897</v>
      </c>
      <c r="X1082">
        <f t="shared" si="98"/>
        <v>17829897</v>
      </c>
      <c r="Y1082">
        <f t="shared" si="99"/>
        <v>-26144845.5</v>
      </c>
      <c r="Z1082">
        <f t="shared" si="100"/>
        <v>45174742.5</v>
      </c>
      <c r="AA1082" t="str">
        <f t="shared" si="101"/>
        <v>Normal</v>
      </c>
      <c r="AE1082" s="2"/>
      <c r="AF1082" s="2"/>
    </row>
    <row r="1083" spans="1:32" x14ac:dyDescent="0.35">
      <c r="A1083">
        <v>1082</v>
      </c>
      <c r="B1083" s="1">
        <v>42754</v>
      </c>
      <c r="C1083" s="9" t="s">
        <v>1938</v>
      </c>
      <c r="D1083" s="9" t="s">
        <v>4988</v>
      </c>
      <c r="E1083" s="9" t="s">
        <v>6559</v>
      </c>
      <c r="F1083" s="9" t="s">
        <v>15</v>
      </c>
      <c r="G1083" s="9" t="s">
        <v>1939</v>
      </c>
      <c r="H1083" s="9" t="s">
        <v>86</v>
      </c>
      <c r="I1083" s="11">
        <v>18429897</v>
      </c>
      <c r="J1083" s="11">
        <v>4790899</v>
      </c>
      <c r="K1083" s="11">
        <v>11267410</v>
      </c>
      <c r="L1083" s="3">
        <v>116</v>
      </c>
      <c r="M1083" s="3">
        <v>3699</v>
      </c>
      <c r="N1083" s="3">
        <v>1708648</v>
      </c>
      <c r="O1083" s="2">
        <v>0.48299999999999998</v>
      </c>
      <c r="P1083" s="2">
        <v>0.29799999999999999</v>
      </c>
      <c r="Q1083" s="2">
        <v>0.24199999999999999</v>
      </c>
      <c r="R1083" s="11">
        <v>103175896</v>
      </c>
      <c r="S1083" s="11">
        <v>978150</v>
      </c>
      <c r="T1083">
        <v>2017</v>
      </c>
      <c r="U1083">
        <v>1</v>
      </c>
      <c r="V1083">
        <f t="shared" si="96"/>
        <v>600000</v>
      </c>
      <c r="W1083">
        <f t="shared" si="97"/>
        <v>18429897</v>
      </c>
      <c r="X1083">
        <f t="shared" si="98"/>
        <v>17829897</v>
      </c>
      <c r="Y1083">
        <f t="shared" si="99"/>
        <v>-26144845.5</v>
      </c>
      <c r="Z1083">
        <f t="shared" si="100"/>
        <v>45174742.5</v>
      </c>
      <c r="AA1083" t="str">
        <f t="shared" si="101"/>
        <v>Normal</v>
      </c>
      <c r="AE1083" s="2"/>
      <c r="AF1083" s="2"/>
    </row>
    <row r="1084" spans="1:32" x14ac:dyDescent="0.35">
      <c r="A1084">
        <v>1083</v>
      </c>
      <c r="B1084" s="1">
        <v>42754</v>
      </c>
      <c r="C1084" s="9" t="s">
        <v>1940</v>
      </c>
      <c r="D1084" s="9" t="s">
        <v>4988</v>
      </c>
      <c r="E1084" s="9" t="s">
        <v>3260</v>
      </c>
      <c r="F1084" s="9" t="s">
        <v>31</v>
      </c>
      <c r="G1084" s="9" t="s">
        <v>1941</v>
      </c>
      <c r="H1084" s="9" t="s">
        <v>105</v>
      </c>
      <c r="I1084" s="11">
        <v>1000000</v>
      </c>
      <c r="J1084" s="11">
        <v>2788727</v>
      </c>
      <c r="K1084" s="11">
        <v>16332954</v>
      </c>
      <c r="L1084" s="3">
        <v>26</v>
      </c>
      <c r="M1084" s="3">
        <v>306</v>
      </c>
      <c r="N1084" s="3">
        <v>118174</v>
      </c>
      <c r="O1084" s="2">
        <v>0.20100000000000001</v>
      </c>
      <c r="P1084" s="2">
        <v>0.35799999999999998</v>
      </c>
      <c r="Q1084" s="2">
        <v>-6.9000000000000006E-2</v>
      </c>
      <c r="R1084" s="11">
        <v>389224008</v>
      </c>
      <c r="S1084" s="11">
        <v>1366430</v>
      </c>
      <c r="T1084">
        <v>2017</v>
      </c>
      <c r="U1084">
        <v>1</v>
      </c>
      <c r="V1084">
        <f t="shared" si="96"/>
        <v>600000</v>
      </c>
      <c r="W1084">
        <f t="shared" si="97"/>
        <v>18429897</v>
      </c>
      <c r="X1084">
        <f t="shared" si="98"/>
        <v>17829897</v>
      </c>
      <c r="Y1084">
        <f t="shared" si="99"/>
        <v>-26144845.5</v>
      </c>
      <c r="Z1084">
        <f t="shared" si="100"/>
        <v>45174742.5</v>
      </c>
      <c r="AA1084" t="str">
        <f t="shared" si="101"/>
        <v>Normal</v>
      </c>
      <c r="AE1084" s="2"/>
      <c r="AF1084" s="2"/>
    </row>
    <row r="1085" spans="1:32" x14ac:dyDescent="0.35">
      <c r="A1085">
        <v>1084</v>
      </c>
      <c r="B1085" s="1">
        <v>42754</v>
      </c>
      <c r="C1085" s="9" t="s">
        <v>1942</v>
      </c>
      <c r="D1085" s="9" t="s">
        <v>4925</v>
      </c>
      <c r="E1085" s="9" t="s">
        <v>6560</v>
      </c>
      <c r="F1085" s="9" t="s">
        <v>1943</v>
      </c>
      <c r="G1085" s="9" t="s">
        <v>1944</v>
      </c>
      <c r="H1085" s="9" t="s">
        <v>86</v>
      </c>
      <c r="I1085" s="11">
        <v>18429897</v>
      </c>
      <c r="J1085" s="11">
        <v>1018393</v>
      </c>
      <c r="K1085" s="11">
        <v>18888126</v>
      </c>
      <c r="L1085" s="3">
        <v>74</v>
      </c>
      <c r="M1085" s="3">
        <v>4644</v>
      </c>
      <c r="N1085" s="3">
        <v>269878</v>
      </c>
      <c r="O1085" s="2">
        <v>0.25800000000000001</v>
      </c>
      <c r="P1085" s="2">
        <v>0.35600000000000004</v>
      </c>
      <c r="Q1085" s="2">
        <v>2.6000000000000002E-2</v>
      </c>
      <c r="R1085" s="11">
        <v>386658354</v>
      </c>
      <c r="S1085" s="11">
        <v>1647957</v>
      </c>
      <c r="T1085">
        <v>2017</v>
      </c>
      <c r="U1085">
        <v>1</v>
      </c>
      <c r="V1085">
        <f t="shared" si="96"/>
        <v>600000</v>
      </c>
      <c r="W1085">
        <f t="shared" si="97"/>
        <v>18429897</v>
      </c>
      <c r="X1085">
        <f t="shared" si="98"/>
        <v>17829897</v>
      </c>
      <c r="Y1085">
        <f t="shared" si="99"/>
        <v>-26144845.5</v>
      </c>
      <c r="Z1085">
        <f t="shared" si="100"/>
        <v>45174742.5</v>
      </c>
      <c r="AA1085" t="str">
        <f t="shared" si="101"/>
        <v>Normal</v>
      </c>
      <c r="AE1085" s="2"/>
      <c r="AF1085" s="2"/>
    </row>
    <row r="1086" spans="1:32" x14ac:dyDescent="0.35">
      <c r="A1086">
        <v>1085</v>
      </c>
      <c r="B1086" s="1">
        <v>42754</v>
      </c>
      <c r="C1086" s="9" t="s">
        <v>1945</v>
      </c>
      <c r="D1086" s="9" t="s">
        <v>4988</v>
      </c>
      <c r="E1086" s="9" t="s">
        <v>6469</v>
      </c>
      <c r="F1086" s="9" t="s">
        <v>63</v>
      </c>
      <c r="G1086" s="9" t="s">
        <v>1946</v>
      </c>
      <c r="H1086" s="9" t="s">
        <v>105</v>
      </c>
      <c r="I1086" s="11">
        <v>18429897</v>
      </c>
      <c r="J1086" s="11">
        <v>4198567</v>
      </c>
      <c r="K1086" s="11">
        <v>5415643</v>
      </c>
      <c r="L1086" s="3">
        <v>68</v>
      </c>
      <c r="M1086" s="3">
        <v>3890</v>
      </c>
      <c r="N1086" s="3">
        <v>1740996</v>
      </c>
      <c r="O1086" s="2">
        <v>0.33100000000000002</v>
      </c>
      <c r="P1086" s="2">
        <v>0.36399999999999999</v>
      </c>
      <c r="Q1086" s="2">
        <v>0.39299999999999996</v>
      </c>
      <c r="R1086" s="11">
        <v>352698417</v>
      </c>
      <c r="S1086" s="11">
        <v>1839031</v>
      </c>
      <c r="T1086">
        <v>2017</v>
      </c>
      <c r="U1086">
        <v>1</v>
      </c>
      <c r="V1086">
        <f t="shared" si="96"/>
        <v>600000</v>
      </c>
      <c r="W1086">
        <f t="shared" si="97"/>
        <v>18429897</v>
      </c>
      <c r="X1086">
        <f t="shared" si="98"/>
        <v>17829897</v>
      </c>
      <c r="Y1086">
        <f t="shared" si="99"/>
        <v>-26144845.5</v>
      </c>
      <c r="Z1086">
        <f t="shared" si="100"/>
        <v>45174742.5</v>
      </c>
      <c r="AA1086" t="str">
        <f t="shared" si="101"/>
        <v>Normal</v>
      </c>
      <c r="AE1086" s="2"/>
      <c r="AF1086" s="2"/>
    </row>
    <row r="1087" spans="1:32" x14ac:dyDescent="0.35">
      <c r="A1087">
        <v>1086</v>
      </c>
      <c r="B1087" s="1">
        <v>42755</v>
      </c>
      <c r="C1087" s="9" t="s">
        <v>1947</v>
      </c>
      <c r="D1087" s="9" t="s">
        <v>4930</v>
      </c>
      <c r="E1087" s="9" t="s">
        <v>6561</v>
      </c>
      <c r="F1087" s="9" t="s">
        <v>41</v>
      </c>
      <c r="G1087" s="9" t="s">
        <v>1493</v>
      </c>
      <c r="H1087" s="9" t="s">
        <v>86</v>
      </c>
      <c r="I1087" s="11">
        <v>18429897</v>
      </c>
      <c r="J1087" s="11">
        <v>4012120</v>
      </c>
      <c r="K1087" s="11">
        <v>1969334</v>
      </c>
      <c r="L1087" s="3">
        <v>106</v>
      </c>
      <c r="M1087" s="3">
        <v>4142</v>
      </c>
      <c r="N1087" s="3">
        <v>1385910</v>
      </c>
      <c r="O1087" s="2">
        <v>0.26400000000000001</v>
      </c>
      <c r="P1087" s="2">
        <v>0.34899999999999998</v>
      </c>
      <c r="Q1087" s="2">
        <v>-0.45100000000000001</v>
      </c>
      <c r="R1087" s="11">
        <v>378272911</v>
      </c>
      <c r="S1087" s="11">
        <v>1781144</v>
      </c>
      <c r="T1087">
        <v>2017</v>
      </c>
      <c r="U1087">
        <v>1</v>
      </c>
      <c r="V1087">
        <f t="shared" si="96"/>
        <v>600000</v>
      </c>
      <c r="W1087">
        <f t="shared" si="97"/>
        <v>18429897</v>
      </c>
      <c r="X1087">
        <f t="shared" si="98"/>
        <v>17829897</v>
      </c>
      <c r="Y1087">
        <f t="shared" si="99"/>
        <v>-26144845.5</v>
      </c>
      <c r="Z1087">
        <f t="shared" si="100"/>
        <v>45174742.5</v>
      </c>
      <c r="AA1087" t="str">
        <f t="shared" si="101"/>
        <v>Normal</v>
      </c>
      <c r="AE1087" s="2"/>
      <c r="AF1087" s="2"/>
    </row>
    <row r="1088" spans="1:32" x14ac:dyDescent="0.35">
      <c r="A1088">
        <v>1087</v>
      </c>
      <c r="B1088" s="1">
        <v>42755</v>
      </c>
      <c r="C1088" s="9" t="s">
        <v>743</v>
      </c>
      <c r="D1088" s="9" t="s">
        <v>4925</v>
      </c>
      <c r="E1088" s="9" t="s">
        <v>6562</v>
      </c>
      <c r="F1088" s="9" t="s">
        <v>19</v>
      </c>
      <c r="G1088" s="9" t="s">
        <v>1948</v>
      </c>
      <c r="H1088" s="9" t="s">
        <v>105</v>
      </c>
      <c r="I1088" s="11">
        <v>18429897</v>
      </c>
      <c r="J1088" s="11">
        <v>4951801</v>
      </c>
      <c r="K1088" s="11">
        <v>6733869</v>
      </c>
      <c r="L1088" s="3">
        <v>94</v>
      </c>
      <c r="M1088" s="3">
        <v>3476</v>
      </c>
      <c r="N1088" s="3">
        <v>440723</v>
      </c>
      <c r="O1088" s="2">
        <v>-0.04</v>
      </c>
      <c r="P1088" s="2">
        <v>0.57799999999999996</v>
      </c>
      <c r="Q1088" s="2">
        <v>0.29100000000000004</v>
      </c>
      <c r="R1088" s="11">
        <v>170739107</v>
      </c>
      <c r="S1088" s="11">
        <v>1170662</v>
      </c>
      <c r="T1088">
        <v>2017</v>
      </c>
      <c r="U1088">
        <v>1</v>
      </c>
      <c r="V1088">
        <f t="shared" si="96"/>
        <v>600000</v>
      </c>
      <c r="W1088">
        <f t="shared" si="97"/>
        <v>18429897</v>
      </c>
      <c r="X1088">
        <f t="shared" si="98"/>
        <v>17829897</v>
      </c>
      <c r="Y1088">
        <f t="shared" si="99"/>
        <v>-26144845.5</v>
      </c>
      <c r="Z1088">
        <f t="shared" si="100"/>
        <v>45174742.5</v>
      </c>
      <c r="AA1088" t="str">
        <f t="shared" si="101"/>
        <v>Normal</v>
      </c>
      <c r="AE1088" s="2"/>
      <c r="AF1088" s="2"/>
    </row>
    <row r="1089" spans="1:32" x14ac:dyDescent="0.35">
      <c r="A1089">
        <v>1088</v>
      </c>
      <c r="B1089" s="1">
        <v>42755</v>
      </c>
      <c r="C1089" s="9" t="s">
        <v>1574</v>
      </c>
      <c r="D1089" s="9" t="s">
        <v>4930</v>
      </c>
      <c r="E1089" s="9" t="s">
        <v>6563</v>
      </c>
      <c r="F1089" s="9" t="s">
        <v>31</v>
      </c>
      <c r="G1089" s="9" t="s">
        <v>1949</v>
      </c>
      <c r="H1089" s="9" t="s">
        <v>86</v>
      </c>
      <c r="I1089" s="11">
        <v>18429897</v>
      </c>
      <c r="J1089" s="11">
        <v>3261720</v>
      </c>
      <c r="K1089" s="11">
        <v>17292877</v>
      </c>
      <c r="L1089" s="3">
        <v>320</v>
      </c>
      <c r="M1089" s="3">
        <v>2505.5</v>
      </c>
      <c r="N1089" s="3">
        <v>775283</v>
      </c>
      <c r="O1089" s="2">
        <v>0.33700000000000002</v>
      </c>
      <c r="P1089" s="2">
        <v>0.45399999999999996</v>
      </c>
      <c r="Q1089" s="2">
        <v>3.7999999999999999E-2</v>
      </c>
      <c r="R1089" s="11">
        <v>412719738</v>
      </c>
      <c r="S1089" s="11">
        <v>66793</v>
      </c>
      <c r="T1089">
        <v>2017</v>
      </c>
      <c r="U1089">
        <v>1</v>
      </c>
      <c r="V1089">
        <f t="shared" si="96"/>
        <v>600000</v>
      </c>
      <c r="W1089">
        <f t="shared" si="97"/>
        <v>18429897</v>
      </c>
      <c r="X1089">
        <f t="shared" si="98"/>
        <v>17829897</v>
      </c>
      <c r="Y1089">
        <f t="shared" si="99"/>
        <v>-26144845.5</v>
      </c>
      <c r="Z1089">
        <f t="shared" si="100"/>
        <v>45174742.5</v>
      </c>
      <c r="AA1089" t="str">
        <f t="shared" si="101"/>
        <v>Normal</v>
      </c>
      <c r="AE1089" s="2"/>
      <c r="AF1089" s="2"/>
    </row>
    <row r="1090" spans="1:32" x14ac:dyDescent="0.35">
      <c r="A1090">
        <v>1089</v>
      </c>
      <c r="B1090" s="1">
        <v>42755</v>
      </c>
      <c r="C1090" s="9" t="s">
        <v>1830</v>
      </c>
      <c r="D1090" s="9" t="s">
        <v>4930</v>
      </c>
      <c r="E1090" s="9" t="s">
        <v>5395</v>
      </c>
      <c r="F1090" s="9" t="s">
        <v>27</v>
      </c>
      <c r="G1090" s="9" t="s">
        <v>1950</v>
      </c>
      <c r="H1090" s="9" t="s">
        <v>86</v>
      </c>
      <c r="I1090" s="11">
        <v>18429897</v>
      </c>
      <c r="J1090" s="11">
        <v>725147</v>
      </c>
      <c r="K1090" s="11">
        <v>10524211</v>
      </c>
      <c r="L1090" s="3">
        <v>115</v>
      </c>
      <c r="M1090" s="3">
        <v>2670</v>
      </c>
      <c r="N1090" s="3">
        <v>1721725</v>
      </c>
      <c r="O1090" s="2">
        <v>4.4999999999999998E-2</v>
      </c>
      <c r="P1090" s="2">
        <v>0.61699999999999999</v>
      </c>
      <c r="Q1090" s="2">
        <v>0.20399999999999999</v>
      </c>
      <c r="R1090" s="11">
        <v>415193167</v>
      </c>
      <c r="S1090" s="11">
        <v>216731</v>
      </c>
      <c r="T1090">
        <v>2017</v>
      </c>
      <c r="U1090">
        <v>1</v>
      </c>
      <c r="V1090">
        <f t="shared" ref="V1090:V1153" si="102">_xlfn.PERCENTILE.INC(I1090:I4133,0.25)</f>
        <v>600000</v>
      </c>
      <c r="W1090">
        <f t="shared" ref="W1090:W1153" si="103">_xlfn.PERCENTILE.INC(I1090:I4133,0.75)</f>
        <v>18429897</v>
      </c>
      <c r="X1090">
        <f t="shared" ref="X1090:X1153" si="104">W1090-V1090</f>
        <v>17829897</v>
      </c>
      <c r="Y1090">
        <f t="shared" ref="Y1090:Y1153" si="105">V1090-1.5*X1090</f>
        <v>-26144845.5</v>
      </c>
      <c r="Z1090">
        <f t="shared" ref="Z1090:Z1153" si="106">W1090+1.5*X1090</f>
        <v>45174742.5</v>
      </c>
      <c r="AA1090" t="str">
        <f t="shared" ref="AA1090:AA1153" si="107">IF(OR(I1090&lt;$Y$2, I1090&gt;$Z$2), "Outlier", "Normal")</f>
        <v>Normal</v>
      </c>
      <c r="AE1090" s="2"/>
      <c r="AF1090" s="2"/>
    </row>
    <row r="1091" spans="1:32" x14ac:dyDescent="0.35">
      <c r="A1091">
        <v>1090</v>
      </c>
      <c r="B1091" s="1">
        <v>42757</v>
      </c>
      <c r="C1091" s="9" t="s">
        <v>1951</v>
      </c>
      <c r="D1091" s="9" t="s">
        <v>4988</v>
      </c>
      <c r="E1091" s="9" t="s">
        <v>1952</v>
      </c>
      <c r="F1091" s="9" t="s">
        <v>27</v>
      </c>
      <c r="G1091" s="9" t="s">
        <v>1953</v>
      </c>
      <c r="H1091" s="9" t="s">
        <v>86</v>
      </c>
      <c r="I1091" s="11">
        <v>50000</v>
      </c>
      <c r="J1091" s="11">
        <v>2524452</v>
      </c>
      <c r="K1091" s="11">
        <v>1204522</v>
      </c>
      <c r="L1091" s="3">
        <v>276</v>
      </c>
      <c r="M1091" s="3">
        <v>3141</v>
      </c>
      <c r="N1091" s="3">
        <v>1857651</v>
      </c>
      <c r="O1091" s="2">
        <v>0.18</v>
      </c>
      <c r="P1091" s="2">
        <v>1.094E-2</v>
      </c>
      <c r="Q1091" s="2">
        <v>0.51600000000000001</v>
      </c>
      <c r="R1091" s="11">
        <v>47311085</v>
      </c>
      <c r="S1091" s="11">
        <v>1989509</v>
      </c>
      <c r="T1091">
        <v>2017</v>
      </c>
      <c r="U1091">
        <v>1</v>
      </c>
      <c r="V1091">
        <f t="shared" si="102"/>
        <v>600000</v>
      </c>
      <c r="W1091">
        <f t="shared" si="103"/>
        <v>18429897</v>
      </c>
      <c r="X1091">
        <f t="shared" si="104"/>
        <v>17829897</v>
      </c>
      <c r="Y1091">
        <f t="shared" si="105"/>
        <v>-26144845.5</v>
      </c>
      <c r="Z1091">
        <f t="shared" si="106"/>
        <v>45174742.5</v>
      </c>
      <c r="AA1091" t="str">
        <f t="shared" si="107"/>
        <v>Normal</v>
      </c>
      <c r="AE1091" s="2"/>
      <c r="AF1091" s="2"/>
    </row>
    <row r="1092" spans="1:32" x14ac:dyDescent="0.35">
      <c r="A1092">
        <v>1091</v>
      </c>
      <c r="B1092" s="1">
        <v>42758</v>
      </c>
      <c r="C1092" s="9" t="s">
        <v>1954</v>
      </c>
      <c r="D1092" s="9" t="s">
        <v>4930</v>
      </c>
      <c r="E1092" s="9" t="s">
        <v>6564</v>
      </c>
      <c r="F1092" s="9" t="s">
        <v>41</v>
      </c>
      <c r="G1092" s="9" t="s">
        <v>1955</v>
      </c>
      <c r="H1092" s="9" t="s">
        <v>86</v>
      </c>
      <c r="I1092" s="11">
        <v>18429897</v>
      </c>
      <c r="J1092" s="11">
        <v>2252263</v>
      </c>
      <c r="K1092" s="11">
        <v>2475316</v>
      </c>
      <c r="L1092" s="3">
        <v>203</v>
      </c>
      <c r="M1092" s="3">
        <v>2506</v>
      </c>
      <c r="N1092" s="3">
        <v>1778482</v>
      </c>
      <c r="O1092" s="2">
        <v>0.14699999999999999</v>
      </c>
      <c r="P1092" s="2">
        <v>0.55200000000000005</v>
      </c>
      <c r="Q1092" s="2">
        <v>-1.9E-2</v>
      </c>
      <c r="R1092" s="11">
        <v>221585676</v>
      </c>
      <c r="S1092" s="11">
        <v>323796</v>
      </c>
      <c r="T1092">
        <v>2017</v>
      </c>
      <c r="U1092">
        <v>1</v>
      </c>
      <c r="V1092">
        <f t="shared" si="102"/>
        <v>600000</v>
      </c>
      <c r="W1092">
        <f t="shared" si="103"/>
        <v>18429897</v>
      </c>
      <c r="X1092">
        <f t="shared" si="104"/>
        <v>17829897</v>
      </c>
      <c r="Y1092">
        <f t="shared" si="105"/>
        <v>-26144845.5</v>
      </c>
      <c r="Z1092">
        <f t="shared" si="106"/>
        <v>45174742.5</v>
      </c>
      <c r="AA1092" t="str">
        <f t="shared" si="107"/>
        <v>Normal</v>
      </c>
      <c r="AE1092" s="2"/>
      <c r="AF1092" s="2"/>
    </row>
    <row r="1093" spans="1:32" x14ac:dyDescent="0.35">
      <c r="A1093">
        <v>1092</v>
      </c>
      <c r="B1093" s="1">
        <v>42758</v>
      </c>
      <c r="C1093" s="9" t="s">
        <v>1956</v>
      </c>
      <c r="D1093" s="9" t="s">
        <v>4930</v>
      </c>
      <c r="E1093" s="9" t="s">
        <v>6565</v>
      </c>
      <c r="F1093" s="9" t="s">
        <v>27</v>
      </c>
      <c r="G1093" s="9" t="s">
        <v>1957</v>
      </c>
      <c r="H1093" s="9" t="s">
        <v>86</v>
      </c>
      <c r="I1093" s="11">
        <v>18429897</v>
      </c>
      <c r="J1093" s="11">
        <v>4217877</v>
      </c>
      <c r="K1093" s="11">
        <v>6848230</v>
      </c>
      <c r="L1093" s="3">
        <v>328</v>
      </c>
      <c r="M1093" s="3">
        <v>2505.5</v>
      </c>
      <c r="N1093" s="3">
        <v>921045</v>
      </c>
      <c r="O1093" s="2">
        <v>0.34899999999999998</v>
      </c>
      <c r="P1093" s="2">
        <v>0.48599999999999999</v>
      </c>
      <c r="Q1093" s="2">
        <v>-0.57600000000000007</v>
      </c>
      <c r="R1093" s="11">
        <v>420382442</v>
      </c>
      <c r="S1093" s="11">
        <v>196559</v>
      </c>
      <c r="T1093">
        <v>2017</v>
      </c>
      <c r="U1093">
        <v>1</v>
      </c>
      <c r="V1093">
        <f t="shared" si="102"/>
        <v>600000</v>
      </c>
      <c r="W1093">
        <f t="shared" si="103"/>
        <v>18429897</v>
      </c>
      <c r="X1093">
        <f t="shared" si="104"/>
        <v>17829897</v>
      </c>
      <c r="Y1093">
        <f t="shared" si="105"/>
        <v>-26144845.5</v>
      </c>
      <c r="Z1093">
        <f t="shared" si="106"/>
        <v>45174742.5</v>
      </c>
      <c r="AA1093" t="str">
        <f t="shared" si="107"/>
        <v>Normal</v>
      </c>
      <c r="AE1093" s="2"/>
      <c r="AF1093" s="2"/>
    </row>
    <row r="1094" spans="1:32" x14ac:dyDescent="0.35">
      <c r="A1094">
        <v>1093</v>
      </c>
      <c r="B1094" s="1">
        <v>42758</v>
      </c>
      <c r="C1094" s="9" t="s">
        <v>1958</v>
      </c>
      <c r="D1094" s="9" t="s">
        <v>4930</v>
      </c>
      <c r="E1094" s="9" t="s">
        <v>6566</v>
      </c>
      <c r="F1094" s="9" t="s">
        <v>27</v>
      </c>
      <c r="G1094" s="9" t="s">
        <v>1959</v>
      </c>
      <c r="H1094" s="9" t="s">
        <v>105</v>
      </c>
      <c r="I1094" s="11">
        <v>15000000</v>
      </c>
      <c r="J1094" s="11">
        <v>1975012</v>
      </c>
      <c r="K1094" s="11">
        <v>6920408</v>
      </c>
      <c r="L1094" s="3">
        <v>329</v>
      </c>
      <c r="M1094" s="3">
        <v>1718</v>
      </c>
      <c r="N1094" s="3">
        <v>1550987</v>
      </c>
      <c r="O1094" s="2">
        <v>0.19900000000000001</v>
      </c>
      <c r="P1094" s="2">
        <v>1.1140000000000001E-2</v>
      </c>
      <c r="Q1094" s="2">
        <v>-0.17300000000000001</v>
      </c>
      <c r="R1094" s="11">
        <v>192601230</v>
      </c>
      <c r="S1094" s="11">
        <v>1637918</v>
      </c>
      <c r="T1094">
        <v>2017</v>
      </c>
      <c r="U1094">
        <v>1</v>
      </c>
      <c r="V1094">
        <f t="shared" si="102"/>
        <v>600000</v>
      </c>
      <c r="W1094">
        <f t="shared" si="103"/>
        <v>18429897</v>
      </c>
      <c r="X1094">
        <f t="shared" si="104"/>
        <v>17829897</v>
      </c>
      <c r="Y1094">
        <f t="shared" si="105"/>
        <v>-26144845.5</v>
      </c>
      <c r="Z1094">
        <f t="shared" si="106"/>
        <v>45174742.5</v>
      </c>
      <c r="AA1094" t="str">
        <f t="shared" si="107"/>
        <v>Normal</v>
      </c>
      <c r="AE1094" s="2"/>
      <c r="AF1094" s="2"/>
    </row>
    <row r="1095" spans="1:32" x14ac:dyDescent="0.35">
      <c r="A1095">
        <v>1094</v>
      </c>
      <c r="B1095" s="1">
        <v>42758</v>
      </c>
      <c r="C1095" s="9" t="s">
        <v>1960</v>
      </c>
      <c r="D1095" s="9" t="s">
        <v>4930</v>
      </c>
      <c r="E1095" s="9" t="s">
        <v>5512</v>
      </c>
      <c r="F1095" s="9" t="s">
        <v>15</v>
      </c>
      <c r="G1095" s="9" t="s">
        <v>1961</v>
      </c>
      <c r="H1095" s="9" t="s">
        <v>86</v>
      </c>
      <c r="I1095" s="11">
        <v>18429897</v>
      </c>
      <c r="J1095" s="11">
        <v>1656391</v>
      </c>
      <c r="K1095" s="11">
        <v>2792980</v>
      </c>
      <c r="L1095" s="3">
        <v>298</v>
      </c>
      <c r="M1095" s="3">
        <v>3858</v>
      </c>
      <c r="N1095" s="3">
        <v>90193</v>
      </c>
      <c r="O1095" s="2">
        <v>-0.157</v>
      </c>
      <c r="P1095" s="2">
        <v>0.52200000000000002</v>
      </c>
      <c r="Q1095" s="2">
        <v>0.36749999999999999</v>
      </c>
      <c r="R1095" s="11">
        <v>171211553</v>
      </c>
      <c r="S1095" s="11">
        <v>1105946</v>
      </c>
      <c r="T1095">
        <v>2017</v>
      </c>
      <c r="U1095">
        <v>1</v>
      </c>
      <c r="V1095">
        <f t="shared" si="102"/>
        <v>600000</v>
      </c>
      <c r="W1095">
        <f t="shared" si="103"/>
        <v>18429897</v>
      </c>
      <c r="X1095">
        <f t="shared" si="104"/>
        <v>17829897</v>
      </c>
      <c r="Y1095">
        <f t="shared" si="105"/>
        <v>-26144845.5</v>
      </c>
      <c r="Z1095">
        <f t="shared" si="106"/>
        <v>45174742.5</v>
      </c>
      <c r="AA1095" t="str">
        <f t="shared" si="107"/>
        <v>Normal</v>
      </c>
      <c r="AE1095" s="2"/>
      <c r="AF1095" s="2"/>
    </row>
    <row r="1096" spans="1:32" x14ac:dyDescent="0.35">
      <c r="A1096">
        <v>1095</v>
      </c>
      <c r="B1096" s="1">
        <v>42759</v>
      </c>
      <c r="C1096" s="9" t="s">
        <v>1962</v>
      </c>
      <c r="D1096" s="9" t="s">
        <v>4988</v>
      </c>
      <c r="E1096" s="9" t="s">
        <v>6567</v>
      </c>
      <c r="F1096" s="9" t="s">
        <v>31</v>
      </c>
      <c r="G1096" s="9" t="s">
        <v>1961</v>
      </c>
      <c r="H1096" s="9" t="s">
        <v>86</v>
      </c>
      <c r="I1096" s="11">
        <v>18429897</v>
      </c>
      <c r="J1096" s="11">
        <v>418645</v>
      </c>
      <c r="K1096" s="11">
        <v>9933469</v>
      </c>
      <c r="L1096" s="3">
        <v>446</v>
      </c>
      <c r="M1096" s="3">
        <v>1744</v>
      </c>
      <c r="N1096" s="3">
        <v>1847640</v>
      </c>
      <c r="O1096" s="2">
        <v>0.53800000000000003</v>
      </c>
      <c r="P1096" s="2">
        <v>0.32200000000000001</v>
      </c>
      <c r="Q1096" s="2">
        <v>0.51200000000000001</v>
      </c>
      <c r="R1096" s="11">
        <v>331875627</v>
      </c>
      <c r="S1096" s="11">
        <v>838040</v>
      </c>
      <c r="T1096">
        <v>2017</v>
      </c>
      <c r="U1096">
        <v>1</v>
      </c>
      <c r="V1096">
        <f t="shared" si="102"/>
        <v>600000</v>
      </c>
      <c r="W1096">
        <f t="shared" si="103"/>
        <v>18429897</v>
      </c>
      <c r="X1096">
        <f t="shared" si="104"/>
        <v>17829897</v>
      </c>
      <c r="Y1096">
        <f t="shared" si="105"/>
        <v>-26144845.5</v>
      </c>
      <c r="Z1096">
        <f t="shared" si="106"/>
        <v>45174742.5</v>
      </c>
      <c r="AA1096" t="str">
        <f t="shared" si="107"/>
        <v>Normal</v>
      </c>
      <c r="AE1096" s="2"/>
      <c r="AF1096" s="2"/>
    </row>
    <row r="1097" spans="1:32" x14ac:dyDescent="0.35">
      <c r="A1097">
        <v>1096</v>
      </c>
      <c r="B1097" s="1">
        <v>42759</v>
      </c>
      <c r="C1097" s="9" t="s">
        <v>1963</v>
      </c>
      <c r="D1097" s="9" t="s">
        <v>4988</v>
      </c>
      <c r="E1097" s="9" t="s">
        <v>6568</v>
      </c>
      <c r="F1097" s="9" t="s">
        <v>15</v>
      </c>
      <c r="G1097" s="9" t="s">
        <v>1964</v>
      </c>
      <c r="H1097" s="9" t="s">
        <v>105</v>
      </c>
      <c r="I1097" s="11">
        <v>500000</v>
      </c>
      <c r="J1097" s="11">
        <v>4180573</v>
      </c>
      <c r="K1097" s="11">
        <v>9634788</v>
      </c>
      <c r="L1097" s="3">
        <v>102</v>
      </c>
      <c r="M1097" s="3">
        <v>2405</v>
      </c>
      <c r="N1097" s="3">
        <v>443942</v>
      </c>
      <c r="O1097" s="2">
        <v>0.28699999999999998</v>
      </c>
      <c r="P1097" s="2">
        <v>0.81900000000000006</v>
      </c>
      <c r="Q1097" s="2">
        <v>3.0000000000000001E-3</v>
      </c>
      <c r="R1097" s="11">
        <v>49151648</v>
      </c>
      <c r="S1097" s="11">
        <v>899116</v>
      </c>
      <c r="T1097">
        <v>2017</v>
      </c>
      <c r="U1097">
        <v>1</v>
      </c>
      <c r="V1097">
        <f t="shared" si="102"/>
        <v>600000</v>
      </c>
      <c r="W1097">
        <f t="shared" si="103"/>
        <v>18429897</v>
      </c>
      <c r="X1097">
        <f t="shared" si="104"/>
        <v>17829897</v>
      </c>
      <c r="Y1097">
        <f t="shared" si="105"/>
        <v>-26144845.5</v>
      </c>
      <c r="Z1097">
        <f t="shared" si="106"/>
        <v>45174742.5</v>
      </c>
      <c r="AA1097" t="str">
        <f t="shared" si="107"/>
        <v>Normal</v>
      </c>
      <c r="AE1097" s="2"/>
      <c r="AF1097" s="2"/>
    </row>
    <row r="1098" spans="1:32" x14ac:dyDescent="0.35">
      <c r="A1098">
        <v>1097</v>
      </c>
      <c r="B1098" s="1">
        <v>42759</v>
      </c>
      <c r="C1098" s="9" t="s">
        <v>1965</v>
      </c>
      <c r="D1098" s="9" t="s">
        <v>4988</v>
      </c>
      <c r="E1098" s="9" t="s">
        <v>6569</v>
      </c>
      <c r="F1098" s="9" t="s">
        <v>124</v>
      </c>
      <c r="G1098" s="9" t="s">
        <v>1966</v>
      </c>
      <c r="H1098" s="9" t="s">
        <v>105</v>
      </c>
      <c r="I1098" s="11">
        <v>10000000</v>
      </c>
      <c r="J1098" s="11">
        <v>3781544</v>
      </c>
      <c r="K1098" s="11">
        <v>4066227</v>
      </c>
      <c r="L1098" s="3">
        <v>264</v>
      </c>
      <c r="M1098" s="3">
        <v>388</v>
      </c>
      <c r="N1098" s="3">
        <v>1922320</v>
      </c>
      <c r="O1098" s="2">
        <v>1</v>
      </c>
      <c r="P1098" s="2">
        <v>0.48200000000000004</v>
      </c>
      <c r="Q1098" s="2">
        <v>0.48700000000000004</v>
      </c>
      <c r="R1098" s="11">
        <v>107287824</v>
      </c>
      <c r="S1098" s="11">
        <v>1366074</v>
      </c>
      <c r="T1098">
        <v>2017</v>
      </c>
      <c r="U1098">
        <v>1</v>
      </c>
      <c r="V1098">
        <f t="shared" si="102"/>
        <v>600000</v>
      </c>
      <c r="W1098">
        <f t="shared" si="103"/>
        <v>18429897</v>
      </c>
      <c r="X1098">
        <f t="shared" si="104"/>
        <v>17829897</v>
      </c>
      <c r="Y1098">
        <f t="shared" si="105"/>
        <v>-26144845.5</v>
      </c>
      <c r="Z1098">
        <f t="shared" si="106"/>
        <v>45174742.5</v>
      </c>
      <c r="AA1098" t="str">
        <f t="shared" si="107"/>
        <v>Normal</v>
      </c>
      <c r="AE1098" s="2"/>
      <c r="AF1098" s="2"/>
    </row>
    <row r="1099" spans="1:32" x14ac:dyDescent="0.35">
      <c r="A1099">
        <v>1098</v>
      </c>
      <c r="B1099" s="1">
        <v>42759</v>
      </c>
      <c r="C1099" s="9" t="s">
        <v>1967</v>
      </c>
      <c r="D1099" s="9" t="s">
        <v>4988</v>
      </c>
      <c r="E1099" s="9" t="s">
        <v>6570</v>
      </c>
      <c r="F1099" s="9" t="s">
        <v>15</v>
      </c>
      <c r="G1099" s="9" t="s">
        <v>1968</v>
      </c>
      <c r="H1099" s="9" t="s">
        <v>105</v>
      </c>
      <c r="I1099" s="11">
        <v>4000000</v>
      </c>
      <c r="J1099" s="11">
        <v>225313</v>
      </c>
      <c r="K1099" s="11">
        <v>4721698</v>
      </c>
      <c r="L1099" s="3">
        <v>200</v>
      </c>
      <c r="M1099" s="3">
        <v>4506</v>
      </c>
      <c r="N1099" s="3">
        <v>32843</v>
      </c>
      <c r="O1099" s="2">
        <v>-0.107</v>
      </c>
      <c r="P1099" s="2">
        <v>0.72</v>
      </c>
      <c r="Q1099" s="2">
        <v>-0.48099999999999998</v>
      </c>
      <c r="R1099" s="11">
        <v>97564046</v>
      </c>
      <c r="S1099" s="11">
        <v>1991106</v>
      </c>
      <c r="T1099">
        <v>2017</v>
      </c>
      <c r="U1099">
        <v>1</v>
      </c>
      <c r="V1099">
        <f t="shared" si="102"/>
        <v>600000</v>
      </c>
      <c r="W1099">
        <f t="shared" si="103"/>
        <v>18429897</v>
      </c>
      <c r="X1099">
        <f t="shared" si="104"/>
        <v>17829897</v>
      </c>
      <c r="Y1099">
        <f t="shared" si="105"/>
        <v>-26144845.5</v>
      </c>
      <c r="Z1099">
        <f t="shared" si="106"/>
        <v>45174742.5</v>
      </c>
      <c r="AA1099" t="str">
        <f t="shared" si="107"/>
        <v>Normal</v>
      </c>
      <c r="AE1099" s="2"/>
      <c r="AF1099" s="2"/>
    </row>
    <row r="1100" spans="1:32" x14ac:dyDescent="0.35">
      <c r="A1100">
        <v>1099</v>
      </c>
      <c r="B1100" s="1">
        <v>42759</v>
      </c>
      <c r="C1100" s="9" t="s">
        <v>1969</v>
      </c>
      <c r="D1100" s="9" t="s">
        <v>4930</v>
      </c>
      <c r="E1100" s="9" t="s">
        <v>6571</v>
      </c>
      <c r="F1100" s="9" t="s">
        <v>63</v>
      </c>
      <c r="G1100" s="9" t="s">
        <v>1970</v>
      </c>
      <c r="H1100" s="9" t="s">
        <v>105</v>
      </c>
      <c r="I1100" s="11">
        <v>18429897</v>
      </c>
      <c r="J1100" s="11">
        <v>2180219</v>
      </c>
      <c r="K1100" s="11">
        <v>13322044</v>
      </c>
      <c r="L1100" s="3">
        <v>268</v>
      </c>
      <c r="M1100" s="3">
        <v>3449</v>
      </c>
      <c r="N1100" s="3">
        <v>1850379</v>
      </c>
      <c r="O1100" s="2">
        <v>0.31</v>
      </c>
      <c r="P1100" s="2">
        <v>0.96799999999999997</v>
      </c>
      <c r="Q1100" s="2">
        <v>-2.5999999999999999E-2</v>
      </c>
      <c r="R1100" s="11">
        <v>453764821</v>
      </c>
      <c r="S1100" s="11">
        <v>1356734</v>
      </c>
      <c r="T1100">
        <v>2017</v>
      </c>
      <c r="U1100">
        <v>1</v>
      </c>
      <c r="V1100">
        <f t="shared" si="102"/>
        <v>600000</v>
      </c>
      <c r="W1100">
        <f t="shared" si="103"/>
        <v>18429897</v>
      </c>
      <c r="X1100">
        <f t="shared" si="104"/>
        <v>17829897</v>
      </c>
      <c r="Y1100">
        <f t="shared" si="105"/>
        <v>-26144845.5</v>
      </c>
      <c r="Z1100">
        <f t="shared" si="106"/>
        <v>45174742.5</v>
      </c>
      <c r="AA1100" t="str">
        <f t="shared" si="107"/>
        <v>Normal</v>
      </c>
      <c r="AE1100" s="2"/>
      <c r="AF1100" s="2"/>
    </row>
    <row r="1101" spans="1:32" x14ac:dyDescent="0.35">
      <c r="A1101">
        <v>1100</v>
      </c>
      <c r="B1101" s="1">
        <v>42760</v>
      </c>
      <c r="C1101" s="9" t="s">
        <v>1971</v>
      </c>
      <c r="D1101" s="9" t="s">
        <v>4988</v>
      </c>
      <c r="E1101" s="9" t="s">
        <v>6572</v>
      </c>
      <c r="F1101" s="9" t="s">
        <v>31</v>
      </c>
      <c r="G1101" s="9" t="s">
        <v>4845</v>
      </c>
      <c r="H1101" s="9" t="s">
        <v>86</v>
      </c>
      <c r="I1101" s="11">
        <v>18429897</v>
      </c>
      <c r="J1101" s="11">
        <v>2408996</v>
      </c>
      <c r="K1101" s="11">
        <v>19046240</v>
      </c>
      <c r="L1101" s="3">
        <v>74</v>
      </c>
      <c r="M1101" s="3">
        <v>1285</v>
      </c>
      <c r="N1101" s="3">
        <v>1053642</v>
      </c>
      <c r="O1101" s="2">
        <v>-8.4000000000000005E-2</v>
      </c>
      <c r="P1101" s="2">
        <v>0.7659999999999999</v>
      </c>
      <c r="Q1101" s="2">
        <v>0.35899999999999999</v>
      </c>
      <c r="R1101" s="11">
        <v>120014339</v>
      </c>
      <c r="S1101" s="11">
        <v>1143732</v>
      </c>
      <c r="T1101">
        <v>2017</v>
      </c>
      <c r="U1101">
        <v>1</v>
      </c>
      <c r="V1101">
        <f t="shared" si="102"/>
        <v>600000</v>
      </c>
      <c r="W1101">
        <f t="shared" si="103"/>
        <v>18429897</v>
      </c>
      <c r="X1101">
        <f t="shared" si="104"/>
        <v>17829897</v>
      </c>
      <c r="Y1101">
        <f t="shared" si="105"/>
        <v>-26144845.5</v>
      </c>
      <c r="Z1101">
        <f t="shared" si="106"/>
        <v>45174742.5</v>
      </c>
      <c r="AA1101" t="str">
        <f t="shared" si="107"/>
        <v>Normal</v>
      </c>
      <c r="AE1101" s="2"/>
      <c r="AF1101" s="2"/>
    </row>
    <row r="1102" spans="1:32" x14ac:dyDescent="0.35">
      <c r="A1102">
        <v>1101</v>
      </c>
      <c r="B1102" s="1">
        <v>42760</v>
      </c>
      <c r="C1102" s="9" t="s">
        <v>1972</v>
      </c>
      <c r="D1102" s="9" t="s">
        <v>4930</v>
      </c>
      <c r="E1102" s="9" t="s">
        <v>6573</v>
      </c>
      <c r="F1102" s="9" t="s">
        <v>41</v>
      </c>
      <c r="G1102" s="9" t="s">
        <v>1973</v>
      </c>
      <c r="H1102" s="9" t="s">
        <v>105</v>
      </c>
      <c r="I1102" s="11">
        <v>4000000</v>
      </c>
      <c r="J1102" s="11">
        <v>2357248</v>
      </c>
      <c r="K1102" s="11">
        <v>19930317</v>
      </c>
      <c r="L1102" s="3">
        <v>163</v>
      </c>
      <c r="M1102" s="3">
        <v>272</v>
      </c>
      <c r="N1102" s="3">
        <v>1026306</v>
      </c>
      <c r="O1102" s="2">
        <v>0.28000000000000003</v>
      </c>
      <c r="P1102" s="2">
        <v>1.0090000000000001</v>
      </c>
      <c r="Q1102" s="2">
        <v>0.33600000000000002</v>
      </c>
      <c r="R1102" s="11">
        <v>33855460</v>
      </c>
      <c r="S1102" s="11">
        <v>434116</v>
      </c>
      <c r="T1102">
        <v>2017</v>
      </c>
      <c r="U1102">
        <v>1</v>
      </c>
      <c r="V1102">
        <f t="shared" si="102"/>
        <v>600000</v>
      </c>
      <c r="W1102">
        <f t="shared" si="103"/>
        <v>18429897</v>
      </c>
      <c r="X1102">
        <f t="shared" si="104"/>
        <v>17829897</v>
      </c>
      <c r="Y1102">
        <f t="shared" si="105"/>
        <v>-26144845.5</v>
      </c>
      <c r="Z1102">
        <f t="shared" si="106"/>
        <v>45174742.5</v>
      </c>
      <c r="AA1102" t="str">
        <f t="shared" si="107"/>
        <v>Normal</v>
      </c>
      <c r="AE1102" s="2"/>
      <c r="AF1102" s="2"/>
    </row>
    <row r="1103" spans="1:32" x14ac:dyDescent="0.35">
      <c r="A1103">
        <v>1102</v>
      </c>
      <c r="B1103" s="1">
        <v>42760</v>
      </c>
      <c r="C1103" s="9" t="s">
        <v>1974</v>
      </c>
      <c r="D1103" s="9" t="s">
        <v>4930</v>
      </c>
      <c r="E1103" s="9" t="s">
        <v>6574</v>
      </c>
      <c r="F1103" s="9" t="s">
        <v>27</v>
      </c>
      <c r="G1103" s="9" t="s">
        <v>1975</v>
      </c>
      <c r="H1103" s="9" t="s">
        <v>105</v>
      </c>
      <c r="I1103" s="11">
        <v>18429897</v>
      </c>
      <c r="J1103" s="11">
        <v>4596277</v>
      </c>
      <c r="K1103" s="11">
        <v>11230494</v>
      </c>
      <c r="L1103" s="3">
        <v>470</v>
      </c>
      <c r="M1103" s="3">
        <v>4267</v>
      </c>
      <c r="N1103" s="3">
        <v>1353157</v>
      </c>
      <c r="O1103" s="2">
        <v>0.33399999999999996</v>
      </c>
      <c r="P1103" s="2">
        <v>0.54500000000000004</v>
      </c>
      <c r="Q1103" s="2">
        <v>-0.38900000000000001</v>
      </c>
      <c r="R1103" s="11">
        <v>262215082</v>
      </c>
      <c r="S1103" s="11">
        <v>685565</v>
      </c>
      <c r="T1103">
        <v>2017</v>
      </c>
      <c r="U1103">
        <v>1</v>
      </c>
      <c r="V1103">
        <f t="shared" si="102"/>
        <v>600000</v>
      </c>
      <c r="W1103">
        <f t="shared" si="103"/>
        <v>18429897</v>
      </c>
      <c r="X1103">
        <f t="shared" si="104"/>
        <v>17829897</v>
      </c>
      <c r="Y1103">
        <f t="shared" si="105"/>
        <v>-26144845.5</v>
      </c>
      <c r="Z1103">
        <f t="shared" si="106"/>
        <v>45174742.5</v>
      </c>
      <c r="AA1103" t="str">
        <f t="shared" si="107"/>
        <v>Normal</v>
      </c>
      <c r="AE1103" s="2"/>
      <c r="AF1103" s="2"/>
    </row>
    <row r="1104" spans="1:32" x14ac:dyDescent="0.35">
      <c r="A1104">
        <v>1103</v>
      </c>
      <c r="B1104" s="1">
        <v>42760</v>
      </c>
      <c r="C1104" s="9" t="s">
        <v>1976</v>
      </c>
      <c r="D1104" s="9" t="s">
        <v>4930</v>
      </c>
      <c r="E1104" s="9" t="s">
        <v>6575</v>
      </c>
      <c r="F1104" s="9" t="s">
        <v>15</v>
      </c>
      <c r="G1104" s="9" t="s">
        <v>1977</v>
      </c>
      <c r="H1104" s="9" t="s">
        <v>105</v>
      </c>
      <c r="I1104" s="11">
        <v>2200000</v>
      </c>
      <c r="J1104" s="11">
        <v>770351</v>
      </c>
      <c r="K1104" s="11">
        <v>866112</v>
      </c>
      <c r="L1104" s="3">
        <v>401</v>
      </c>
      <c r="M1104" s="3">
        <v>57</v>
      </c>
      <c r="N1104" s="3">
        <v>927407</v>
      </c>
      <c r="O1104" s="2">
        <v>-1</v>
      </c>
      <c r="P1104" s="2">
        <v>0.36899999999999999</v>
      </c>
      <c r="Q1104" s="2">
        <v>-0.11</v>
      </c>
      <c r="R1104" s="11">
        <v>448752855</v>
      </c>
      <c r="S1104" s="11">
        <v>592236</v>
      </c>
      <c r="T1104">
        <v>2017</v>
      </c>
      <c r="U1104">
        <v>1</v>
      </c>
      <c r="V1104">
        <f t="shared" si="102"/>
        <v>600000</v>
      </c>
      <c r="W1104">
        <f t="shared" si="103"/>
        <v>18429897</v>
      </c>
      <c r="X1104">
        <f t="shared" si="104"/>
        <v>17829897</v>
      </c>
      <c r="Y1104">
        <f t="shared" si="105"/>
        <v>-26144845.5</v>
      </c>
      <c r="Z1104">
        <f t="shared" si="106"/>
        <v>45174742.5</v>
      </c>
      <c r="AA1104" t="str">
        <f t="shared" si="107"/>
        <v>Normal</v>
      </c>
      <c r="AE1104" s="2"/>
      <c r="AF1104" s="2"/>
    </row>
    <row r="1105" spans="1:32" x14ac:dyDescent="0.35">
      <c r="A1105">
        <v>1104</v>
      </c>
      <c r="B1105" s="1">
        <v>42760</v>
      </c>
      <c r="C1105" s="9" t="s">
        <v>762</v>
      </c>
      <c r="D1105" s="9" t="s">
        <v>4925</v>
      </c>
      <c r="E1105" s="9" t="s">
        <v>6443</v>
      </c>
      <c r="F1105" s="9" t="s">
        <v>408</v>
      </c>
      <c r="G1105" s="9" t="s">
        <v>1698</v>
      </c>
      <c r="H1105" s="9" t="s">
        <v>105</v>
      </c>
      <c r="I1105" s="11">
        <v>8800000</v>
      </c>
      <c r="J1105" s="11">
        <v>1545595</v>
      </c>
      <c r="K1105" s="11">
        <v>17964841</v>
      </c>
      <c r="L1105" s="3">
        <v>215</v>
      </c>
      <c r="M1105" s="3">
        <v>2435</v>
      </c>
      <c r="N1105" s="3">
        <v>1901695</v>
      </c>
      <c r="O1105" s="2">
        <v>-2.8000000000000001E-2</v>
      </c>
      <c r="P1105" s="2">
        <v>0.59499999999999997</v>
      </c>
      <c r="Q1105" s="2">
        <v>6.5000000000000002E-2</v>
      </c>
      <c r="R1105" s="11">
        <v>33102405</v>
      </c>
      <c r="S1105" s="11">
        <v>1466760</v>
      </c>
      <c r="T1105">
        <v>2017</v>
      </c>
      <c r="U1105">
        <v>1</v>
      </c>
      <c r="V1105">
        <f t="shared" si="102"/>
        <v>600000</v>
      </c>
      <c r="W1105">
        <f t="shared" si="103"/>
        <v>18429897</v>
      </c>
      <c r="X1105">
        <f t="shared" si="104"/>
        <v>17829897</v>
      </c>
      <c r="Y1105">
        <f t="shared" si="105"/>
        <v>-26144845.5</v>
      </c>
      <c r="Z1105">
        <f t="shared" si="106"/>
        <v>45174742.5</v>
      </c>
      <c r="AA1105" t="str">
        <f t="shared" si="107"/>
        <v>Normal</v>
      </c>
      <c r="AE1105" s="2"/>
      <c r="AF1105" s="2"/>
    </row>
    <row r="1106" spans="1:32" x14ac:dyDescent="0.35">
      <c r="A1106">
        <v>1105</v>
      </c>
      <c r="B1106" s="1">
        <v>42737</v>
      </c>
      <c r="C1106" s="9" t="s">
        <v>1978</v>
      </c>
      <c r="D1106" s="9" t="s">
        <v>4930</v>
      </c>
      <c r="E1106" s="9" t="s">
        <v>6576</v>
      </c>
      <c r="F1106" s="9" t="s">
        <v>1979</v>
      </c>
      <c r="G1106" s="9" t="s">
        <v>85</v>
      </c>
      <c r="H1106" s="9" t="s">
        <v>86</v>
      </c>
      <c r="I1106" s="11">
        <v>18429897</v>
      </c>
      <c r="J1106" s="11">
        <v>921014</v>
      </c>
      <c r="K1106" s="11">
        <v>19015377</v>
      </c>
      <c r="L1106" s="3">
        <v>59</v>
      </c>
      <c r="M1106" s="3">
        <v>203</v>
      </c>
      <c r="N1106" s="3">
        <v>210501</v>
      </c>
      <c r="O1106" s="2">
        <v>2.6000000000000002E-2</v>
      </c>
      <c r="P1106" s="2">
        <v>0.61199999999999999</v>
      </c>
      <c r="Q1106" s="2">
        <v>-6.6000000000000003E-2</v>
      </c>
      <c r="R1106" s="11">
        <v>270867604</v>
      </c>
      <c r="S1106" s="11">
        <v>1442144</v>
      </c>
      <c r="T1106">
        <v>2017</v>
      </c>
      <c r="U1106">
        <v>1</v>
      </c>
      <c r="V1106">
        <f t="shared" si="102"/>
        <v>600000</v>
      </c>
      <c r="W1106">
        <f t="shared" si="103"/>
        <v>18429897</v>
      </c>
      <c r="X1106">
        <f t="shared" si="104"/>
        <v>17829897</v>
      </c>
      <c r="Y1106">
        <f t="shared" si="105"/>
        <v>-26144845.5</v>
      </c>
      <c r="Z1106">
        <f t="shared" si="106"/>
        <v>45174742.5</v>
      </c>
      <c r="AA1106" t="str">
        <f t="shared" si="107"/>
        <v>Normal</v>
      </c>
      <c r="AE1106" s="2"/>
      <c r="AF1106" s="2"/>
    </row>
    <row r="1107" spans="1:32" x14ac:dyDescent="0.35">
      <c r="A1107">
        <v>1106</v>
      </c>
      <c r="B1107" s="1">
        <v>42761</v>
      </c>
      <c r="C1107" s="9" t="s">
        <v>1980</v>
      </c>
      <c r="D1107" s="9" t="s">
        <v>4988</v>
      </c>
      <c r="E1107" s="9" t="s">
        <v>6577</v>
      </c>
      <c r="F1107" s="9" t="s">
        <v>408</v>
      </c>
      <c r="G1107" s="9" t="s">
        <v>522</v>
      </c>
      <c r="H1107" s="9" t="s">
        <v>105</v>
      </c>
      <c r="I1107" s="11">
        <v>1400000</v>
      </c>
      <c r="J1107" s="11">
        <v>1235541</v>
      </c>
      <c r="K1107" s="11">
        <v>5633363</v>
      </c>
      <c r="L1107" s="3">
        <v>326</v>
      </c>
      <c r="M1107" s="3">
        <v>3482</v>
      </c>
      <c r="N1107" s="3">
        <v>1312392</v>
      </c>
      <c r="O1107" s="2">
        <v>-7.8E-2</v>
      </c>
      <c r="P1107" s="2">
        <v>0.91599999999999993</v>
      </c>
      <c r="Q1107" s="2">
        <v>0.39200000000000002</v>
      </c>
      <c r="R1107" s="11">
        <v>489523639</v>
      </c>
      <c r="S1107" s="11">
        <v>85395</v>
      </c>
      <c r="T1107">
        <v>2017</v>
      </c>
      <c r="U1107">
        <v>1</v>
      </c>
      <c r="V1107">
        <f t="shared" si="102"/>
        <v>600000</v>
      </c>
      <c r="W1107">
        <f t="shared" si="103"/>
        <v>18429897</v>
      </c>
      <c r="X1107">
        <f t="shared" si="104"/>
        <v>17829897</v>
      </c>
      <c r="Y1107">
        <f t="shared" si="105"/>
        <v>-26144845.5</v>
      </c>
      <c r="Z1107">
        <f t="shared" si="106"/>
        <v>45174742.5</v>
      </c>
      <c r="AA1107" t="str">
        <f t="shared" si="107"/>
        <v>Normal</v>
      </c>
      <c r="AE1107" s="2"/>
      <c r="AF1107" s="2"/>
    </row>
    <row r="1108" spans="1:32" x14ac:dyDescent="0.35">
      <c r="A1108">
        <v>1107</v>
      </c>
      <c r="B1108" s="1">
        <v>42761</v>
      </c>
      <c r="C1108" s="9" t="s">
        <v>1981</v>
      </c>
      <c r="D1108" s="9" t="s">
        <v>4988</v>
      </c>
      <c r="E1108" s="9" t="s">
        <v>6578</v>
      </c>
      <c r="F1108" s="9" t="s">
        <v>35</v>
      </c>
      <c r="G1108" s="9" t="s">
        <v>1982</v>
      </c>
      <c r="H1108" s="9" t="s">
        <v>86</v>
      </c>
      <c r="I1108" s="11">
        <v>300000</v>
      </c>
      <c r="J1108" s="11">
        <v>4537376</v>
      </c>
      <c r="K1108" s="11">
        <v>8067128</v>
      </c>
      <c r="L1108" s="3">
        <v>154</v>
      </c>
      <c r="M1108" s="3">
        <v>1057</v>
      </c>
      <c r="N1108" s="3">
        <v>432260</v>
      </c>
      <c r="O1108" s="2">
        <v>0.16600000000000001</v>
      </c>
      <c r="P1108" s="2">
        <v>0.88700000000000001</v>
      </c>
      <c r="Q1108" s="2">
        <v>0.10300000000000001</v>
      </c>
      <c r="R1108" s="11">
        <v>250264963</v>
      </c>
      <c r="S1108" s="11">
        <v>33679</v>
      </c>
      <c r="T1108">
        <v>2017</v>
      </c>
      <c r="U1108">
        <v>1</v>
      </c>
      <c r="V1108">
        <f t="shared" si="102"/>
        <v>600000</v>
      </c>
      <c r="W1108">
        <f t="shared" si="103"/>
        <v>18429897</v>
      </c>
      <c r="X1108">
        <f t="shared" si="104"/>
        <v>17829897</v>
      </c>
      <c r="Y1108">
        <f t="shared" si="105"/>
        <v>-26144845.5</v>
      </c>
      <c r="Z1108">
        <f t="shared" si="106"/>
        <v>45174742.5</v>
      </c>
      <c r="AA1108" t="str">
        <f t="shared" si="107"/>
        <v>Normal</v>
      </c>
      <c r="AE1108" s="2"/>
      <c r="AF1108" s="2"/>
    </row>
    <row r="1109" spans="1:32" x14ac:dyDescent="0.35">
      <c r="A1109">
        <v>1108</v>
      </c>
      <c r="B1109" s="1">
        <v>42761</v>
      </c>
      <c r="C1109" s="9" t="s">
        <v>1983</v>
      </c>
      <c r="D1109" s="9" t="s">
        <v>4988</v>
      </c>
      <c r="E1109" s="9" t="s">
        <v>6579</v>
      </c>
      <c r="F1109" s="9" t="s">
        <v>1984</v>
      </c>
      <c r="G1109" s="9" t="s">
        <v>1985</v>
      </c>
      <c r="H1109" s="9" t="s">
        <v>86</v>
      </c>
      <c r="I1109" s="11">
        <v>18429897</v>
      </c>
      <c r="J1109" s="11">
        <v>4704796</v>
      </c>
      <c r="K1109" s="11">
        <v>616953</v>
      </c>
      <c r="L1109" s="3">
        <v>254</v>
      </c>
      <c r="M1109" s="3">
        <v>2164</v>
      </c>
      <c r="N1109" s="3">
        <v>74661</v>
      </c>
      <c r="O1109" s="2">
        <v>0.19399999999999998</v>
      </c>
      <c r="P1109" s="2">
        <v>0.50900000000000001</v>
      </c>
      <c r="Q1109" s="2">
        <v>-0.26100000000000001</v>
      </c>
      <c r="R1109" s="11">
        <v>290641413</v>
      </c>
      <c r="S1109" s="11">
        <v>1898742</v>
      </c>
      <c r="T1109">
        <v>2017</v>
      </c>
      <c r="U1109">
        <v>1</v>
      </c>
      <c r="V1109">
        <f t="shared" si="102"/>
        <v>600000</v>
      </c>
      <c r="W1109">
        <f t="shared" si="103"/>
        <v>18429897</v>
      </c>
      <c r="X1109">
        <f t="shared" si="104"/>
        <v>17829897</v>
      </c>
      <c r="Y1109">
        <f t="shared" si="105"/>
        <v>-26144845.5</v>
      </c>
      <c r="Z1109">
        <f t="shared" si="106"/>
        <v>45174742.5</v>
      </c>
      <c r="AA1109" t="str">
        <f t="shared" si="107"/>
        <v>Normal</v>
      </c>
      <c r="AE1109" s="2"/>
      <c r="AF1109" s="2"/>
    </row>
    <row r="1110" spans="1:32" x14ac:dyDescent="0.35">
      <c r="A1110">
        <v>1109</v>
      </c>
      <c r="B1110" s="1">
        <v>42765</v>
      </c>
      <c r="C1110" s="9" t="s">
        <v>1986</v>
      </c>
      <c r="D1110" s="9" t="s">
        <v>4930</v>
      </c>
      <c r="E1110" s="9" t="s">
        <v>6580</v>
      </c>
      <c r="F1110" s="9" t="s">
        <v>31</v>
      </c>
      <c r="G1110" s="9" t="s">
        <v>1987</v>
      </c>
      <c r="H1110" s="9" t="s">
        <v>86</v>
      </c>
      <c r="I1110" s="11">
        <v>106000</v>
      </c>
      <c r="J1110" s="11">
        <v>242352</v>
      </c>
      <c r="K1110" s="11">
        <v>16043948</v>
      </c>
      <c r="L1110" s="3">
        <v>53</v>
      </c>
      <c r="M1110" s="3">
        <v>2872</v>
      </c>
      <c r="N1110" s="3">
        <v>1304765</v>
      </c>
      <c r="O1110" s="2">
        <v>0.26500000000000001</v>
      </c>
      <c r="P1110" s="2">
        <v>1.129</v>
      </c>
      <c r="Q1110" s="2">
        <v>0.215</v>
      </c>
      <c r="R1110" s="11">
        <v>478615471</v>
      </c>
      <c r="S1110" s="11">
        <v>984460</v>
      </c>
      <c r="T1110">
        <v>2017</v>
      </c>
      <c r="U1110">
        <v>1</v>
      </c>
      <c r="V1110">
        <f t="shared" si="102"/>
        <v>600000</v>
      </c>
      <c r="W1110">
        <f t="shared" si="103"/>
        <v>18429897</v>
      </c>
      <c r="X1110">
        <f t="shared" si="104"/>
        <v>17829897</v>
      </c>
      <c r="Y1110">
        <f t="shared" si="105"/>
        <v>-26144845.5</v>
      </c>
      <c r="Z1110">
        <f t="shared" si="106"/>
        <v>45174742.5</v>
      </c>
      <c r="AA1110" t="str">
        <f t="shared" si="107"/>
        <v>Normal</v>
      </c>
      <c r="AE1110" s="2"/>
      <c r="AF1110" s="2"/>
    </row>
    <row r="1111" spans="1:32" x14ac:dyDescent="0.35">
      <c r="A1111">
        <v>1110</v>
      </c>
      <c r="B1111" s="1">
        <v>42765</v>
      </c>
      <c r="C1111" s="9" t="s">
        <v>1988</v>
      </c>
      <c r="D1111" s="9" t="s">
        <v>4930</v>
      </c>
      <c r="E1111" s="9" t="s">
        <v>6581</v>
      </c>
      <c r="F1111" s="9" t="s">
        <v>27</v>
      </c>
      <c r="G1111" s="9" t="s">
        <v>1989</v>
      </c>
      <c r="H1111" s="9" t="s">
        <v>86</v>
      </c>
      <c r="I1111" s="11">
        <v>22500</v>
      </c>
      <c r="J1111" s="11">
        <v>3167817</v>
      </c>
      <c r="K1111" s="11">
        <v>10153449</v>
      </c>
      <c r="L1111" s="3">
        <v>148</v>
      </c>
      <c r="M1111" s="3">
        <v>1884</v>
      </c>
      <c r="N1111" s="3">
        <v>1355698</v>
      </c>
      <c r="O1111" s="2">
        <v>-4.7E-2</v>
      </c>
      <c r="P1111" s="2">
        <v>0.47600000000000003</v>
      </c>
      <c r="Q1111" s="2">
        <v>0.22800000000000001</v>
      </c>
      <c r="R1111" s="11">
        <v>32105408</v>
      </c>
      <c r="S1111" s="11">
        <v>1848336</v>
      </c>
      <c r="T1111">
        <v>2017</v>
      </c>
      <c r="U1111">
        <v>1</v>
      </c>
      <c r="V1111">
        <f t="shared" si="102"/>
        <v>600000</v>
      </c>
      <c r="W1111">
        <f t="shared" si="103"/>
        <v>18429897</v>
      </c>
      <c r="X1111">
        <f t="shared" si="104"/>
        <v>17829897</v>
      </c>
      <c r="Y1111">
        <f t="shared" si="105"/>
        <v>-26144845.5</v>
      </c>
      <c r="Z1111">
        <f t="shared" si="106"/>
        <v>45174742.5</v>
      </c>
      <c r="AA1111" t="str">
        <f t="shared" si="107"/>
        <v>Normal</v>
      </c>
      <c r="AE1111" s="2"/>
      <c r="AF1111" s="2"/>
    </row>
    <row r="1112" spans="1:32" x14ac:dyDescent="0.35">
      <c r="A1112">
        <v>1111</v>
      </c>
      <c r="B1112" s="1">
        <v>42765</v>
      </c>
      <c r="C1112" s="9" t="s">
        <v>1990</v>
      </c>
      <c r="D1112" s="9" t="s">
        <v>4925</v>
      </c>
      <c r="E1112" s="9" t="s">
        <v>6582</v>
      </c>
      <c r="F1112" s="9" t="s">
        <v>31</v>
      </c>
      <c r="G1112" s="9" t="s">
        <v>1989</v>
      </c>
      <c r="H1112" s="9" t="s">
        <v>86</v>
      </c>
      <c r="I1112" s="11">
        <v>68000</v>
      </c>
      <c r="J1112" s="11">
        <v>1179604</v>
      </c>
      <c r="K1112" s="11">
        <v>510488</v>
      </c>
      <c r="L1112" s="3">
        <v>111</v>
      </c>
      <c r="M1112" s="3">
        <v>3421</v>
      </c>
      <c r="N1112" s="3">
        <v>254770</v>
      </c>
      <c r="O1112" s="2">
        <v>0.28800000000000003</v>
      </c>
      <c r="P1112" s="2">
        <v>1.196</v>
      </c>
      <c r="Q1112" s="2">
        <v>-0.187</v>
      </c>
      <c r="R1112" s="11">
        <v>91295148</v>
      </c>
      <c r="S1112" s="11">
        <v>1008193.5</v>
      </c>
      <c r="T1112">
        <v>2017</v>
      </c>
      <c r="U1112">
        <v>1</v>
      </c>
      <c r="V1112">
        <f t="shared" si="102"/>
        <v>600000</v>
      </c>
      <c r="W1112">
        <f t="shared" si="103"/>
        <v>18429897</v>
      </c>
      <c r="X1112">
        <f t="shared" si="104"/>
        <v>17829897</v>
      </c>
      <c r="Y1112">
        <f t="shared" si="105"/>
        <v>-26144845.5</v>
      </c>
      <c r="Z1112">
        <f t="shared" si="106"/>
        <v>45174742.5</v>
      </c>
      <c r="AA1112" t="str">
        <f t="shared" si="107"/>
        <v>Normal</v>
      </c>
      <c r="AE1112" s="2"/>
      <c r="AF1112" s="2"/>
    </row>
    <row r="1113" spans="1:32" x14ac:dyDescent="0.35">
      <c r="A1113">
        <v>1112</v>
      </c>
      <c r="B1113" s="1">
        <v>42765</v>
      </c>
      <c r="C1113" s="9" t="s">
        <v>1991</v>
      </c>
      <c r="D1113" s="9" t="s">
        <v>4988</v>
      </c>
      <c r="E1113" s="9" t="s">
        <v>6583</v>
      </c>
      <c r="F1113" s="9" t="s">
        <v>15</v>
      </c>
      <c r="G1113" s="9" t="s">
        <v>1989</v>
      </c>
      <c r="H1113" s="9" t="s">
        <v>86</v>
      </c>
      <c r="I1113" s="11">
        <v>18000</v>
      </c>
      <c r="J1113" s="11">
        <v>978954</v>
      </c>
      <c r="K1113" s="11">
        <v>14077315</v>
      </c>
      <c r="L1113" s="3">
        <v>21</v>
      </c>
      <c r="M1113" s="3">
        <v>2565</v>
      </c>
      <c r="N1113" s="3">
        <v>1453626</v>
      </c>
      <c r="O1113" s="2">
        <v>-7.8E-2</v>
      </c>
      <c r="P1113" s="2">
        <v>0.23300000000000001</v>
      </c>
      <c r="Q1113" s="2">
        <v>-0.12300000000000001</v>
      </c>
      <c r="R1113" s="11">
        <v>426390870</v>
      </c>
      <c r="S1113" s="11">
        <v>748047</v>
      </c>
      <c r="T1113">
        <v>2017</v>
      </c>
      <c r="U1113">
        <v>1</v>
      </c>
      <c r="V1113">
        <f t="shared" si="102"/>
        <v>600000</v>
      </c>
      <c r="W1113">
        <f t="shared" si="103"/>
        <v>18429897</v>
      </c>
      <c r="X1113">
        <f t="shared" si="104"/>
        <v>17829897</v>
      </c>
      <c r="Y1113">
        <f t="shared" si="105"/>
        <v>-26144845.5</v>
      </c>
      <c r="Z1113">
        <f t="shared" si="106"/>
        <v>45174742.5</v>
      </c>
      <c r="AA1113" t="str">
        <f t="shared" si="107"/>
        <v>Normal</v>
      </c>
      <c r="AE1113" s="2"/>
      <c r="AF1113" s="2"/>
    </row>
    <row r="1114" spans="1:32" x14ac:dyDescent="0.35">
      <c r="A1114">
        <v>1113</v>
      </c>
      <c r="B1114" s="1">
        <v>42765</v>
      </c>
      <c r="C1114" s="9" t="s">
        <v>1992</v>
      </c>
      <c r="D1114" s="9" t="s">
        <v>4988</v>
      </c>
      <c r="E1114" s="9" t="s">
        <v>6551</v>
      </c>
      <c r="F1114" s="9" t="s">
        <v>31</v>
      </c>
      <c r="G1114" s="9" t="s">
        <v>1993</v>
      </c>
      <c r="H1114" s="9" t="s">
        <v>86</v>
      </c>
      <c r="I1114" s="11">
        <v>18429897</v>
      </c>
      <c r="J1114" s="11">
        <v>1474455</v>
      </c>
      <c r="K1114" s="11">
        <v>8296445</v>
      </c>
      <c r="L1114" s="3">
        <v>295</v>
      </c>
      <c r="M1114" s="3">
        <v>2132</v>
      </c>
      <c r="N1114" s="3">
        <v>1884766</v>
      </c>
      <c r="O1114" s="2">
        <v>0.28800000000000003</v>
      </c>
      <c r="P1114" s="2">
        <v>0.87400000000000011</v>
      </c>
      <c r="Q1114" s="2">
        <v>-7.8E-2</v>
      </c>
      <c r="R1114" s="11">
        <v>376312079</v>
      </c>
      <c r="S1114" s="11">
        <v>1008193.5</v>
      </c>
      <c r="T1114">
        <v>2017</v>
      </c>
      <c r="U1114">
        <v>1</v>
      </c>
      <c r="V1114">
        <f t="shared" si="102"/>
        <v>600000</v>
      </c>
      <c r="W1114">
        <f t="shared" si="103"/>
        <v>18429897</v>
      </c>
      <c r="X1114">
        <f t="shared" si="104"/>
        <v>17829897</v>
      </c>
      <c r="Y1114">
        <f t="shared" si="105"/>
        <v>-26144845.5</v>
      </c>
      <c r="Z1114">
        <f t="shared" si="106"/>
        <v>45174742.5</v>
      </c>
      <c r="AA1114" t="str">
        <f t="shared" si="107"/>
        <v>Normal</v>
      </c>
      <c r="AE1114" s="2"/>
      <c r="AF1114" s="2"/>
    </row>
    <row r="1115" spans="1:32" x14ac:dyDescent="0.35">
      <c r="A1115">
        <v>1114</v>
      </c>
      <c r="B1115" s="1">
        <v>42766</v>
      </c>
      <c r="C1115" s="9" t="s">
        <v>1994</v>
      </c>
      <c r="D1115" s="9" t="s">
        <v>4925</v>
      </c>
      <c r="E1115" s="9" t="s">
        <v>6584</v>
      </c>
      <c r="F1115" s="9" t="s">
        <v>27</v>
      </c>
      <c r="G1115" s="9" t="s">
        <v>856</v>
      </c>
      <c r="H1115" s="9" t="s">
        <v>105</v>
      </c>
      <c r="I1115" s="11">
        <v>2000000</v>
      </c>
      <c r="J1115" s="11">
        <v>988047</v>
      </c>
      <c r="K1115" s="11">
        <v>10955283</v>
      </c>
      <c r="L1115" s="3">
        <v>484</v>
      </c>
      <c r="M1115" s="3">
        <v>2505.5</v>
      </c>
      <c r="N1115" s="3">
        <v>1391004</v>
      </c>
      <c r="O1115" s="2">
        <v>-0.17699999999999999</v>
      </c>
      <c r="P1115" s="2">
        <v>0.82</v>
      </c>
      <c r="Q1115" s="2">
        <v>0.442</v>
      </c>
      <c r="R1115" s="11">
        <v>382013676</v>
      </c>
      <c r="S1115" s="11">
        <v>398807</v>
      </c>
      <c r="T1115">
        <v>2017</v>
      </c>
      <c r="U1115">
        <v>1</v>
      </c>
      <c r="V1115">
        <f t="shared" si="102"/>
        <v>600000</v>
      </c>
      <c r="W1115">
        <f t="shared" si="103"/>
        <v>18429897</v>
      </c>
      <c r="X1115">
        <f t="shared" si="104"/>
        <v>17829897</v>
      </c>
      <c r="Y1115">
        <f t="shared" si="105"/>
        <v>-26144845.5</v>
      </c>
      <c r="Z1115">
        <f t="shared" si="106"/>
        <v>45174742.5</v>
      </c>
      <c r="AA1115" t="str">
        <f t="shared" si="107"/>
        <v>Normal</v>
      </c>
      <c r="AE1115" s="2"/>
      <c r="AF1115" s="2"/>
    </row>
    <row r="1116" spans="1:32" x14ac:dyDescent="0.35">
      <c r="A1116">
        <v>1115</v>
      </c>
      <c r="B1116" s="1">
        <v>42766</v>
      </c>
      <c r="C1116" s="9" t="s">
        <v>1995</v>
      </c>
      <c r="D1116" s="9" t="s">
        <v>4988</v>
      </c>
      <c r="E1116" s="9" t="s">
        <v>6585</v>
      </c>
      <c r="F1116" s="9" t="s">
        <v>27</v>
      </c>
      <c r="G1116" s="9" t="s">
        <v>236</v>
      </c>
      <c r="H1116" s="9" t="s">
        <v>86</v>
      </c>
      <c r="I1116" s="11">
        <v>18429897</v>
      </c>
      <c r="J1116" s="11">
        <v>2531926</v>
      </c>
      <c r="K1116" s="11">
        <v>4444869</v>
      </c>
      <c r="L1116" s="3">
        <v>67</v>
      </c>
      <c r="M1116" s="3">
        <v>2072</v>
      </c>
      <c r="N1116" s="3">
        <v>454169</v>
      </c>
      <c r="O1116" s="2">
        <v>1.6E-2</v>
      </c>
      <c r="P1116" s="2">
        <v>0.78500000000000003</v>
      </c>
      <c r="Q1116" s="2">
        <v>7.8E-2</v>
      </c>
      <c r="R1116" s="11">
        <v>200452257</v>
      </c>
      <c r="S1116" s="11">
        <v>981387</v>
      </c>
      <c r="T1116">
        <v>2017</v>
      </c>
      <c r="U1116">
        <v>1</v>
      </c>
      <c r="V1116">
        <f t="shared" si="102"/>
        <v>600000</v>
      </c>
      <c r="W1116">
        <f t="shared" si="103"/>
        <v>18429897</v>
      </c>
      <c r="X1116">
        <f t="shared" si="104"/>
        <v>17829897</v>
      </c>
      <c r="Y1116">
        <f t="shared" si="105"/>
        <v>-26144845.5</v>
      </c>
      <c r="Z1116">
        <f t="shared" si="106"/>
        <v>45174742.5</v>
      </c>
      <c r="AA1116" t="str">
        <f t="shared" si="107"/>
        <v>Normal</v>
      </c>
      <c r="AE1116" s="2"/>
      <c r="AF1116" s="2"/>
    </row>
    <row r="1117" spans="1:32" x14ac:dyDescent="0.35">
      <c r="A1117">
        <v>1116</v>
      </c>
      <c r="B1117" s="1">
        <v>42705</v>
      </c>
      <c r="C1117" s="9" t="s">
        <v>1996</v>
      </c>
      <c r="D1117" s="9" t="s">
        <v>4930</v>
      </c>
      <c r="E1117" s="9" t="s">
        <v>6586</v>
      </c>
      <c r="F1117" s="9" t="s">
        <v>63</v>
      </c>
      <c r="G1117" s="9" t="s">
        <v>1997</v>
      </c>
      <c r="H1117" s="9" t="s">
        <v>105</v>
      </c>
      <c r="I1117" s="11">
        <v>1200000</v>
      </c>
      <c r="J1117" s="11">
        <v>4978140</v>
      </c>
      <c r="K1117" s="11">
        <v>16325320</v>
      </c>
      <c r="L1117" s="3">
        <v>30</v>
      </c>
      <c r="M1117" s="3">
        <v>1639</v>
      </c>
      <c r="N1117" s="3">
        <v>169636</v>
      </c>
      <c r="O1117" s="2">
        <v>1.6E-2</v>
      </c>
      <c r="P1117" s="2">
        <v>0.97899999999999998</v>
      </c>
      <c r="Q1117" s="2">
        <v>-0.45200000000000001</v>
      </c>
      <c r="R1117" s="11">
        <v>284757899</v>
      </c>
      <c r="S1117" s="11">
        <v>521701</v>
      </c>
      <c r="T1117">
        <v>2016</v>
      </c>
      <c r="U1117">
        <v>12</v>
      </c>
      <c r="V1117">
        <f t="shared" si="102"/>
        <v>600000</v>
      </c>
      <c r="W1117">
        <f t="shared" si="103"/>
        <v>18429897</v>
      </c>
      <c r="X1117">
        <f t="shared" si="104"/>
        <v>17829897</v>
      </c>
      <c r="Y1117">
        <f t="shared" si="105"/>
        <v>-26144845.5</v>
      </c>
      <c r="Z1117">
        <f t="shared" si="106"/>
        <v>45174742.5</v>
      </c>
      <c r="AA1117" t="str">
        <f t="shared" si="107"/>
        <v>Normal</v>
      </c>
      <c r="AE1117" s="2"/>
      <c r="AF1117" s="2"/>
    </row>
    <row r="1118" spans="1:32" x14ac:dyDescent="0.35">
      <c r="A1118">
        <v>1117</v>
      </c>
      <c r="B1118" s="1">
        <v>42705</v>
      </c>
      <c r="C1118" s="9" t="s">
        <v>1998</v>
      </c>
      <c r="D1118" s="9" t="s">
        <v>4988</v>
      </c>
      <c r="E1118" s="9" t="s">
        <v>6587</v>
      </c>
      <c r="F1118" s="9" t="s">
        <v>27</v>
      </c>
      <c r="G1118" s="9" t="s">
        <v>1999</v>
      </c>
      <c r="H1118" s="9" t="s">
        <v>105</v>
      </c>
      <c r="I1118" s="11">
        <v>4000000</v>
      </c>
      <c r="J1118" s="11">
        <v>2940496</v>
      </c>
      <c r="K1118" s="11">
        <v>8147682</v>
      </c>
      <c r="L1118" s="3">
        <v>254</v>
      </c>
      <c r="M1118" s="3">
        <v>2905</v>
      </c>
      <c r="N1118" s="3">
        <v>175953</v>
      </c>
      <c r="O1118" s="2">
        <v>0.24</v>
      </c>
      <c r="P1118" s="2">
        <v>0.79099999999999993</v>
      </c>
      <c r="Q1118" s="2">
        <v>-0.20100000000000001</v>
      </c>
      <c r="R1118" s="11">
        <v>268155359</v>
      </c>
      <c r="S1118" s="11">
        <v>1111777</v>
      </c>
      <c r="T1118">
        <v>2016</v>
      </c>
      <c r="U1118">
        <v>12</v>
      </c>
      <c r="V1118">
        <f t="shared" si="102"/>
        <v>600000</v>
      </c>
      <c r="W1118">
        <f t="shared" si="103"/>
        <v>18429897</v>
      </c>
      <c r="X1118">
        <f t="shared" si="104"/>
        <v>17829897</v>
      </c>
      <c r="Y1118">
        <f t="shared" si="105"/>
        <v>-26144845.5</v>
      </c>
      <c r="Z1118">
        <f t="shared" si="106"/>
        <v>45174742.5</v>
      </c>
      <c r="AA1118" t="str">
        <f t="shared" si="107"/>
        <v>Normal</v>
      </c>
      <c r="AE1118" s="2"/>
      <c r="AF1118" s="2"/>
    </row>
    <row r="1119" spans="1:32" x14ac:dyDescent="0.35">
      <c r="A1119">
        <v>1118</v>
      </c>
      <c r="B1119" s="1">
        <v>42705</v>
      </c>
      <c r="C1119" s="9" t="s">
        <v>2000</v>
      </c>
      <c r="D1119" s="9" t="s">
        <v>4988</v>
      </c>
      <c r="E1119" s="9" t="s">
        <v>6588</v>
      </c>
      <c r="F1119" s="9" t="s">
        <v>27</v>
      </c>
      <c r="G1119" s="9" t="s">
        <v>2001</v>
      </c>
      <c r="H1119" s="9" t="s">
        <v>105</v>
      </c>
      <c r="I1119" s="11">
        <v>3600000</v>
      </c>
      <c r="J1119" s="11">
        <v>3621750</v>
      </c>
      <c r="K1119" s="11">
        <v>16817679</v>
      </c>
      <c r="L1119" s="3">
        <v>275</v>
      </c>
      <c r="M1119" s="3">
        <v>3834</v>
      </c>
      <c r="N1119" s="3">
        <v>1237291</v>
      </c>
      <c r="O1119" s="2">
        <v>0.25600000000000001</v>
      </c>
      <c r="P1119" s="2">
        <v>0.81</v>
      </c>
      <c r="Q1119" s="2">
        <v>0.27899999999999997</v>
      </c>
      <c r="R1119" s="11">
        <v>113254645</v>
      </c>
      <c r="S1119" s="11">
        <v>856223</v>
      </c>
      <c r="T1119">
        <v>2016</v>
      </c>
      <c r="U1119">
        <v>12</v>
      </c>
      <c r="V1119">
        <f t="shared" si="102"/>
        <v>600000</v>
      </c>
      <c r="W1119">
        <f t="shared" si="103"/>
        <v>18429897</v>
      </c>
      <c r="X1119">
        <f t="shared" si="104"/>
        <v>17829897</v>
      </c>
      <c r="Y1119">
        <f t="shared" si="105"/>
        <v>-26144845.5</v>
      </c>
      <c r="Z1119">
        <f t="shared" si="106"/>
        <v>45174742.5</v>
      </c>
      <c r="AA1119" t="str">
        <f t="shared" si="107"/>
        <v>Normal</v>
      </c>
      <c r="AE1119" s="2"/>
      <c r="AF1119" s="2"/>
    </row>
    <row r="1120" spans="1:32" x14ac:dyDescent="0.35">
      <c r="A1120">
        <v>1119</v>
      </c>
      <c r="B1120" s="1">
        <v>42706</v>
      </c>
      <c r="C1120" s="9" t="s">
        <v>2002</v>
      </c>
      <c r="D1120" s="9" t="s">
        <v>4988</v>
      </c>
      <c r="E1120" s="9" t="s">
        <v>6589</v>
      </c>
      <c r="F1120" s="9" t="s">
        <v>27</v>
      </c>
      <c r="G1120" s="9" t="s">
        <v>193</v>
      </c>
      <c r="H1120" s="9" t="s">
        <v>86</v>
      </c>
      <c r="I1120" s="11">
        <v>100000</v>
      </c>
      <c r="J1120" s="11">
        <v>2531926</v>
      </c>
      <c r="K1120" s="11">
        <v>3050602</v>
      </c>
      <c r="L1120" s="3">
        <v>413</v>
      </c>
      <c r="M1120" s="3">
        <v>3004</v>
      </c>
      <c r="N1120" s="3">
        <v>470567</v>
      </c>
      <c r="O1120" s="2">
        <v>-0.13400000000000001</v>
      </c>
      <c r="P1120" s="2">
        <v>1.077</v>
      </c>
      <c r="Q1120" s="2">
        <v>-0.2</v>
      </c>
      <c r="R1120" s="11">
        <v>486240365</v>
      </c>
      <c r="S1120" s="11">
        <v>712198</v>
      </c>
      <c r="T1120">
        <v>2016</v>
      </c>
      <c r="U1120">
        <v>12</v>
      </c>
      <c r="V1120">
        <f t="shared" si="102"/>
        <v>600000</v>
      </c>
      <c r="W1120">
        <f t="shared" si="103"/>
        <v>18429897</v>
      </c>
      <c r="X1120">
        <f t="shared" si="104"/>
        <v>17829897</v>
      </c>
      <c r="Y1120">
        <f t="shared" si="105"/>
        <v>-26144845.5</v>
      </c>
      <c r="Z1120">
        <f t="shared" si="106"/>
        <v>45174742.5</v>
      </c>
      <c r="AA1120" t="str">
        <f t="shared" si="107"/>
        <v>Normal</v>
      </c>
      <c r="AE1120" s="2"/>
      <c r="AF1120" s="2"/>
    </row>
    <row r="1121" spans="1:32" x14ac:dyDescent="0.35">
      <c r="A1121">
        <v>1120</v>
      </c>
      <c r="B1121" s="1">
        <v>42706</v>
      </c>
      <c r="C1121" s="9" t="s">
        <v>2003</v>
      </c>
      <c r="D1121" s="9" t="s">
        <v>4988</v>
      </c>
      <c r="E1121" s="9" t="s">
        <v>6590</v>
      </c>
      <c r="F1121" s="9" t="s">
        <v>15</v>
      </c>
      <c r="G1121" s="9" t="s">
        <v>2004</v>
      </c>
      <c r="H1121" s="9" t="s">
        <v>86</v>
      </c>
      <c r="I1121" s="11">
        <v>18429897</v>
      </c>
      <c r="J1121" s="11">
        <v>2531926</v>
      </c>
      <c r="K1121" s="11">
        <v>11799275</v>
      </c>
      <c r="L1121" s="3">
        <v>158</v>
      </c>
      <c r="M1121" s="3">
        <v>209</v>
      </c>
      <c r="N1121" s="3">
        <v>1018455</v>
      </c>
      <c r="O1121" s="2">
        <v>0.28699999999999998</v>
      </c>
      <c r="P1121" s="2">
        <v>0.38700000000000001</v>
      </c>
      <c r="Q1121" s="2">
        <v>-0.20699999999999999</v>
      </c>
      <c r="R1121" s="11">
        <v>250264963</v>
      </c>
      <c r="S1121" s="11">
        <v>1493682</v>
      </c>
      <c r="T1121">
        <v>2016</v>
      </c>
      <c r="U1121">
        <v>12</v>
      </c>
      <c r="V1121">
        <f t="shared" si="102"/>
        <v>600000</v>
      </c>
      <c r="W1121">
        <f t="shared" si="103"/>
        <v>18429897</v>
      </c>
      <c r="X1121">
        <f t="shared" si="104"/>
        <v>17829897</v>
      </c>
      <c r="Y1121">
        <f t="shared" si="105"/>
        <v>-26144845.5</v>
      </c>
      <c r="Z1121">
        <f t="shared" si="106"/>
        <v>45174742.5</v>
      </c>
      <c r="AA1121" t="str">
        <f t="shared" si="107"/>
        <v>Normal</v>
      </c>
      <c r="AE1121" s="2"/>
      <c r="AF1121" s="2"/>
    </row>
    <row r="1122" spans="1:32" x14ac:dyDescent="0.35">
      <c r="A1122">
        <v>1121</v>
      </c>
      <c r="B1122" s="1">
        <v>42706</v>
      </c>
      <c r="C1122" s="9" t="s">
        <v>2005</v>
      </c>
      <c r="D1122" s="9" t="s">
        <v>4930</v>
      </c>
      <c r="E1122" s="9" t="s">
        <v>6591</v>
      </c>
      <c r="F1122" s="9" t="s">
        <v>31</v>
      </c>
      <c r="G1122" s="9" t="s">
        <v>2006</v>
      </c>
      <c r="H1122" s="9" t="s">
        <v>105</v>
      </c>
      <c r="I1122" s="11">
        <v>3000000</v>
      </c>
      <c r="J1122" s="11">
        <v>438894</v>
      </c>
      <c r="K1122" s="11">
        <v>6272075</v>
      </c>
      <c r="L1122" s="3">
        <v>63</v>
      </c>
      <c r="M1122" s="3">
        <v>4232</v>
      </c>
      <c r="N1122" s="3">
        <v>97918</v>
      </c>
      <c r="O1122" s="2">
        <v>0.01</v>
      </c>
      <c r="P1122" s="2">
        <v>0.73099999999999998</v>
      </c>
      <c r="Q1122" s="2">
        <v>5.0000000000000001E-3</v>
      </c>
      <c r="R1122" s="11">
        <v>33824015</v>
      </c>
      <c r="S1122" s="11">
        <v>466211</v>
      </c>
      <c r="T1122">
        <v>2016</v>
      </c>
      <c r="U1122">
        <v>12</v>
      </c>
      <c r="V1122">
        <f t="shared" si="102"/>
        <v>600000</v>
      </c>
      <c r="W1122">
        <f t="shared" si="103"/>
        <v>18429897</v>
      </c>
      <c r="X1122">
        <f t="shared" si="104"/>
        <v>17829897</v>
      </c>
      <c r="Y1122">
        <f t="shared" si="105"/>
        <v>-26144845.5</v>
      </c>
      <c r="Z1122">
        <f t="shared" si="106"/>
        <v>45174742.5</v>
      </c>
      <c r="AA1122" t="str">
        <f t="shared" si="107"/>
        <v>Normal</v>
      </c>
      <c r="AE1122" s="2"/>
      <c r="AF1122" s="2"/>
    </row>
    <row r="1123" spans="1:32" x14ac:dyDescent="0.35">
      <c r="A1123">
        <v>1122</v>
      </c>
      <c r="B1123" s="1">
        <v>42709</v>
      </c>
      <c r="C1123" s="9" t="s">
        <v>2007</v>
      </c>
      <c r="D1123" s="9" t="s">
        <v>4988</v>
      </c>
      <c r="E1123" s="9" t="s">
        <v>6526</v>
      </c>
      <c r="F1123" s="9" t="s">
        <v>310</v>
      </c>
      <c r="G1123" s="9" t="s">
        <v>1949</v>
      </c>
      <c r="H1123" s="9" t="s">
        <v>86</v>
      </c>
      <c r="I1123" s="11">
        <v>18429897</v>
      </c>
      <c r="J1123" s="11">
        <v>1358985</v>
      </c>
      <c r="K1123" s="11">
        <v>10153449</v>
      </c>
      <c r="L1123" s="3">
        <v>52</v>
      </c>
      <c r="M1123" s="3">
        <v>3940</v>
      </c>
      <c r="N1123" s="3">
        <v>881325</v>
      </c>
      <c r="O1123" s="2">
        <v>5.8999999999999997E-2</v>
      </c>
      <c r="P1123" s="2">
        <v>0.91200000000000003</v>
      </c>
      <c r="Q1123" s="2">
        <v>0.34499999999999997</v>
      </c>
      <c r="R1123" s="11">
        <v>122087566</v>
      </c>
      <c r="S1123" s="11">
        <v>1008193.5</v>
      </c>
      <c r="T1123">
        <v>2016</v>
      </c>
      <c r="U1123">
        <v>12</v>
      </c>
      <c r="V1123">
        <f t="shared" si="102"/>
        <v>600000</v>
      </c>
      <c r="W1123">
        <f t="shared" si="103"/>
        <v>18429897</v>
      </c>
      <c r="X1123">
        <f t="shared" si="104"/>
        <v>17829897</v>
      </c>
      <c r="Y1123">
        <f t="shared" si="105"/>
        <v>-26144845.5</v>
      </c>
      <c r="Z1123">
        <f t="shared" si="106"/>
        <v>45174742.5</v>
      </c>
      <c r="AA1123" t="str">
        <f t="shared" si="107"/>
        <v>Normal</v>
      </c>
      <c r="AE1123" s="2"/>
      <c r="AF1123" s="2"/>
    </row>
    <row r="1124" spans="1:32" x14ac:dyDescent="0.35">
      <c r="A1124">
        <v>1123</v>
      </c>
      <c r="B1124" s="1">
        <v>42709</v>
      </c>
      <c r="C1124" s="9" t="s">
        <v>2008</v>
      </c>
      <c r="D1124" s="9" t="s">
        <v>4925</v>
      </c>
      <c r="E1124" s="9" t="s">
        <v>5251</v>
      </c>
      <c r="F1124" s="9" t="s">
        <v>15</v>
      </c>
      <c r="G1124" s="9" t="s">
        <v>2009</v>
      </c>
      <c r="H1124" s="9" t="s">
        <v>105</v>
      </c>
      <c r="I1124" s="11">
        <v>1400000</v>
      </c>
      <c r="J1124" s="11">
        <v>1233463</v>
      </c>
      <c r="K1124" s="11">
        <v>11182032</v>
      </c>
      <c r="L1124" s="3">
        <v>305</v>
      </c>
      <c r="M1124" s="3">
        <v>4104</v>
      </c>
      <c r="N1124" s="3">
        <v>332262</v>
      </c>
      <c r="O1124" s="2">
        <v>-1.3999999999999999E-2</v>
      </c>
      <c r="P1124" s="2">
        <v>0.50800000000000001</v>
      </c>
      <c r="Q1124" s="2">
        <v>0.64400000000000002</v>
      </c>
      <c r="R1124" s="11">
        <v>491725126</v>
      </c>
      <c r="S1124" s="11">
        <v>945538</v>
      </c>
      <c r="T1124">
        <v>2016</v>
      </c>
      <c r="U1124">
        <v>12</v>
      </c>
      <c r="V1124">
        <f t="shared" si="102"/>
        <v>600000</v>
      </c>
      <c r="W1124">
        <f t="shared" si="103"/>
        <v>18429897</v>
      </c>
      <c r="X1124">
        <f t="shared" si="104"/>
        <v>17829897</v>
      </c>
      <c r="Y1124">
        <f t="shared" si="105"/>
        <v>-26144845.5</v>
      </c>
      <c r="Z1124">
        <f t="shared" si="106"/>
        <v>45174742.5</v>
      </c>
      <c r="AA1124" t="str">
        <f t="shared" si="107"/>
        <v>Normal</v>
      </c>
      <c r="AE1124" s="2"/>
      <c r="AF1124" s="2"/>
    </row>
    <row r="1125" spans="1:32" x14ac:dyDescent="0.35">
      <c r="A1125">
        <v>1124</v>
      </c>
      <c r="B1125" s="1">
        <v>42709</v>
      </c>
      <c r="C1125" s="9" t="s">
        <v>982</v>
      </c>
      <c r="D1125" s="9" t="s">
        <v>4925</v>
      </c>
      <c r="E1125" s="9" t="s">
        <v>6592</v>
      </c>
      <c r="F1125" s="9" t="s">
        <v>31</v>
      </c>
      <c r="G1125" s="9" t="s">
        <v>2010</v>
      </c>
      <c r="H1125" s="9" t="s">
        <v>86</v>
      </c>
      <c r="I1125" s="11">
        <v>18429897</v>
      </c>
      <c r="J1125" s="11">
        <v>4206085</v>
      </c>
      <c r="K1125" s="11">
        <v>14422267</v>
      </c>
      <c r="L1125" s="3">
        <v>181</v>
      </c>
      <c r="M1125" s="3">
        <v>296</v>
      </c>
      <c r="N1125" s="3">
        <v>855776</v>
      </c>
      <c r="O1125" s="2">
        <v>0.443</v>
      </c>
      <c r="P1125" s="2">
        <v>0.41899999999999998</v>
      </c>
      <c r="Q1125" s="2">
        <v>0.36749999999999999</v>
      </c>
      <c r="R1125" s="11">
        <v>301492660</v>
      </c>
      <c r="S1125" s="11">
        <v>570432</v>
      </c>
      <c r="T1125">
        <v>2016</v>
      </c>
      <c r="U1125">
        <v>12</v>
      </c>
      <c r="V1125">
        <f t="shared" si="102"/>
        <v>600000</v>
      </c>
      <c r="W1125">
        <f t="shared" si="103"/>
        <v>18429897</v>
      </c>
      <c r="X1125">
        <f t="shared" si="104"/>
        <v>17829897</v>
      </c>
      <c r="Y1125">
        <f t="shared" si="105"/>
        <v>-26144845.5</v>
      </c>
      <c r="Z1125">
        <f t="shared" si="106"/>
        <v>45174742.5</v>
      </c>
      <c r="AA1125" t="str">
        <f t="shared" si="107"/>
        <v>Normal</v>
      </c>
      <c r="AE1125" s="2"/>
      <c r="AF1125" s="2"/>
    </row>
    <row r="1126" spans="1:32" x14ac:dyDescent="0.35">
      <c r="A1126">
        <v>1125</v>
      </c>
      <c r="B1126" s="1">
        <v>42710</v>
      </c>
      <c r="C1126" s="9" t="s">
        <v>2011</v>
      </c>
      <c r="D1126" s="9" t="s">
        <v>4988</v>
      </c>
      <c r="E1126" s="9" t="s">
        <v>6593</v>
      </c>
      <c r="F1126" s="9" t="s">
        <v>27</v>
      </c>
      <c r="G1126" s="9" t="s">
        <v>2012</v>
      </c>
      <c r="H1126" s="9" t="s">
        <v>86</v>
      </c>
      <c r="I1126" s="11">
        <v>147000</v>
      </c>
      <c r="J1126" s="11">
        <v>4221070</v>
      </c>
      <c r="K1126" s="11">
        <v>1815150</v>
      </c>
      <c r="L1126" s="3">
        <v>179</v>
      </c>
      <c r="M1126" s="3">
        <v>4126</v>
      </c>
      <c r="N1126" s="3">
        <v>1175409</v>
      </c>
      <c r="O1126" s="2">
        <v>-0.114</v>
      </c>
      <c r="P1126" s="2">
        <v>0.32899999999999996</v>
      </c>
      <c r="Q1126" s="2">
        <v>0.222</v>
      </c>
      <c r="R1126" s="11">
        <v>175567719</v>
      </c>
      <c r="S1126" s="11">
        <v>937461</v>
      </c>
      <c r="T1126">
        <v>2016</v>
      </c>
      <c r="U1126">
        <v>12</v>
      </c>
      <c r="V1126">
        <f t="shared" si="102"/>
        <v>600000</v>
      </c>
      <c r="W1126">
        <f t="shared" si="103"/>
        <v>18429897</v>
      </c>
      <c r="X1126">
        <f t="shared" si="104"/>
        <v>17829897</v>
      </c>
      <c r="Y1126">
        <f t="shared" si="105"/>
        <v>-26144845.5</v>
      </c>
      <c r="Z1126">
        <f t="shared" si="106"/>
        <v>45174742.5</v>
      </c>
      <c r="AA1126" t="str">
        <f t="shared" si="107"/>
        <v>Normal</v>
      </c>
      <c r="AE1126" s="2"/>
      <c r="AF1126" s="2"/>
    </row>
    <row r="1127" spans="1:32" x14ac:dyDescent="0.35">
      <c r="A1127">
        <v>1126</v>
      </c>
      <c r="B1127" s="1">
        <v>42710</v>
      </c>
      <c r="C1127" s="9" t="s">
        <v>2013</v>
      </c>
      <c r="D1127" s="9" t="s">
        <v>4930</v>
      </c>
      <c r="E1127" s="9" t="s">
        <v>6594</v>
      </c>
      <c r="F1127" s="9" t="s">
        <v>19</v>
      </c>
      <c r="G1127" s="9" t="s">
        <v>2014</v>
      </c>
      <c r="H1127" s="9" t="s">
        <v>86</v>
      </c>
      <c r="I1127" s="11">
        <v>18429897</v>
      </c>
      <c r="J1127" s="11">
        <v>4273524</v>
      </c>
      <c r="K1127" s="11">
        <v>13569819</v>
      </c>
      <c r="L1127" s="3">
        <v>123</v>
      </c>
      <c r="M1127" s="3">
        <v>2362</v>
      </c>
      <c r="N1127" s="3">
        <v>1921763</v>
      </c>
      <c r="O1127" s="2">
        <v>0.20600000000000002</v>
      </c>
      <c r="P1127" s="2">
        <v>0.46299999999999997</v>
      </c>
      <c r="Q1127" s="2">
        <v>7.4999999999999997E-2</v>
      </c>
      <c r="R1127" s="11">
        <v>281638585</v>
      </c>
      <c r="S1127" s="11">
        <v>354678</v>
      </c>
      <c r="T1127">
        <v>2016</v>
      </c>
      <c r="U1127">
        <v>12</v>
      </c>
      <c r="V1127">
        <f t="shared" si="102"/>
        <v>600000</v>
      </c>
      <c r="W1127">
        <f t="shared" si="103"/>
        <v>18429897</v>
      </c>
      <c r="X1127">
        <f t="shared" si="104"/>
        <v>17829897</v>
      </c>
      <c r="Y1127">
        <f t="shared" si="105"/>
        <v>-26144845.5</v>
      </c>
      <c r="Z1127">
        <f t="shared" si="106"/>
        <v>45174742.5</v>
      </c>
      <c r="AA1127" t="str">
        <f t="shared" si="107"/>
        <v>Normal</v>
      </c>
      <c r="AE1127" s="2"/>
      <c r="AF1127" s="2"/>
    </row>
    <row r="1128" spans="1:32" x14ac:dyDescent="0.35">
      <c r="A1128">
        <v>1127</v>
      </c>
      <c r="B1128" s="1">
        <v>42711</v>
      </c>
      <c r="C1128" s="9" t="s">
        <v>2015</v>
      </c>
      <c r="D1128" s="9" t="s">
        <v>4988</v>
      </c>
      <c r="E1128" s="9" t="s">
        <v>6595</v>
      </c>
      <c r="F1128" s="9" t="s">
        <v>177</v>
      </c>
      <c r="G1128" s="9" t="s">
        <v>2016</v>
      </c>
      <c r="H1128" s="9" t="s">
        <v>86</v>
      </c>
      <c r="I1128" s="11">
        <v>18429897</v>
      </c>
      <c r="J1128" s="11">
        <v>3195191</v>
      </c>
      <c r="K1128" s="11">
        <v>2111453</v>
      </c>
      <c r="L1128" s="3">
        <v>448</v>
      </c>
      <c r="M1128" s="3">
        <v>4228</v>
      </c>
      <c r="N1128" s="3">
        <v>578397</v>
      </c>
      <c r="O1128" s="2">
        <v>1.6E-2</v>
      </c>
      <c r="P1128" s="2">
        <v>0.86599999999999999</v>
      </c>
      <c r="Q1128" s="2">
        <v>0.155</v>
      </c>
      <c r="R1128" s="11">
        <v>266637682</v>
      </c>
      <c r="S1128" s="11">
        <v>939111</v>
      </c>
      <c r="T1128">
        <v>2016</v>
      </c>
      <c r="U1128">
        <v>12</v>
      </c>
      <c r="V1128">
        <f t="shared" si="102"/>
        <v>600000</v>
      </c>
      <c r="W1128">
        <f t="shared" si="103"/>
        <v>18429897</v>
      </c>
      <c r="X1128">
        <f t="shared" si="104"/>
        <v>17829897</v>
      </c>
      <c r="Y1128">
        <f t="shared" si="105"/>
        <v>-26144845.5</v>
      </c>
      <c r="Z1128">
        <f t="shared" si="106"/>
        <v>45174742.5</v>
      </c>
      <c r="AA1128" t="str">
        <f t="shared" si="107"/>
        <v>Normal</v>
      </c>
      <c r="AE1128" s="2"/>
      <c r="AF1128" s="2"/>
    </row>
    <row r="1129" spans="1:32" x14ac:dyDescent="0.35">
      <c r="A1129">
        <v>1128</v>
      </c>
      <c r="B1129" s="1">
        <v>42711</v>
      </c>
      <c r="C1129" s="9" t="s">
        <v>2017</v>
      </c>
      <c r="D1129" s="9" t="s">
        <v>4925</v>
      </c>
      <c r="E1129" s="9" t="s">
        <v>6596</v>
      </c>
      <c r="F1129" s="9" t="s">
        <v>27</v>
      </c>
      <c r="G1129" s="9" t="s">
        <v>2018</v>
      </c>
      <c r="H1129" s="9" t="s">
        <v>86</v>
      </c>
      <c r="I1129" s="11">
        <v>18429897</v>
      </c>
      <c r="J1129" s="11">
        <v>2789742</v>
      </c>
      <c r="K1129" s="11">
        <v>7292293</v>
      </c>
      <c r="L1129" s="3">
        <v>190</v>
      </c>
      <c r="M1129" s="3">
        <v>3918</v>
      </c>
      <c r="N1129" s="3">
        <v>642135</v>
      </c>
      <c r="O1129" s="2">
        <v>0.33800000000000002</v>
      </c>
      <c r="P1129" s="2">
        <v>0.81499999999999995</v>
      </c>
      <c r="Q1129" s="2">
        <v>-0.13100000000000001</v>
      </c>
      <c r="R1129" s="11">
        <v>359140705</v>
      </c>
      <c r="S1129" s="11">
        <v>990323</v>
      </c>
      <c r="T1129">
        <v>2016</v>
      </c>
      <c r="U1129">
        <v>12</v>
      </c>
      <c r="V1129">
        <f t="shared" si="102"/>
        <v>600000</v>
      </c>
      <c r="W1129">
        <f t="shared" si="103"/>
        <v>18429897</v>
      </c>
      <c r="X1129">
        <f t="shared" si="104"/>
        <v>17829897</v>
      </c>
      <c r="Y1129">
        <f t="shared" si="105"/>
        <v>-26144845.5</v>
      </c>
      <c r="Z1129">
        <f t="shared" si="106"/>
        <v>45174742.5</v>
      </c>
      <c r="AA1129" t="str">
        <f t="shared" si="107"/>
        <v>Normal</v>
      </c>
      <c r="AE1129" s="2"/>
      <c r="AF1129" s="2"/>
    </row>
    <row r="1130" spans="1:32" x14ac:dyDescent="0.35">
      <c r="A1130">
        <v>1129</v>
      </c>
      <c r="B1130" s="1">
        <v>42711</v>
      </c>
      <c r="C1130" s="9" t="s">
        <v>2019</v>
      </c>
      <c r="D1130" s="9" t="s">
        <v>4988</v>
      </c>
      <c r="E1130" s="9" t="s">
        <v>6597</v>
      </c>
      <c r="F1130" s="9" t="s">
        <v>31</v>
      </c>
      <c r="G1130" s="9" t="s">
        <v>2020</v>
      </c>
      <c r="H1130" s="9" t="s">
        <v>86</v>
      </c>
      <c r="I1130" s="11">
        <v>18429897</v>
      </c>
      <c r="J1130" s="11">
        <v>3252762</v>
      </c>
      <c r="K1130" s="11">
        <v>4527320</v>
      </c>
      <c r="L1130" s="3">
        <v>355</v>
      </c>
      <c r="M1130" s="3">
        <v>4405</v>
      </c>
      <c r="N1130" s="3">
        <v>1602340</v>
      </c>
      <c r="O1130" s="2">
        <v>0.58399999999999996</v>
      </c>
      <c r="P1130" s="2">
        <v>0.37200000000000005</v>
      </c>
      <c r="Q1130" s="2">
        <v>0.46100000000000002</v>
      </c>
      <c r="R1130" s="11">
        <v>465284882</v>
      </c>
      <c r="S1130" s="11">
        <v>1071970</v>
      </c>
      <c r="T1130">
        <v>2016</v>
      </c>
      <c r="U1130">
        <v>12</v>
      </c>
      <c r="V1130">
        <f t="shared" si="102"/>
        <v>600000</v>
      </c>
      <c r="W1130">
        <f t="shared" si="103"/>
        <v>18429897</v>
      </c>
      <c r="X1130">
        <f t="shared" si="104"/>
        <v>17829897</v>
      </c>
      <c r="Y1130">
        <f t="shared" si="105"/>
        <v>-26144845.5</v>
      </c>
      <c r="Z1130">
        <f t="shared" si="106"/>
        <v>45174742.5</v>
      </c>
      <c r="AA1130" t="str">
        <f t="shared" si="107"/>
        <v>Normal</v>
      </c>
      <c r="AE1130" s="2"/>
      <c r="AF1130" s="2"/>
    </row>
    <row r="1131" spans="1:32" x14ac:dyDescent="0.35">
      <c r="A1131">
        <v>1130</v>
      </c>
      <c r="B1131" s="1">
        <v>42711</v>
      </c>
      <c r="C1131" s="9" t="s">
        <v>2021</v>
      </c>
      <c r="D1131" s="9" t="s">
        <v>4988</v>
      </c>
      <c r="E1131" s="9" t="s">
        <v>6598</v>
      </c>
      <c r="F1131" s="9" t="s">
        <v>15</v>
      </c>
      <c r="G1131" s="9" t="s">
        <v>2022</v>
      </c>
      <c r="H1131" s="9" t="s">
        <v>86</v>
      </c>
      <c r="I1131" s="11">
        <v>18429897</v>
      </c>
      <c r="J1131" s="11">
        <v>2045898</v>
      </c>
      <c r="K1131" s="11">
        <v>10153449</v>
      </c>
      <c r="L1131" s="3">
        <v>372</v>
      </c>
      <c r="M1131" s="3">
        <v>653</v>
      </c>
      <c r="N1131" s="3">
        <v>1905973</v>
      </c>
      <c r="O1131" s="2">
        <v>-0.6</v>
      </c>
      <c r="P1131" s="2">
        <v>0.69099999999999995</v>
      </c>
      <c r="Q1131" s="2">
        <v>-1.4999999999999999E-2</v>
      </c>
      <c r="R1131" s="11">
        <v>315619176</v>
      </c>
      <c r="S1131" s="11">
        <v>1057990</v>
      </c>
      <c r="T1131">
        <v>2016</v>
      </c>
      <c r="U1131">
        <v>12</v>
      </c>
      <c r="V1131">
        <f t="shared" si="102"/>
        <v>600000</v>
      </c>
      <c r="W1131">
        <f t="shared" si="103"/>
        <v>18429897</v>
      </c>
      <c r="X1131">
        <f t="shared" si="104"/>
        <v>17829897</v>
      </c>
      <c r="Y1131">
        <f t="shared" si="105"/>
        <v>-26144845.5</v>
      </c>
      <c r="Z1131">
        <f t="shared" si="106"/>
        <v>45174742.5</v>
      </c>
      <c r="AA1131" t="str">
        <f t="shared" si="107"/>
        <v>Normal</v>
      </c>
      <c r="AE1131" s="2"/>
      <c r="AF1131" s="2"/>
    </row>
    <row r="1132" spans="1:32" x14ac:dyDescent="0.35">
      <c r="A1132">
        <v>1131</v>
      </c>
      <c r="B1132" s="1">
        <v>42711</v>
      </c>
      <c r="C1132" s="9" t="s">
        <v>415</v>
      </c>
      <c r="D1132" s="9" t="s">
        <v>4988</v>
      </c>
      <c r="E1132" s="9" t="s">
        <v>6599</v>
      </c>
      <c r="F1132" s="9" t="s">
        <v>27</v>
      </c>
      <c r="G1132" s="9" t="s">
        <v>2023</v>
      </c>
      <c r="H1132" s="9" t="s">
        <v>105</v>
      </c>
      <c r="I1132" s="11">
        <v>9000000</v>
      </c>
      <c r="J1132" s="11">
        <v>3357612</v>
      </c>
      <c r="K1132" s="11">
        <v>11767128</v>
      </c>
      <c r="L1132" s="3">
        <v>34</v>
      </c>
      <c r="M1132" s="3">
        <v>2798</v>
      </c>
      <c r="N1132" s="3">
        <v>809526</v>
      </c>
      <c r="O1132" s="2">
        <v>0.14800000000000002</v>
      </c>
      <c r="P1132" s="2">
        <v>0.41399999999999998</v>
      </c>
      <c r="Q1132" s="2">
        <v>-0.17499999999999999</v>
      </c>
      <c r="R1132" s="11">
        <v>76189327</v>
      </c>
      <c r="S1132" s="11">
        <v>972000</v>
      </c>
      <c r="T1132">
        <v>2016</v>
      </c>
      <c r="U1132">
        <v>12</v>
      </c>
      <c r="V1132">
        <f t="shared" si="102"/>
        <v>600000</v>
      </c>
      <c r="W1132">
        <f t="shared" si="103"/>
        <v>18429897</v>
      </c>
      <c r="X1132">
        <f t="shared" si="104"/>
        <v>17829897</v>
      </c>
      <c r="Y1132">
        <f t="shared" si="105"/>
        <v>-26144845.5</v>
      </c>
      <c r="Z1132">
        <f t="shared" si="106"/>
        <v>45174742.5</v>
      </c>
      <c r="AA1132" t="str">
        <f t="shared" si="107"/>
        <v>Normal</v>
      </c>
      <c r="AE1132" s="2"/>
      <c r="AF1132" s="2"/>
    </row>
    <row r="1133" spans="1:32" x14ac:dyDescent="0.35">
      <c r="A1133">
        <v>1132</v>
      </c>
      <c r="B1133" s="1">
        <v>42711</v>
      </c>
      <c r="C1133" s="9" t="s">
        <v>2024</v>
      </c>
      <c r="D1133" s="9" t="s">
        <v>4988</v>
      </c>
      <c r="E1133" s="9" t="s">
        <v>6600</v>
      </c>
      <c r="F1133" s="9" t="s">
        <v>15</v>
      </c>
      <c r="G1133" s="9" t="s">
        <v>4846</v>
      </c>
      <c r="H1133" s="9" t="s">
        <v>86</v>
      </c>
      <c r="I1133" s="11">
        <v>440000</v>
      </c>
      <c r="J1133" s="11">
        <v>3976324</v>
      </c>
      <c r="K1133" s="11">
        <v>4894759</v>
      </c>
      <c r="L1133" s="3">
        <v>127</v>
      </c>
      <c r="M1133" s="3">
        <v>3655</v>
      </c>
      <c r="N1133" s="3">
        <v>691361</v>
      </c>
      <c r="O1133" s="2">
        <v>1.6E-2</v>
      </c>
      <c r="P1133" s="2">
        <v>1.1359999999999999</v>
      </c>
      <c r="Q1133" s="2">
        <v>-9.1999999999999998E-2</v>
      </c>
      <c r="R1133" s="11">
        <v>250264963</v>
      </c>
      <c r="S1133" s="11">
        <v>756473</v>
      </c>
      <c r="T1133">
        <v>2016</v>
      </c>
      <c r="U1133">
        <v>12</v>
      </c>
      <c r="V1133">
        <f t="shared" si="102"/>
        <v>600000</v>
      </c>
      <c r="W1133">
        <f t="shared" si="103"/>
        <v>18429897</v>
      </c>
      <c r="X1133">
        <f t="shared" si="104"/>
        <v>17829897</v>
      </c>
      <c r="Y1133">
        <f t="shared" si="105"/>
        <v>-26144845.5</v>
      </c>
      <c r="Z1133">
        <f t="shared" si="106"/>
        <v>45174742.5</v>
      </c>
      <c r="AA1133" t="str">
        <f t="shared" si="107"/>
        <v>Normal</v>
      </c>
      <c r="AE1133" s="2"/>
      <c r="AF1133" s="2"/>
    </row>
    <row r="1134" spans="1:32" x14ac:dyDescent="0.35">
      <c r="A1134">
        <v>1133</v>
      </c>
      <c r="B1134" s="1">
        <v>42711</v>
      </c>
      <c r="C1134" s="9" t="s">
        <v>2025</v>
      </c>
      <c r="D1134" s="9" t="s">
        <v>4930</v>
      </c>
      <c r="E1134" s="9" t="s">
        <v>6601</v>
      </c>
      <c r="F1134" s="9" t="s">
        <v>15</v>
      </c>
      <c r="G1134" s="9" t="s">
        <v>2026</v>
      </c>
      <c r="H1134" s="9" t="s">
        <v>86</v>
      </c>
      <c r="I1134" s="11">
        <v>18429897</v>
      </c>
      <c r="J1134" s="11">
        <v>3819257</v>
      </c>
      <c r="K1134" s="11">
        <v>10300352</v>
      </c>
      <c r="L1134" s="3">
        <v>448</v>
      </c>
      <c r="M1134" s="3">
        <v>2996</v>
      </c>
      <c r="N1134" s="3">
        <v>1427957</v>
      </c>
      <c r="O1134" s="2">
        <v>0.32799999999999996</v>
      </c>
      <c r="P1134" s="2">
        <v>0.92400000000000004</v>
      </c>
      <c r="Q1134" s="2">
        <v>0.26600000000000001</v>
      </c>
      <c r="R1134" s="11">
        <v>210091640</v>
      </c>
      <c r="S1134" s="11">
        <v>689628</v>
      </c>
      <c r="T1134">
        <v>2016</v>
      </c>
      <c r="U1134">
        <v>12</v>
      </c>
      <c r="V1134">
        <f t="shared" si="102"/>
        <v>600000</v>
      </c>
      <c r="W1134">
        <f t="shared" si="103"/>
        <v>18429897</v>
      </c>
      <c r="X1134">
        <f t="shared" si="104"/>
        <v>17829897</v>
      </c>
      <c r="Y1134">
        <f t="shared" si="105"/>
        <v>-26144845.5</v>
      </c>
      <c r="Z1134">
        <f t="shared" si="106"/>
        <v>45174742.5</v>
      </c>
      <c r="AA1134" t="str">
        <f t="shared" si="107"/>
        <v>Normal</v>
      </c>
      <c r="AE1134" s="2"/>
      <c r="AF1134" s="2"/>
    </row>
    <row r="1135" spans="1:32" x14ac:dyDescent="0.35">
      <c r="A1135">
        <v>1134</v>
      </c>
      <c r="B1135" s="1">
        <v>42712</v>
      </c>
      <c r="C1135" s="9" t="s">
        <v>2027</v>
      </c>
      <c r="D1135" s="9" t="s">
        <v>4988</v>
      </c>
      <c r="E1135" s="9" t="s">
        <v>5187</v>
      </c>
      <c r="F1135" s="9" t="s">
        <v>31</v>
      </c>
      <c r="G1135" s="9" t="s">
        <v>2028</v>
      </c>
      <c r="H1135" s="9" t="s">
        <v>105</v>
      </c>
      <c r="I1135" s="11">
        <v>6500000</v>
      </c>
      <c r="J1135" s="11">
        <v>3076875</v>
      </c>
      <c r="K1135" s="11">
        <v>15302018</v>
      </c>
      <c r="L1135" s="3">
        <v>441</v>
      </c>
      <c r="M1135" s="3">
        <v>4067</v>
      </c>
      <c r="N1135" s="3">
        <v>1503300</v>
      </c>
      <c r="O1135" s="2">
        <v>7.0000000000000007E-2</v>
      </c>
      <c r="P1135" s="2">
        <v>0.373</v>
      </c>
      <c r="Q1135" s="2">
        <v>-7.4999999999999997E-2</v>
      </c>
      <c r="R1135" s="11">
        <v>114932629</v>
      </c>
      <c r="S1135" s="11">
        <v>1061614</v>
      </c>
      <c r="T1135">
        <v>2016</v>
      </c>
      <c r="U1135">
        <v>12</v>
      </c>
      <c r="V1135">
        <f t="shared" si="102"/>
        <v>600000</v>
      </c>
      <c r="W1135">
        <f t="shared" si="103"/>
        <v>18429897</v>
      </c>
      <c r="X1135">
        <f t="shared" si="104"/>
        <v>17829897</v>
      </c>
      <c r="Y1135">
        <f t="shared" si="105"/>
        <v>-26144845.5</v>
      </c>
      <c r="Z1135">
        <f t="shared" si="106"/>
        <v>45174742.5</v>
      </c>
      <c r="AA1135" t="str">
        <f t="shared" si="107"/>
        <v>Normal</v>
      </c>
      <c r="AE1135" s="2"/>
      <c r="AF1135" s="2"/>
    </row>
    <row r="1136" spans="1:32" x14ac:dyDescent="0.35">
      <c r="A1136">
        <v>1135</v>
      </c>
      <c r="B1136" s="1">
        <v>42712</v>
      </c>
      <c r="C1136" s="9" t="s">
        <v>2029</v>
      </c>
      <c r="D1136" s="9" t="s">
        <v>4988</v>
      </c>
      <c r="E1136" s="9" t="s">
        <v>6602</v>
      </c>
      <c r="F1136" s="9" t="s">
        <v>19</v>
      </c>
      <c r="G1136" s="9" t="s">
        <v>329</v>
      </c>
      <c r="H1136" s="9" t="s">
        <v>86</v>
      </c>
      <c r="I1136" s="11">
        <v>250000</v>
      </c>
      <c r="J1136" s="11">
        <v>309380</v>
      </c>
      <c r="K1136" s="11">
        <v>3645341</v>
      </c>
      <c r="L1136" s="3">
        <v>209</v>
      </c>
      <c r="M1136" s="3">
        <v>3649</v>
      </c>
      <c r="N1136" s="3">
        <v>1416616</v>
      </c>
      <c r="O1136" s="2">
        <v>0.30099999999999999</v>
      </c>
      <c r="P1136" s="2">
        <v>0.49</v>
      </c>
      <c r="Q1136" s="2">
        <v>0.47899999999999998</v>
      </c>
      <c r="R1136" s="11">
        <v>288514514</v>
      </c>
      <c r="S1136" s="11">
        <v>579614</v>
      </c>
      <c r="T1136">
        <v>2016</v>
      </c>
      <c r="U1136">
        <v>12</v>
      </c>
      <c r="V1136">
        <f t="shared" si="102"/>
        <v>600000</v>
      </c>
      <c r="W1136">
        <f t="shared" si="103"/>
        <v>18429897</v>
      </c>
      <c r="X1136">
        <f t="shared" si="104"/>
        <v>17829897</v>
      </c>
      <c r="Y1136">
        <f t="shared" si="105"/>
        <v>-26144845.5</v>
      </c>
      <c r="Z1136">
        <f t="shared" si="106"/>
        <v>45174742.5</v>
      </c>
      <c r="AA1136" t="str">
        <f t="shared" si="107"/>
        <v>Normal</v>
      </c>
      <c r="AE1136" s="2"/>
      <c r="AF1136" s="2"/>
    </row>
    <row r="1137" spans="1:32" x14ac:dyDescent="0.35">
      <c r="A1137">
        <v>1136</v>
      </c>
      <c r="B1137" s="1">
        <v>42713</v>
      </c>
      <c r="C1137" s="9" t="s">
        <v>2030</v>
      </c>
      <c r="D1137" s="9" t="s">
        <v>4925</v>
      </c>
      <c r="E1137" s="9" t="s">
        <v>6603</v>
      </c>
      <c r="F1137" s="9" t="s">
        <v>27</v>
      </c>
      <c r="G1137" s="9" t="s">
        <v>2031</v>
      </c>
      <c r="H1137" s="9" t="s">
        <v>105</v>
      </c>
      <c r="I1137" s="11">
        <v>6000000</v>
      </c>
      <c r="J1137" s="11">
        <v>3630248</v>
      </c>
      <c r="K1137" s="11">
        <v>14226437</v>
      </c>
      <c r="L1137" s="3">
        <v>82</v>
      </c>
      <c r="M1137" s="3">
        <v>226</v>
      </c>
      <c r="N1137" s="3">
        <v>1279724</v>
      </c>
      <c r="O1137" s="2">
        <v>0.04</v>
      </c>
      <c r="P1137" s="2">
        <v>1.0529999999999999E-2</v>
      </c>
      <c r="Q1137" s="2">
        <v>0.26</v>
      </c>
      <c r="R1137" s="11">
        <v>472021980</v>
      </c>
      <c r="S1137" s="11">
        <v>660819</v>
      </c>
      <c r="T1137">
        <v>2016</v>
      </c>
      <c r="U1137">
        <v>12</v>
      </c>
      <c r="V1137">
        <f t="shared" si="102"/>
        <v>600000</v>
      </c>
      <c r="W1137">
        <f t="shared" si="103"/>
        <v>18429897</v>
      </c>
      <c r="X1137">
        <f t="shared" si="104"/>
        <v>17829897</v>
      </c>
      <c r="Y1137">
        <f t="shared" si="105"/>
        <v>-26144845.5</v>
      </c>
      <c r="Z1137">
        <f t="shared" si="106"/>
        <v>45174742.5</v>
      </c>
      <c r="AA1137" t="str">
        <f t="shared" si="107"/>
        <v>Normal</v>
      </c>
      <c r="AE1137" s="2"/>
      <c r="AF1137" s="2"/>
    </row>
    <row r="1138" spans="1:32" x14ac:dyDescent="0.35">
      <c r="A1138">
        <v>1137</v>
      </c>
      <c r="B1138" s="1">
        <v>42713</v>
      </c>
      <c r="C1138" s="9" t="s">
        <v>368</v>
      </c>
      <c r="D1138" s="9" t="s">
        <v>4925</v>
      </c>
      <c r="E1138" s="9" t="s">
        <v>6604</v>
      </c>
      <c r="F1138" s="9" t="s">
        <v>31</v>
      </c>
      <c r="G1138" s="9" t="s">
        <v>2032</v>
      </c>
      <c r="H1138" s="9" t="s">
        <v>105</v>
      </c>
      <c r="I1138" s="11">
        <v>18429897</v>
      </c>
      <c r="J1138" s="11">
        <v>1845709</v>
      </c>
      <c r="K1138" s="11">
        <v>6010903</v>
      </c>
      <c r="L1138" s="3">
        <v>152</v>
      </c>
      <c r="M1138" s="3">
        <v>1035</v>
      </c>
      <c r="N1138" s="3">
        <v>271642</v>
      </c>
      <c r="O1138" s="2">
        <v>0.56899999999999995</v>
      </c>
      <c r="P1138" s="2">
        <v>0.50800000000000001</v>
      </c>
      <c r="Q1138" s="2">
        <v>0.315</v>
      </c>
      <c r="R1138" s="11">
        <v>302749258</v>
      </c>
      <c r="S1138" s="11">
        <v>1470836</v>
      </c>
      <c r="T1138">
        <v>2016</v>
      </c>
      <c r="U1138">
        <v>12</v>
      </c>
      <c r="V1138">
        <f t="shared" si="102"/>
        <v>600000</v>
      </c>
      <c r="W1138">
        <f t="shared" si="103"/>
        <v>18429897</v>
      </c>
      <c r="X1138">
        <f t="shared" si="104"/>
        <v>17829897</v>
      </c>
      <c r="Y1138">
        <f t="shared" si="105"/>
        <v>-26144845.5</v>
      </c>
      <c r="Z1138">
        <f t="shared" si="106"/>
        <v>45174742.5</v>
      </c>
      <c r="AA1138" t="str">
        <f t="shared" si="107"/>
        <v>Normal</v>
      </c>
      <c r="AE1138" s="2"/>
      <c r="AF1138" s="2"/>
    </row>
    <row r="1139" spans="1:32" x14ac:dyDescent="0.35">
      <c r="A1139">
        <v>1138</v>
      </c>
      <c r="B1139" s="1">
        <v>42713</v>
      </c>
      <c r="C1139" s="9" t="s">
        <v>2033</v>
      </c>
      <c r="D1139" s="9" t="s">
        <v>4930</v>
      </c>
      <c r="E1139" s="9" t="s">
        <v>6605</v>
      </c>
      <c r="F1139" s="9" t="s">
        <v>15</v>
      </c>
      <c r="G1139" s="9" t="s">
        <v>236</v>
      </c>
      <c r="H1139" s="9" t="s">
        <v>86</v>
      </c>
      <c r="I1139" s="11">
        <v>450000</v>
      </c>
      <c r="J1139" s="11">
        <v>3723463</v>
      </c>
      <c r="K1139" s="11">
        <v>10153449</v>
      </c>
      <c r="L1139" s="3">
        <v>474</v>
      </c>
      <c r="M1139" s="3">
        <v>3190</v>
      </c>
      <c r="N1139" s="3">
        <v>524502</v>
      </c>
      <c r="O1139" s="2">
        <v>1.6E-2</v>
      </c>
      <c r="P1139" s="2">
        <v>0.55600000000000005</v>
      </c>
      <c r="Q1139" s="2">
        <v>-0.5</v>
      </c>
      <c r="R1139" s="11">
        <v>6009442</v>
      </c>
      <c r="S1139" s="11">
        <v>1548331</v>
      </c>
      <c r="T1139">
        <v>2016</v>
      </c>
      <c r="U1139">
        <v>12</v>
      </c>
      <c r="V1139">
        <f t="shared" si="102"/>
        <v>600000</v>
      </c>
      <c r="W1139">
        <f t="shared" si="103"/>
        <v>18429897</v>
      </c>
      <c r="X1139">
        <f t="shared" si="104"/>
        <v>17829897</v>
      </c>
      <c r="Y1139">
        <f t="shared" si="105"/>
        <v>-26144845.5</v>
      </c>
      <c r="Z1139">
        <f t="shared" si="106"/>
        <v>45174742.5</v>
      </c>
      <c r="AA1139" t="str">
        <f t="shared" si="107"/>
        <v>Normal</v>
      </c>
      <c r="AE1139" s="2"/>
      <c r="AF1139" s="2"/>
    </row>
    <row r="1140" spans="1:32" x14ac:dyDescent="0.35">
      <c r="A1140">
        <v>1139</v>
      </c>
      <c r="B1140" s="1">
        <v>42713</v>
      </c>
      <c r="C1140" s="9" t="s">
        <v>2034</v>
      </c>
      <c r="D1140" s="9" t="s">
        <v>4930</v>
      </c>
      <c r="E1140" s="9" t="s">
        <v>5149</v>
      </c>
      <c r="F1140" s="9" t="s">
        <v>294</v>
      </c>
      <c r="G1140" s="9" t="s">
        <v>2035</v>
      </c>
      <c r="H1140" s="9" t="s">
        <v>86</v>
      </c>
      <c r="I1140" s="11">
        <v>250000</v>
      </c>
      <c r="J1140" s="11">
        <v>2706846</v>
      </c>
      <c r="K1140" s="11">
        <v>11582214</v>
      </c>
      <c r="L1140" s="3">
        <v>338</v>
      </c>
      <c r="M1140" s="3">
        <v>1834</v>
      </c>
      <c r="N1140" s="3">
        <v>113257</v>
      </c>
      <c r="O1140" s="2">
        <v>0.19500000000000001</v>
      </c>
      <c r="P1140" s="2">
        <v>0.79799999999999993</v>
      </c>
      <c r="Q1140" s="2">
        <v>-5.5E-2</v>
      </c>
      <c r="R1140" s="11">
        <v>250264963</v>
      </c>
      <c r="S1140" s="11">
        <v>1091009</v>
      </c>
      <c r="T1140">
        <v>2016</v>
      </c>
      <c r="U1140">
        <v>12</v>
      </c>
      <c r="V1140">
        <f t="shared" si="102"/>
        <v>600000</v>
      </c>
      <c r="W1140">
        <f t="shared" si="103"/>
        <v>18429897</v>
      </c>
      <c r="X1140">
        <f t="shared" si="104"/>
        <v>17829897</v>
      </c>
      <c r="Y1140">
        <f t="shared" si="105"/>
        <v>-26144845.5</v>
      </c>
      <c r="Z1140">
        <f t="shared" si="106"/>
        <v>45174742.5</v>
      </c>
      <c r="AA1140" t="str">
        <f t="shared" si="107"/>
        <v>Normal</v>
      </c>
      <c r="AE1140" s="2"/>
      <c r="AF1140" s="2"/>
    </row>
    <row r="1141" spans="1:32" x14ac:dyDescent="0.35">
      <c r="A1141">
        <v>1140</v>
      </c>
      <c r="B1141" s="1">
        <v>42716</v>
      </c>
      <c r="C1141" s="9" t="s">
        <v>2036</v>
      </c>
      <c r="D1141" s="9" t="s">
        <v>4930</v>
      </c>
      <c r="E1141" s="9" t="s">
        <v>6606</v>
      </c>
      <c r="F1141" s="9" t="s">
        <v>15</v>
      </c>
      <c r="G1141" s="9" t="s">
        <v>2037</v>
      </c>
      <c r="H1141" s="9" t="s">
        <v>105</v>
      </c>
      <c r="I1141" s="11">
        <v>10000000</v>
      </c>
      <c r="J1141" s="11">
        <v>4408305</v>
      </c>
      <c r="K1141" s="11">
        <v>12549101</v>
      </c>
      <c r="L1141" s="3">
        <v>42</v>
      </c>
      <c r="M1141" s="3">
        <v>1815</v>
      </c>
      <c r="N1141" s="3">
        <v>779713</v>
      </c>
      <c r="O1141" s="2">
        <v>0.11800000000000001</v>
      </c>
      <c r="P1141" s="2">
        <v>0.50800000000000001</v>
      </c>
      <c r="Q1141" s="2">
        <v>0.10800000000000001</v>
      </c>
      <c r="R1141" s="11">
        <v>119262318</v>
      </c>
      <c r="S1141" s="11">
        <v>1533819</v>
      </c>
      <c r="T1141">
        <v>2016</v>
      </c>
      <c r="U1141">
        <v>12</v>
      </c>
      <c r="V1141">
        <f t="shared" si="102"/>
        <v>600000</v>
      </c>
      <c r="W1141">
        <f t="shared" si="103"/>
        <v>18429897</v>
      </c>
      <c r="X1141">
        <f t="shared" si="104"/>
        <v>17829897</v>
      </c>
      <c r="Y1141">
        <f t="shared" si="105"/>
        <v>-26144845.5</v>
      </c>
      <c r="Z1141">
        <f t="shared" si="106"/>
        <v>45174742.5</v>
      </c>
      <c r="AA1141" t="str">
        <f t="shared" si="107"/>
        <v>Normal</v>
      </c>
      <c r="AE1141" s="2"/>
      <c r="AF1141" s="2"/>
    </row>
    <row r="1142" spans="1:32" x14ac:dyDescent="0.35">
      <c r="A1142">
        <v>1141</v>
      </c>
      <c r="B1142" s="1">
        <v>42716</v>
      </c>
      <c r="C1142" s="9" t="s">
        <v>2038</v>
      </c>
      <c r="D1142" s="9" t="s">
        <v>4988</v>
      </c>
      <c r="E1142" s="9" t="s">
        <v>5901</v>
      </c>
      <c r="F1142" s="9" t="s">
        <v>27</v>
      </c>
      <c r="G1142" s="9" t="s">
        <v>856</v>
      </c>
      <c r="H1142" s="9" t="s">
        <v>86</v>
      </c>
      <c r="I1142" s="11">
        <v>200000</v>
      </c>
      <c r="J1142" s="11">
        <v>1705513</v>
      </c>
      <c r="K1142" s="11">
        <v>13142378</v>
      </c>
      <c r="L1142" s="3">
        <v>360</v>
      </c>
      <c r="M1142" s="3">
        <v>4567</v>
      </c>
      <c r="N1142" s="3">
        <v>1684003</v>
      </c>
      <c r="O1142" s="2">
        <v>0.111</v>
      </c>
      <c r="P1142" s="2">
        <v>1.111</v>
      </c>
      <c r="Q1142" s="2">
        <v>-0.19699999999999998</v>
      </c>
      <c r="R1142" s="11">
        <v>331118148</v>
      </c>
      <c r="S1142" s="11">
        <v>228376</v>
      </c>
      <c r="T1142">
        <v>2016</v>
      </c>
      <c r="U1142">
        <v>12</v>
      </c>
      <c r="V1142">
        <f t="shared" si="102"/>
        <v>600000</v>
      </c>
      <c r="W1142">
        <f t="shared" si="103"/>
        <v>18429897</v>
      </c>
      <c r="X1142">
        <f t="shared" si="104"/>
        <v>17829897</v>
      </c>
      <c r="Y1142">
        <f t="shared" si="105"/>
        <v>-26144845.5</v>
      </c>
      <c r="Z1142">
        <f t="shared" si="106"/>
        <v>45174742.5</v>
      </c>
      <c r="AA1142" t="str">
        <f t="shared" si="107"/>
        <v>Normal</v>
      </c>
      <c r="AE1142" s="2"/>
      <c r="AF1142" s="2"/>
    </row>
    <row r="1143" spans="1:32" x14ac:dyDescent="0.35">
      <c r="A1143">
        <v>1142</v>
      </c>
      <c r="B1143" s="1">
        <v>42716</v>
      </c>
      <c r="C1143" s="9" t="s">
        <v>2039</v>
      </c>
      <c r="D1143" s="9" t="s">
        <v>4988</v>
      </c>
      <c r="E1143" s="9" t="s">
        <v>6607</v>
      </c>
      <c r="F1143" s="9" t="s">
        <v>19</v>
      </c>
      <c r="G1143" s="9" t="s">
        <v>1357</v>
      </c>
      <c r="H1143" s="9" t="s">
        <v>105</v>
      </c>
      <c r="I1143" s="11">
        <v>2000000</v>
      </c>
      <c r="J1143" s="11">
        <v>4658343</v>
      </c>
      <c r="K1143" s="11">
        <v>3986220</v>
      </c>
      <c r="L1143" s="3">
        <v>254</v>
      </c>
      <c r="M1143" s="3">
        <v>493</v>
      </c>
      <c r="N1143" s="3">
        <v>447476</v>
      </c>
      <c r="O1143" s="2">
        <v>0.17699999999999999</v>
      </c>
      <c r="P1143" s="2">
        <v>1.0740000000000001</v>
      </c>
      <c r="Q1143" s="2">
        <v>0.218</v>
      </c>
      <c r="R1143" s="11">
        <v>165517938</v>
      </c>
      <c r="S1143" s="11">
        <v>1733662</v>
      </c>
      <c r="T1143">
        <v>2016</v>
      </c>
      <c r="U1143">
        <v>12</v>
      </c>
      <c r="V1143">
        <f t="shared" si="102"/>
        <v>600000</v>
      </c>
      <c r="W1143">
        <f t="shared" si="103"/>
        <v>18429897</v>
      </c>
      <c r="X1143">
        <f t="shared" si="104"/>
        <v>17829897</v>
      </c>
      <c r="Y1143">
        <f t="shared" si="105"/>
        <v>-26144845.5</v>
      </c>
      <c r="Z1143">
        <f t="shared" si="106"/>
        <v>45174742.5</v>
      </c>
      <c r="AA1143" t="str">
        <f t="shared" si="107"/>
        <v>Normal</v>
      </c>
      <c r="AE1143" s="2"/>
      <c r="AF1143" s="2"/>
    </row>
    <row r="1144" spans="1:32" x14ac:dyDescent="0.35">
      <c r="A1144">
        <v>1143</v>
      </c>
      <c r="B1144" s="1">
        <v>42716</v>
      </c>
      <c r="C1144" s="9" t="s">
        <v>707</v>
      </c>
      <c r="D1144" s="9" t="s">
        <v>4988</v>
      </c>
      <c r="E1144" s="9" t="s">
        <v>6608</v>
      </c>
      <c r="F1144" s="9" t="s">
        <v>15</v>
      </c>
      <c r="G1144" s="9" t="s">
        <v>2040</v>
      </c>
      <c r="H1144" s="9" t="s">
        <v>86</v>
      </c>
      <c r="I1144" s="11">
        <v>18429897</v>
      </c>
      <c r="J1144" s="11">
        <v>4225504</v>
      </c>
      <c r="K1144" s="11">
        <v>11634311</v>
      </c>
      <c r="L1144" s="3">
        <v>155</v>
      </c>
      <c r="M1144" s="3">
        <v>2637</v>
      </c>
      <c r="N1144" s="3">
        <v>1401731</v>
      </c>
      <c r="O1144" s="2">
        <v>0.13200000000000001</v>
      </c>
      <c r="P1144" s="2">
        <v>0.36</v>
      </c>
      <c r="Q1144" s="2">
        <v>0.32900000000000001</v>
      </c>
      <c r="R1144" s="11">
        <v>250264963</v>
      </c>
      <c r="S1144" s="11">
        <v>1008193.5</v>
      </c>
      <c r="T1144">
        <v>2016</v>
      </c>
      <c r="U1144">
        <v>12</v>
      </c>
      <c r="V1144">
        <f t="shared" si="102"/>
        <v>600000</v>
      </c>
      <c r="W1144">
        <f t="shared" si="103"/>
        <v>18429897</v>
      </c>
      <c r="X1144">
        <f t="shared" si="104"/>
        <v>17829897</v>
      </c>
      <c r="Y1144">
        <f t="shared" si="105"/>
        <v>-26144845.5</v>
      </c>
      <c r="Z1144">
        <f t="shared" si="106"/>
        <v>45174742.5</v>
      </c>
      <c r="AA1144" t="str">
        <f t="shared" si="107"/>
        <v>Normal</v>
      </c>
      <c r="AE1144" s="2"/>
      <c r="AF1144" s="2"/>
    </row>
    <row r="1145" spans="1:32" x14ac:dyDescent="0.35">
      <c r="A1145">
        <v>1144</v>
      </c>
      <c r="B1145" s="1">
        <v>42716</v>
      </c>
      <c r="C1145" s="9" t="s">
        <v>2041</v>
      </c>
      <c r="D1145" s="9" t="s">
        <v>4939</v>
      </c>
      <c r="E1145" s="9" t="s">
        <v>6609</v>
      </c>
      <c r="F1145" s="9" t="s">
        <v>27</v>
      </c>
      <c r="G1145" s="9" t="s">
        <v>2042</v>
      </c>
      <c r="H1145" s="9" t="s">
        <v>86</v>
      </c>
      <c r="I1145" s="11">
        <v>2000000</v>
      </c>
      <c r="J1145" s="11">
        <v>1668912</v>
      </c>
      <c r="K1145" s="11">
        <v>5346191</v>
      </c>
      <c r="L1145" s="3">
        <v>243</v>
      </c>
      <c r="M1145" s="3">
        <v>1592</v>
      </c>
      <c r="N1145" s="3">
        <v>841727</v>
      </c>
      <c r="O1145" s="2">
        <v>0.16399999999999998</v>
      </c>
      <c r="P1145" s="2">
        <v>0.877</v>
      </c>
      <c r="Q1145" s="2">
        <v>-7.2999999999999995E-2</v>
      </c>
      <c r="R1145" s="11">
        <v>389087164</v>
      </c>
      <c r="S1145" s="11">
        <v>848506</v>
      </c>
      <c r="T1145">
        <v>2016</v>
      </c>
      <c r="U1145">
        <v>12</v>
      </c>
      <c r="V1145">
        <f t="shared" si="102"/>
        <v>600000</v>
      </c>
      <c r="W1145">
        <f t="shared" si="103"/>
        <v>18429897</v>
      </c>
      <c r="X1145">
        <f t="shared" si="104"/>
        <v>17829897</v>
      </c>
      <c r="Y1145">
        <f t="shared" si="105"/>
        <v>-26144845.5</v>
      </c>
      <c r="Z1145">
        <f t="shared" si="106"/>
        <v>45174742.5</v>
      </c>
      <c r="AA1145" t="str">
        <f t="shared" si="107"/>
        <v>Normal</v>
      </c>
      <c r="AE1145" s="2"/>
      <c r="AF1145" s="2"/>
    </row>
    <row r="1146" spans="1:32" x14ac:dyDescent="0.35">
      <c r="A1146">
        <v>1145</v>
      </c>
      <c r="B1146" s="1">
        <v>42717</v>
      </c>
      <c r="C1146" s="9" t="s">
        <v>2043</v>
      </c>
      <c r="D1146" s="9" t="s">
        <v>4988</v>
      </c>
      <c r="E1146" s="9" t="s">
        <v>1111</v>
      </c>
      <c r="F1146" s="9" t="s">
        <v>19</v>
      </c>
      <c r="G1146" s="9" t="s">
        <v>721</v>
      </c>
      <c r="H1146" s="9" t="s">
        <v>105</v>
      </c>
      <c r="I1146" s="11">
        <v>10000000</v>
      </c>
      <c r="J1146" s="11">
        <v>2423211</v>
      </c>
      <c r="K1146" s="11">
        <v>5610712</v>
      </c>
      <c r="L1146" s="3">
        <v>179</v>
      </c>
      <c r="M1146" s="3">
        <v>306</v>
      </c>
      <c r="N1146" s="3">
        <v>350044</v>
      </c>
      <c r="O1146" s="2">
        <v>0.20199999999999999</v>
      </c>
      <c r="P1146" s="2">
        <v>1.038E-2</v>
      </c>
      <c r="Q1146" s="2">
        <v>0.27200000000000002</v>
      </c>
      <c r="R1146" s="11">
        <v>271294260</v>
      </c>
      <c r="S1146" s="11">
        <v>939475</v>
      </c>
      <c r="T1146">
        <v>2016</v>
      </c>
      <c r="U1146">
        <v>12</v>
      </c>
      <c r="V1146">
        <f t="shared" si="102"/>
        <v>600000</v>
      </c>
      <c r="W1146">
        <f t="shared" si="103"/>
        <v>18429897</v>
      </c>
      <c r="X1146">
        <f t="shared" si="104"/>
        <v>17829897</v>
      </c>
      <c r="Y1146">
        <f t="shared" si="105"/>
        <v>-26144845.5</v>
      </c>
      <c r="Z1146">
        <f t="shared" si="106"/>
        <v>45174742.5</v>
      </c>
      <c r="AA1146" t="str">
        <f t="shared" si="107"/>
        <v>Normal</v>
      </c>
      <c r="AE1146" s="2"/>
      <c r="AF1146" s="2"/>
    </row>
    <row r="1147" spans="1:32" x14ac:dyDescent="0.35">
      <c r="A1147">
        <v>1146</v>
      </c>
      <c r="B1147" s="1">
        <v>42717</v>
      </c>
      <c r="C1147" s="9" t="s">
        <v>2044</v>
      </c>
      <c r="D1147" s="9" t="s">
        <v>4928</v>
      </c>
      <c r="E1147" s="9" t="s">
        <v>6610</v>
      </c>
      <c r="F1147" s="9" t="s">
        <v>31</v>
      </c>
      <c r="G1147" s="9" t="s">
        <v>2045</v>
      </c>
      <c r="H1147" s="9" t="s">
        <v>86</v>
      </c>
      <c r="I1147" s="11">
        <v>18429897</v>
      </c>
      <c r="J1147" s="11">
        <v>2666113</v>
      </c>
      <c r="K1147" s="11">
        <v>18953421</v>
      </c>
      <c r="L1147" s="3">
        <v>254</v>
      </c>
      <c r="M1147" s="3">
        <v>1906</v>
      </c>
      <c r="N1147" s="3">
        <v>1018455</v>
      </c>
      <c r="O1147" s="2">
        <v>0.47</v>
      </c>
      <c r="P1147" s="2">
        <v>0.41099999999999998</v>
      </c>
      <c r="Q1147" s="2">
        <v>0.16399999999999998</v>
      </c>
      <c r="R1147" s="11">
        <v>453968797</v>
      </c>
      <c r="S1147" s="11">
        <v>786721</v>
      </c>
      <c r="T1147">
        <v>2016</v>
      </c>
      <c r="U1147">
        <v>12</v>
      </c>
      <c r="V1147">
        <f t="shared" si="102"/>
        <v>600000</v>
      </c>
      <c r="W1147">
        <f t="shared" si="103"/>
        <v>18429897</v>
      </c>
      <c r="X1147">
        <f t="shared" si="104"/>
        <v>17829897</v>
      </c>
      <c r="Y1147">
        <f t="shared" si="105"/>
        <v>-26144845.5</v>
      </c>
      <c r="Z1147">
        <f t="shared" si="106"/>
        <v>45174742.5</v>
      </c>
      <c r="AA1147" t="str">
        <f t="shared" si="107"/>
        <v>Normal</v>
      </c>
      <c r="AE1147" s="2"/>
      <c r="AF1147" s="2"/>
    </row>
    <row r="1148" spans="1:32" x14ac:dyDescent="0.35">
      <c r="A1148">
        <v>1147</v>
      </c>
      <c r="B1148" s="1">
        <v>42717</v>
      </c>
      <c r="C1148" s="9" t="s">
        <v>455</v>
      </c>
      <c r="D1148" s="9" t="s">
        <v>4925</v>
      </c>
      <c r="E1148" s="9" t="s">
        <v>6611</v>
      </c>
      <c r="F1148" s="9" t="s">
        <v>19</v>
      </c>
      <c r="G1148" s="9" t="s">
        <v>2046</v>
      </c>
      <c r="H1148" s="9" t="s">
        <v>105</v>
      </c>
      <c r="I1148" s="11">
        <v>11100000</v>
      </c>
      <c r="J1148" s="11">
        <v>3847765</v>
      </c>
      <c r="K1148" s="11">
        <v>2108339</v>
      </c>
      <c r="L1148" s="3">
        <v>82</v>
      </c>
      <c r="M1148" s="3">
        <v>2057</v>
      </c>
      <c r="N1148" s="3">
        <v>1360015</v>
      </c>
      <c r="O1148" s="2">
        <v>-0.433</v>
      </c>
      <c r="P1148" s="2">
        <v>1.0720000000000001</v>
      </c>
      <c r="Q1148" s="2">
        <v>0.379</v>
      </c>
      <c r="R1148" s="11">
        <v>352304955</v>
      </c>
      <c r="S1148" s="11">
        <v>73353</v>
      </c>
      <c r="T1148">
        <v>2016</v>
      </c>
      <c r="U1148">
        <v>12</v>
      </c>
      <c r="V1148">
        <f t="shared" si="102"/>
        <v>600000</v>
      </c>
      <c r="W1148">
        <f t="shared" si="103"/>
        <v>18429897</v>
      </c>
      <c r="X1148">
        <f t="shared" si="104"/>
        <v>17829897</v>
      </c>
      <c r="Y1148">
        <f t="shared" si="105"/>
        <v>-26144845.5</v>
      </c>
      <c r="Z1148">
        <f t="shared" si="106"/>
        <v>45174742.5</v>
      </c>
      <c r="AA1148" t="str">
        <f t="shared" si="107"/>
        <v>Normal</v>
      </c>
      <c r="AE1148" s="2"/>
      <c r="AF1148" s="2"/>
    </row>
    <row r="1149" spans="1:32" x14ac:dyDescent="0.35">
      <c r="A1149">
        <v>1148</v>
      </c>
      <c r="B1149" s="1">
        <v>42718</v>
      </c>
      <c r="C1149" s="9" t="s">
        <v>2047</v>
      </c>
      <c r="D1149" s="9" t="s">
        <v>4988</v>
      </c>
      <c r="E1149" s="9" t="s">
        <v>6612</v>
      </c>
      <c r="F1149" s="9" t="s">
        <v>27</v>
      </c>
      <c r="G1149" s="9" t="s">
        <v>2048</v>
      </c>
      <c r="H1149" s="9" t="s">
        <v>86</v>
      </c>
      <c r="I1149" s="11">
        <v>18429897</v>
      </c>
      <c r="J1149" s="11">
        <v>3452002</v>
      </c>
      <c r="K1149" s="11">
        <v>8322293</v>
      </c>
      <c r="L1149" s="3">
        <v>439</v>
      </c>
      <c r="M1149" s="3">
        <v>2300</v>
      </c>
      <c r="N1149" s="3">
        <v>1581655</v>
      </c>
      <c r="O1149" s="2">
        <v>0.48899999999999999</v>
      </c>
      <c r="P1149" s="2">
        <v>0.62</v>
      </c>
      <c r="Q1149" s="2">
        <v>0.51100000000000001</v>
      </c>
      <c r="R1149" s="11">
        <v>126627907</v>
      </c>
      <c r="S1149" s="11">
        <v>1526032</v>
      </c>
      <c r="T1149">
        <v>2016</v>
      </c>
      <c r="U1149">
        <v>12</v>
      </c>
      <c r="V1149">
        <f t="shared" si="102"/>
        <v>600000</v>
      </c>
      <c r="W1149">
        <f t="shared" si="103"/>
        <v>18429897</v>
      </c>
      <c r="X1149">
        <f t="shared" si="104"/>
        <v>17829897</v>
      </c>
      <c r="Y1149">
        <f t="shared" si="105"/>
        <v>-26144845.5</v>
      </c>
      <c r="Z1149">
        <f t="shared" si="106"/>
        <v>45174742.5</v>
      </c>
      <c r="AA1149" t="str">
        <f t="shared" si="107"/>
        <v>Normal</v>
      </c>
      <c r="AE1149" s="2"/>
      <c r="AF1149" s="2"/>
    </row>
    <row r="1150" spans="1:32" x14ac:dyDescent="0.35">
      <c r="A1150">
        <v>1149</v>
      </c>
      <c r="B1150" s="1">
        <v>42718</v>
      </c>
      <c r="C1150" s="9" t="s">
        <v>2049</v>
      </c>
      <c r="D1150" s="9" t="s">
        <v>4988</v>
      </c>
      <c r="E1150" s="9" t="s">
        <v>6613</v>
      </c>
      <c r="F1150" s="9" t="s">
        <v>19</v>
      </c>
      <c r="G1150" s="9" t="s">
        <v>2050</v>
      </c>
      <c r="H1150" s="9" t="s">
        <v>86</v>
      </c>
      <c r="I1150" s="11">
        <v>150000</v>
      </c>
      <c r="J1150" s="11">
        <v>4263037</v>
      </c>
      <c r="K1150" s="11">
        <v>8842000</v>
      </c>
      <c r="L1150" s="3">
        <v>298</v>
      </c>
      <c r="M1150" s="3">
        <v>2505.5</v>
      </c>
      <c r="N1150" s="3">
        <v>659003</v>
      </c>
      <c r="O1150" s="2">
        <v>0.63200000000000001</v>
      </c>
      <c r="P1150" s="2">
        <v>0.50800000000000001</v>
      </c>
      <c r="Q1150" s="2">
        <v>0.29499999999999998</v>
      </c>
      <c r="R1150" s="11">
        <v>178548284</v>
      </c>
      <c r="S1150" s="11">
        <v>260495</v>
      </c>
      <c r="T1150">
        <v>2016</v>
      </c>
      <c r="U1150">
        <v>12</v>
      </c>
      <c r="V1150">
        <f t="shared" si="102"/>
        <v>600000</v>
      </c>
      <c r="W1150">
        <f t="shared" si="103"/>
        <v>18429897</v>
      </c>
      <c r="X1150">
        <f t="shared" si="104"/>
        <v>17829897</v>
      </c>
      <c r="Y1150">
        <f t="shared" si="105"/>
        <v>-26144845.5</v>
      </c>
      <c r="Z1150">
        <f t="shared" si="106"/>
        <v>45174742.5</v>
      </c>
      <c r="AA1150" t="str">
        <f t="shared" si="107"/>
        <v>Normal</v>
      </c>
      <c r="AE1150" s="2"/>
      <c r="AF1150" s="2"/>
    </row>
    <row r="1151" spans="1:32" x14ac:dyDescent="0.35">
      <c r="A1151">
        <v>1150</v>
      </c>
      <c r="B1151" s="1">
        <v>42718</v>
      </c>
      <c r="C1151" s="9" t="s">
        <v>1459</v>
      </c>
      <c r="D1151" s="9" t="s">
        <v>4988</v>
      </c>
      <c r="E1151" s="9" t="s">
        <v>6614</v>
      </c>
      <c r="F1151" s="9" t="s">
        <v>27</v>
      </c>
      <c r="G1151" s="9" t="s">
        <v>236</v>
      </c>
      <c r="H1151" s="9" t="s">
        <v>86</v>
      </c>
      <c r="I1151" s="11">
        <v>1000000</v>
      </c>
      <c r="J1151" s="11">
        <v>1861941</v>
      </c>
      <c r="K1151" s="11">
        <v>4975253</v>
      </c>
      <c r="L1151" s="3">
        <v>156</v>
      </c>
      <c r="M1151" s="3">
        <v>3654</v>
      </c>
      <c r="N1151" s="3">
        <v>1835309</v>
      </c>
      <c r="O1151" s="2">
        <v>-0.23</v>
      </c>
      <c r="P1151" s="2">
        <v>1.184E-2</v>
      </c>
      <c r="Q1151" s="2">
        <v>8.5999999999999993E-2</v>
      </c>
      <c r="R1151" s="11">
        <v>292822350</v>
      </c>
      <c r="S1151" s="11">
        <v>1759936</v>
      </c>
      <c r="T1151">
        <v>2016</v>
      </c>
      <c r="U1151">
        <v>12</v>
      </c>
      <c r="V1151">
        <f t="shared" si="102"/>
        <v>600000</v>
      </c>
      <c r="W1151">
        <f t="shared" si="103"/>
        <v>18429897</v>
      </c>
      <c r="X1151">
        <f t="shared" si="104"/>
        <v>17829897</v>
      </c>
      <c r="Y1151">
        <f t="shared" si="105"/>
        <v>-26144845.5</v>
      </c>
      <c r="Z1151">
        <f t="shared" si="106"/>
        <v>45174742.5</v>
      </c>
      <c r="AA1151" t="str">
        <f t="shared" si="107"/>
        <v>Normal</v>
      </c>
      <c r="AE1151" s="2"/>
      <c r="AF1151" s="2"/>
    </row>
    <row r="1152" spans="1:32" x14ac:dyDescent="0.35">
      <c r="A1152">
        <v>1151</v>
      </c>
      <c r="B1152" s="1">
        <v>42718</v>
      </c>
      <c r="C1152" s="9" t="s">
        <v>2051</v>
      </c>
      <c r="D1152" s="9" t="s">
        <v>4930</v>
      </c>
      <c r="E1152" s="9" t="s">
        <v>6615</v>
      </c>
      <c r="F1152" s="9" t="s">
        <v>15</v>
      </c>
      <c r="G1152" s="9" t="s">
        <v>1501</v>
      </c>
      <c r="H1152" s="9" t="s">
        <v>86</v>
      </c>
      <c r="I1152" s="11">
        <v>18429897</v>
      </c>
      <c r="J1152" s="11">
        <v>2533861</v>
      </c>
      <c r="K1152" s="11">
        <v>15728738</v>
      </c>
      <c r="L1152" s="3">
        <v>478</v>
      </c>
      <c r="M1152" s="3">
        <v>2505.5</v>
      </c>
      <c r="N1152" s="3">
        <v>113602</v>
      </c>
      <c r="O1152" s="2">
        <v>0.13</v>
      </c>
      <c r="P1152" s="2">
        <v>0.88800000000000001</v>
      </c>
      <c r="Q1152" s="2">
        <v>0.40100000000000002</v>
      </c>
      <c r="R1152" s="11">
        <v>177507871</v>
      </c>
      <c r="S1152" s="11">
        <v>280575</v>
      </c>
      <c r="T1152">
        <v>2016</v>
      </c>
      <c r="U1152">
        <v>12</v>
      </c>
      <c r="V1152">
        <f t="shared" si="102"/>
        <v>600000</v>
      </c>
      <c r="W1152">
        <f t="shared" si="103"/>
        <v>18429897</v>
      </c>
      <c r="X1152">
        <f t="shared" si="104"/>
        <v>17829897</v>
      </c>
      <c r="Y1152">
        <f t="shared" si="105"/>
        <v>-26144845.5</v>
      </c>
      <c r="Z1152">
        <f t="shared" si="106"/>
        <v>45174742.5</v>
      </c>
      <c r="AA1152" t="str">
        <f t="shared" si="107"/>
        <v>Normal</v>
      </c>
      <c r="AE1152" s="2"/>
      <c r="AF1152" s="2"/>
    </row>
    <row r="1153" spans="1:32" x14ac:dyDescent="0.35">
      <c r="A1153">
        <v>1152</v>
      </c>
      <c r="B1153" s="1">
        <v>42718</v>
      </c>
      <c r="C1153" s="9" t="s">
        <v>2052</v>
      </c>
      <c r="D1153" s="9" t="s">
        <v>4930</v>
      </c>
      <c r="E1153" s="9" t="s">
        <v>2053</v>
      </c>
      <c r="F1153" s="9" t="s">
        <v>15</v>
      </c>
      <c r="G1153" s="9" t="s">
        <v>2054</v>
      </c>
      <c r="H1153" s="9" t="s">
        <v>86</v>
      </c>
      <c r="I1153" s="11">
        <v>18429897</v>
      </c>
      <c r="J1153" s="11">
        <v>2165706</v>
      </c>
      <c r="K1153" s="11">
        <v>9793454</v>
      </c>
      <c r="L1153" s="3">
        <v>241</v>
      </c>
      <c r="M1153" s="3">
        <v>2888</v>
      </c>
      <c r="N1153" s="3">
        <v>1149637</v>
      </c>
      <c r="O1153" s="2">
        <v>0.39399999999999996</v>
      </c>
      <c r="P1153" s="2">
        <v>0.49099999999999999</v>
      </c>
      <c r="Q1153" s="2">
        <v>0.11199999999999999</v>
      </c>
      <c r="R1153" s="11">
        <v>430608708</v>
      </c>
      <c r="S1153" s="11">
        <v>1269085</v>
      </c>
      <c r="T1153">
        <v>2016</v>
      </c>
      <c r="U1153">
        <v>12</v>
      </c>
      <c r="V1153">
        <f t="shared" si="102"/>
        <v>600000</v>
      </c>
      <c r="W1153">
        <f t="shared" si="103"/>
        <v>18429897</v>
      </c>
      <c r="X1153">
        <f t="shared" si="104"/>
        <v>17829897</v>
      </c>
      <c r="Y1153">
        <f t="shared" si="105"/>
        <v>-26144845.5</v>
      </c>
      <c r="Z1153">
        <f t="shared" si="106"/>
        <v>45174742.5</v>
      </c>
      <c r="AA1153" t="str">
        <f t="shared" si="107"/>
        <v>Normal</v>
      </c>
      <c r="AE1153" s="2"/>
      <c r="AF1153" s="2"/>
    </row>
    <row r="1154" spans="1:32" x14ac:dyDescent="0.35">
      <c r="A1154">
        <v>1153</v>
      </c>
      <c r="B1154" s="1">
        <v>42718</v>
      </c>
      <c r="C1154" s="9" t="s">
        <v>2055</v>
      </c>
      <c r="D1154" s="9" t="s">
        <v>4988</v>
      </c>
      <c r="E1154" s="9" t="s">
        <v>6616</v>
      </c>
      <c r="F1154" s="9" t="s">
        <v>310</v>
      </c>
      <c r="G1154" s="9" t="s">
        <v>2056</v>
      </c>
      <c r="H1154" s="9" t="s">
        <v>86</v>
      </c>
      <c r="I1154" s="11">
        <v>297000</v>
      </c>
      <c r="J1154" s="11">
        <v>4549570</v>
      </c>
      <c r="K1154" s="11">
        <v>14416168</v>
      </c>
      <c r="L1154" s="3">
        <v>211</v>
      </c>
      <c r="M1154" s="3">
        <v>2747</v>
      </c>
      <c r="N1154" s="3">
        <v>457602</v>
      </c>
      <c r="O1154" s="2">
        <v>0.30399999999999999</v>
      </c>
      <c r="P1154" s="2">
        <v>0.73</v>
      </c>
      <c r="Q1154" s="2">
        <v>3.4000000000000002E-2</v>
      </c>
      <c r="R1154" s="11">
        <v>200612623</v>
      </c>
      <c r="S1154" s="11">
        <v>1737766</v>
      </c>
      <c r="T1154">
        <v>2016</v>
      </c>
      <c r="U1154">
        <v>12</v>
      </c>
      <c r="V1154">
        <f t="shared" ref="V1154:V1217" si="108">_xlfn.PERCENTILE.INC(I1154:I4197,0.25)</f>
        <v>600000</v>
      </c>
      <c r="W1154">
        <f t="shared" ref="W1154:W1217" si="109">_xlfn.PERCENTILE.INC(I1154:I4197,0.75)</f>
        <v>18429897</v>
      </c>
      <c r="X1154">
        <f t="shared" ref="X1154:X1217" si="110">W1154-V1154</f>
        <v>17829897</v>
      </c>
      <c r="Y1154">
        <f t="shared" ref="Y1154:Y1217" si="111">V1154-1.5*X1154</f>
        <v>-26144845.5</v>
      </c>
      <c r="Z1154">
        <f t="shared" ref="Z1154:Z1217" si="112">W1154+1.5*X1154</f>
        <v>45174742.5</v>
      </c>
      <c r="AA1154" t="str">
        <f t="shared" ref="AA1154:AA1217" si="113">IF(OR(I1154&lt;$Y$2, I1154&gt;$Z$2), "Outlier", "Normal")</f>
        <v>Normal</v>
      </c>
      <c r="AE1154" s="2"/>
      <c r="AF1154" s="2"/>
    </row>
    <row r="1155" spans="1:32" x14ac:dyDescent="0.35">
      <c r="A1155">
        <v>1154</v>
      </c>
      <c r="B1155" s="1">
        <v>42719</v>
      </c>
      <c r="C1155" s="9" t="s">
        <v>2057</v>
      </c>
      <c r="D1155" s="9" t="s">
        <v>4988</v>
      </c>
      <c r="E1155" s="9" t="s">
        <v>6617</v>
      </c>
      <c r="F1155" s="9" t="s">
        <v>41</v>
      </c>
      <c r="G1155" s="9" t="s">
        <v>2058</v>
      </c>
      <c r="H1155" s="9" t="s">
        <v>86</v>
      </c>
      <c r="I1155" s="11">
        <v>100000</v>
      </c>
      <c r="J1155" s="11">
        <v>1538803</v>
      </c>
      <c r="K1155" s="11">
        <v>7801616</v>
      </c>
      <c r="L1155" s="3">
        <v>15</v>
      </c>
      <c r="M1155" s="3">
        <v>2844</v>
      </c>
      <c r="N1155" s="3">
        <v>1783875</v>
      </c>
      <c r="O1155" s="2">
        <v>0.45500000000000002</v>
      </c>
      <c r="P1155" s="2">
        <v>0.84299999999999997</v>
      </c>
      <c r="Q1155" s="2">
        <v>0.36749999999999999</v>
      </c>
      <c r="R1155" s="11">
        <v>292253164</v>
      </c>
      <c r="S1155" s="11">
        <v>1334229</v>
      </c>
      <c r="T1155">
        <v>2016</v>
      </c>
      <c r="U1155">
        <v>12</v>
      </c>
      <c r="V1155">
        <f t="shared" si="108"/>
        <v>600000</v>
      </c>
      <c r="W1155">
        <f t="shared" si="109"/>
        <v>18429897</v>
      </c>
      <c r="X1155">
        <f t="shared" si="110"/>
        <v>17829897</v>
      </c>
      <c r="Y1155">
        <f t="shared" si="111"/>
        <v>-26144845.5</v>
      </c>
      <c r="Z1155">
        <f t="shared" si="112"/>
        <v>45174742.5</v>
      </c>
      <c r="AA1155" t="str">
        <f t="shared" si="113"/>
        <v>Normal</v>
      </c>
      <c r="AE1155" s="2"/>
      <c r="AF1155" s="2"/>
    </row>
    <row r="1156" spans="1:32" x14ac:dyDescent="0.35">
      <c r="A1156">
        <v>1155</v>
      </c>
      <c r="B1156" s="1">
        <v>42719</v>
      </c>
      <c r="C1156" s="9" t="s">
        <v>2059</v>
      </c>
      <c r="D1156" s="9" t="s">
        <v>4930</v>
      </c>
      <c r="E1156" s="9" t="s">
        <v>6618</v>
      </c>
      <c r="F1156" s="9" t="s">
        <v>31</v>
      </c>
      <c r="G1156" s="9" t="s">
        <v>2060</v>
      </c>
      <c r="H1156" s="9" t="s">
        <v>105</v>
      </c>
      <c r="I1156" s="11">
        <v>10000000</v>
      </c>
      <c r="J1156" s="11">
        <v>2943877</v>
      </c>
      <c r="K1156" s="11">
        <v>17945758</v>
      </c>
      <c r="L1156" s="3">
        <v>498</v>
      </c>
      <c r="M1156" s="3">
        <v>2550</v>
      </c>
      <c r="N1156" s="3">
        <v>1511634</v>
      </c>
      <c r="O1156" s="2">
        <v>0.19399999999999998</v>
      </c>
      <c r="P1156" s="2">
        <v>0.91200000000000003</v>
      </c>
      <c r="Q1156" s="2">
        <v>0.124</v>
      </c>
      <c r="R1156" s="11">
        <v>30731510</v>
      </c>
      <c r="S1156" s="11">
        <v>769128</v>
      </c>
      <c r="T1156">
        <v>2016</v>
      </c>
      <c r="U1156">
        <v>12</v>
      </c>
      <c r="V1156">
        <f t="shared" si="108"/>
        <v>600000</v>
      </c>
      <c r="W1156">
        <f t="shared" si="109"/>
        <v>18429897</v>
      </c>
      <c r="X1156">
        <f t="shared" si="110"/>
        <v>17829897</v>
      </c>
      <c r="Y1156">
        <f t="shared" si="111"/>
        <v>-26144845.5</v>
      </c>
      <c r="Z1156">
        <f t="shared" si="112"/>
        <v>45174742.5</v>
      </c>
      <c r="AA1156" t="str">
        <f t="shared" si="113"/>
        <v>Normal</v>
      </c>
      <c r="AE1156" s="2"/>
      <c r="AF1156" s="2"/>
    </row>
    <row r="1157" spans="1:32" x14ac:dyDescent="0.35">
      <c r="A1157">
        <v>1156</v>
      </c>
      <c r="B1157" s="1">
        <v>42719</v>
      </c>
      <c r="C1157" s="9" t="s">
        <v>2061</v>
      </c>
      <c r="D1157" s="9" t="s">
        <v>4930</v>
      </c>
      <c r="E1157" s="9" t="s">
        <v>6619</v>
      </c>
      <c r="F1157" s="9" t="s">
        <v>31</v>
      </c>
      <c r="G1157" s="9" t="s">
        <v>2062</v>
      </c>
      <c r="H1157" s="9" t="s">
        <v>105</v>
      </c>
      <c r="I1157" s="11">
        <v>35000000</v>
      </c>
      <c r="J1157" s="11">
        <v>618427</v>
      </c>
      <c r="K1157" s="11">
        <v>14617627</v>
      </c>
      <c r="L1157" s="3">
        <v>423</v>
      </c>
      <c r="M1157" s="3">
        <v>1540</v>
      </c>
      <c r="N1157" s="3">
        <v>1018455</v>
      </c>
      <c r="O1157" s="2">
        <v>-0.28699999999999998</v>
      </c>
      <c r="P1157" s="2">
        <v>0.40899999999999997</v>
      </c>
      <c r="Q1157" s="2">
        <v>0.35099999999999998</v>
      </c>
      <c r="R1157" s="11">
        <v>210615028</v>
      </c>
      <c r="S1157" s="11">
        <v>1263961</v>
      </c>
      <c r="T1157">
        <v>2016</v>
      </c>
      <c r="U1157">
        <v>12</v>
      </c>
      <c r="V1157">
        <f t="shared" si="108"/>
        <v>600000</v>
      </c>
      <c r="W1157">
        <f t="shared" si="109"/>
        <v>18429897</v>
      </c>
      <c r="X1157">
        <f t="shared" si="110"/>
        <v>17829897</v>
      </c>
      <c r="Y1157">
        <f t="shared" si="111"/>
        <v>-26144845.5</v>
      </c>
      <c r="Z1157">
        <f t="shared" si="112"/>
        <v>45174742.5</v>
      </c>
      <c r="AA1157" t="str">
        <f t="shared" si="113"/>
        <v>Normal</v>
      </c>
      <c r="AE1157" s="2"/>
      <c r="AF1157" s="2"/>
    </row>
    <row r="1158" spans="1:32" x14ac:dyDescent="0.35">
      <c r="A1158">
        <v>1157</v>
      </c>
      <c r="B1158" s="1">
        <v>42719</v>
      </c>
      <c r="C1158" s="9" t="s">
        <v>2063</v>
      </c>
      <c r="D1158" s="9" t="s">
        <v>4930</v>
      </c>
      <c r="E1158" s="9" t="s">
        <v>6620</v>
      </c>
      <c r="F1158" s="9" t="s">
        <v>31</v>
      </c>
      <c r="G1158" s="9" t="s">
        <v>2064</v>
      </c>
      <c r="H1158" s="9" t="s">
        <v>105</v>
      </c>
      <c r="I1158" s="11">
        <v>3000000</v>
      </c>
      <c r="J1158" s="11">
        <v>4254366</v>
      </c>
      <c r="K1158" s="11">
        <v>6730435</v>
      </c>
      <c r="L1158" s="3">
        <v>92</v>
      </c>
      <c r="M1158" s="3">
        <v>2477</v>
      </c>
      <c r="N1158" s="3">
        <v>781515</v>
      </c>
      <c r="O1158" s="2">
        <v>0.38100000000000001</v>
      </c>
      <c r="P1158" s="2">
        <v>0.81699999999999995</v>
      </c>
      <c r="Q1158" s="2">
        <v>-0.158</v>
      </c>
      <c r="R1158" s="11">
        <v>152047329</v>
      </c>
      <c r="S1158" s="11">
        <v>1724451</v>
      </c>
      <c r="T1158">
        <v>2016</v>
      </c>
      <c r="U1158">
        <v>12</v>
      </c>
      <c r="V1158">
        <f t="shared" si="108"/>
        <v>600000</v>
      </c>
      <c r="W1158">
        <f t="shared" si="109"/>
        <v>18429897</v>
      </c>
      <c r="X1158">
        <f t="shared" si="110"/>
        <v>17829897</v>
      </c>
      <c r="Y1158">
        <f t="shared" si="111"/>
        <v>-26144845.5</v>
      </c>
      <c r="Z1158">
        <f t="shared" si="112"/>
        <v>45174742.5</v>
      </c>
      <c r="AA1158" t="str">
        <f t="shared" si="113"/>
        <v>Normal</v>
      </c>
      <c r="AE1158" s="2"/>
      <c r="AF1158" s="2"/>
    </row>
    <row r="1159" spans="1:32" x14ac:dyDescent="0.35">
      <c r="A1159">
        <v>1158</v>
      </c>
      <c r="B1159" s="1">
        <v>42720</v>
      </c>
      <c r="C1159" s="9" t="s">
        <v>2065</v>
      </c>
      <c r="D1159" s="9" t="s">
        <v>4930</v>
      </c>
      <c r="E1159" s="9" t="s">
        <v>6621</v>
      </c>
      <c r="F1159" s="9" t="s">
        <v>124</v>
      </c>
      <c r="G1159" s="9" t="s">
        <v>2066</v>
      </c>
      <c r="H1159" s="9" t="s">
        <v>105</v>
      </c>
      <c r="I1159" s="11">
        <v>23000000</v>
      </c>
      <c r="J1159" s="11">
        <v>1933405</v>
      </c>
      <c r="K1159" s="11">
        <v>19246110</v>
      </c>
      <c r="L1159" s="3">
        <v>254</v>
      </c>
      <c r="M1159" s="3">
        <v>2675</v>
      </c>
      <c r="N1159" s="3">
        <v>1491716</v>
      </c>
      <c r="O1159" s="2">
        <v>0.247</v>
      </c>
      <c r="P1159" s="2">
        <v>1.0469999999999999</v>
      </c>
      <c r="Q1159" s="2">
        <v>-0.21</v>
      </c>
      <c r="R1159" s="11">
        <v>440152656</v>
      </c>
      <c r="S1159" s="11">
        <v>1244495</v>
      </c>
      <c r="T1159">
        <v>2016</v>
      </c>
      <c r="U1159">
        <v>12</v>
      </c>
      <c r="V1159">
        <f t="shared" si="108"/>
        <v>600000</v>
      </c>
      <c r="W1159">
        <f t="shared" si="109"/>
        <v>18429897</v>
      </c>
      <c r="X1159">
        <f t="shared" si="110"/>
        <v>17829897</v>
      </c>
      <c r="Y1159">
        <f t="shared" si="111"/>
        <v>-26144845.5</v>
      </c>
      <c r="Z1159">
        <f t="shared" si="112"/>
        <v>45174742.5</v>
      </c>
      <c r="AA1159" t="str">
        <f t="shared" si="113"/>
        <v>Normal</v>
      </c>
      <c r="AE1159" s="2"/>
      <c r="AF1159" s="2"/>
    </row>
    <row r="1160" spans="1:32" x14ac:dyDescent="0.35">
      <c r="A1160">
        <v>1159</v>
      </c>
      <c r="B1160" s="1">
        <v>42720</v>
      </c>
      <c r="C1160" s="9" t="s">
        <v>2067</v>
      </c>
      <c r="D1160" s="9" t="s">
        <v>4988</v>
      </c>
      <c r="E1160" s="9" t="s">
        <v>6622</v>
      </c>
      <c r="F1160" s="9" t="s">
        <v>27</v>
      </c>
      <c r="G1160" s="9" t="s">
        <v>2068</v>
      </c>
      <c r="H1160" s="9" t="s">
        <v>86</v>
      </c>
      <c r="I1160" s="11">
        <v>123000</v>
      </c>
      <c r="J1160" s="11">
        <v>1716142</v>
      </c>
      <c r="K1160" s="11">
        <v>17314643</v>
      </c>
      <c r="L1160" s="3">
        <v>399</v>
      </c>
      <c r="M1160" s="3">
        <v>140</v>
      </c>
      <c r="N1160" s="3">
        <v>1089769</v>
      </c>
      <c r="O1160" s="2">
        <v>0.41299999999999998</v>
      </c>
      <c r="P1160" s="2">
        <v>1.004E-2</v>
      </c>
      <c r="Q1160" s="2">
        <v>-0.20499999999999999</v>
      </c>
      <c r="R1160" s="11">
        <v>201466620</v>
      </c>
      <c r="S1160" s="11">
        <v>738349</v>
      </c>
      <c r="T1160">
        <v>2016</v>
      </c>
      <c r="U1160">
        <v>12</v>
      </c>
      <c r="V1160">
        <f t="shared" si="108"/>
        <v>600000</v>
      </c>
      <c r="W1160">
        <f t="shared" si="109"/>
        <v>18429897</v>
      </c>
      <c r="X1160">
        <f t="shared" si="110"/>
        <v>17829897</v>
      </c>
      <c r="Y1160">
        <f t="shared" si="111"/>
        <v>-26144845.5</v>
      </c>
      <c r="Z1160">
        <f t="shared" si="112"/>
        <v>45174742.5</v>
      </c>
      <c r="AA1160" t="str">
        <f t="shared" si="113"/>
        <v>Normal</v>
      </c>
      <c r="AE1160" s="2"/>
      <c r="AF1160" s="2"/>
    </row>
    <row r="1161" spans="1:32" x14ac:dyDescent="0.35">
      <c r="A1161">
        <v>1160</v>
      </c>
      <c r="B1161" s="1">
        <v>42723</v>
      </c>
      <c r="C1161" s="9" t="s">
        <v>592</v>
      </c>
      <c r="D1161" s="9" t="s">
        <v>4988</v>
      </c>
      <c r="E1161" s="9" t="s">
        <v>6623</v>
      </c>
      <c r="F1161" s="9" t="s">
        <v>15</v>
      </c>
      <c r="G1161" s="9" t="s">
        <v>998</v>
      </c>
      <c r="H1161" s="9" t="s">
        <v>105</v>
      </c>
      <c r="I1161" s="11">
        <v>18429897</v>
      </c>
      <c r="J1161" s="11">
        <v>2922927</v>
      </c>
      <c r="K1161" s="11">
        <v>11875574</v>
      </c>
      <c r="L1161" s="3">
        <v>213</v>
      </c>
      <c r="M1161" s="3">
        <v>3633</v>
      </c>
      <c r="N1161" s="3">
        <v>979628</v>
      </c>
      <c r="O1161" s="2">
        <v>-0.187</v>
      </c>
      <c r="P1161" s="2">
        <v>0.49399999999999999</v>
      </c>
      <c r="Q1161" s="2">
        <v>0.35499999999999998</v>
      </c>
      <c r="R1161" s="11">
        <v>15165122</v>
      </c>
      <c r="S1161" s="11">
        <v>497660</v>
      </c>
      <c r="T1161">
        <v>2016</v>
      </c>
      <c r="U1161">
        <v>12</v>
      </c>
      <c r="V1161">
        <f t="shared" si="108"/>
        <v>600000</v>
      </c>
      <c r="W1161">
        <f t="shared" si="109"/>
        <v>18429897</v>
      </c>
      <c r="X1161">
        <f t="shared" si="110"/>
        <v>17829897</v>
      </c>
      <c r="Y1161">
        <f t="shared" si="111"/>
        <v>-26144845.5</v>
      </c>
      <c r="Z1161">
        <f t="shared" si="112"/>
        <v>45174742.5</v>
      </c>
      <c r="AA1161" t="str">
        <f t="shared" si="113"/>
        <v>Normal</v>
      </c>
      <c r="AE1161" s="2"/>
      <c r="AF1161" s="2"/>
    </row>
    <row r="1162" spans="1:32" x14ac:dyDescent="0.35">
      <c r="A1162">
        <v>1161</v>
      </c>
      <c r="B1162" s="1">
        <v>42723</v>
      </c>
      <c r="C1162" s="9" t="s">
        <v>205</v>
      </c>
      <c r="D1162" s="9" t="s">
        <v>4988</v>
      </c>
      <c r="E1162" s="9" t="s">
        <v>6624</v>
      </c>
      <c r="F1162" s="9" t="s">
        <v>15</v>
      </c>
      <c r="G1162" s="9" t="s">
        <v>2069</v>
      </c>
      <c r="H1162" s="9" t="s">
        <v>105</v>
      </c>
      <c r="I1162" s="11">
        <v>7400000</v>
      </c>
      <c r="J1162" s="11">
        <v>2504108</v>
      </c>
      <c r="K1162" s="11">
        <v>427334</v>
      </c>
      <c r="L1162" s="3">
        <v>464</v>
      </c>
      <c r="M1162" s="3">
        <v>2253</v>
      </c>
      <c r="N1162" s="3">
        <v>273170</v>
      </c>
      <c r="O1162" s="2">
        <v>-0.123</v>
      </c>
      <c r="P1162" s="2">
        <v>1.17</v>
      </c>
      <c r="Q1162" s="2">
        <v>0.2</v>
      </c>
      <c r="R1162" s="11">
        <v>239452318</v>
      </c>
      <c r="S1162" s="11">
        <v>1417001</v>
      </c>
      <c r="T1162">
        <v>2016</v>
      </c>
      <c r="U1162">
        <v>12</v>
      </c>
      <c r="V1162">
        <f t="shared" si="108"/>
        <v>600000</v>
      </c>
      <c r="W1162">
        <f t="shared" si="109"/>
        <v>18429897</v>
      </c>
      <c r="X1162">
        <f t="shared" si="110"/>
        <v>17829897</v>
      </c>
      <c r="Y1162">
        <f t="shared" si="111"/>
        <v>-26144845.5</v>
      </c>
      <c r="Z1162">
        <f t="shared" si="112"/>
        <v>45174742.5</v>
      </c>
      <c r="AA1162" t="str">
        <f t="shared" si="113"/>
        <v>Normal</v>
      </c>
      <c r="AE1162" s="2"/>
      <c r="AF1162" s="2"/>
    </row>
    <row r="1163" spans="1:32" x14ac:dyDescent="0.35">
      <c r="A1163">
        <v>1162</v>
      </c>
      <c r="B1163" s="1">
        <v>42724</v>
      </c>
      <c r="C1163" s="9" t="s">
        <v>2070</v>
      </c>
      <c r="D1163" s="9" t="s">
        <v>4925</v>
      </c>
      <c r="E1163" s="9" t="s">
        <v>6625</v>
      </c>
      <c r="F1163" s="9" t="s">
        <v>31</v>
      </c>
      <c r="G1163" s="9" t="s">
        <v>856</v>
      </c>
      <c r="H1163" s="9" t="s">
        <v>86</v>
      </c>
      <c r="I1163" s="11">
        <v>50000</v>
      </c>
      <c r="J1163" s="11">
        <v>4242922</v>
      </c>
      <c r="K1163" s="11">
        <v>11863829</v>
      </c>
      <c r="L1163" s="3">
        <v>281</v>
      </c>
      <c r="M1163" s="3">
        <v>1499</v>
      </c>
      <c r="N1163" s="3">
        <v>1141263</v>
      </c>
      <c r="O1163" s="2">
        <v>0.123</v>
      </c>
      <c r="P1163" s="2">
        <v>0.21299999999999999</v>
      </c>
      <c r="Q1163" s="2">
        <v>0.46899999999999997</v>
      </c>
      <c r="R1163" s="11">
        <v>216182006</v>
      </c>
      <c r="S1163" s="11">
        <v>363691</v>
      </c>
      <c r="T1163">
        <v>2016</v>
      </c>
      <c r="U1163">
        <v>12</v>
      </c>
      <c r="V1163">
        <f t="shared" si="108"/>
        <v>600000</v>
      </c>
      <c r="W1163">
        <f t="shared" si="109"/>
        <v>18429897</v>
      </c>
      <c r="X1163">
        <f t="shared" si="110"/>
        <v>17829897</v>
      </c>
      <c r="Y1163">
        <f t="shared" si="111"/>
        <v>-26144845.5</v>
      </c>
      <c r="Z1163">
        <f t="shared" si="112"/>
        <v>45174742.5</v>
      </c>
      <c r="AA1163" t="str">
        <f t="shared" si="113"/>
        <v>Normal</v>
      </c>
      <c r="AE1163" s="2"/>
      <c r="AF1163" s="2"/>
    </row>
    <row r="1164" spans="1:32" x14ac:dyDescent="0.35">
      <c r="A1164">
        <v>1163</v>
      </c>
      <c r="B1164" s="1">
        <v>42724</v>
      </c>
      <c r="C1164" s="9" t="s">
        <v>2071</v>
      </c>
      <c r="D1164" s="9" t="s">
        <v>4988</v>
      </c>
      <c r="E1164" s="9" t="s">
        <v>6626</v>
      </c>
      <c r="F1164" s="9" t="s">
        <v>554</v>
      </c>
      <c r="G1164" s="9" t="s">
        <v>2072</v>
      </c>
      <c r="H1164" s="9" t="s">
        <v>86</v>
      </c>
      <c r="I1164" s="11">
        <v>18429897</v>
      </c>
      <c r="J1164" s="11">
        <v>2666426</v>
      </c>
      <c r="K1164" s="11">
        <v>13847801</v>
      </c>
      <c r="L1164" s="3">
        <v>345</v>
      </c>
      <c r="M1164" s="3">
        <v>193</v>
      </c>
      <c r="N1164" s="3">
        <v>185411</v>
      </c>
      <c r="O1164" s="2">
        <v>0.38700000000000001</v>
      </c>
      <c r="P1164" s="2">
        <v>0.97900000000000009</v>
      </c>
      <c r="Q1164" s="2">
        <v>0.36749999999999999</v>
      </c>
      <c r="R1164" s="11">
        <v>496375763</v>
      </c>
      <c r="S1164" s="11">
        <v>1048797</v>
      </c>
      <c r="T1164">
        <v>2016</v>
      </c>
      <c r="U1164">
        <v>12</v>
      </c>
      <c r="V1164">
        <f t="shared" si="108"/>
        <v>600000</v>
      </c>
      <c r="W1164">
        <f t="shared" si="109"/>
        <v>18429897</v>
      </c>
      <c r="X1164">
        <f t="shared" si="110"/>
        <v>17829897</v>
      </c>
      <c r="Y1164">
        <f t="shared" si="111"/>
        <v>-26144845.5</v>
      </c>
      <c r="Z1164">
        <f t="shared" si="112"/>
        <v>45174742.5</v>
      </c>
      <c r="AA1164" t="str">
        <f t="shared" si="113"/>
        <v>Normal</v>
      </c>
      <c r="AE1164" s="2"/>
      <c r="AF1164" s="2"/>
    </row>
    <row r="1165" spans="1:32" x14ac:dyDescent="0.35">
      <c r="A1165">
        <v>1164</v>
      </c>
      <c r="B1165" s="1">
        <v>42724</v>
      </c>
      <c r="C1165" s="9" t="s">
        <v>2073</v>
      </c>
      <c r="D1165" s="9" t="s">
        <v>4988</v>
      </c>
      <c r="E1165" s="9" t="s">
        <v>6627</v>
      </c>
      <c r="F1165" s="9" t="s">
        <v>15</v>
      </c>
      <c r="G1165" s="9" t="s">
        <v>2074</v>
      </c>
      <c r="H1165" s="9" t="s">
        <v>105</v>
      </c>
      <c r="I1165" s="11">
        <v>18429897</v>
      </c>
      <c r="J1165" s="11">
        <v>2594633</v>
      </c>
      <c r="K1165" s="11">
        <v>7360193</v>
      </c>
      <c r="L1165" s="3">
        <v>95</v>
      </c>
      <c r="M1165" s="3">
        <v>1558</v>
      </c>
      <c r="N1165" s="3">
        <v>1018455</v>
      </c>
      <c r="O1165" s="2">
        <v>0.442</v>
      </c>
      <c r="P1165" s="2">
        <v>0.51700000000000002</v>
      </c>
      <c r="Q1165" s="2">
        <v>-0.20599999999999999</v>
      </c>
      <c r="R1165" s="11">
        <v>81309896</v>
      </c>
      <c r="S1165" s="11">
        <v>306539</v>
      </c>
      <c r="T1165">
        <v>2016</v>
      </c>
      <c r="U1165">
        <v>12</v>
      </c>
      <c r="V1165">
        <f t="shared" si="108"/>
        <v>600000</v>
      </c>
      <c r="W1165">
        <f t="shared" si="109"/>
        <v>18429897</v>
      </c>
      <c r="X1165">
        <f t="shared" si="110"/>
        <v>17829897</v>
      </c>
      <c r="Y1165">
        <f t="shared" si="111"/>
        <v>-26144845.5</v>
      </c>
      <c r="Z1165">
        <f t="shared" si="112"/>
        <v>45174742.5</v>
      </c>
      <c r="AA1165" t="str">
        <f t="shared" si="113"/>
        <v>Normal</v>
      </c>
      <c r="AE1165" s="2"/>
      <c r="AF1165" s="2"/>
    </row>
    <row r="1166" spans="1:32" x14ac:dyDescent="0.35">
      <c r="A1166">
        <v>1165</v>
      </c>
      <c r="B1166" s="1">
        <v>42724</v>
      </c>
      <c r="C1166" s="9" t="s">
        <v>188</v>
      </c>
      <c r="D1166" s="9" t="s">
        <v>4988</v>
      </c>
      <c r="E1166" s="9" t="s">
        <v>5512</v>
      </c>
      <c r="F1166" s="9" t="s">
        <v>15</v>
      </c>
      <c r="G1166" s="9" t="s">
        <v>2075</v>
      </c>
      <c r="H1166" s="9" t="s">
        <v>105</v>
      </c>
      <c r="I1166" s="11">
        <v>15000000</v>
      </c>
      <c r="J1166" s="11">
        <v>542798</v>
      </c>
      <c r="K1166" s="11">
        <v>2963501</v>
      </c>
      <c r="L1166" s="3">
        <v>59</v>
      </c>
      <c r="M1166" s="3">
        <v>2054</v>
      </c>
      <c r="N1166" s="3">
        <v>478580</v>
      </c>
      <c r="O1166" s="2">
        <v>-2.5000000000000001E-2</v>
      </c>
      <c r="P1166" s="2">
        <v>1.141</v>
      </c>
      <c r="Q1166" s="2">
        <v>0.48899999999999999</v>
      </c>
      <c r="R1166" s="11">
        <v>190061142</v>
      </c>
      <c r="S1166" s="11">
        <v>465571</v>
      </c>
      <c r="T1166">
        <v>2016</v>
      </c>
      <c r="U1166">
        <v>12</v>
      </c>
      <c r="V1166">
        <f t="shared" si="108"/>
        <v>600000</v>
      </c>
      <c r="W1166">
        <f t="shared" si="109"/>
        <v>18429897</v>
      </c>
      <c r="X1166">
        <f t="shared" si="110"/>
        <v>17829897</v>
      </c>
      <c r="Y1166">
        <f t="shared" si="111"/>
        <v>-26144845.5</v>
      </c>
      <c r="Z1166">
        <f t="shared" si="112"/>
        <v>45174742.5</v>
      </c>
      <c r="AA1166" t="str">
        <f t="shared" si="113"/>
        <v>Normal</v>
      </c>
      <c r="AE1166" s="2"/>
      <c r="AF1166" s="2"/>
    </row>
    <row r="1167" spans="1:32" x14ac:dyDescent="0.35">
      <c r="A1167">
        <v>1166</v>
      </c>
      <c r="B1167" s="1">
        <v>42725</v>
      </c>
      <c r="C1167" s="9" t="s">
        <v>1561</v>
      </c>
      <c r="D1167" s="9" t="s">
        <v>4988</v>
      </c>
      <c r="E1167" s="9" t="s">
        <v>6628</v>
      </c>
      <c r="F1167" s="9" t="s">
        <v>31</v>
      </c>
      <c r="G1167" s="9" t="s">
        <v>2076</v>
      </c>
      <c r="H1167" s="9" t="s">
        <v>86</v>
      </c>
      <c r="I1167" s="11">
        <v>18429897</v>
      </c>
      <c r="J1167" s="11">
        <v>129251</v>
      </c>
      <c r="K1167" s="11">
        <v>11336155</v>
      </c>
      <c r="L1167" s="3">
        <v>266</v>
      </c>
      <c r="M1167" s="3">
        <v>4191</v>
      </c>
      <c r="N1167" s="3">
        <v>1313908</v>
      </c>
      <c r="O1167" s="2">
        <v>3.9E-2</v>
      </c>
      <c r="P1167" s="2">
        <v>1.0609999999999999</v>
      </c>
      <c r="Q1167" s="2">
        <v>-8.4000000000000005E-2</v>
      </c>
      <c r="R1167" s="11">
        <v>24128029</v>
      </c>
      <c r="S1167" s="11">
        <v>1769422</v>
      </c>
      <c r="T1167">
        <v>2016</v>
      </c>
      <c r="U1167">
        <v>12</v>
      </c>
      <c r="V1167">
        <f t="shared" si="108"/>
        <v>600000</v>
      </c>
      <c r="W1167">
        <f t="shared" si="109"/>
        <v>18429897</v>
      </c>
      <c r="X1167">
        <f t="shared" si="110"/>
        <v>17829897</v>
      </c>
      <c r="Y1167">
        <f t="shared" si="111"/>
        <v>-26144845.5</v>
      </c>
      <c r="Z1167">
        <f t="shared" si="112"/>
        <v>45174742.5</v>
      </c>
      <c r="AA1167" t="str">
        <f t="shared" si="113"/>
        <v>Normal</v>
      </c>
      <c r="AE1167" s="2"/>
      <c r="AF1167" s="2"/>
    </row>
    <row r="1168" spans="1:32" x14ac:dyDescent="0.35">
      <c r="A1168">
        <v>1167</v>
      </c>
      <c r="B1168" s="1">
        <v>42725</v>
      </c>
      <c r="C1168" s="9" t="s">
        <v>2077</v>
      </c>
      <c r="D1168" s="9" t="s">
        <v>4988</v>
      </c>
      <c r="E1168" s="9" t="s">
        <v>2078</v>
      </c>
      <c r="F1168" s="9" t="s">
        <v>15</v>
      </c>
      <c r="G1168" s="9" t="s">
        <v>4847</v>
      </c>
      <c r="H1168" s="9" t="s">
        <v>86</v>
      </c>
      <c r="I1168" s="11">
        <v>500000</v>
      </c>
      <c r="J1168" s="11">
        <v>2004791</v>
      </c>
      <c r="K1168" s="11">
        <v>16050099</v>
      </c>
      <c r="L1168" s="3">
        <v>166</v>
      </c>
      <c r="M1168" s="3">
        <v>3252</v>
      </c>
      <c r="N1168" s="3">
        <v>945128</v>
      </c>
      <c r="O1168" s="2">
        <v>0.69400000000000006</v>
      </c>
      <c r="P1168" s="2">
        <v>1.081</v>
      </c>
      <c r="Q1168" s="2">
        <v>0.36749999999999999</v>
      </c>
      <c r="R1168" s="11">
        <v>453759977</v>
      </c>
      <c r="S1168" s="11">
        <v>1805686</v>
      </c>
      <c r="T1168">
        <v>2016</v>
      </c>
      <c r="U1168">
        <v>12</v>
      </c>
      <c r="V1168">
        <f t="shared" si="108"/>
        <v>600000</v>
      </c>
      <c r="W1168">
        <f t="shared" si="109"/>
        <v>18429897</v>
      </c>
      <c r="X1168">
        <f t="shared" si="110"/>
        <v>17829897</v>
      </c>
      <c r="Y1168">
        <f t="shared" si="111"/>
        <v>-26144845.5</v>
      </c>
      <c r="Z1168">
        <f t="shared" si="112"/>
        <v>45174742.5</v>
      </c>
      <c r="AA1168" t="str">
        <f t="shared" si="113"/>
        <v>Normal</v>
      </c>
      <c r="AE1168" s="2"/>
      <c r="AF1168" s="2"/>
    </row>
    <row r="1169" spans="1:32" x14ac:dyDescent="0.35">
      <c r="A1169">
        <v>1168</v>
      </c>
      <c r="B1169" s="1">
        <v>42725</v>
      </c>
      <c r="C1169" s="9" t="s">
        <v>22</v>
      </c>
      <c r="D1169" s="9" t="s">
        <v>4925</v>
      </c>
      <c r="E1169" s="9" t="s">
        <v>6629</v>
      </c>
      <c r="F1169" s="9" t="s">
        <v>27</v>
      </c>
      <c r="G1169" s="9" t="s">
        <v>2079</v>
      </c>
      <c r="H1169" s="9" t="s">
        <v>86</v>
      </c>
      <c r="I1169" s="11">
        <v>18429897</v>
      </c>
      <c r="J1169" s="11">
        <v>4991066</v>
      </c>
      <c r="K1169" s="11">
        <v>6454644</v>
      </c>
      <c r="L1169" s="3">
        <v>490</v>
      </c>
      <c r="M1169" s="3">
        <v>2120</v>
      </c>
      <c r="N1169" s="3">
        <v>850654</v>
      </c>
      <c r="O1169" s="2">
        <v>0.9</v>
      </c>
      <c r="P1169" s="2">
        <v>0.45200000000000001</v>
      </c>
      <c r="Q1169" s="2">
        <v>-0.23399999999999999</v>
      </c>
      <c r="R1169" s="11">
        <v>388827874</v>
      </c>
      <c r="S1169" s="11">
        <v>1643734</v>
      </c>
      <c r="T1169">
        <v>2016</v>
      </c>
      <c r="U1169">
        <v>12</v>
      </c>
      <c r="V1169">
        <f t="shared" si="108"/>
        <v>600000</v>
      </c>
      <c r="W1169">
        <f t="shared" si="109"/>
        <v>18429897</v>
      </c>
      <c r="X1169">
        <f t="shared" si="110"/>
        <v>17829897</v>
      </c>
      <c r="Y1169">
        <f t="shared" si="111"/>
        <v>-26144845.5</v>
      </c>
      <c r="Z1169">
        <f t="shared" si="112"/>
        <v>45174742.5</v>
      </c>
      <c r="AA1169" t="str">
        <f t="shared" si="113"/>
        <v>Normal</v>
      </c>
      <c r="AE1169" s="2"/>
      <c r="AF1169" s="2"/>
    </row>
    <row r="1170" spans="1:32" x14ac:dyDescent="0.35">
      <c r="A1170">
        <v>1169</v>
      </c>
      <c r="B1170" s="1">
        <v>42725</v>
      </c>
      <c r="C1170" s="9" t="s">
        <v>2080</v>
      </c>
      <c r="D1170" s="9" t="s">
        <v>4925</v>
      </c>
      <c r="E1170" s="9" t="s">
        <v>6630</v>
      </c>
      <c r="F1170" s="9" t="s">
        <v>35</v>
      </c>
      <c r="G1170" s="9" t="s">
        <v>825</v>
      </c>
      <c r="H1170" s="9" t="s">
        <v>86</v>
      </c>
      <c r="I1170" s="11">
        <v>162000</v>
      </c>
      <c r="J1170" s="11">
        <v>4588341</v>
      </c>
      <c r="K1170" s="11">
        <v>9180579</v>
      </c>
      <c r="L1170" s="3">
        <v>47</v>
      </c>
      <c r="M1170" s="3">
        <v>673</v>
      </c>
      <c r="N1170" s="3">
        <v>1693997</v>
      </c>
      <c r="O1170" s="2">
        <v>0.255</v>
      </c>
      <c r="P1170" s="2">
        <v>0.996</v>
      </c>
      <c r="Q1170" s="2">
        <v>0.14499999999999999</v>
      </c>
      <c r="R1170" s="11">
        <v>371165097</v>
      </c>
      <c r="S1170" s="11">
        <v>1752955</v>
      </c>
      <c r="T1170">
        <v>2016</v>
      </c>
      <c r="U1170">
        <v>12</v>
      </c>
      <c r="V1170">
        <f t="shared" si="108"/>
        <v>600000</v>
      </c>
      <c r="W1170">
        <f t="shared" si="109"/>
        <v>18429897</v>
      </c>
      <c r="X1170">
        <f t="shared" si="110"/>
        <v>17829897</v>
      </c>
      <c r="Y1170">
        <f t="shared" si="111"/>
        <v>-26144845.5</v>
      </c>
      <c r="Z1170">
        <f t="shared" si="112"/>
        <v>45174742.5</v>
      </c>
      <c r="AA1170" t="str">
        <f t="shared" si="113"/>
        <v>Normal</v>
      </c>
      <c r="AE1170" s="2"/>
      <c r="AF1170" s="2"/>
    </row>
    <row r="1171" spans="1:32" x14ac:dyDescent="0.35">
      <c r="A1171">
        <v>1170</v>
      </c>
      <c r="B1171" s="1">
        <v>42726</v>
      </c>
      <c r="C1171" s="9" t="s">
        <v>2081</v>
      </c>
      <c r="D1171" s="9" t="s">
        <v>4930</v>
      </c>
      <c r="E1171" s="9" t="s">
        <v>6631</v>
      </c>
      <c r="F1171" s="9" t="s">
        <v>41</v>
      </c>
      <c r="G1171" s="9" t="s">
        <v>2082</v>
      </c>
      <c r="H1171" s="9" t="s">
        <v>105</v>
      </c>
      <c r="I1171" s="11">
        <v>18429897</v>
      </c>
      <c r="J1171" s="11">
        <v>3152318</v>
      </c>
      <c r="K1171" s="11">
        <v>121732</v>
      </c>
      <c r="L1171" s="3">
        <v>254</v>
      </c>
      <c r="M1171" s="3">
        <v>1410</v>
      </c>
      <c r="N1171" s="3">
        <v>779329</v>
      </c>
      <c r="O1171" s="2">
        <v>0.03</v>
      </c>
      <c r="P1171" s="2">
        <v>0.50800000000000001</v>
      </c>
      <c r="Q1171" s="2">
        <v>5.8999999999999997E-2</v>
      </c>
      <c r="R1171" s="11">
        <v>305516499</v>
      </c>
      <c r="S1171" s="11">
        <v>1534003</v>
      </c>
      <c r="T1171">
        <v>2016</v>
      </c>
      <c r="U1171">
        <v>12</v>
      </c>
      <c r="V1171">
        <f t="shared" si="108"/>
        <v>600000</v>
      </c>
      <c r="W1171">
        <f t="shared" si="109"/>
        <v>18429897</v>
      </c>
      <c r="X1171">
        <f t="shared" si="110"/>
        <v>17829897</v>
      </c>
      <c r="Y1171">
        <f t="shared" si="111"/>
        <v>-26144845.5</v>
      </c>
      <c r="Z1171">
        <f t="shared" si="112"/>
        <v>45174742.5</v>
      </c>
      <c r="AA1171" t="str">
        <f t="shared" si="113"/>
        <v>Normal</v>
      </c>
      <c r="AE1171" s="2"/>
      <c r="AF1171" s="2"/>
    </row>
    <row r="1172" spans="1:32" x14ac:dyDescent="0.35">
      <c r="A1172">
        <v>1171</v>
      </c>
      <c r="B1172" s="1">
        <v>42726</v>
      </c>
      <c r="C1172" s="9" t="s">
        <v>2083</v>
      </c>
      <c r="D1172" s="9" t="s">
        <v>4988</v>
      </c>
      <c r="E1172" s="9" t="s">
        <v>6632</v>
      </c>
      <c r="F1172" s="9" t="s">
        <v>27</v>
      </c>
      <c r="G1172" s="9" t="s">
        <v>2084</v>
      </c>
      <c r="H1172" s="9" t="s">
        <v>86</v>
      </c>
      <c r="I1172" s="11">
        <v>324000</v>
      </c>
      <c r="J1172" s="11">
        <v>3161544</v>
      </c>
      <c r="K1172" s="11">
        <v>14106734</v>
      </c>
      <c r="L1172" s="3">
        <v>302</v>
      </c>
      <c r="M1172" s="3">
        <v>4588</v>
      </c>
      <c r="N1172" s="3">
        <v>1526806</v>
      </c>
      <c r="O1172" s="2">
        <v>0.215</v>
      </c>
      <c r="P1172" s="2">
        <v>0.64700000000000002</v>
      </c>
      <c r="Q1172" s="2">
        <v>-0.25600000000000001</v>
      </c>
      <c r="R1172" s="11">
        <v>210460416</v>
      </c>
      <c r="S1172" s="11">
        <v>1499247</v>
      </c>
      <c r="T1172">
        <v>2016</v>
      </c>
      <c r="U1172">
        <v>12</v>
      </c>
      <c r="V1172">
        <f t="shared" si="108"/>
        <v>600000</v>
      </c>
      <c r="W1172">
        <f t="shared" si="109"/>
        <v>18429897</v>
      </c>
      <c r="X1172">
        <f t="shared" si="110"/>
        <v>17829897</v>
      </c>
      <c r="Y1172">
        <f t="shared" si="111"/>
        <v>-26144845.5</v>
      </c>
      <c r="Z1172">
        <f t="shared" si="112"/>
        <v>45174742.5</v>
      </c>
      <c r="AA1172" t="str">
        <f t="shared" si="113"/>
        <v>Normal</v>
      </c>
      <c r="AE1172" s="2"/>
      <c r="AF1172" s="2"/>
    </row>
    <row r="1173" spans="1:32" x14ac:dyDescent="0.35">
      <c r="A1173">
        <v>1172</v>
      </c>
      <c r="B1173" s="1">
        <v>42726</v>
      </c>
      <c r="C1173" s="9" t="s">
        <v>2085</v>
      </c>
      <c r="D1173" s="9" t="s">
        <v>4925</v>
      </c>
      <c r="E1173" s="9" t="s">
        <v>6633</v>
      </c>
      <c r="F1173" s="9" t="s">
        <v>15</v>
      </c>
      <c r="G1173" s="9" t="s">
        <v>2086</v>
      </c>
      <c r="H1173" s="9" t="s">
        <v>86</v>
      </c>
      <c r="I1173" s="11">
        <v>300000</v>
      </c>
      <c r="J1173" s="11">
        <v>1969688</v>
      </c>
      <c r="K1173" s="11">
        <v>17335313</v>
      </c>
      <c r="L1173" s="3">
        <v>440</v>
      </c>
      <c r="M1173" s="3">
        <v>682</v>
      </c>
      <c r="N1173" s="3">
        <v>1776215</v>
      </c>
      <c r="O1173" s="2">
        <v>-5.2999999999999999E-2</v>
      </c>
      <c r="P1173" s="2">
        <v>1.1040000000000001</v>
      </c>
      <c r="Q1173" s="2">
        <v>0.57299999999999995</v>
      </c>
      <c r="R1173" s="11">
        <v>390885163</v>
      </c>
      <c r="S1173" s="11">
        <v>1575089</v>
      </c>
      <c r="T1173">
        <v>2016</v>
      </c>
      <c r="U1173">
        <v>12</v>
      </c>
      <c r="V1173">
        <f t="shared" si="108"/>
        <v>600000</v>
      </c>
      <c r="W1173">
        <f t="shared" si="109"/>
        <v>18429897</v>
      </c>
      <c r="X1173">
        <f t="shared" si="110"/>
        <v>17829897</v>
      </c>
      <c r="Y1173">
        <f t="shared" si="111"/>
        <v>-26144845.5</v>
      </c>
      <c r="Z1173">
        <f t="shared" si="112"/>
        <v>45174742.5</v>
      </c>
      <c r="AA1173" t="str">
        <f t="shared" si="113"/>
        <v>Normal</v>
      </c>
      <c r="AE1173" s="2"/>
      <c r="AF1173" s="2"/>
    </row>
    <row r="1174" spans="1:32" x14ac:dyDescent="0.35">
      <c r="A1174">
        <v>1173</v>
      </c>
      <c r="B1174" s="1">
        <v>42727</v>
      </c>
      <c r="C1174" s="9" t="s">
        <v>2087</v>
      </c>
      <c r="D1174" s="9" t="s">
        <v>4930</v>
      </c>
      <c r="E1174" s="9" t="s">
        <v>6634</v>
      </c>
      <c r="F1174" s="9" t="s">
        <v>15</v>
      </c>
      <c r="G1174" s="9" t="s">
        <v>2088</v>
      </c>
      <c r="H1174" s="9" t="s">
        <v>105</v>
      </c>
      <c r="I1174" s="11">
        <v>2000000</v>
      </c>
      <c r="J1174" s="11">
        <v>903982</v>
      </c>
      <c r="K1174" s="11">
        <v>15549390</v>
      </c>
      <c r="L1174" s="3">
        <v>499</v>
      </c>
      <c r="M1174" s="3">
        <v>3171</v>
      </c>
      <c r="N1174" s="3">
        <v>320212</v>
      </c>
      <c r="O1174" s="2">
        <v>-4.8000000000000001E-2</v>
      </c>
      <c r="P1174" s="2">
        <v>0.92</v>
      </c>
      <c r="Q1174" s="2">
        <v>-0.122</v>
      </c>
      <c r="R1174" s="11">
        <v>250264963</v>
      </c>
      <c r="S1174" s="11">
        <v>1331265</v>
      </c>
      <c r="T1174">
        <v>2016</v>
      </c>
      <c r="U1174">
        <v>12</v>
      </c>
      <c r="V1174">
        <f t="shared" si="108"/>
        <v>600000</v>
      </c>
      <c r="W1174">
        <f t="shared" si="109"/>
        <v>18429897</v>
      </c>
      <c r="X1174">
        <f t="shared" si="110"/>
        <v>17829897</v>
      </c>
      <c r="Y1174">
        <f t="shared" si="111"/>
        <v>-26144845.5</v>
      </c>
      <c r="Z1174">
        <f t="shared" si="112"/>
        <v>45174742.5</v>
      </c>
      <c r="AA1174" t="str">
        <f t="shared" si="113"/>
        <v>Normal</v>
      </c>
      <c r="AE1174" s="2"/>
      <c r="AF1174" s="2"/>
    </row>
    <row r="1175" spans="1:32" x14ac:dyDescent="0.35">
      <c r="A1175">
        <v>1174</v>
      </c>
      <c r="B1175" s="1">
        <v>42727</v>
      </c>
      <c r="C1175" s="9" t="s">
        <v>309</v>
      </c>
      <c r="D1175" s="9" t="s">
        <v>4925</v>
      </c>
      <c r="E1175" s="9" t="s">
        <v>6635</v>
      </c>
      <c r="F1175" s="9" t="s">
        <v>310</v>
      </c>
      <c r="G1175" s="9" t="s">
        <v>2089</v>
      </c>
      <c r="H1175" s="9" t="s">
        <v>105</v>
      </c>
      <c r="I1175" s="11">
        <v>18429897</v>
      </c>
      <c r="J1175" s="11">
        <v>62562</v>
      </c>
      <c r="K1175" s="11">
        <v>8645937</v>
      </c>
      <c r="L1175" s="3">
        <v>435</v>
      </c>
      <c r="M1175" s="3">
        <v>2609</v>
      </c>
      <c r="N1175" s="3">
        <v>1489216</v>
      </c>
      <c r="O1175" s="2">
        <v>4.5999999999999999E-2</v>
      </c>
      <c r="P1175" s="2">
        <v>0.84099999999999997</v>
      </c>
      <c r="Q1175" s="2">
        <v>-0.13400000000000001</v>
      </c>
      <c r="R1175" s="11">
        <v>86354309</v>
      </c>
      <c r="S1175" s="11">
        <v>1549887</v>
      </c>
      <c r="T1175">
        <v>2016</v>
      </c>
      <c r="U1175">
        <v>12</v>
      </c>
      <c r="V1175">
        <f t="shared" si="108"/>
        <v>600000</v>
      </c>
      <c r="W1175">
        <f t="shared" si="109"/>
        <v>18429897</v>
      </c>
      <c r="X1175">
        <f t="shared" si="110"/>
        <v>17829897</v>
      </c>
      <c r="Y1175">
        <f t="shared" si="111"/>
        <v>-26144845.5</v>
      </c>
      <c r="Z1175">
        <f t="shared" si="112"/>
        <v>45174742.5</v>
      </c>
      <c r="AA1175" t="str">
        <f t="shared" si="113"/>
        <v>Normal</v>
      </c>
      <c r="AE1175" s="2"/>
      <c r="AF1175" s="2"/>
    </row>
    <row r="1176" spans="1:32" x14ac:dyDescent="0.35">
      <c r="A1176">
        <v>1175</v>
      </c>
      <c r="B1176" s="1">
        <v>42727</v>
      </c>
      <c r="C1176" s="9" t="s">
        <v>2090</v>
      </c>
      <c r="D1176" s="9" t="s">
        <v>4988</v>
      </c>
      <c r="E1176" s="9" t="s">
        <v>6636</v>
      </c>
      <c r="F1176" s="9" t="s">
        <v>27</v>
      </c>
      <c r="G1176" s="9" t="s">
        <v>2091</v>
      </c>
      <c r="H1176" s="9" t="s">
        <v>86</v>
      </c>
      <c r="I1176" s="11">
        <v>18429897</v>
      </c>
      <c r="J1176" s="11">
        <v>1707501</v>
      </c>
      <c r="K1176" s="11">
        <v>997507</v>
      </c>
      <c r="L1176" s="3">
        <v>190</v>
      </c>
      <c r="M1176" s="3">
        <v>1127</v>
      </c>
      <c r="N1176" s="3">
        <v>143036</v>
      </c>
      <c r="O1176" s="2">
        <v>1.1000000000000001E-2</v>
      </c>
      <c r="P1176" s="2">
        <v>0.32899999999999996</v>
      </c>
      <c r="Q1176" s="2">
        <v>-6.4000000000000001E-2</v>
      </c>
      <c r="R1176" s="11">
        <v>75728927</v>
      </c>
      <c r="S1176" s="11">
        <v>891794</v>
      </c>
      <c r="T1176">
        <v>2016</v>
      </c>
      <c r="U1176">
        <v>12</v>
      </c>
      <c r="V1176">
        <f t="shared" si="108"/>
        <v>600000</v>
      </c>
      <c r="W1176">
        <f t="shared" si="109"/>
        <v>18429897</v>
      </c>
      <c r="X1176">
        <f t="shared" si="110"/>
        <v>17829897</v>
      </c>
      <c r="Y1176">
        <f t="shared" si="111"/>
        <v>-26144845.5</v>
      </c>
      <c r="Z1176">
        <f t="shared" si="112"/>
        <v>45174742.5</v>
      </c>
      <c r="AA1176" t="str">
        <f t="shared" si="113"/>
        <v>Normal</v>
      </c>
      <c r="AE1176" s="2"/>
      <c r="AF1176" s="2"/>
    </row>
    <row r="1177" spans="1:32" x14ac:dyDescent="0.35">
      <c r="A1177">
        <v>1176</v>
      </c>
      <c r="B1177" s="1">
        <v>42727</v>
      </c>
      <c r="C1177" s="9" t="s">
        <v>2092</v>
      </c>
      <c r="D1177" s="9" t="s">
        <v>4930</v>
      </c>
      <c r="E1177" s="9" t="s">
        <v>6637</v>
      </c>
      <c r="F1177" s="9" t="s">
        <v>63</v>
      </c>
      <c r="G1177" s="9" t="s">
        <v>1920</v>
      </c>
      <c r="H1177" s="9" t="s">
        <v>86</v>
      </c>
      <c r="I1177" s="11">
        <v>18429897</v>
      </c>
      <c r="J1177" s="11">
        <v>1596011</v>
      </c>
      <c r="K1177" s="11">
        <v>9892560</v>
      </c>
      <c r="L1177" s="3">
        <v>349</v>
      </c>
      <c r="M1177" s="3">
        <v>4373</v>
      </c>
      <c r="N1177" s="3">
        <v>1282393</v>
      </c>
      <c r="O1177" s="2">
        <v>5.9000000000000004E-2</v>
      </c>
      <c r="P1177" s="2">
        <v>0.73799999999999999</v>
      </c>
      <c r="Q1177" s="2">
        <v>-0.44500000000000001</v>
      </c>
      <c r="R1177" s="11">
        <v>320107641</v>
      </c>
      <c r="S1177" s="11">
        <v>1439817</v>
      </c>
      <c r="T1177">
        <v>2016</v>
      </c>
      <c r="U1177">
        <v>12</v>
      </c>
      <c r="V1177">
        <f t="shared" si="108"/>
        <v>600000</v>
      </c>
      <c r="W1177">
        <f t="shared" si="109"/>
        <v>18429897</v>
      </c>
      <c r="X1177">
        <f t="shared" si="110"/>
        <v>17829897</v>
      </c>
      <c r="Y1177">
        <f t="shared" si="111"/>
        <v>-26144845.5</v>
      </c>
      <c r="Z1177">
        <f t="shared" si="112"/>
        <v>45174742.5</v>
      </c>
      <c r="AA1177" t="str">
        <f t="shared" si="113"/>
        <v>Normal</v>
      </c>
      <c r="AE1177" s="2"/>
      <c r="AF1177" s="2"/>
    </row>
    <row r="1178" spans="1:32" x14ac:dyDescent="0.35">
      <c r="A1178">
        <v>1177</v>
      </c>
      <c r="B1178" s="1">
        <v>42727</v>
      </c>
      <c r="C1178" s="9" t="s">
        <v>2093</v>
      </c>
      <c r="D1178" s="9" t="s">
        <v>4988</v>
      </c>
      <c r="E1178" s="9" t="s">
        <v>6638</v>
      </c>
      <c r="F1178" s="9" t="s">
        <v>27</v>
      </c>
      <c r="G1178" s="9" t="s">
        <v>2094</v>
      </c>
      <c r="H1178" s="9" t="s">
        <v>86</v>
      </c>
      <c r="I1178" s="11">
        <v>18429897</v>
      </c>
      <c r="J1178" s="11">
        <v>974182</v>
      </c>
      <c r="K1178" s="11">
        <v>18814430</v>
      </c>
      <c r="L1178" s="3">
        <v>85</v>
      </c>
      <c r="M1178" s="3">
        <v>2000</v>
      </c>
      <c r="N1178" s="3">
        <v>451092</v>
      </c>
      <c r="O1178" s="2">
        <v>0.22500000000000001</v>
      </c>
      <c r="P1178" s="2">
        <v>0.32400000000000001</v>
      </c>
      <c r="Q1178" s="2">
        <v>1.8000000000000002E-2</v>
      </c>
      <c r="R1178" s="11">
        <v>476806832</v>
      </c>
      <c r="S1178" s="11">
        <v>274939</v>
      </c>
      <c r="T1178">
        <v>2016</v>
      </c>
      <c r="U1178">
        <v>12</v>
      </c>
      <c r="V1178">
        <f t="shared" si="108"/>
        <v>600000</v>
      </c>
      <c r="W1178">
        <f t="shared" si="109"/>
        <v>18429897</v>
      </c>
      <c r="X1178">
        <f t="shared" si="110"/>
        <v>17829897</v>
      </c>
      <c r="Y1178">
        <f t="shared" si="111"/>
        <v>-26144845.5</v>
      </c>
      <c r="Z1178">
        <f t="shared" si="112"/>
        <v>45174742.5</v>
      </c>
      <c r="AA1178" t="str">
        <f t="shared" si="113"/>
        <v>Normal</v>
      </c>
      <c r="AE1178" s="2"/>
      <c r="AF1178" s="2"/>
    </row>
    <row r="1179" spans="1:32" x14ac:dyDescent="0.35">
      <c r="A1179">
        <v>1178</v>
      </c>
      <c r="B1179" s="1">
        <v>42730</v>
      </c>
      <c r="C1179" s="9" t="s">
        <v>2095</v>
      </c>
      <c r="D1179" s="9" t="s">
        <v>4925</v>
      </c>
      <c r="E1179" s="9" t="s">
        <v>6639</v>
      </c>
      <c r="F1179" s="9" t="s">
        <v>35</v>
      </c>
      <c r="G1179" s="9" t="s">
        <v>2096</v>
      </c>
      <c r="H1179" s="9" t="s">
        <v>86</v>
      </c>
      <c r="I1179" s="11">
        <v>18429897</v>
      </c>
      <c r="J1179" s="11">
        <v>1310651</v>
      </c>
      <c r="K1179" s="11">
        <v>1761668</v>
      </c>
      <c r="L1179" s="3">
        <v>245</v>
      </c>
      <c r="M1179" s="3">
        <v>3322</v>
      </c>
      <c r="N1179" s="3">
        <v>512012</v>
      </c>
      <c r="O1179" s="2">
        <v>0.498</v>
      </c>
      <c r="P1179" s="2">
        <v>0.27500000000000002</v>
      </c>
      <c r="Q1179" s="2">
        <v>-6.4000000000000001E-2</v>
      </c>
      <c r="R1179" s="11">
        <v>323855504</v>
      </c>
      <c r="S1179" s="11">
        <v>799048</v>
      </c>
      <c r="T1179">
        <v>2016</v>
      </c>
      <c r="U1179">
        <v>12</v>
      </c>
      <c r="V1179">
        <f t="shared" si="108"/>
        <v>600000</v>
      </c>
      <c r="W1179">
        <f t="shared" si="109"/>
        <v>18429897</v>
      </c>
      <c r="X1179">
        <f t="shared" si="110"/>
        <v>17829897</v>
      </c>
      <c r="Y1179">
        <f t="shared" si="111"/>
        <v>-26144845.5</v>
      </c>
      <c r="Z1179">
        <f t="shared" si="112"/>
        <v>45174742.5</v>
      </c>
      <c r="AA1179" t="str">
        <f t="shared" si="113"/>
        <v>Normal</v>
      </c>
      <c r="AE1179" s="2"/>
      <c r="AF1179" s="2"/>
    </row>
    <row r="1180" spans="1:32" x14ac:dyDescent="0.35">
      <c r="A1180">
        <v>1179</v>
      </c>
      <c r="B1180" s="1">
        <v>42730</v>
      </c>
      <c r="C1180" s="9" t="s">
        <v>2097</v>
      </c>
      <c r="D1180" s="9" t="s">
        <v>4930</v>
      </c>
      <c r="E1180" s="9" t="s">
        <v>6640</v>
      </c>
      <c r="F1180" s="9" t="s">
        <v>15</v>
      </c>
      <c r="G1180" s="9" t="s">
        <v>2098</v>
      </c>
      <c r="H1180" s="9" t="s">
        <v>86</v>
      </c>
      <c r="I1180" s="11">
        <v>18429897</v>
      </c>
      <c r="J1180" s="11">
        <v>143619</v>
      </c>
      <c r="K1180" s="11">
        <v>4357172</v>
      </c>
      <c r="L1180" s="3">
        <v>137</v>
      </c>
      <c r="M1180" s="3">
        <v>529</v>
      </c>
      <c r="N1180" s="3">
        <v>1704671</v>
      </c>
      <c r="O1180" s="2">
        <v>0.2</v>
      </c>
      <c r="P1180" s="2">
        <v>1.147</v>
      </c>
      <c r="Q1180" s="2">
        <v>0.34799999999999998</v>
      </c>
      <c r="R1180" s="11">
        <v>353415967</v>
      </c>
      <c r="S1180" s="11">
        <v>846676</v>
      </c>
      <c r="T1180">
        <v>2016</v>
      </c>
      <c r="U1180">
        <v>12</v>
      </c>
      <c r="V1180">
        <f t="shared" si="108"/>
        <v>600000</v>
      </c>
      <c r="W1180">
        <f t="shared" si="109"/>
        <v>18429897</v>
      </c>
      <c r="X1180">
        <f t="shared" si="110"/>
        <v>17829897</v>
      </c>
      <c r="Y1180">
        <f t="shared" si="111"/>
        <v>-26144845.5</v>
      </c>
      <c r="Z1180">
        <f t="shared" si="112"/>
        <v>45174742.5</v>
      </c>
      <c r="AA1180" t="str">
        <f t="shared" si="113"/>
        <v>Normal</v>
      </c>
      <c r="AE1180" s="2"/>
      <c r="AF1180" s="2"/>
    </row>
    <row r="1181" spans="1:32" x14ac:dyDescent="0.35">
      <c r="A1181">
        <v>1180</v>
      </c>
      <c r="B1181" s="1">
        <v>42730</v>
      </c>
      <c r="C1181" s="9" t="s">
        <v>2099</v>
      </c>
      <c r="D1181" s="9" t="s">
        <v>4988</v>
      </c>
      <c r="E1181" s="9" t="s">
        <v>6641</v>
      </c>
      <c r="F1181" s="9" t="s">
        <v>31</v>
      </c>
      <c r="G1181" s="9" t="s">
        <v>856</v>
      </c>
      <c r="H1181" s="9" t="s">
        <v>86</v>
      </c>
      <c r="I1181" s="11">
        <v>1200000</v>
      </c>
      <c r="J1181" s="11">
        <v>3047641</v>
      </c>
      <c r="K1181" s="11">
        <v>16758499</v>
      </c>
      <c r="L1181" s="3">
        <v>128</v>
      </c>
      <c r="M1181" s="3">
        <v>4830</v>
      </c>
      <c r="N1181" s="3">
        <v>373174</v>
      </c>
      <c r="O1181" s="2">
        <v>-7.8E-2</v>
      </c>
      <c r="P1181" s="2">
        <v>0.79200000000000004</v>
      </c>
      <c r="Q1181" s="2">
        <v>0.17899999999999999</v>
      </c>
      <c r="R1181" s="11">
        <v>164510066</v>
      </c>
      <c r="S1181" s="11">
        <v>1160261</v>
      </c>
      <c r="T1181">
        <v>2016</v>
      </c>
      <c r="U1181">
        <v>12</v>
      </c>
      <c r="V1181">
        <f t="shared" si="108"/>
        <v>600000</v>
      </c>
      <c r="W1181">
        <f t="shared" si="109"/>
        <v>18429897</v>
      </c>
      <c r="X1181">
        <f t="shared" si="110"/>
        <v>17829897</v>
      </c>
      <c r="Y1181">
        <f t="shared" si="111"/>
        <v>-26144845.5</v>
      </c>
      <c r="Z1181">
        <f t="shared" si="112"/>
        <v>45174742.5</v>
      </c>
      <c r="AA1181" t="str">
        <f t="shared" si="113"/>
        <v>Normal</v>
      </c>
      <c r="AE1181" s="2"/>
      <c r="AF1181" s="2"/>
    </row>
    <row r="1182" spans="1:32" x14ac:dyDescent="0.35">
      <c r="A1182">
        <v>1181</v>
      </c>
      <c r="B1182" s="1">
        <v>42730</v>
      </c>
      <c r="C1182" s="9" t="s">
        <v>2100</v>
      </c>
      <c r="D1182" s="9" t="s">
        <v>4928</v>
      </c>
      <c r="E1182" s="9" t="s">
        <v>4152</v>
      </c>
      <c r="F1182" s="9" t="s">
        <v>19</v>
      </c>
      <c r="G1182" s="9" t="s">
        <v>1423</v>
      </c>
      <c r="H1182" s="9" t="s">
        <v>105</v>
      </c>
      <c r="I1182" s="11">
        <v>10000000</v>
      </c>
      <c r="J1182" s="11">
        <v>4638753</v>
      </c>
      <c r="K1182" s="11">
        <v>11407206</v>
      </c>
      <c r="L1182" s="3">
        <v>287</v>
      </c>
      <c r="M1182" s="3">
        <v>159</v>
      </c>
      <c r="N1182" s="3">
        <v>1031743</v>
      </c>
      <c r="O1182" s="2">
        <v>0.122</v>
      </c>
      <c r="P1182" s="2">
        <v>0.20600000000000002</v>
      </c>
      <c r="Q1182" s="2">
        <v>-0.217</v>
      </c>
      <c r="R1182" s="11">
        <v>273516447</v>
      </c>
      <c r="S1182" s="11">
        <v>1453802</v>
      </c>
      <c r="T1182">
        <v>2016</v>
      </c>
      <c r="U1182">
        <v>12</v>
      </c>
      <c r="V1182">
        <f t="shared" si="108"/>
        <v>600000</v>
      </c>
      <c r="W1182">
        <f t="shared" si="109"/>
        <v>18429897</v>
      </c>
      <c r="X1182">
        <f t="shared" si="110"/>
        <v>17829897</v>
      </c>
      <c r="Y1182">
        <f t="shared" si="111"/>
        <v>-26144845.5</v>
      </c>
      <c r="Z1182">
        <f t="shared" si="112"/>
        <v>45174742.5</v>
      </c>
      <c r="AA1182" t="str">
        <f t="shared" si="113"/>
        <v>Normal</v>
      </c>
      <c r="AE1182" s="2"/>
      <c r="AF1182" s="2"/>
    </row>
    <row r="1183" spans="1:32" x14ac:dyDescent="0.35">
      <c r="A1183">
        <v>1182</v>
      </c>
      <c r="B1183" s="1">
        <v>42731</v>
      </c>
      <c r="C1183" s="9" t="s">
        <v>389</v>
      </c>
      <c r="D1183" s="9" t="s">
        <v>4925</v>
      </c>
      <c r="E1183" s="9" t="s">
        <v>6642</v>
      </c>
      <c r="F1183" s="9" t="s">
        <v>15</v>
      </c>
      <c r="G1183" s="9" t="s">
        <v>2101</v>
      </c>
      <c r="H1183" s="9" t="s">
        <v>105</v>
      </c>
      <c r="I1183" s="11">
        <v>5000000</v>
      </c>
      <c r="J1183" s="11">
        <v>3460183</v>
      </c>
      <c r="K1183" s="11">
        <v>3489707</v>
      </c>
      <c r="L1183" s="3">
        <v>67</v>
      </c>
      <c r="M1183" s="3">
        <v>1586</v>
      </c>
      <c r="N1183" s="3">
        <v>1562120</v>
      </c>
      <c r="O1183" s="2">
        <v>-0.05</v>
      </c>
      <c r="P1183" s="2">
        <v>0.66900000000000004</v>
      </c>
      <c r="Q1183" s="2">
        <v>-6.3E-2</v>
      </c>
      <c r="R1183" s="11">
        <v>72917440</v>
      </c>
      <c r="S1183" s="11">
        <v>1977083</v>
      </c>
      <c r="T1183">
        <v>2016</v>
      </c>
      <c r="U1183">
        <v>12</v>
      </c>
      <c r="V1183">
        <f t="shared" si="108"/>
        <v>600000</v>
      </c>
      <c r="W1183">
        <f t="shared" si="109"/>
        <v>18429897</v>
      </c>
      <c r="X1183">
        <f t="shared" si="110"/>
        <v>17829897</v>
      </c>
      <c r="Y1183">
        <f t="shared" si="111"/>
        <v>-26144845.5</v>
      </c>
      <c r="Z1183">
        <f t="shared" si="112"/>
        <v>45174742.5</v>
      </c>
      <c r="AA1183" t="str">
        <f t="shared" si="113"/>
        <v>Normal</v>
      </c>
      <c r="AE1183" s="2"/>
      <c r="AF1183" s="2"/>
    </row>
    <row r="1184" spans="1:32" x14ac:dyDescent="0.35">
      <c r="A1184">
        <v>1183</v>
      </c>
      <c r="B1184" s="1">
        <v>42732</v>
      </c>
      <c r="C1184" s="9" t="s">
        <v>2019</v>
      </c>
      <c r="D1184" s="9" t="s">
        <v>4988</v>
      </c>
      <c r="E1184" s="9" t="s">
        <v>6643</v>
      </c>
      <c r="F1184" s="9" t="s">
        <v>31</v>
      </c>
      <c r="G1184" s="9" t="s">
        <v>2102</v>
      </c>
      <c r="H1184" s="9" t="s">
        <v>86</v>
      </c>
      <c r="I1184" s="11">
        <v>18429897</v>
      </c>
      <c r="J1184" s="11">
        <v>2531926</v>
      </c>
      <c r="K1184" s="11">
        <v>582782</v>
      </c>
      <c r="L1184" s="3">
        <v>286</v>
      </c>
      <c r="M1184" s="3">
        <v>4583</v>
      </c>
      <c r="N1184" s="3">
        <v>1613824</v>
      </c>
      <c r="O1184" s="2">
        <v>-0.20699999999999999</v>
      </c>
      <c r="P1184" s="2">
        <v>0.48700000000000004</v>
      </c>
      <c r="Q1184" s="2">
        <v>0.63900000000000001</v>
      </c>
      <c r="R1184" s="11">
        <v>250264963</v>
      </c>
      <c r="S1184" s="11">
        <v>964594</v>
      </c>
      <c r="T1184">
        <v>2016</v>
      </c>
      <c r="U1184">
        <v>12</v>
      </c>
      <c r="V1184">
        <f t="shared" si="108"/>
        <v>600000</v>
      </c>
      <c r="W1184">
        <f t="shared" si="109"/>
        <v>18429897</v>
      </c>
      <c r="X1184">
        <f t="shared" si="110"/>
        <v>17829897</v>
      </c>
      <c r="Y1184">
        <f t="shared" si="111"/>
        <v>-26144845.5</v>
      </c>
      <c r="Z1184">
        <f t="shared" si="112"/>
        <v>45174742.5</v>
      </c>
      <c r="AA1184" t="str">
        <f t="shared" si="113"/>
        <v>Normal</v>
      </c>
      <c r="AE1184" s="2"/>
      <c r="AF1184" s="2"/>
    </row>
    <row r="1185" spans="1:32" x14ac:dyDescent="0.35">
      <c r="A1185">
        <v>1184</v>
      </c>
      <c r="B1185" s="1">
        <v>42733</v>
      </c>
      <c r="C1185" s="9" t="s">
        <v>332</v>
      </c>
      <c r="D1185" s="9" t="s">
        <v>4988</v>
      </c>
      <c r="E1185" s="9" t="s">
        <v>6469</v>
      </c>
      <c r="F1185" s="9" t="s">
        <v>15</v>
      </c>
      <c r="G1185" s="9" t="s">
        <v>867</v>
      </c>
      <c r="H1185" s="9" t="s">
        <v>105</v>
      </c>
      <c r="I1185" s="11">
        <v>1000000</v>
      </c>
      <c r="J1185" s="11">
        <v>2112935</v>
      </c>
      <c r="K1185" s="11">
        <v>8271361</v>
      </c>
      <c r="L1185" s="3">
        <v>203</v>
      </c>
      <c r="M1185" s="3">
        <v>3207</v>
      </c>
      <c r="N1185" s="3">
        <v>409365</v>
      </c>
      <c r="O1185" s="2">
        <v>0.33299999999999996</v>
      </c>
      <c r="P1185" s="2">
        <v>0.35399999999999998</v>
      </c>
      <c r="Q1185" s="2">
        <v>-0.128</v>
      </c>
      <c r="R1185" s="11">
        <v>441379762</v>
      </c>
      <c r="S1185" s="11">
        <v>1620348</v>
      </c>
      <c r="T1185">
        <v>2016</v>
      </c>
      <c r="U1185">
        <v>12</v>
      </c>
      <c r="V1185">
        <f t="shared" si="108"/>
        <v>600000</v>
      </c>
      <c r="W1185">
        <f t="shared" si="109"/>
        <v>18429897</v>
      </c>
      <c r="X1185">
        <f t="shared" si="110"/>
        <v>17829897</v>
      </c>
      <c r="Y1185">
        <f t="shared" si="111"/>
        <v>-26144845.5</v>
      </c>
      <c r="Z1185">
        <f t="shared" si="112"/>
        <v>45174742.5</v>
      </c>
      <c r="AA1185" t="str">
        <f t="shared" si="113"/>
        <v>Normal</v>
      </c>
      <c r="AE1185" s="2"/>
      <c r="AF1185" s="2"/>
    </row>
    <row r="1186" spans="1:32" x14ac:dyDescent="0.35">
      <c r="A1186">
        <v>1185</v>
      </c>
      <c r="B1186" s="1">
        <v>42733</v>
      </c>
      <c r="C1186" s="9" t="s">
        <v>622</v>
      </c>
      <c r="D1186" s="9" t="s">
        <v>4988</v>
      </c>
      <c r="E1186" s="9" t="s">
        <v>6644</v>
      </c>
      <c r="F1186" s="9" t="s">
        <v>27</v>
      </c>
      <c r="G1186" s="9" t="s">
        <v>2103</v>
      </c>
      <c r="H1186" s="9" t="s">
        <v>86</v>
      </c>
      <c r="I1186" s="11">
        <v>18429897</v>
      </c>
      <c r="J1186" s="11">
        <v>1551524</v>
      </c>
      <c r="K1186" s="11">
        <v>11938899</v>
      </c>
      <c r="L1186" s="3">
        <v>118</v>
      </c>
      <c r="M1186" s="3">
        <v>3392</v>
      </c>
      <c r="N1186" s="3">
        <v>739227</v>
      </c>
      <c r="O1186" s="2">
        <v>0.13600000000000001</v>
      </c>
      <c r="P1186" s="2">
        <v>1.0189999999999999E-2</v>
      </c>
      <c r="Q1186" s="2">
        <v>0.30599999999999999</v>
      </c>
      <c r="R1186" s="11">
        <v>465007378</v>
      </c>
      <c r="S1186" s="11">
        <v>1965561</v>
      </c>
      <c r="T1186">
        <v>2016</v>
      </c>
      <c r="U1186">
        <v>12</v>
      </c>
      <c r="V1186">
        <f t="shared" si="108"/>
        <v>600000</v>
      </c>
      <c r="W1186">
        <f t="shared" si="109"/>
        <v>18429897</v>
      </c>
      <c r="X1186">
        <f t="shared" si="110"/>
        <v>17829897</v>
      </c>
      <c r="Y1186">
        <f t="shared" si="111"/>
        <v>-26144845.5</v>
      </c>
      <c r="Z1186">
        <f t="shared" si="112"/>
        <v>45174742.5</v>
      </c>
      <c r="AA1186" t="str">
        <f t="shared" si="113"/>
        <v>Normal</v>
      </c>
      <c r="AE1186" s="2"/>
      <c r="AF1186" s="2"/>
    </row>
    <row r="1187" spans="1:32" x14ac:dyDescent="0.35">
      <c r="A1187">
        <v>1186</v>
      </c>
      <c r="B1187" s="1">
        <v>42733</v>
      </c>
      <c r="C1187" s="9" t="s">
        <v>2104</v>
      </c>
      <c r="D1187" s="9" t="s">
        <v>4988</v>
      </c>
      <c r="E1187" s="9" t="s">
        <v>6645</v>
      </c>
      <c r="F1187" s="9" t="s">
        <v>15</v>
      </c>
      <c r="G1187" s="9" t="s">
        <v>2105</v>
      </c>
      <c r="H1187" s="9" t="s">
        <v>86</v>
      </c>
      <c r="I1187" s="11">
        <v>18429897</v>
      </c>
      <c r="J1187" s="11">
        <v>729182</v>
      </c>
      <c r="K1187" s="11">
        <v>16821284</v>
      </c>
      <c r="L1187" s="3">
        <v>283</v>
      </c>
      <c r="M1187" s="3">
        <v>1606</v>
      </c>
      <c r="N1187" s="3">
        <v>1123773</v>
      </c>
      <c r="O1187" s="2">
        <v>0.156</v>
      </c>
      <c r="P1187" s="2">
        <v>0.35399999999999998</v>
      </c>
      <c r="Q1187" s="2">
        <v>-7.0000000000000007E-2</v>
      </c>
      <c r="R1187" s="11">
        <v>296521765</v>
      </c>
      <c r="S1187" s="11">
        <v>516066</v>
      </c>
      <c r="T1187">
        <v>2016</v>
      </c>
      <c r="U1187">
        <v>12</v>
      </c>
      <c r="V1187">
        <f t="shared" si="108"/>
        <v>600000</v>
      </c>
      <c r="W1187">
        <f t="shared" si="109"/>
        <v>18429897</v>
      </c>
      <c r="X1187">
        <f t="shared" si="110"/>
        <v>17829897</v>
      </c>
      <c r="Y1187">
        <f t="shared" si="111"/>
        <v>-26144845.5</v>
      </c>
      <c r="Z1187">
        <f t="shared" si="112"/>
        <v>45174742.5</v>
      </c>
      <c r="AA1187" t="str">
        <f t="shared" si="113"/>
        <v>Normal</v>
      </c>
      <c r="AE1187" s="2"/>
      <c r="AF1187" s="2"/>
    </row>
    <row r="1188" spans="1:32" x14ac:dyDescent="0.35">
      <c r="A1188">
        <v>1187</v>
      </c>
      <c r="B1188" s="1">
        <v>42734</v>
      </c>
      <c r="C1188" s="9" t="s">
        <v>2106</v>
      </c>
      <c r="D1188" s="9" t="s">
        <v>4988</v>
      </c>
      <c r="E1188" s="9" t="s">
        <v>6646</v>
      </c>
      <c r="F1188" s="9" t="s">
        <v>27</v>
      </c>
      <c r="G1188" s="9" t="s">
        <v>4848</v>
      </c>
      <c r="H1188" s="9" t="s">
        <v>105</v>
      </c>
      <c r="I1188" s="11">
        <v>18429897</v>
      </c>
      <c r="J1188" s="11">
        <v>3000416</v>
      </c>
      <c r="K1188" s="11">
        <v>17687412</v>
      </c>
      <c r="L1188" s="3">
        <v>376</v>
      </c>
      <c r="M1188" s="3">
        <v>3909</v>
      </c>
      <c r="N1188" s="3">
        <v>1180927</v>
      </c>
      <c r="O1188" s="2">
        <v>-0.26500000000000001</v>
      </c>
      <c r="P1188" s="2">
        <v>0.36599999999999999</v>
      </c>
      <c r="Q1188" s="2">
        <v>-0.151</v>
      </c>
      <c r="R1188" s="11">
        <v>404998166</v>
      </c>
      <c r="S1188" s="11">
        <v>1262616</v>
      </c>
      <c r="T1188">
        <v>2016</v>
      </c>
      <c r="U1188">
        <v>12</v>
      </c>
      <c r="V1188">
        <f t="shared" si="108"/>
        <v>600000</v>
      </c>
      <c r="W1188">
        <f t="shared" si="109"/>
        <v>18429897</v>
      </c>
      <c r="X1188">
        <f t="shared" si="110"/>
        <v>17829897</v>
      </c>
      <c r="Y1188">
        <f t="shared" si="111"/>
        <v>-26144845.5</v>
      </c>
      <c r="Z1188">
        <f t="shared" si="112"/>
        <v>45174742.5</v>
      </c>
      <c r="AA1188" t="str">
        <f t="shared" si="113"/>
        <v>Normal</v>
      </c>
      <c r="AE1188" s="2"/>
      <c r="AF1188" s="2"/>
    </row>
    <row r="1189" spans="1:32" x14ac:dyDescent="0.35">
      <c r="A1189">
        <v>1188</v>
      </c>
      <c r="B1189" s="1">
        <v>42675</v>
      </c>
      <c r="C1189" s="9" t="s">
        <v>2107</v>
      </c>
      <c r="D1189" s="9" t="s">
        <v>4988</v>
      </c>
      <c r="E1189" s="9" t="s">
        <v>6647</v>
      </c>
      <c r="F1189" s="9" t="s">
        <v>27</v>
      </c>
      <c r="G1189" s="9" t="s">
        <v>2108</v>
      </c>
      <c r="H1189" s="9" t="s">
        <v>86</v>
      </c>
      <c r="I1189" s="11">
        <v>200000</v>
      </c>
      <c r="J1189" s="11">
        <v>2841289</v>
      </c>
      <c r="K1189" s="11">
        <v>9209880</v>
      </c>
      <c r="L1189" s="3">
        <v>306</v>
      </c>
      <c r="M1189" s="3">
        <v>4661</v>
      </c>
      <c r="N1189" s="3">
        <v>327206</v>
      </c>
      <c r="O1189" s="2">
        <v>3.0000000000000001E-3</v>
      </c>
      <c r="P1189" s="2">
        <v>0.433</v>
      </c>
      <c r="Q1189" s="2">
        <v>-3.5000000000000003E-2</v>
      </c>
      <c r="R1189" s="11">
        <v>226096397</v>
      </c>
      <c r="S1189" s="11">
        <v>256944</v>
      </c>
      <c r="T1189">
        <v>2016</v>
      </c>
      <c r="U1189">
        <v>11</v>
      </c>
      <c r="V1189">
        <f t="shared" si="108"/>
        <v>600000</v>
      </c>
      <c r="W1189">
        <f t="shared" si="109"/>
        <v>18429897</v>
      </c>
      <c r="X1189">
        <f t="shared" si="110"/>
        <v>17829897</v>
      </c>
      <c r="Y1189">
        <f t="shared" si="111"/>
        <v>-26144845.5</v>
      </c>
      <c r="Z1189">
        <f t="shared" si="112"/>
        <v>45174742.5</v>
      </c>
      <c r="AA1189" t="str">
        <f t="shared" si="113"/>
        <v>Normal</v>
      </c>
      <c r="AE1189" s="2"/>
      <c r="AF1189" s="2"/>
    </row>
    <row r="1190" spans="1:32" x14ac:dyDescent="0.35">
      <c r="A1190">
        <v>1189</v>
      </c>
      <c r="B1190" s="1">
        <v>42676</v>
      </c>
      <c r="C1190" s="9" t="s">
        <v>2109</v>
      </c>
      <c r="D1190" s="9" t="s">
        <v>4988</v>
      </c>
      <c r="E1190" s="9" t="s">
        <v>6648</v>
      </c>
      <c r="F1190" s="9" t="s">
        <v>35</v>
      </c>
      <c r="G1190" s="9" t="s">
        <v>2110</v>
      </c>
      <c r="H1190" s="9" t="s">
        <v>105</v>
      </c>
      <c r="I1190" s="11">
        <v>55000000</v>
      </c>
      <c r="J1190" s="11">
        <v>56425</v>
      </c>
      <c r="K1190" s="11">
        <v>8507404</v>
      </c>
      <c r="L1190" s="3">
        <v>48</v>
      </c>
      <c r="M1190" s="3">
        <v>3129</v>
      </c>
      <c r="N1190" s="3">
        <v>1189506</v>
      </c>
      <c r="O1190" s="2">
        <v>-0.16300000000000001</v>
      </c>
      <c r="P1190" s="2">
        <v>0.91200000000000003</v>
      </c>
      <c r="Q1190" s="2">
        <v>0.46800000000000003</v>
      </c>
      <c r="R1190" s="11">
        <v>274985502</v>
      </c>
      <c r="S1190" s="11">
        <v>331066</v>
      </c>
      <c r="T1190">
        <v>2016</v>
      </c>
      <c r="U1190">
        <v>11</v>
      </c>
      <c r="V1190">
        <f t="shared" si="108"/>
        <v>600000</v>
      </c>
      <c r="W1190">
        <f t="shared" si="109"/>
        <v>18429897</v>
      </c>
      <c r="X1190">
        <f t="shared" si="110"/>
        <v>17829897</v>
      </c>
      <c r="Y1190">
        <f t="shared" si="111"/>
        <v>-26144845.5</v>
      </c>
      <c r="Z1190">
        <f t="shared" si="112"/>
        <v>45174742.5</v>
      </c>
      <c r="AA1190" t="str">
        <f t="shared" si="113"/>
        <v>Outlier</v>
      </c>
      <c r="AE1190" s="2"/>
      <c r="AF1190" s="2"/>
    </row>
    <row r="1191" spans="1:32" x14ac:dyDescent="0.35">
      <c r="A1191">
        <v>1190</v>
      </c>
      <c r="B1191" s="1">
        <v>42676</v>
      </c>
      <c r="C1191" s="9" t="s">
        <v>2111</v>
      </c>
      <c r="D1191" s="9" t="s">
        <v>4988</v>
      </c>
      <c r="E1191" s="9" t="s">
        <v>6647</v>
      </c>
      <c r="F1191" s="9" t="s">
        <v>15</v>
      </c>
      <c r="G1191" s="9" t="s">
        <v>856</v>
      </c>
      <c r="H1191" s="9" t="s">
        <v>86</v>
      </c>
      <c r="I1191" s="11">
        <v>150000</v>
      </c>
      <c r="J1191" s="11">
        <v>2089297</v>
      </c>
      <c r="K1191" s="11">
        <v>18629931</v>
      </c>
      <c r="L1191" s="3">
        <v>283</v>
      </c>
      <c r="M1191" s="3">
        <v>1130</v>
      </c>
      <c r="N1191" s="3">
        <v>2887</v>
      </c>
      <c r="O1191" s="2">
        <v>0.11599999999999999</v>
      </c>
      <c r="P1191" s="2">
        <v>0.39100000000000001</v>
      </c>
      <c r="Q1191" s="2">
        <v>-0.26700000000000002</v>
      </c>
      <c r="R1191" s="11">
        <v>179220061</v>
      </c>
      <c r="S1191" s="11">
        <v>1035352</v>
      </c>
      <c r="T1191">
        <v>2016</v>
      </c>
      <c r="U1191">
        <v>11</v>
      </c>
      <c r="V1191">
        <f t="shared" si="108"/>
        <v>600000</v>
      </c>
      <c r="W1191">
        <f t="shared" si="109"/>
        <v>18429897</v>
      </c>
      <c r="X1191">
        <f t="shared" si="110"/>
        <v>17829897</v>
      </c>
      <c r="Y1191">
        <f t="shared" si="111"/>
        <v>-26144845.5</v>
      </c>
      <c r="Z1191">
        <f t="shared" si="112"/>
        <v>45174742.5</v>
      </c>
      <c r="AA1191" t="str">
        <f t="shared" si="113"/>
        <v>Normal</v>
      </c>
      <c r="AE1191" s="2"/>
      <c r="AF1191" s="2"/>
    </row>
    <row r="1192" spans="1:32" x14ac:dyDescent="0.35">
      <c r="A1192">
        <v>1191</v>
      </c>
      <c r="B1192" s="1">
        <v>42676</v>
      </c>
      <c r="C1192" s="9" t="s">
        <v>622</v>
      </c>
      <c r="D1192" s="9" t="s">
        <v>4988</v>
      </c>
      <c r="E1192" s="9" t="s">
        <v>6649</v>
      </c>
      <c r="F1192" s="9" t="s">
        <v>27</v>
      </c>
      <c r="G1192" s="9" t="s">
        <v>2112</v>
      </c>
      <c r="H1192" s="9" t="s">
        <v>86</v>
      </c>
      <c r="I1192" s="11">
        <v>18429897</v>
      </c>
      <c r="J1192" s="11">
        <v>1404550</v>
      </c>
      <c r="K1192" s="11">
        <v>15559974</v>
      </c>
      <c r="L1192" s="3">
        <v>313</v>
      </c>
      <c r="M1192" s="3">
        <v>4538</v>
      </c>
      <c r="N1192" s="3">
        <v>1253493</v>
      </c>
      <c r="O1192" s="2">
        <v>0.14699999999999999</v>
      </c>
      <c r="P1192" s="2">
        <v>0.52100000000000002</v>
      </c>
      <c r="Q1192" s="2">
        <v>0.26400000000000001</v>
      </c>
      <c r="R1192" s="11">
        <v>407724539</v>
      </c>
      <c r="S1192" s="11">
        <v>165684</v>
      </c>
      <c r="T1192">
        <v>2016</v>
      </c>
      <c r="U1192">
        <v>11</v>
      </c>
      <c r="V1192">
        <f t="shared" si="108"/>
        <v>600000</v>
      </c>
      <c r="W1192">
        <f t="shared" si="109"/>
        <v>18429897</v>
      </c>
      <c r="X1192">
        <f t="shared" si="110"/>
        <v>17829897</v>
      </c>
      <c r="Y1192">
        <f t="shared" si="111"/>
        <v>-26144845.5</v>
      </c>
      <c r="Z1192">
        <f t="shared" si="112"/>
        <v>45174742.5</v>
      </c>
      <c r="AA1192" t="str">
        <f t="shared" si="113"/>
        <v>Normal</v>
      </c>
      <c r="AE1192" s="2"/>
      <c r="AF1192" s="2"/>
    </row>
    <row r="1193" spans="1:32" x14ac:dyDescent="0.35">
      <c r="A1193">
        <v>1192</v>
      </c>
      <c r="B1193" s="1">
        <v>42676</v>
      </c>
      <c r="C1193" s="9" t="s">
        <v>1137</v>
      </c>
      <c r="D1193" s="9" t="s">
        <v>4939</v>
      </c>
      <c r="E1193" s="9" t="s">
        <v>6650</v>
      </c>
      <c r="F1193" s="9" t="s">
        <v>27</v>
      </c>
      <c r="G1193" s="9" t="s">
        <v>2113</v>
      </c>
      <c r="H1193" s="9" t="s">
        <v>86</v>
      </c>
      <c r="I1193" s="11">
        <v>18429897</v>
      </c>
      <c r="J1193" s="11">
        <v>868003</v>
      </c>
      <c r="K1193" s="11">
        <v>4265354</v>
      </c>
      <c r="L1193" s="3">
        <v>254</v>
      </c>
      <c r="M1193" s="3">
        <v>71</v>
      </c>
      <c r="N1193" s="3">
        <v>1471586</v>
      </c>
      <c r="O1193" s="2">
        <v>0.14699999999999999</v>
      </c>
      <c r="P1193" s="2">
        <v>1.1020000000000001</v>
      </c>
      <c r="Q1193" s="2">
        <v>0.40500000000000003</v>
      </c>
      <c r="R1193" s="11">
        <v>26007872</v>
      </c>
      <c r="S1193" s="11">
        <v>1081383</v>
      </c>
      <c r="T1193">
        <v>2016</v>
      </c>
      <c r="U1193">
        <v>11</v>
      </c>
      <c r="V1193">
        <f t="shared" si="108"/>
        <v>600000</v>
      </c>
      <c r="W1193">
        <f t="shared" si="109"/>
        <v>18429897</v>
      </c>
      <c r="X1193">
        <f t="shared" si="110"/>
        <v>17829897</v>
      </c>
      <c r="Y1193">
        <f t="shared" si="111"/>
        <v>-26144845.5</v>
      </c>
      <c r="Z1193">
        <f t="shared" si="112"/>
        <v>45174742.5</v>
      </c>
      <c r="AA1193" t="str">
        <f t="shared" si="113"/>
        <v>Normal</v>
      </c>
      <c r="AE1193" s="2"/>
      <c r="AF1193" s="2"/>
    </row>
    <row r="1194" spans="1:32" x14ac:dyDescent="0.35">
      <c r="A1194">
        <v>1193</v>
      </c>
      <c r="B1194" s="1">
        <v>42677</v>
      </c>
      <c r="C1194" s="9" t="s">
        <v>2114</v>
      </c>
      <c r="D1194" s="9" t="s">
        <v>4930</v>
      </c>
      <c r="E1194" s="9" t="s">
        <v>6651</v>
      </c>
      <c r="F1194" s="9" t="s">
        <v>35</v>
      </c>
      <c r="G1194" s="9" t="s">
        <v>140</v>
      </c>
      <c r="H1194" s="9" t="s">
        <v>105</v>
      </c>
      <c r="I1194" s="11">
        <v>6000000</v>
      </c>
      <c r="J1194" s="11">
        <v>3521106</v>
      </c>
      <c r="K1194" s="11">
        <v>13657314</v>
      </c>
      <c r="L1194" s="3">
        <v>215</v>
      </c>
      <c r="M1194" s="3">
        <v>4484</v>
      </c>
      <c r="N1194" s="3">
        <v>1018455</v>
      </c>
      <c r="O1194" s="2">
        <v>-1.2999999999999999E-2</v>
      </c>
      <c r="P1194" s="2">
        <v>0.76500000000000001</v>
      </c>
      <c r="Q1194" s="2">
        <v>-3.7999999999999999E-2</v>
      </c>
      <c r="R1194" s="11">
        <v>279553737</v>
      </c>
      <c r="S1194" s="11">
        <v>437618</v>
      </c>
      <c r="T1194">
        <v>2016</v>
      </c>
      <c r="U1194">
        <v>11</v>
      </c>
      <c r="V1194">
        <f t="shared" si="108"/>
        <v>600000</v>
      </c>
      <c r="W1194">
        <f t="shared" si="109"/>
        <v>18429897</v>
      </c>
      <c r="X1194">
        <f t="shared" si="110"/>
        <v>17829897</v>
      </c>
      <c r="Y1194">
        <f t="shared" si="111"/>
        <v>-26144845.5</v>
      </c>
      <c r="Z1194">
        <f t="shared" si="112"/>
        <v>45174742.5</v>
      </c>
      <c r="AA1194" t="str">
        <f t="shared" si="113"/>
        <v>Normal</v>
      </c>
      <c r="AE1194" s="2"/>
      <c r="AF1194" s="2"/>
    </row>
    <row r="1195" spans="1:32" x14ac:dyDescent="0.35">
      <c r="A1195">
        <v>1194</v>
      </c>
      <c r="B1195" s="1">
        <v>42677</v>
      </c>
      <c r="C1195" s="9" t="s">
        <v>2115</v>
      </c>
      <c r="D1195" s="9" t="s">
        <v>4988</v>
      </c>
      <c r="E1195" s="9" t="s">
        <v>6652</v>
      </c>
      <c r="F1195" s="9" t="s">
        <v>15</v>
      </c>
      <c r="G1195" s="9" t="s">
        <v>2116</v>
      </c>
      <c r="H1195" s="9" t="s">
        <v>86</v>
      </c>
      <c r="I1195" s="11">
        <v>18429897</v>
      </c>
      <c r="J1195" s="11">
        <v>2638614</v>
      </c>
      <c r="K1195" s="11">
        <v>14333133</v>
      </c>
      <c r="L1195" s="3">
        <v>51</v>
      </c>
      <c r="M1195" s="3">
        <v>97</v>
      </c>
      <c r="N1195" s="3">
        <v>490815</v>
      </c>
      <c r="O1195" s="2">
        <v>-5.0999999999999997E-2</v>
      </c>
      <c r="P1195" s="2">
        <v>0.373</v>
      </c>
      <c r="Q1195" s="2">
        <v>0.34899999999999998</v>
      </c>
      <c r="R1195" s="11">
        <v>250264963</v>
      </c>
      <c r="S1195" s="11">
        <v>1375520</v>
      </c>
      <c r="T1195">
        <v>2016</v>
      </c>
      <c r="U1195">
        <v>11</v>
      </c>
      <c r="V1195">
        <f t="shared" si="108"/>
        <v>600000</v>
      </c>
      <c r="W1195">
        <f t="shared" si="109"/>
        <v>18429897</v>
      </c>
      <c r="X1195">
        <f t="shared" si="110"/>
        <v>17829897</v>
      </c>
      <c r="Y1195">
        <f t="shared" si="111"/>
        <v>-26144845.5</v>
      </c>
      <c r="Z1195">
        <f t="shared" si="112"/>
        <v>45174742.5</v>
      </c>
      <c r="AA1195" t="str">
        <f t="shared" si="113"/>
        <v>Normal</v>
      </c>
      <c r="AE1195" s="2"/>
      <c r="AF1195" s="2"/>
    </row>
    <row r="1196" spans="1:32" x14ac:dyDescent="0.35">
      <c r="A1196">
        <v>1195</v>
      </c>
      <c r="B1196" s="1">
        <v>42677</v>
      </c>
      <c r="C1196" s="9" t="s">
        <v>2117</v>
      </c>
      <c r="D1196" s="9" t="s">
        <v>4988</v>
      </c>
      <c r="E1196" s="9" t="s">
        <v>6653</v>
      </c>
      <c r="F1196" s="9" t="s">
        <v>63</v>
      </c>
      <c r="G1196" s="9" t="s">
        <v>2118</v>
      </c>
      <c r="H1196" s="9" t="s">
        <v>105</v>
      </c>
      <c r="I1196" s="11">
        <v>10000000</v>
      </c>
      <c r="J1196" s="11">
        <v>3176173</v>
      </c>
      <c r="K1196" s="11">
        <v>4754715</v>
      </c>
      <c r="L1196" s="3">
        <v>67</v>
      </c>
      <c r="M1196" s="3">
        <v>2505.5</v>
      </c>
      <c r="N1196" s="3">
        <v>1018455</v>
      </c>
      <c r="O1196" s="2">
        <v>8.1000000000000003E-2</v>
      </c>
      <c r="P1196" s="2">
        <v>1.06</v>
      </c>
      <c r="Q1196" s="2">
        <v>0.31</v>
      </c>
      <c r="R1196" s="11">
        <v>363966097</v>
      </c>
      <c r="S1196" s="11">
        <v>1086024</v>
      </c>
      <c r="T1196">
        <v>2016</v>
      </c>
      <c r="U1196">
        <v>11</v>
      </c>
      <c r="V1196">
        <f t="shared" si="108"/>
        <v>600000</v>
      </c>
      <c r="W1196">
        <f t="shared" si="109"/>
        <v>18429897</v>
      </c>
      <c r="X1196">
        <f t="shared" si="110"/>
        <v>17829897</v>
      </c>
      <c r="Y1196">
        <f t="shared" si="111"/>
        <v>-26144845.5</v>
      </c>
      <c r="Z1196">
        <f t="shared" si="112"/>
        <v>45174742.5</v>
      </c>
      <c r="AA1196" t="str">
        <f t="shared" si="113"/>
        <v>Normal</v>
      </c>
      <c r="AE1196" s="2"/>
      <c r="AF1196" s="2"/>
    </row>
    <row r="1197" spans="1:32" x14ac:dyDescent="0.35">
      <c r="A1197">
        <v>1196</v>
      </c>
      <c r="B1197" s="1">
        <v>42678</v>
      </c>
      <c r="C1197" s="9" t="s">
        <v>2119</v>
      </c>
      <c r="D1197" s="9" t="s">
        <v>4930</v>
      </c>
      <c r="E1197" s="9" t="s">
        <v>2120</v>
      </c>
      <c r="F1197" s="9" t="s">
        <v>866</v>
      </c>
      <c r="G1197" s="9" t="s">
        <v>2121</v>
      </c>
      <c r="H1197" s="9" t="s">
        <v>105</v>
      </c>
      <c r="I1197" s="11">
        <v>18429897</v>
      </c>
      <c r="J1197" s="11">
        <v>3573138</v>
      </c>
      <c r="K1197" s="11">
        <v>19562170</v>
      </c>
      <c r="L1197" s="3">
        <v>169</v>
      </c>
      <c r="M1197" s="3">
        <v>258</v>
      </c>
      <c r="N1197" s="3">
        <v>1380265</v>
      </c>
      <c r="O1197" s="2">
        <v>0.191</v>
      </c>
      <c r="P1197" s="2">
        <v>0.71200000000000008</v>
      </c>
      <c r="Q1197" s="2">
        <v>-0.10199999999999999</v>
      </c>
      <c r="R1197" s="11">
        <v>264096900</v>
      </c>
      <c r="S1197" s="11">
        <v>1599214</v>
      </c>
      <c r="T1197">
        <v>2016</v>
      </c>
      <c r="U1197">
        <v>11</v>
      </c>
      <c r="V1197">
        <f t="shared" si="108"/>
        <v>600000</v>
      </c>
      <c r="W1197">
        <f t="shared" si="109"/>
        <v>18429897</v>
      </c>
      <c r="X1197">
        <f t="shared" si="110"/>
        <v>17829897</v>
      </c>
      <c r="Y1197">
        <f t="shared" si="111"/>
        <v>-26144845.5</v>
      </c>
      <c r="Z1197">
        <f t="shared" si="112"/>
        <v>45174742.5</v>
      </c>
      <c r="AA1197" t="str">
        <f t="shared" si="113"/>
        <v>Normal</v>
      </c>
      <c r="AE1197" s="2"/>
      <c r="AF1197" s="2"/>
    </row>
    <row r="1198" spans="1:32" x14ac:dyDescent="0.35">
      <c r="A1198">
        <v>1197</v>
      </c>
      <c r="B1198" s="1">
        <v>42678</v>
      </c>
      <c r="C1198" s="9" t="s">
        <v>2122</v>
      </c>
      <c r="D1198" s="9" t="s">
        <v>4928</v>
      </c>
      <c r="E1198" s="9" t="s">
        <v>6654</v>
      </c>
      <c r="F1198" s="9" t="s">
        <v>15</v>
      </c>
      <c r="G1198" s="9" t="s">
        <v>2123</v>
      </c>
      <c r="H1198" s="9" t="s">
        <v>105</v>
      </c>
      <c r="I1198" s="11">
        <v>1000000</v>
      </c>
      <c r="J1198" s="11">
        <v>4909393</v>
      </c>
      <c r="K1198" s="11">
        <v>6007187</v>
      </c>
      <c r="L1198" s="3">
        <v>254</v>
      </c>
      <c r="M1198" s="3">
        <v>987</v>
      </c>
      <c r="N1198" s="3">
        <v>857026</v>
      </c>
      <c r="O1198" s="2">
        <v>0.4</v>
      </c>
      <c r="P1198" s="2">
        <v>1.034</v>
      </c>
      <c r="Q1198" s="2">
        <v>-0.13699999999999998</v>
      </c>
      <c r="R1198" s="11">
        <v>318685770</v>
      </c>
      <c r="S1198" s="11">
        <v>1934033</v>
      </c>
      <c r="T1198">
        <v>2016</v>
      </c>
      <c r="U1198">
        <v>11</v>
      </c>
      <c r="V1198">
        <f t="shared" si="108"/>
        <v>600000</v>
      </c>
      <c r="W1198">
        <f t="shared" si="109"/>
        <v>18429897</v>
      </c>
      <c r="X1198">
        <f t="shared" si="110"/>
        <v>17829897</v>
      </c>
      <c r="Y1198">
        <f t="shared" si="111"/>
        <v>-26144845.5</v>
      </c>
      <c r="Z1198">
        <f t="shared" si="112"/>
        <v>45174742.5</v>
      </c>
      <c r="AA1198" t="str">
        <f t="shared" si="113"/>
        <v>Normal</v>
      </c>
      <c r="AE1198" s="2"/>
      <c r="AF1198" s="2"/>
    </row>
    <row r="1199" spans="1:32" x14ac:dyDescent="0.35">
      <c r="A1199">
        <v>1198</v>
      </c>
      <c r="B1199" s="1">
        <v>42678</v>
      </c>
      <c r="C1199" s="9" t="s">
        <v>2124</v>
      </c>
      <c r="D1199" s="9" t="s">
        <v>4930</v>
      </c>
      <c r="E1199" s="9" t="s">
        <v>6655</v>
      </c>
      <c r="F1199" s="9" t="s">
        <v>27</v>
      </c>
      <c r="G1199" s="9" t="s">
        <v>2125</v>
      </c>
      <c r="H1199" s="9" t="s">
        <v>86</v>
      </c>
      <c r="I1199" s="11">
        <v>150000</v>
      </c>
      <c r="J1199" s="11">
        <v>4017758</v>
      </c>
      <c r="K1199" s="11">
        <v>11037311</v>
      </c>
      <c r="L1199" s="3">
        <v>370</v>
      </c>
      <c r="M1199" s="3">
        <v>3650</v>
      </c>
      <c r="N1199" s="3">
        <v>1857828</v>
      </c>
      <c r="O1199" s="2">
        <v>-6.7000000000000004E-2</v>
      </c>
      <c r="P1199" s="2">
        <v>0.27899999999999997</v>
      </c>
      <c r="Q1199" s="2">
        <v>6.2E-2</v>
      </c>
      <c r="R1199" s="11">
        <v>361772012</v>
      </c>
      <c r="S1199" s="11">
        <v>1671326</v>
      </c>
      <c r="T1199">
        <v>2016</v>
      </c>
      <c r="U1199">
        <v>11</v>
      </c>
      <c r="V1199">
        <f t="shared" si="108"/>
        <v>600000</v>
      </c>
      <c r="W1199">
        <f t="shared" si="109"/>
        <v>18429897</v>
      </c>
      <c r="X1199">
        <f t="shared" si="110"/>
        <v>17829897</v>
      </c>
      <c r="Y1199">
        <f t="shared" si="111"/>
        <v>-26144845.5</v>
      </c>
      <c r="Z1199">
        <f t="shared" si="112"/>
        <v>45174742.5</v>
      </c>
      <c r="AA1199" t="str">
        <f t="shared" si="113"/>
        <v>Normal</v>
      </c>
      <c r="AE1199" s="2"/>
      <c r="AF1199" s="2"/>
    </row>
    <row r="1200" spans="1:32" x14ac:dyDescent="0.35">
      <c r="A1200">
        <v>1199</v>
      </c>
      <c r="B1200" s="1">
        <v>42678</v>
      </c>
      <c r="C1200" s="9" t="s">
        <v>2126</v>
      </c>
      <c r="D1200" s="9" t="s">
        <v>4988</v>
      </c>
      <c r="E1200" s="9" t="s">
        <v>6656</v>
      </c>
      <c r="F1200" s="9" t="s">
        <v>15</v>
      </c>
      <c r="G1200" s="9" t="s">
        <v>1953</v>
      </c>
      <c r="H1200" s="9" t="s">
        <v>86</v>
      </c>
      <c r="I1200" s="11">
        <v>18429897</v>
      </c>
      <c r="J1200" s="11">
        <v>3109381</v>
      </c>
      <c r="K1200" s="11">
        <v>10153449</v>
      </c>
      <c r="L1200" s="3">
        <v>338</v>
      </c>
      <c r="M1200" s="3">
        <v>2009</v>
      </c>
      <c r="N1200" s="3">
        <v>1949519</v>
      </c>
      <c r="O1200" s="2">
        <v>-5.9000000000000004E-2</v>
      </c>
      <c r="P1200" s="2">
        <v>0.36199999999999999</v>
      </c>
      <c r="Q1200" s="2">
        <v>0.127</v>
      </c>
      <c r="R1200" s="11">
        <v>97812973</v>
      </c>
      <c r="S1200" s="11">
        <v>1008193.5</v>
      </c>
      <c r="T1200">
        <v>2016</v>
      </c>
      <c r="U1200">
        <v>11</v>
      </c>
      <c r="V1200">
        <f t="shared" si="108"/>
        <v>600000</v>
      </c>
      <c r="W1200">
        <f t="shared" si="109"/>
        <v>18429897</v>
      </c>
      <c r="X1200">
        <f t="shared" si="110"/>
        <v>17829897</v>
      </c>
      <c r="Y1200">
        <f t="shared" si="111"/>
        <v>-26144845.5</v>
      </c>
      <c r="Z1200">
        <f t="shared" si="112"/>
        <v>45174742.5</v>
      </c>
      <c r="AA1200" t="str">
        <f t="shared" si="113"/>
        <v>Normal</v>
      </c>
      <c r="AE1200" s="2"/>
      <c r="AF1200" s="2"/>
    </row>
    <row r="1201" spans="1:32" x14ac:dyDescent="0.35">
      <c r="A1201">
        <v>1200</v>
      </c>
      <c r="B1201" s="1">
        <v>42678</v>
      </c>
      <c r="C1201" s="9" t="s">
        <v>2127</v>
      </c>
      <c r="D1201" s="9" t="s">
        <v>4925</v>
      </c>
      <c r="E1201" s="9" t="s">
        <v>6657</v>
      </c>
      <c r="F1201" s="9" t="s">
        <v>63</v>
      </c>
      <c r="G1201" s="9" t="s">
        <v>2128</v>
      </c>
      <c r="H1201" s="9" t="s">
        <v>86</v>
      </c>
      <c r="I1201" s="11">
        <v>18429897</v>
      </c>
      <c r="J1201" s="11">
        <v>4397527</v>
      </c>
      <c r="K1201" s="11">
        <v>13874459</v>
      </c>
      <c r="L1201" s="3">
        <v>159</v>
      </c>
      <c r="M1201" s="3">
        <v>441</v>
      </c>
      <c r="N1201" s="3">
        <v>868516</v>
      </c>
      <c r="O1201" s="2">
        <v>-1.2E-2</v>
      </c>
      <c r="P1201" s="2">
        <v>0.29199999999999998</v>
      </c>
      <c r="Q1201" s="2">
        <v>0.8</v>
      </c>
      <c r="R1201" s="11">
        <v>250264963</v>
      </c>
      <c r="S1201" s="11">
        <v>1045943</v>
      </c>
      <c r="T1201">
        <v>2016</v>
      </c>
      <c r="U1201">
        <v>11</v>
      </c>
      <c r="V1201">
        <f t="shared" si="108"/>
        <v>600000</v>
      </c>
      <c r="W1201">
        <f t="shared" si="109"/>
        <v>18429897</v>
      </c>
      <c r="X1201">
        <f t="shared" si="110"/>
        <v>17829897</v>
      </c>
      <c r="Y1201">
        <f t="shared" si="111"/>
        <v>-26144845.5</v>
      </c>
      <c r="Z1201">
        <f t="shared" si="112"/>
        <v>45174742.5</v>
      </c>
      <c r="AA1201" t="str">
        <f t="shared" si="113"/>
        <v>Normal</v>
      </c>
      <c r="AE1201" s="2"/>
      <c r="AF1201" s="2"/>
    </row>
    <row r="1202" spans="1:32" x14ac:dyDescent="0.35">
      <c r="A1202">
        <v>1201</v>
      </c>
      <c r="B1202" s="1">
        <v>42679</v>
      </c>
      <c r="C1202" s="9" t="s">
        <v>2129</v>
      </c>
      <c r="D1202" s="9" t="s">
        <v>4925</v>
      </c>
      <c r="E1202" s="9" t="s">
        <v>6658</v>
      </c>
      <c r="F1202" s="9" t="s">
        <v>27</v>
      </c>
      <c r="G1202" s="9" t="s">
        <v>2130</v>
      </c>
      <c r="H1202" s="9" t="s">
        <v>86</v>
      </c>
      <c r="I1202" s="11">
        <v>45000</v>
      </c>
      <c r="J1202" s="11">
        <v>2397979</v>
      </c>
      <c r="K1202" s="11">
        <v>18042953</v>
      </c>
      <c r="L1202" s="3">
        <v>222</v>
      </c>
      <c r="M1202" s="3">
        <v>1738</v>
      </c>
      <c r="N1202" s="3">
        <v>544297</v>
      </c>
      <c r="O1202" s="2">
        <v>2.8999999999999998E-2</v>
      </c>
      <c r="P1202" s="2">
        <v>0.50800000000000001</v>
      </c>
      <c r="Q1202" s="2">
        <v>0.24100000000000002</v>
      </c>
      <c r="R1202" s="11">
        <v>109128121</v>
      </c>
      <c r="S1202" s="11">
        <v>1529406</v>
      </c>
      <c r="T1202">
        <v>2016</v>
      </c>
      <c r="U1202">
        <v>11</v>
      </c>
      <c r="V1202">
        <f t="shared" si="108"/>
        <v>600000</v>
      </c>
      <c r="W1202">
        <f t="shared" si="109"/>
        <v>18429897</v>
      </c>
      <c r="X1202">
        <f t="shared" si="110"/>
        <v>17829897</v>
      </c>
      <c r="Y1202">
        <f t="shared" si="111"/>
        <v>-26144845.5</v>
      </c>
      <c r="Z1202">
        <f t="shared" si="112"/>
        <v>45174742.5</v>
      </c>
      <c r="AA1202" t="str">
        <f t="shared" si="113"/>
        <v>Normal</v>
      </c>
      <c r="AE1202" s="2"/>
      <c r="AF1202" s="2"/>
    </row>
    <row r="1203" spans="1:32" x14ac:dyDescent="0.35">
      <c r="A1203">
        <v>1202</v>
      </c>
      <c r="B1203" s="1">
        <v>42679</v>
      </c>
      <c r="C1203" s="9" t="s">
        <v>558</v>
      </c>
      <c r="D1203" s="9" t="s">
        <v>4925</v>
      </c>
      <c r="E1203" s="9" t="s">
        <v>6659</v>
      </c>
      <c r="F1203" s="9" t="s">
        <v>31</v>
      </c>
      <c r="G1203" s="9" t="s">
        <v>2131</v>
      </c>
      <c r="H1203" s="9" t="s">
        <v>105</v>
      </c>
      <c r="I1203" s="11">
        <v>3000000</v>
      </c>
      <c r="J1203" s="11">
        <v>4924137</v>
      </c>
      <c r="K1203" s="11">
        <v>7925210</v>
      </c>
      <c r="L1203" s="3">
        <v>28</v>
      </c>
      <c r="M1203" s="3">
        <v>4988</v>
      </c>
      <c r="N1203" s="3">
        <v>1624220</v>
      </c>
      <c r="O1203" s="2">
        <v>1.6E-2</v>
      </c>
      <c r="P1203" s="2">
        <v>0.58700000000000008</v>
      </c>
      <c r="Q1203" s="2">
        <v>-9.3000000000000013E-2</v>
      </c>
      <c r="R1203" s="11">
        <v>317656516</v>
      </c>
      <c r="S1203" s="11">
        <v>1881192</v>
      </c>
      <c r="T1203">
        <v>2016</v>
      </c>
      <c r="U1203">
        <v>11</v>
      </c>
      <c r="V1203">
        <f t="shared" si="108"/>
        <v>600000</v>
      </c>
      <c r="W1203">
        <f t="shared" si="109"/>
        <v>18429897</v>
      </c>
      <c r="X1203">
        <f t="shared" si="110"/>
        <v>17829897</v>
      </c>
      <c r="Y1203">
        <f t="shared" si="111"/>
        <v>-26144845.5</v>
      </c>
      <c r="Z1203">
        <f t="shared" si="112"/>
        <v>45174742.5</v>
      </c>
      <c r="AA1203" t="str">
        <f t="shared" si="113"/>
        <v>Normal</v>
      </c>
      <c r="AE1203" s="2"/>
      <c r="AF1203" s="2"/>
    </row>
    <row r="1204" spans="1:32" x14ac:dyDescent="0.35">
      <c r="A1204">
        <v>1203</v>
      </c>
      <c r="B1204" s="1">
        <v>42681</v>
      </c>
      <c r="C1204" s="9" t="s">
        <v>49</v>
      </c>
      <c r="D1204" s="9" t="s">
        <v>4930</v>
      </c>
      <c r="E1204" s="9" t="s">
        <v>6660</v>
      </c>
      <c r="F1204" s="9" t="s">
        <v>19</v>
      </c>
      <c r="G1204" s="9" t="s">
        <v>1134</v>
      </c>
      <c r="H1204" s="9" t="s">
        <v>105</v>
      </c>
      <c r="I1204" s="11">
        <v>75000000</v>
      </c>
      <c r="J1204" s="11">
        <v>3811934</v>
      </c>
      <c r="K1204" s="11">
        <v>7752165</v>
      </c>
      <c r="L1204" s="3">
        <v>400</v>
      </c>
      <c r="M1204" s="3">
        <v>2651</v>
      </c>
      <c r="N1204" s="3">
        <v>1449684</v>
      </c>
      <c r="O1204" s="2">
        <v>1.6E-2</v>
      </c>
      <c r="P1204" s="2">
        <v>0.61599999999999999</v>
      </c>
      <c r="Q1204" s="2">
        <v>-0.128</v>
      </c>
      <c r="R1204" s="11">
        <v>361114794</v>
      </c>
      <c r="S1204" s="11">
        <v>492002</v>
      </c>
      <c r="T1204">
        <v>2016</v>
      </c>
      <c r="U1204">
        <v>11</v>
      </c>
      <c r="V1204">
        <f t="shared" si="108"/>
        <v>600000</v>
      </c>
      <c r="W1204">
        <f t="shared" si="109"/>
        <v>18429897</v>
      </c>
      <c r="X1204">
        <f t="shared" si="110"/>
        <v>17829897</v>
      </c>
      <c r="Y1204">
        <f t="shared" si="111"/>
        <v>-26144845.5</v>
      </c>
      <c r="Z1204">
        <f t="shared" si="112"/>
        <v>45174742.5</v>
      </c>
      <c r="AA1204" t="str">
        <f t="shared" si="113"/>
        <v>Outlier</v>
      </c>
      <c r="AE1204" s="2"/>
      <c r="AF1204" s="2"/>
    </row>
    <row r="1205" spans="1:32" x14ac:dyDescent="0.35">
      <c r="A1205">
        <v>1204</v>
      </c>
      <c r="B1205" s="1">
        <v>42681</v>
      </c>
      <c r="C1205" s="9" t="s">
        <v>2132</v>
      </c>
      <c r="D1205" s="9" t="s">
        <v>4988</v>
      </c>
      <c r="E1205" s="9" t="s">
        <v>6661</v>
      </c>
      <c r="F1205" s="9" t="s">
        <v>31</v>
      </c>
      <c r="G1205" s="9" t="s">
        <v>2133</v>
      </c>
      <c r="H1205" s="9" t="s">
        <v>105</v>
      </c>
      <c r="I1205" s="11">
        <v>3000000</v>
      </c>
      <c r="J1205" s="11">
        <v>3261399</v>
      </c>
      <c r="K1205" s="11">
        <v>15051613</v>
      </c>
      <c r="L1205" s="3">
        <v>179</v>
      </c>
      <c r="M1205" s="3">
        <v>3659</v>
      </c>
      <c r="N1205" s="3">
        <v>329059</v>
      </c>
      <c r="O1205" s="2">
        <v>0.36700000000000005</v>
      </c>
      <c r="P1205" s="2">
        <v>0.56700000000000006</v>
      </c>
      <c r="Q1205" s="2">
        <v>0.10099999999999999</v>
      </c>
      <c r="R1205" s="11">
        <v>56718495</v>
      </c>
      <c r="S1205" s="11">
        <v>1683848</v>
      </c>
      <c r="T1205">
        <v>2016</v>
      </c>
      <c r="U1205">
        <v>11</v>
      </c>
      <c r="V1205">
        <f t="shared" si="108"/>
        <v>600000</v>
      </c>
      <c r="W1205">
        <f t="shared" si="109"/>
        <v>18429897</v>
      </c>
      <c r="X1205">
        <f t="shared" si="110"/>
        <v>17829897</v>
      </c>
      <c r="Y1205">
        <f t="shared" si="111"/>
        <v>-26144845.5</v>
      </c>
      <c r="Z1205">
        <f t="shared" si="112"/>
        <v>45174742.5</v>
      </c>
      <c r="AA1205" t="str">
        <f t="shared" si="113"/>
        <v>Normal</v>
      </c>
      <c r="AE1205" s="2"/>
      <c r="AF1205" s="2"/>
    </row>
    <row r="1206" spans="1:32" x14ac:dyDescent="0.35">
      <c r="A1206">
        <v>1205</v>
      </c>
      <c r="B1206" s="1">
        <v>42683</v>
      </c>
      <c r="C1206" s="9" t="s">
        <v>2134</v>
      </c>
      <c r="D1206" s="9" t="s">
        <v>4988</v>
      </c>
      <c r="E1206" s="9" t="s">
        <v>6567</v>
      </c>
      <c r="F1206" s="9" t="s">
        <v>27</v>
      </c>
      <c r="G1206" s="9" t="s">
        <v>2135</v>
      </c>
      <c r="H1206" s="9" t="s">
        <v>105</v>
      </c>
      <c r="I1206" s="11">
        <v>2000000</v>
      </c>
      <c r="J1206" s="11">
        <v>4518572</v>
      </c>
      <c r="K1206" s="11">
        <v>19050215</v>
      </c>
      <c r="L1206" s="3">
        <v>257</v>
      </c>
      <c r="M1206" s="3">
        <v>1369</v>
      </c>
      <c r="N1206" s="3">
        <v>1889463</v>
      </c>
      <c r="O1206" s="2">
        <v>6.0999999999999999E-2</v>
      </c>
      <c r="P1206" s="2">
        <v>0.624</v>
      </c>
      <c r="Q1206" s="2">
        <v>0.157</v>
      </c>
      <c r="R1206" s="11">
        <v>140488448</v>
      </c>
      <c r="S1206" s="11">
        <v>1985514</v>
      </c>
      <c r="T1206">
        <v>2016</v>
      </c>
      <c r="U1206">
        <v>11</v>
      </c>
      <c r="V1206">
        <f t="shared" si="108"/>
        <v>600000</v>
      </c>
      <c r="W1206">
        <f t="shared" si="109"/>
        <v>18429897</v>
      </c>
      <c r="X1206">
        <f t="shared" si="110"/>
        <v>17829897</v>
      </c>
      <c r="Y1206">
        <f t="shared" si="111"/>
        <v>-26144845.5</v>
      </c>
      <c r="Z1206">
        <f t="shared" si="112"/>
        <v>45174742.5</v>
      </c>
      <c r="AA1206" t="str">
        <f t="shared" si="113"/>
        <v>Normal</v>
      </c>
      <c r="AE1206" s="2"/>
      <c r="AF1206" s="2"/>
    </row>
    <row r="1207" spans="1:32" x14ac:dyDescent="0.35">
      <c r="A1207">
        <v>1206</v>
      </c>
      <c r="B1207" s="1">
        <v>42683</v>
      </c>
      <c r="C1207" s="9" t="s">
        <v>1904</v>
      </c>
      <c r="D1207" s="9" t="s">
        <v>4988</v>
      </c>
      <c r="E1207" s="9" t="s">
        <v>6662</v>
      </c>
      <c r="F1207" s="9" t="s">
        <v>19</v>
      </c>
      <c r="G1207" s="9" t="s">
        <v>2136</v>
      </c>
      <c r="H1207" s="9" t="s">
        <v>105</v>
      </c>
      <c r="I1207" s="11">
        <v>12000000</v>
      </c>
      <c r="J1207" s="11">
        <v>2585092</v>
      </c>
      <c r="K1207" s="11">
        <v>18186593</v>
      </c>
      <c r="L1207" s="3">
        <v>227</v>
      </c>
      <c r="M1207" s="3">
        <v>2628</v>
      </c>
      <c r="N1207" s="3">
        <v>1018455</v>
      </c>
      <c r="O1207" s="2">
        <v>-0.128</v>
      </c>
      <c r="P1207" s="2">
        <v>0.58099999999999996</v>
      </c>
      <c r="Q1207" s="2">
        <v>0.42799999999999999</v>
      </c>
      <c r="R1207" s="11">
        <v>105039248</v>
      </c>
      <c r="S1207" s="11">
        <v>678358</v>
      </c>
      <c r="T1207">
        <v>2016</v>
      </c>
      <c r="U1207">
        <v>11</v>
      </c>
      <c r="V1207">
        <f t="shared" si="108"/>
        <v>600000</v>
      </c>
      <c r="W1207">
        <f t="shared" si="109"/>
        <v>18429897</v>
      </c>
      <c r="X1207">
        <f t="shared" si="110"/>
        <v>17829897</v>
      </c>
      <c r="Y1207">
        <f t="shared" si="111"/>
        <v>-26144845.5</v>
      </c>
      <c r="Z1207">
        <f t="shared" si="112"/>
        <v>45174742.5</v>
      </c>
      <c r="AA1207" t="str">
        <f t="shared" si="113"/>
        <v>Normal</v>
      </c>
      <c r="AE1207" s="2"/>
      <c r="AF1207" s="2"/>
    </row>
    <row r="1208" spans="1:32" x14ac:dyDescent="0.35">
      <c r="A1208">
        <v>1207</v>
      </c>
      <c r="B1208" s="1">
        <v>42684</v>
      </c>
      <c r="C1208" s="9" t="s">
        <v>2137</v>
      </c>
      <c r="D1208" s="9" t="s">
        <v>4988</v>
      </c>
      <c r="E1208" s="9" t="s">
        <v>6663</v>
      </c>
      <c r="F1208" s="9" t="s">
        <v>27</v>
      </c>
      <c r="G1208" s="9" t="s">
        <v>2138</v>
      </c>
      <c r="H1208" s="9" t="s">
        <v>105</v>
      </c>
      <c r="I1208" s="11">
        <v>1000000</v>
      </c>
      <c r="J1208" s="11">
        <v>3609065</v>
      </c>
      <c r="K1208" s="11">
        <v>15079885</v>
      </c>
      <c r="L1208" s="3">
        <v>146</v>
      </c>
      <c r="M1208" s="3">
        <v>3997</v>
      </c>
      <c r="N1208" s="3">
        <v>1132554</v>
      </c>
      <c r="O1208" s="2">
        <v>-0.33200000000000002</v>
      </c>
      <c r="P1208" s="2">
        <v>0.36</v>
      </c>
      <c r="Q1208" s="2">
        <v>0.214</v>
      </c>
      <c r="R1208" s="11">
        <v>446750375</v>
      </c>
      <c r="S1208" s="11">
        <v>1877863</v>
      </c>
      <c r="T1208">
        <v>2016</v>
      </c>
      <c r="U1208">
        <v>11</v>
      </c>
      <c r="V1208">
        <f t="shared" si="108"/>
        <v>600000</v>
      </c>
      <c r="W1208">
        <f t="shared" si="109"/>
        <v>18429897</v>
      </c>
      <c r="X1208">
        <f t="shared" si="110"/>
        <v>17829897</v>
      </c>
      <c r="Y1208">
        <f t="shared" si="111"/>
        <v>-26144845.5</v>
      </c>
      <c r="Z1208">
        <f t="shared" si="112"/>
        <v>45174742.5</v>
      </c>
      <c r="AA1208" t="str">
        <f t="shared" si="113"/>
        <v>Normal</v>
      </c>
      <c r="AE1208" s="2"/>
      <c r="AF1208" s="2"/>
    </row>
    <row r="1209" spans="1:32" x14ac:dyDescent="0.35">
      <c r="A1209">
        <v>1208</v>
      </c>
      <c r="B1209" s="1">
        <v>42684</v>
      </c>
      <c r="C1209" s="9" t="s">
        <v>2139</v>
      </c>
      <c r="D1209" s="9" t="s">
        <v>4930</v>
      </c>
      <c r="E1209" s="9" t="s">
        <v>6664</v>
      </c>
      <c r="F1209" s="9" t="s">
        <v>15</v>
      </c>
      <c r="G1209" s="9" t="s">
        <v>2140</v>
      </c>
      <c r="H1209" s="9" t="s">
        <v>105</v>
      </c>
      <c r="I1209" s="11">
        <v>18429897</v>
      </c>
      <c r="J1209" s="11">
        <v>1437959</v>
      </c>
      <c r="K1209" s="11">
        <v>14090805</v>
      </c>
      <c r="L1209" s="3">
        <v>88</v>
      </c>
      <c r="M1209" s="3">
        <v>3388</v>
      </c>
      <c r="N1209" s="3">
        <v>373763</v>
      </c>
      <c r="O1209" s="2">
        <v>0.48700000000000004</v>
      </c>
      <c r="P1209" s="2">
        <v>0.76900000000000002</v>
      </c>
      <c r="Q1209" s="2">
        <v>0.27699999999999997</v>
      </c>
      <c r="R1209" s="11">
        <v>164810113</v>
      </c>
      <c r="S1209" s="11">
        <v>1008193.5</v>
      </c>
      <c r="T1209">
        <v>2016</v>
      </c>
      <c r="U1209">
        <v>11</v>
      </c>
      <c r="V1209">
        <f t="shared" si="108"/>
        <v>600000</v>
      </c>
      <c r="W1209">
        <f t="shared" si="109"/>
        <v>18429897</v>
      </c>
      <c r="X1209">
        <f t="shared" si="110"/>
        <v>17829897</v>
      </c>
      <c r="Y1209">
        <f t="shared" si="111"/>
        <v>-26144845.5</v>
      </c>
      <c r="Z1209">
        <f t="shared" si="112"/>
        <v>45174742.5</v>
      </c>
      <c r="AA1209" t="str">
        <f t="shared" si="113"/>
        <v>Normal</v>
      </c>
      <c r="AE1209" s="2"/>
      <c r="AF1209" s="2"/>
    </row>
    <row r="1210" spans="1:32" x14ac:dyDescent="0.35">
      <c r="A1210">
        <v>1209</v>
      </c>
      <c r="B1210" s="1">
        <v>42684</v>
      </c>
      <c r="C1210" s="9" t="s">
        <v>2141</v>
      </c>
      <c r="D1210" s="9" t="s">
        <v>4930</v>
      </c>
      <c r="E1210" s="9" t="s">
        <v>6665</v>
      </c>
      <c r="F1210" s="9" t="s">
        <v>15</v>
      </c>
      <c r="G1210" s="9" t="s">
        <v>2142</v>
      </c>
      <c r="H1210" s="9" t="s">
        <v>105</v>
      </c>
      <c r="I1210" s="11">
        <v>18429897</v>
      </c>
      <c r="J1210" s="11">
        <v>4816791</v>
      </c>
      <c r="K1210" s="11">
        <v>15397703</v>
      </c>
      <c r="L1210" s="3">
        <v>477</v>
      </c>
      <c r="M1210" s="3">
        <v>87</v>
      </c>
      <c r="N1210" s="3">
        <v>978723</v>
      </c>
      <c r="O1210" s="2">
        <v>0.34799999999999998</v>
      </c>
      <c r="P1210" s="2">
        <v>1.069</v>
      </c>
      <c r="Q1210" s="2">
        <v>1.4E-2</v>
      </c>
      <c r="R1210" s="11">
        <v>266416135</v>
      </c>
      <c r="S1210" s="11">
        <v>1306978</v>
      </c>
      <c r="T1210">
        <v>2016</v>
      </c>
      <c r="U1210">
        <v>11</v>
      </c>
      <c r="V1210">
        <f t="shared" si="108"/>
        <v>600000</v>
      </c>
      <c r="W1210">
        <f t="shared" si="109"/>
        <v>18429897</v>
      </c>
      <c r="X1210">
        <f t="shared" si="110"/>
        <v>17829897</v>
      </c>
      <c r="Y1210">
        <f t="shared" si="111"/>
        <v>-26144845.5</v>
      </c>
      <c r="Z1210">
        <f t="shared" si="112"/>
        <v>45174742.5</v>
      </c>
      <c r="AA1210" t="str">
        <f t="shared" si="113"/>
        <v>Normal</v>
      </c>
      <c r="AE1210" s="2"/>
      <c r="AF1210" s="2"/>
    </row>
    <row r="1211" spans="1:32" x14ac:dyDescent="0.35">
      <c r="A1211">
        <v>1210</v>
      </c>
      <c r="B1211" s="1">
        <v>42685</v>
      </c>
      <c r="C1211" s="9" t="s">
        <v>2143</v>
      </c>
      <c r="D1211" s="9" t="s">
        <v>4988</v>
      </c>
      <c r="E1211" s="9" t="s">
        <v>6666</v>
      </c>
      <c r="F1211" s="9" t="s">
        <v>19</v>
      </c>
      <c r="G1211" s="9" t="s">
        <v>1357</v>
      </c>
      <c r="H1211" s="9" t="s">
        <v>105</v>
      </c>
      <c r="I1211" s="11">
        <v>18429897</v>
      </c>
      <c r="J1211" s="11">
        <v>2531926</v>
      </c>
      <c r="K1211" s="11">
        <v>18724981</v>
      </c>
      <c r="L1211" s="3">
        <v>64</v>
      </c>
      <c r="M1211" s="3">
        <v>3054</v>
      </c>
      <c r="N1211" s="3">
        <v>1249422</v>
      </c>
      <c r="O1211" s="2">
        <v>0.17699999999999999</v>
      </c>
      <c r="P1211" s="2">
        <v>1.194</v>
      </c>
      <c r="Q1211" s="2">
        <v>1.4999999999999999E-2</v>
      </c>
      <c r="R1211" s="11">
        <v>206724923</v>
      </c>
      <c r="S1211" s="11">
        <v>128516</v>
      </c>
      <c r="T1211">
        <v>2016</v>
      </c>
      <c r="U1211">
        <v>11</v>
      </c>
      <c r="V1211">
        <f t="shared" si="108"/>
        <v>600000</v>
      </c>
      <c r="W1211">
        <f t="shared" si="109"/>
        <v>18429897</v>
      </c>
      <c r="X1211">
        <f t="shared" si="110"/>
        <v>17829897</v>
      </c>
      <c r="Y1211">
        <f t="shared" si="111"/>
        <v>-26144845.5</v>
      </c>
      <c r="Z1211">
        <f t="shared" si="112"/>
        <v>45174742.5</v>
      </c>
      <c r="AA1211" t="str">
        <f t="shared" si="113"/>
        <v>Normal</v>
      </c>
      <c r="AE1211" s="2"/>
      <c r="AF1211" s="2"/>
    </row>
    <row r="1212" spans="1:32" x14ac:dyDescent="0.35">
      <c r="A1212">
        <v>1211</v>
      </c>
      <c r="B1212" s="1">
        <v>42688</v>
      </c>
      <c r="C1212" s="9" t="s">
        <v>2144</v>
      </c>
      <c r="D1212" s="9" t="s">
        <v>4930</v>
      </c>
      <c r="E1212" s="9" t="s">
        <v>6667</v>
      </c>
      <c r="F1212" s="9" t="s">
        <v>177</v>
      </c>
      <c r="G1212" s="9" t="s">
        <v>2145</v>
      </c>
      <c r="H1212" s="9" t="s">
        <v>105</v>
      </c>
      <c r="I1212" s="11">
        <v>3000000</v>
      </c>
      <c r="J1212" s="11">
        <v>3914385</v>
      </c>
      <c r="K1212" s="11">
        <v>311723</v>
      </c>
      <c r="L1212" s="3">
        <v>472</v>
      </c>
      <c r="M1212" s="3">
        <v>3967</v>
      </c>
      <c r="N1212" s="3">
        <v>241763</v>
      </c>
      <c r="O1212" s="2">
        <v>0.35299999999999998</v>
      </c>
      <c r="P1212" s="2">
        <v>0.317</v>
      </c>
      <c r="Q1212" s="2">
        <v>-5.8999999999999997E-2</v>
      </c>
      <c r="R1212" s="11">
        <v>250264963</v>
      </c>
      <c r="S1212" s="11">
        <v>41336</v>
      </c>
      <c r="T1212">
        <v>2016</v>
      </c>
      <c r="U1212">
        <v>11</v>
      </c>
      <c r="V1212">
        <f t="shared" si="108"/>
        <v>600000</v>
      </c>
      <c r="W1212">
        <f t="shared" si="109"/>
        <v>18429897</v>
      </c>
      <c r="X1212">
        <f t="shared" si="110"/>
        <v>17829897</v>
      </c>
      <c r="Y1212">
        <f t="shared" si="111"/>
        <v>-26144845.5</v>
      </c>
      <c r="Z1212">
        <f t="shared" si="112"/>
        <v>45174742.5</v>
      </c>
      <c r="AA1212" t="str">
        <f t="shared" si="113"/>
        <v>Normal</v>
      </c>
      <c r="AE1212" s="2"/>
      <c r="AF1212" s="2"/>
    </row>
    <row r="1213" spans="1:32" x14ac:dyDescent="0.35">
      <c r="A1213">
        <v>1212</v>
      </c>
      <c r="B1213" s="1">
        <v>42688</v>
      </c>
      <c r="C1213" s="9" t="s">
        <v>2146</v>
      </c>
      <c r="D1213" s="9" t="s">
        <v>4930</v>
      </c>
      <c r="E1213" s="9" t="s">
        <v>6668</v>
      </c>
      <c r="F1213" s="9" t="s">
        <v>41</v>
      </c>
      <c r="G1213" s="9" t="s">
        <v>1583</v>
      </c>
      <c r="H1213" s="9" t="s">
        <v>105</v>
      </c>
      <c r="I1213" s="11">
        <v>2000000</v>
      </c>
      <c r="J1213" s="11">
        <v>2314473</v>
      </c>
      <c r="K1213" s="11">
        <v>11814187</v>
      </c>
      <c r="L1213" s="3">
        <v>61</v>
      </c>
      <c r="M1213" s="3">
        <v>719</v>
      </c>
      <c r="N1213" s="3">
        <v>518653</v>
      </c>
      <c r="O1213" s="2">
        <v>0.22600000000000001</v>
      </c>
      <c r="P1213" s="2">
        <v>0.61099999999999999</v>
      </c>
      <c r="Q1213" s="2">
        <v>0.14599999999999999</v>
      </c>
      <c r="R1213" s="11">
        <v>91360925</v>
      </c>
      <c r="S1213" s="11">
        <v>1577797</v>
      </c>
      <c r="T1213">
        <v>2016</v>
      </c>
      <c r="U1213">
        <v>11</v>
      </c>
      <c r="V1213">
        <f t="shared" si="108"/>
        <v>600000</v>
      </c>
      <c r="W1213">
        <f t="shared" si="109"/>
        <v>18429897</v>
      </c>
      <c r="X1213">
        <f t="shared" si="110"/>
        <v>17829897</v>
      </c>
      <c r="Y1213">
        <f t="shared" si="111"/>
        <v>-26144845.5</v>
      </c>
      <c r="Z1213">
        <f t="shared" si="112"/>
        <v>45174742.5</v>
      </c>
      <c r="AA1213" t="str">
        <f t="shared" si="113"/>
        <v>Normal</v>
      </c>
      <c r="AE1213" s="2"/>
      <c r="AF1213" s="2"/>
    </row>
    <row r="1214" spans="1:32" x14ac:dyDescent="0.35">
      <c r="A1214">
        <v>1213</v>
      </c>
      <c r="B1214" s="1">
        <v>42689</v>
      </c>
      <c r="C1214" s="9" t="s">
        <v>205</v>
      </c>
      <c r="D1214" s="9" t="s">
        <v>4988</v>
      </c>
      <c r="E1214" s="9" t="s">
        <v>6669</v>
      </c>
      <c r="F1214" s="9" t="s">
        <v>15</v>
      </c>
      <c r="G1214" s="9" t="s">
        <v>107</v>
      </c>
      <c r="H1214" s="9" t="s">
        <v>86</v>
      </c>
      <c r="I1214" s="11">
        <v>18429897</v>
      </c>
      <c r="J1214" s="11">
        <v>4336671</v>
      </c>
      <c r="K1214" s="11">
        <v>777266</v>
      </c>
      <c r="L1214" s="3">
        <v>52</v>
      </c>
      <c r="M1214" s="3">
        <v>1997</v>
      </c>
      <c r="N1214" s="3">
        <v>1506559</v>
      </c>
      <c r="O1214" s="2">
        <v>0.105</v>
      </c>
      <c r="P1214" s="2">
        <v>0.441</v>
      </c>
      <c r="Q1214" s="2">
        <v>0.13600000000000001</v>
      </c>
      <c r="R1214" s="11">
        <v>383236016</v>
      </c>
      <c r="S1214" s="11">
        <v>507509</v>
      </c>
      <c r="T1214">
        <v>2016</v>
      </c>
      <c r="U1214">
        <v>11</v>
      </c>
      <c r="V1214">
        <f t="shared" si="108"/>
        <v>600000</v>
      </c>
      <c r="W1214">
        <f t="shared" si="109"/>
        <v>18429897</v>
      </c>
      <c r="X1214">
        <f t="shared" si="110"/>
        <v>17829897</v>
      </c>
      <c r="Y1214">
        <f t="shared" si="111"/>
        <v>-26144845.5</v>
      </c>
      <c r="Z1214">
        <f t="shared" si="112"/>
        <v>45174742.5</v>
      </c>
      <c r="AA1214" t="str">
        <f t="shared" si="113"/>
        <v>Normal</v>
      </c>
      <c r="AE1214" s="2"/>
      <c r="AF1214" s="2"/>
    </row>
    <row r="1215" spans="1:32" x14ac:dyDescent="0.35">
      <c r="A1215">
        <v>1214</v>
      </c>
      <c r="B1215" s="1">
        <v>42689</v>
      </c>
      <c r="C1215" s="9" t="s">
        <v>1029</v>
      </c>
      <c r="D1215" s="9" t="s">
        <v>4925</v>
      </c>
      <c r="E1215" s="9" t="s">
        <v>6670</v>
      </c>
      <c r="F1215" s="9" t="s">
        <v>15</v>
      </c>
      <c r="G1215" s="9" t="s">
        <v>2147</v>
      </c>
      <c r="H1215" s="9" t="s">
        <v>105</v>
      </c>
      <c r="I1215" s="11">
        <v>6000000</v>
      </c>
      <c r="J1215" s="11">
        <v>389405</v>
      </c>
      <c r="K1215" s="11">
        <v>11585035</v>
      </c>
      <c r="L1215" s="3">
        <v>452</v>
      </c>
      <c r="M1215" s="3">
        <v>3242</v>
      </c>
      <c r="N1215" s="3">
        <v>1911687</v>
      </c>
      <c r="O1215" s="2">
        <v>-0.128</v>
      </c>
      <c r="P1215" s="2">
        <v>0.76700000000000002</v>
      </c>
      <c r="Q1215" s="2">
        <v>0.124</v>
      </c>
      <c r="R1215" s="11">
        <v>187939207</v>
      </c>
      <c r="S1215" s="11">
        <v>1580523</v>
      </c>
      <c r="T1215">
        <v>2016</v>
      </c>
      <c r="U1215">
        <v>11</v>
      </c>
      <c r="V1215">
        <f t="shared" si="108"/>
        <v>600000</v>
      </c>
      <c r="W1215">
        <f t="shared" si="109"/>
        <v>18429897</v>
      </c>
      <c r="X1215">
        <f t="shared" si="110"/>
        <v>17829897</v>
      </c>
      <c r="Y1215">
        <f t="shared" si="111"/>
        <v>-26144845.5</v>
      </c>
      <c r="Z1215">
        <f t="shared" si="112"/>
        <v>45174742.5</v>
      </c>
      <c r="AA1215" t="str">
        <f t="shared" si="113"/>
        <v>Normal</v>
      </c>
      <c r="AE1215" s="2"/>
      <c r="AF1215" s="2"/>
    </row>
    <row r="1216" spans="1:32" x14ac:dyDescent="0.35">
      <c r="A1216">
        <v>1215</v>
      </c>
      <c r="B1216" s="1">
        <v>42689</v>
      </c>
      <c r="C1216" s="9" t="s">
        <v>2148</v>
      </c>
      <c r="D1216" s="9" t="s">
        <v>4930</v>
      </c>
      <c r="E1216" s="9" t="s">
        <v>6671</v>
      </c>
      <c r="F1216" s="9" t="s">
        <v>15</v>
      </c>
      <c r="G1216" s="9" t="s">
        <v>2149</v>
      </c>
      <c r="H1216" s="9" t="s">
        <v>105</v>
      </c>
      <c r="I1216" s="11">
        <v>4000000</v>
      </c>
      <c r="J1216" s="11">
        <v>2531926</v>
      </c>
      <c r="K1216" s="11">
        <v>7954961</v>
      </c>
      <c r="L1216" s="3">
        <v>473</v>
      </c>
      <c r="M1216" s="3">
        <v>75</v>
      </c>
      <c r="N1216" s="3">
        <v>1822990</v>
      </c>
      <c r="O1216" s="2">
        <v>0.502</v>
      </c>
      <c r="P1216" s="2">
        <v>0.56000000000000005</v>
      </c>
      <c r="Q1216" s="2">
        <v>4.9000000000000002E-2</v>
      </c>
      <c r="R1216" s="11">
        <v>374722008</v>
      </c>
      <c r="S1216" s="11">
        <v>976503</v>
      </c>
      <c r="T1216">
        <v>2016</v>
      </c>
      <c r="U1216">
        <v>11</v>
      </c>
      <c r="V1216">
        <f t="shared" si="108"/>
        <v>600000</v>
      </c>
      <c r="W1216">
        <f t="shared" si="109"/>
        <v>18429897</v>
      </c>
      <c r="X1216">
        <f t="shared" si="110"/>
        <v>17829897</v>
      </c>
      <c r="Y1216">
        <f t="shared" si="111"/>
        <v>-26144845.5</v>
      </c>
      <c r="Z1216">
        <f t="shared" si="112"/>
        <v>45174742.5</v>
      </c>
      <c r="AA1216" t="str">
        <f t="shared" si="113"/>
        <v>Normal</v>
      </c>
      <c r="AE1216" s="2"/>
      <c r="AF1216" s="2"/>
    </row>
    <row r="1217" spans="1:32" x14ac:dyDescent="0.35">
      <c r="A1217">
        <v>1216</v>
      </c>
      <c r="B1217" s="1">
        <v>42690</v>
      </c>
      <c r="C1217" s="9" t="s">
        <v>2150</v>
      </c>
      <c r="D1217" s="9" t="s">
        <v>4930</v>
      </c>
      <c r="E1217" s="9" t="s">
        <v>6672</v>
      </c>
      <c r="F1217" s="9" t="s">
        <v>15</v>
      </c>
      <c r="G1217" s="9" t="s">
        <v>2151</v>
      </c>
      <c r="H1217" s="9" t="s">
        <v>105</v>
      </c>
      <c r="I1217" s="11">
        <v>5000000</v>
      </c>
      <c r="J1217" s="11">
        <v>2545440</v>
      </c>
      <c r="K1217" s="11">
        <v>6162085</v>
      </c>
      <c r="L1217" s="3">
        <v>448</v>
      </c>
      <c r="M1217" s="3">
        <v>3568</v>
      </c>
      <c r="N1217" s="3">
        <v>1503802</v>
      </c>
      <c r="O1217" s="2">
        <v>3.3000000000000002E-2</v>
      </c>
      <c r="P1217" s="2">
        <v>1.0780000000000001E-2</v>
      </c>
      <c r="Q1217" s="2">
        <v>8.900000000000001E-2</v>
      </c>
      <c r="R1217" s="11">
        <v>407365188</v>
      </c>
      <c r="S1217" s="11">
        <v>205776</v>
      </c>
      <c r="T1217">
        <v>2016</v>
      </c>
      <c r="U1217">
        <v>11</v>
      </c>
      <c r="V1217">
        <f t="shared" si="108"/>
        <v>600000</v>
      </c>
      <c r="W1217">
        <f t="shared" si="109"/>
        <v>18429897</v>
      </c>
      <c r="X1217">
        <f t="shared" si="110"/>
        <v>17829897</v>
      </c>
      <c r="Y1217">
        <f t="shared" si="111"/>
        <v>-26144845.5</v>
      </c>
      <c r="Z1217">
        <f t="shared" si="112"/>
        <v>45174742.5</v>
      </c>
      <c r="AA1217" t="str">
        <f t="shared" si="113"/>
        <v>Normal</v>
      </c>
      <c r="AE1217" s="2"/>
      <c r="AF1217" s="2"/>
    </row>
    <row r="1218" spans="1:32" x14ac:dyDescent="0.35">
      <c r="A1218">
        <v>1217</v>
      </c>
      <c r="B1218" s="1">
        <v>42691</v>
      </c>
      <c r="C1218" s="9" t="s">
        <v>2152</v>
      </c>
      <c r="D1218" s="9" t="s">
        <v>4930</v>
      </c>
      <c r="E1218" s="9" t="s">
        <v>5395</v>
      </c>
      <c r="F1218" s="9" t="s">
        <v>15</v>
      </c>
      <c r="G1218" s="9" t="s">
        <v>2153</v>
      </c>
      <c r="H1218" s="9" t="s">
        <v>86</v>
      </c>
      <c r="I1218" s="11">
        <v>18429897</v>
      </c>
      <c r="J1218" s="11">
        <v>3667419</v>
      </c>
      <c r="K1218" s="11">
        <v>10153449</v>
      </c>
      <c r="L1218" s="3">
        <v>388</v>
      </c>
      <c r="M1218" s="3">
        <v>4242</v>
      </c>
      <c r="N1218" s="3">
        <v>1961371</v>
      </c>
      <c r="O1218" s="2">
        <v>4.3999999999999997E-2</v>
      </c>
      <c r="P1218" s="2">
        <v>1.1350000000000001E-2</v>
      </c>
      <c r="Q1218" s="2">
        <v>0.51400000000000001</v>
      </c>
      <c r="R1218" s="11">
        <v>325578758</v>
      </c>
      <c r="S1218" s="11">
        <v>602385</v>
      </c>
      <c r="T1218">
        <v>2016</v>
      </c>
      <c r="U1218">
        <v>11</v>
      </c>
      <c r="V1218">
        <f t="shared" ref="V1218:V1281" si="114">_xlfn.PERCENTILE.INC(I1218:I4261,0.25)</f>
        <v>600000</v>
      </c>
      <c r="W1218">
        <f t="shared" ref="W1218:W1281" si="115">_xlfn.PERCENTILE.INC(I1218:I4261,0.75)</f>
        <v>18429897</v>
      </c>
      <c r="X1218">
        <f t="shared" ref="X1218:X1281" si="116">W1218-V1218</f>
        <v>17829897</v>
      </c>
      <c r="Y1218">
        <f t="shared" ref="Y1218:Y1281" si="117">V1218-1.5*X1218</f>
        <v>-26144845.5</v>
      </c>
      <c r="Z1218">
        <f t="shared" ref="Z1218:Z1281" si="118">W1218+1.5*X1218</f>
        <v>45174742.5</v>
      </c>
      <c r="AA1218" t="str">
        <f t="shared" ref="AA1218:AA1281" si="119">IF(OR(I1218&lt;$Y$2, I1218&gt;$Z$2), "Outlier", "Normal")</f>
        <v>Normal</v>
      </c>
      <c r="AE1218" s="2"/>
      <c r="AF1218" s="2"/>
    </row>
    <row r="1219" spans="1:32" x14ac:dyDescent="0.35">
      <c r="A1219">
        <v>1218</v>
      </c>
      <c r="B1219" s="1">
        <v>42691</v>
      </c>
      <c r="C1219" s="9" t="s">
        <v>2154</v>
      </c>
      <c r="D1219" s="9" t="s">
        <v>4925</v>
      </c>
      <c r="E1219" s="9" t="s">
        <v>6300</v>
      </c>
      <c r="F1219" s="9" t="s">
        <v>27</v>
      </c>
      <c r="G1219" s="9" t="s">
        <v>2155</v>
      </c>
      <c r="H1219" s="9" t="s">
        <v>105</v>
      </c>
      <c r="I1219" s="11">
        <v>13500000</v>
      </c>
      <c r="J1219" s="11">
        <v>4049911</v>
      </c>
      <c r="K1219" s="11">
        <v>14221587</v>
      </c>
      <c r="L1219" s="3">
        <v>248</v>
      </c>
      <c r="M1219" s="3">
        <v>2654</v>
      </c>
      <c r="N1219" s="3">
        <v>330054</v>
      </c>
      <c r="O1219" s="2">
        <v>0.127</v>
      </c>
      <c r="P1219" s="2">
        <v>0.52500000000000002</v>
      </c>
      <c r="Q1219" s="2">
        <v>0.16899999999999998</v>
      </c>
      <c r="R1219" s="11">
        <v>86351322</v>
      </c>
      <c r="S1219" s="11">
        <v>392768</v>
      </c>
      <c r="T1219">
        <v>2016</v>
      </c>
      <c r="U1219">
        <v>11</v>
      </c>
      <c r="V1219">
        <f t="shared" si="114"/>
        <v>600000</v>
      </c>
      <c r="W1219">
        <f t="shared" si="115"/>
        <v>18429897</v>
      </c>
      <c r="X1219">
        <f t="shared" si="116"/>
        <v>17829897</v>
      </c>
      <c r="Y1219">
        <f t="shared" si="117"/>
        <v>-26144845.5</v>
      </c>
      <c r="Z1219">
        <f t="shared" si="118"/>
        <v>45174742.5</v>
      </c>
      <c r="AA1219" t="str">
        <f t="shared" si="119"/>
        <v>Normal</v>
      </c>
      <c r="AE1219" s="2"/>
      <c r="AF1219" s="2"/>
    </row>
    <row r="1220" spans="1:32" x14ac:dyDescent="0.35">
      <c r="A1220">
        <v>1219</v>
      </c>
      <c r="B1220" s="1">
        <v>42691</v>
      </c>
      <c r="C1220" s="9" t="s">
        <v>2156</v>
      </c>
      <c r="D1220" s="9" t="s">
        <v>4988</v>
      </c>
      <c r="E1220" s="9" t="s">
        <v>6673</v>
      </c>
      <c r="F1220" s="9" t="s">
        <v>27</v>
      </c>
      <c r="G1220" s="9" t="s">
        <v>1315</v>
      </c>
      <c r="H1220" s="9" t="s">
        <v>86</v>
      </c>
      <c r="I1220" s="11">
        <v>18429897</v>
      </c>
      <c r="J1220" s="11">
        <v>2211641</v>
      </c>
      <c r="K1220" s="11">
        <v>11391574</v>
      </c>
      <c r="L1220" s="3">
        <v>57</v>
      </c>
      <c r="M1220" s="3">
        <v>2261</v>
      </c>
      <c r="N1220" s="3">
        <v>403394</v>
      </c>
      <c r="O1220" s="2">
        <v>0.13100000000000001</v>
      </c>
      <c r="P1220" s="2">
        <v>0.55600000000000005</v>
      </c>
      <c r="Q1220" s="2">
        <v>0.24600000000000002</v>
      </c>
      <c r="R1220" s="11">
        <v>454523882</v>
      </c>
      <c r="S1220" s="11">
        <v>1229443</v>
      </c>
      <c r="T1220">
        <v>2016</v>
      </c>
      <c r="U1220">
        <v>11</v>
      </c>
      <c r="V1220">
        <f t="shared" si="114"/>
        <v>600000</v>
      </c>
      <c r="W1220">
        <f t="shared" si="115"/>
        <v>18429897</v>
      </c>
      <c r="X1220">
        <f t="shared" si="116"/>
        <v>17829897</v>
      </c>
      <c r="Y1220">
        <f t="shared" si="117"/>
        <v>-26144845.5</v>
      </c>
      <c r="Z1220">
        <f t="shared" si="118"/>
        <v>45174742.5</v>
      </c>
      <c r="AA1220" t="str">
        <f t="shared" si="119"/>
        <v>Normal</v>
      </c>
      <c r="AE1220" s="2"/>
      <c r="AF1220" s="2"/>
    </row>
    <row r="1221" spans="1:32" x14ac:dyDescent="0.35">
      <c r="A1221">
        <v>1220</v>
      </c>
      <c r="B1221" s="1">
        <v>42691</v>
      </c>
      <c r="C1221" s="9" t="s">
        <v>2157</v>
      </c>
      <c r="D1221" s="9" t="s">
        <v>4988</v>
      </c>
      <c r="E1221" s="9" t="s">
        <v>6674</v>
      </c>
      <c r="F1221" s="9" t="s">
        <v>19</v>
      </c>
      <c r="G1221" s="9" t="s">
        <v>2158</v>
      </c>
      <c r="H1221" s="9" t="s">
        <v>86</v>
      </c>
      <c r="I1221" s="11">
        <v>18429897</v>
      </c>
      <c r="J1221" s="11">
        <v>3255372</v>
      </c>
      <c r="K1221" s="11">
        <v>17650855</v>
      </c>
      <c r="L1221" s="3">
        <v>297</v>
      </c>
      <c r="M1221" s="3">
        <v>504</v>
      </c>
      <c r="N1221" s="3">
        <v>811200</v>
      </c>
      <c r="O1221" s="2">
        <v>0.23499999999999999</v>
      </c>
      <c r="P1221" s="2">
        <v>0.73499999999999999</v>
      </c>
      <c r="Q1221" s="2">
        <v>0.217</v>
      </c>
      <c r="R1221" s="11">
        <v>302252993</v>
      </c>
      <c r="S1221" s="11">
        <v>217268</v>
      </c>
      <c r="T1221">
        <v>2016</v>
      </c>
      <c r="U1221">
        <v>11</v>
      </c>
      <c r="V1221">
        <f t="shared" si="114"/>
        <v>600000</v>
      </c>
      <c r="W1221">
        <f t="shared" si="115"/>
        <v>18429897</v>
      </c>
      <c r="X1221">
        <f t="shared" si="116"/>
        <v>17829897</v>
      </c>
      <c r="Y1221">
        <f t="shared" si="117"/>
        <v>-26144845.5</v>
      </c>
      <c r="Z1221">
        <f t="shared" si="118"/>
        <v>45174742.5</v>
      </c>
      <c r="AA1221" t="str">
        <f t="shared" si="119"/>
        <v>Normal</v>
      </c>
      <c r="AE1221" s="2"/>
      <c r="AF1221" s="2"/>
    </row>
    <row r="1222" spans="1:32" x14ac:dyDescent="0.35">
      <c r="A1222">
        <v>1221</v>
      </c>
      <c r="B1222" s="1">
        <v>42691</v>
      </c>
      <c r="C1222" s="9" t="s">
        <v>2159</v>
      </c>
      <c r="D1222" s="9" t="s">
        <v>4988</v>
      </c>
      <c r="E1222" s="9" t="s">
        <v>6675</v>
      </c>
      <c r="F1222" s="9" t="s">
        <v>31</v>
      </c>
      <c r="G1222" s="9" t="s">
        <v>1920</v>
      </c>
      <c r="H1222" s="9" t="s">
        <v>86</v>
      </c>
      <c r="I1222" s="11">
        <v>147000</v>
      </c>
      <c r="J1222" s="11">
        <v>2774456</v>
      </c>
      <c r="K1222" s="11">
        <v>2048226</v>
      </c>
      <c r="L1222" s="3">
        <v>262</v>
      </c>
      <c r="M1222" s="3">
        <v>3637</v>
      </c>
      <c r="N1222" s="3">
        <v>1840118</v>
      </c>
      <c r="O1222" s="2">
        <v>0.21199999999999999</v>
      </c>
      <c r="P1222" s="2">
        <v>0.83599999999999997</v>
      </c>
      <c r="Q1222" s="2">
        <v>5.5999999999999994E-2</v>
      </c>
      <c r="R1222" s="11">
        <v>373178812</v>
      </c>
      <c r="S1222" s="11">
        <v>1145301</v>
      </c>
      <c r="T1222">
        <v>2016</v>
      </c>
      <c r="U1222">
        <v>11</v>
      </c>
      <c r="V1222">
        <f t="shared" si="114"/>
        <v>600000</v>
      </c>
      <c r="W1222">
        <f t="shared" si="115"/>
        <v>18429897</v>
      </c>
      <c r="X1222">
        <f t="shared" si="116"/>
        <v>17829897</v>
      </c>
      <c r="Y1222">
        <f t="shared" si="117"/>
        <v>-26144845.5</v>
      </c>
      <c r="Z1222">
        <f t="shared" si="118"/>
        <v>45174742.5</v>
      </c>
      <c r="AA1222" t="str">
        <f t="shared" si="119"/>
        <v>Normal</v>
      </c>
      <c r="AE1222" s="2"/>
      <c r="AF1222" s="2"/>
    </row>
    <row r="1223" spans="1:32" x14ac:dyDescent="0.35">
      <c r="A1223">
        <v>1222</v>
      </c>
      <c r="B1223" s="1">
        <v>42692</v>
      </c>
      <c r="C1223" s="9" t="s">
        <v>2160</v>
      </c>
      <c r="D1223" s="9" t="s">
        <v>4933</v>
      </c>
      <c r="E1223" s="9" t="s">
        <v>6676</v>
      </c>
      <c r="F1223" s="9" t="s">
        <v>27</v>
      </c>
      <c r="G1223" s="9" t="s">
        <v>2161</v>
      </c>
      <c r="H1223" s="9" t="s">
        <v>86</v>
      </c>
      <c r="I1223" s="11">
        <v>1000000</v>
      </c>
      <c r="J1223" s="11">
        <v>4808384</v>
      </c>
      <c r="K1223" s="11">
        <v>12961692</v>
      </c>
      <c r="L1223" s="3">
        <v>369</v>
      </c>
      <c r="M1223" s="3">
        <v>4718</v>
      </c>
      <c r="N1223" s="3">
        <v>1597728</v>
      </c>
      <c r="O1223" s="2">
        <v>0.5</v>
      </c>
      <c r="P1223" s="2">
        <v>0.95199999999999996</v>
      </c>
      <c r="Q1223" s="2">
        <v>0.23399999999999999</v>
      </c>
      <c r="R1223" s="11">
        <v>464181346</v>
      </c>
      <c r="S1223" s="11">
        <v>1639615</v>
      </c>
      <c r="T1223">
        <v>2016</v>
      </c>
      <c r="U1223">
        <v>11</v>
      </c>
      <c r="V1223">
        <f t="shared" si="114"/>
        <v>600000</v>
      </c>
      <c r="W1223">
        <f t="shared" si="115"/>
        <v>18429897</v>
      </c>
      <c r="X1223">
        <f t="shared" si="116"/>
        <v>17829897</v>
      </c>
      <c r="Y1223">
        <f t="shared" si="117"/>
        <v>-26144845.5</v>
      </c>
      <c r="Z1223">
        <f t="shared" si="118"/>
        <v>45174742.5</v>
      </c>
      <c r="AA1223" t="str">
        <f t="shared" si="119"/>
        <v>Normal</v>
      </c>
      <c r="AE1223" s="2"/>
      <c r="AF1223" s="2"/>
    </row>
    <row r="1224" spans="1:32" x14ac:dyDescent="0.35">
      <c r="A1224">
        <v>1223</v>
      </c>
      <c r="B1224" s="1">
        <v>42692</v>
      </c>
      <c r="C1224" s="9" t="s">
        <v>2162</v>
      </c>
      <c r="D1224" s="9" t="s">
        <v>4925</v>
      </c>
      <c r="E1224" s="9" t="s">
        <v>5243</v>
      </c>
      <c r="F1224" s="9" t="s">
        <v>31</v>
      </c>
      <c r="G1224" s="9" t="s">
        <v>2163</v>
      </c>
      <c r="H1224" s="9" t="s">
        <v>86</v>
      </c>
      <c r="I1224" s="11">
        <v>18429897</v>
      </c>
      <c r="J1224" s="11">
        <v>3277429</v>
      </c>
      <c r="K1224" s="11">
        <v>3209245</v>
      </c>
      <c r="L1224" s="3">
        <v>22</v>
      </c>
      <c r="M1224" s="3">
        <v>4398</v>
      </c>
      <c r="N1224" s="3">
        <v>740598</v>
      </c>
      <c r="O1224" s="2">
        <v>0.125</v>
      </c>
      <c r="P1224" s="2">
        <v>0.3</v>
      </c>
      <c r="Q1224" s="2">
        <v>0.105</v>
      </c>
      <c r="R1224" s="11">
        <v>386171735</v>
      </c>
      <c r="S1224" s="11">
        <v>1965579</v>
      </c>
      <c r="T1224">
        <v>2016</v>
      </c>
      <c r="U1224">
        <v>11</v>
      </c>
      <c r="V1224">
        <f t="shared" si="114"/>
        <v>600000</v>
      </c>
      <c r="W1224">
        <f t="shared" si="115"/>
        <v>18429897</v>
      </c>
      <c r="X1224">
        <f t="shared" si="116"/>
        <v>17829897</v>
      </c>
      <c r="Y1224">
        <f t="shared" si="117"/>
        <v>-26144845.5</v>
      </c>
      <c r="Z1224">
        <f t="shared" si="118"/>
        <v>45174742.5</v>
      </c>
      <c r="AA1224" t="str">
        <f t="shared" si="119"/>
        <v>Normal</v>
      </c>
      <c r="AE1224" s="2"/>
      <c r="AF1224" s="2"/>
    </row>
    <row r="1225" spans="1:32" x14ac:dyDescent="0.35">
      <c r="A1225">
        <v>1224</v>
      </c>
      <c r="B1225" s="1">
        <v>42692</v>
      </c>
      <c r="C1225" s="9" t="s">
        <v>2164</v>
      </c>
      <c r="D1225" s="9" t="s">
        <v>4988</v>
      </c>
      <c r="E1225" s="9" t="s">
        <v>6677</v>
      </c>
      <c r="F1225" s="9" t="s">
        <v>31</v>
      </c>
      <c r="G1225" s="9" t="s">
        <v>2165</v>
      </c>
      <c r="H1225" s="9" t="s">
        <v>86</v>
      </c>
      <c r="I1225" s="11">
        <v>18429897</v>
      </c>
      <c r="J1225" s="11">
        <v>2095882</v>
      </c>
      <c r="K1225" s="11">
        <v>4737480</v>
      </c>
      <c r="L1225" s="3">
        <v>43</v>
      </c>
      <c r="M1225" s="3">
        <v>2770</v>
      </c>
      <c r="N1225" s="3">
        <v>1018455</v>
      </c>
      <c r="O1225" s="2">
        <v>0.22899999999999998</v>
      </c>
      <c r="P1225" s="2">
        <v>0.251</v>
      </c>
      <c r="Q1225" s="2">
        <v>-0.21299999999999999</v>
      </c>
      <c r="R1225" s="11">
        <v>236204833</v>
      </c>
      <c r="S1225" s="11">
        <v>1372269</v>
      </c>
      <c r="T1225">
        <v>2016</v>
      </c>
      <c r="U1225">
        <v>11</v>
      </c>
      <c r="V1225">
        <f t="shared" si="114"/>
        <v>600000</v>
      </c>
      <c r="W1225">
        <f t="shared" si="115"/>
        <v>18429897</v>
      </c>
      <c r="X1225">
        <f t="shared" si="116"/>
        <v>17829897</v>
      </c>
      <c r="Y1225">
        <f t="shared" si="117"/>
        <v>-26144845.5</v>
      </c>
      <c r="Z1225">
        <f t="shared" si="118"/>
        <v>45174742.5</v>
      </c>
      <c r="AA1225" t="str">
        <f t="shared" si="119"/>
        <v>Normal</v>
      </c>
      <c r="AE1225" s="2"/>
      <c r="AF1225" s="2"/>
    </row>
    <row r="1226" spans="1:32" x14ac:dyDescent="0.35">
      <c r="A1226">
        <v>1225</v>
      </c>
      <c r="B1226" s="1">
        <v>42695</v>
      </c>
      <c r="C1226" s="9" t="s">
        <v>2166</v>
      </c>
      <c r="D1226" s="9" t="s">
        <v>4988</v>
      </c>
      <c r="E1226" s="9" t="s">
        <v>6678</v>
      </c>
      <c r="F1226" s="9" t="s">
        <v>19</v>
      </c>
      <c r="G1226" s="9" t="s">
        <v>2167</v>
      </c>
      <c r="H1226" s="9" t="s">
        <v>86</v>
      </c>
      <c r="I1226" s="11">
        <v>90000</v>
      </c>
      <c r="J1226" s="11">
        <v>4849679</v>
      </c>
      <c r="K1226" s="11">
        <v>3784607</v>
      </c>
      <c r="L1226" s="3">
        <v>296</v>
      </c>
      <c r="M1226" s="3">
        <v>219</v>
      </c>
      <c r="N1226" s="3">
        <v>1238343</v>
      </c>
      <c r="O1226" s="2">
        <v>-1.2E-2</v>
      </c>
      <c r="P1226" s="2">
        <v>0.878</v>
      </c>
      <c r="Q1226" s="2">
        <v>-4.4999999999999998E-2</v>
      </c>
      <c r="R1226" s="11">
        <v>250264963</v>
      </c>
      <c r="S1226" s="11">
        <v>880104</v>
      </c>
      <c r="T1226">
        <v>2016</v>
      </c>
      <c r="U1226">
        <v>11</v>
      </c>
      <c r="V1226">
        <f t="shared" si="114"/>
        <v>600000</v>
      </c>
      <c r="W1226">
        <f t="shared" si="115"/>
        <v>18429897</v>
      </c>
      <c r="X1226">
        <f t="shared" si="116"/>
        <v>17829897</v>
      </c>
      <c r="Y1226">
        <f t="shared" si="117"/>
        <v>-26144845.5</v>
      </c>
      <c r="Z1226">
        <f t="shared" si="118"/>
        <v>45174742.5</v>
      </c>
      <c r="AA1226" t="str">
        <f t="shared" si="119"/>
        <v>Normal</v>
      </c>
      <c r="AE1226" s="2"/>
      <c r="AF1226" s="2"/>
    </row>
    <row r="1227" spans="1:32" x14ac:dyDescent="0.35">
      <c r="A1227">
        <v>1226</v>
      </c>
      <c r="B1227" s="1">
        <v>42695</v>
      </c>
      <c r="C1227" s="9" t="s">
        <v>2168</v>
      </c>
      <c r="D1227" s="9" t="s">
        <v>4930</v>
      </c>
      <c r="E1227" s="9" t="s">
        <v>6679</v>
      </c>
      <c r="F1227" s="9" t="s">
        <v>19</v>
      </c>
      <c r="G1227" s="9" t="s">
        <v>2169</v>
      </c>
      <c r="H1227" s="9" t="s">
        <v>86</v>
      </c>
      <c r="I1227" s="11">
        <v>650000</v>
      </c>
      <c r="J1227" s="11">
        <v>554120</v>
      </c>
      <c r="K1227" s="11">
        <v>10927771</v>
      </c>
      <c r="L1227" s="3">
        <v>428</v>
      </c>
      <c r="M1227" s="3">
        <v>1465</v>
      </c>
      <c r="N1227" s="3">
        <v>617692</v>
      </c>
      <c r="O1227" s="2">
        <v>0.40899999999999997</v>
      </c>
      <c r="P1227" s="2">
        <v>0.67900000000000005</v>
      </c>
      <c r="Q1227" s="2">
        <v>0.59799999999999998</v>
      </c>
      <c r="R1227" s="11">
        <v>14444387</v>
      </c>
      <c r="S1227" s="11">
        <v>1036809</v>
      </c>
      <c r="T1227">
        <v>2016</v>
      </c>
      <c r="U1227">
        <v>11</v>
      </c>
      <c r="V1227">
        <f t="shared" si="114"/>
        <v>600000</v>
      </c>
      <c r="W1227">
        <f t="shared" si="115"/>
        <v>18429897</v>
      </c>
      <c r="X1227">
        <f t="shared" si="116"/>
        <v>17829897</v>
      </c>
      <c r="Y1227">
        <f t="shared" si="117"/>
        <v>-26144845.5</v>
      </c>
      <c r="Z1227">
        <f t="shared" si="118"/>
        <v>45174742.5</v>
      </c>
      <c r="AA1227" t="str">
        <f t="shared" si="119"/>
        <v>Normal</v>
      </c>
      <c r="AE1227" s="2"/>
      <c r="AF1227" s="2"/>
    </row>
    <row r="1228" spans="1:32" x14ac:dyDescent="0.35">
      <c r="A1228">
        <v>1227</v>
      </c>
      <c r="B1228" s="1">
        <v>42696</v>
      </c>
      <c r="C1228" s="9" t="s">
        <v>2170</v>
      </c>
      <c r="D1228" s="9" t="s">
        <v>4988</v>
      </c>
      <c r="E1228" s="9" t="s">
        <v>6680</v>
      </c>
      <c r="F1228" s="9" t="s">
        <v>31</v>
      </c>
      <c r="G1228" s="9" t="s">
        <v>2171</v>
      </c>
      <c r="H1228" s="9" t="s">
        <v>105</v>
      </c>
      <c r="I1228" s="11">
        <v>5000000</v>
      </c>
      <c r="J1228" s="11">
        <v>4923198</v>
      </c>
      <c r="K1228" s="11">
        <v>12617971</v>
      </c>
      <c r="L1228" s="3">
        <v>466</v>
      </c>
      <c r="M1228" s="3">
        <v>1347</v>
      </c>
      <c r="N1228" s="3">
        <v>447378</v>
      </c>
      <c r="O1228" s="2">
        <v>0.11599999999999999</v>
      </c>
      <c r="P1228" s="2">
        <v>0.873</v>
      </c>
      <c r="Q1228" s="2">
        <v>0.39200000000000002</v>
      </c>
      <c r="R1228" s="11">
        <v>382266974</v>
      </c>
      <c r="S1228" s="11">
        <v>68688</v>
      </c>
      <c r="T1228">
        <v>2016</v>
      </c>
      <c r="U1228">
        <v>11</v>
      </c>
      <c r="V1228">
        <f t="shared" si="114"/>
        <v>600000</v>
      </c>
      <c r="W1228">
        <f t="shared" si="115"/>
        <v>18429897</v>
      </c>
      <c r="X1228">
        <f t="shared" si="116"/>
        <v>17829897</v>
      </c>
      <c r="Y1228">
        <f t="shared" si="117"/>
        <v>-26144845.5</v>
      </c>
      <c r="Z1228">
        <f t="shared" si="118"/>
        <v>45174742.5</v>
      </c>
      <c r="AA1228" t="str">
        <f t="shared" si="119"/>
        <v>Normal</v>
      </c>
      <c r="AE1228" s="2"/>
      <c r="AF1228" s="2"/>
    </row>
    <row r="1229" spans="1:32" x14ac:dyDescent="0.35">
      <c r="A1229">
        <v>1228</v>
      </c>
      <c r="B1229" s="1">
        <v>42696</v>
      </c>
      <c r="C1229" s="9" t="s">
        <v>2172</v>
      </c>
      <c r="D1229" s="9" t="s">
        <v>4988</v>
      </c>
      <c r="E1229" s="9" t="s">
        <v>6681</v>
      </c>
      <c r="F1229" s="9" t="s">
        <v>15</v>
      </c>
      <c r="G1229" s="9" t="s">
        <v>2173</v>
      </c>
      <c r="H1229" s="9" t="s">
        <v>86</v>
      </c>
      <c r="I1229" s="11">
        <v>147000</v>
      </c>
      <c r="J1229" s="11">
        <v>786984</v>
      </c>
      <c r="K1229" s="11">
        <v>15143154</v>
      </c>
      <c r="L1229" s="3">
        <v>286</v>
      </c>
      <c r="M1229" s="3">
        <v>87</v>
      </c>
      <c r="N1229" s="3">
        <v>428417</v>
      </c>
      <c r="O1229" s="2">
        <v>1.6E-2</v>
      </c>
      <c r="P1229" s="2">
        <v>0.502</v>
      </c>
      <c r="Q1229" s="2">
        <v>2.5000000000000001E-2</v>
      </c>
      <c r="R1229" s="11">
        <v>114890028</v>
      </c>
      <c r="S1229" s="11">
        <v>1795810</v>
      </c>
      <c r="T1229">
        <v>2016</v>
      </c>
      <c r="U1229">
        <v>11</v>
      </c>
      <c r="V1229">
        <f t="shared" si="114"/>
        <v>600000</v>
      </c>
      <c r="W1229">
        <f t="shared" si="115"/>
        <v>18429897</v>
      </c>
      <c r="X1229">
        <f t="shared" si="116"/>
        <v>17829897</v>
      </c>
      <c r="Y1229">
        <f t="shared" si="117"/>
        <v>-26144845.5</v>
      </c>
      <c r="Z1229">
        <f t="shared" si="118"/>
        <v>45174742.5</v>
      </c>
      <c r="AA1229" t="str">
        <f t="shared" si="119"/>
        <v>Normal</v>
      </c>
      <c r="AE1229" s="2"/>
      <c r="AF1229" s="2"/>
    </row>
    <row r="1230" spans="1:32" x14ac:dyDescent="0.35">
      <c r="A1230">
        <v>1229</v>
      </c>
      <c r="B1230" s="1">
        <v>42696</v>
      </c>
      <c r="C1230" s="9" t="s">
        <v>2174</v>
      </c>
      <c r="D1230" s="9" t="s">
        <v>4988</v>
      </c>
      <c r="E1230" s="9" t="s">
        <v>5430</v>
      </c>
      <c r="F1230" s="9" t="s">
        <v>31</v>
      </c>
      <c r="G1230" s="9" t="s">
        <v>2175</v>
      </c>
      <c r="H1230" s="9" t="s">
        <v>86</v>
      </c>
      <c r="I1230" s="11">
        <v>18429897</v>
      </c>
      <c r="J1230" s="11">
        <v>1455376</v>
      </c>
      <c r="K1230" s="11">
        <v>8868413</v>
      </c>
      <c r="L1230" s="3">
        <v>187</v>
      </c>
      <c r="M1230" s="3">
        <v>638</v>
      </c>
      <c r="N1230" s="3">
        <v>496854</v>
      </c>
      <c r="O1230" s="2">
        <v>-0.158</v>
      </c>
      <c r="P1230" s="2">
        <v>0.37200000000000005</v>
      </c>
      <c r="Q1230" s="2">
        <v>0.26900000000000002</v>
      </c>
      <c r="R1230" s="11">
        <v>213899592</v>
      </c>
      <c r="S1230" s="11">
        <v>109884</v>
      </c>
      <c r="T1230">
        <v>2016</v>
      </c>
      <c r="U1230">
        <v>11</v>
      </c>
      <c r="V1230">
        <f t="shared" si="114"/>
        <v>600000</v>
      </c>
      <c r="W1230">
        <f t="shared" si="115"/>
        <v>18429897</v>
      </c>
      <c r="X1230">
        <f t="shared" si="116"/>
        <v>17829897</v>
      </c>
      <c r="Y1230">
        <f t="shared" si="117"/>
        <v>-26144845.5</v>
      </c>
      <c r="Z1230">
        <f t="shared" si="118"/>
        <v>45174742.5</v>
      </c>
      <c r="AA1230" t="str">
        <f t="shared" si="119"/>
        <v>Normal</v>
      </c>
      <c r="AE1230" s="2"/>
      <c r="AF1230" s="2"/>
    </row>
    <row r="1231" spans="1:32" x14ac:dyDescent="0.35">
      <c r="A1231">
        <v>1230</v>
      </c>
      <c r="B1231" s="1">
        <v>42696</v>
      </c>
      <c r="C1231" s="9" t="s">
        <v>2176</v>
      </c>
      <c r="D1231" s="9" t="s">
        <v>4930</v>
      </c>
      <c r="E1231" s="9" t="s">
        <v>6682</v>
      </c>
      <c r="F1231" s="9" t="s">
        <v>15</v>
      </c>
      <c r="G1231" s="9" t="s">
        <v>140</v>
      </c>
      <c r="H1231" s="9" t="s">
        <v>105</v>
      </c>
      <c r="I1231" s="11">
        <v>5000000</v>
      </c>
      <c r="J1231" s="11">
        <v>4110920</v>
      </c>
      <c r="K1231" s="11">
        <v>18793329</v>
      </c>
      <c r="L1231" s="3">
        <v>238</v>
      </c>
      <c r="M1231" s="3">
        <v>2895</v>
      </c>
      <c r="N1231" s="3">
        <v>638080</v>
      </c>
      <c r="O1231" s="2">
        <v>0.251</v>
      </c>
      <c r="P1231" s="2">
        <v>0.311</v>
      </c>
      <c r="Q1231" s="2">
        <v>0.155</v>
      </c>
      <c r="R1231" s="11">
        <v>246392591</v>
      </c>
      <c r="S1231" s="11">
        <v>1952694</v>
      </c>
      <c r="T1231">
        <v>2016</v>
      </c>
      <c r="U1231">
        <v>11</v>
      </c>
      <c r="V1231">
        <f t="shared" si="114"/>
        <v>600000</v>
      </c>
      <c r="W1231">
        <f t="shared" si="115"/>
        <v>18429897</v>
      </c>
      <c r="X1231">
        <f t="shared" si="116"/>
        <v>17829897</v>
      </c>
      <c r="Y1231">
        <f t="shared" si="117"/>
        <v>-26144845.5</v>
      </c>
      <c r="Z1231">
        <f t="shared" si="118"/>
        <v>45174742.5</v>
      </c>
      <c r="AA1231" t="str">
        <f t="shared" si="119"/>
        <v>Normal</v>
      </c>
      <c r="AE1231" s="2"/>
      <c r="AF1231" s="2"/>
    </row>
    <row r="1232" spans="1:32" x14ac:dyDescent="0.35">
      <c r="A1232">
        <v>1231</v>
      </c>
      <c r="B1232" s="1">
        <v>42696</v>
      </c>
      <c r="C1232" s="9" t="s">
        <v>2177</v>
      </c>
      <c r="D1232" s="9" t="s">
        <v>4930</v>
      </c>
      <c r="E1232" s="9" t="s">
        <v>6683</v>
      </c>
      <c r="F1232" s="9" t="s">
        <v>15</v>
      </c>
      <c r="G1232" s="9" t="s">
        <v>2178</v>
      </c>
      <c r="H1232" s="9" t="s">
        <v>86</v>
      </c>
      <c r="I1232" s="11">
        <v>18429897</v>
      </c>
      <c r="J1232" s="11">
        <v>3674092</v>
      </c>
      <c r="K1232" s="11">
        <v>7534159</v>
      </c>
      <c r="L1232" s="3">
        <v>256</v>
      </c>
      <c r="M1232" s="3">
        <v>2505.5</v>
      </c>
      <c r="N1232" s="3">
        <v>1237954</v>
      </c>
      <c r="O1232" s="2">
        <v>-5.7999999999999996E-2</v>
      </c>
      <c r="P1232" s="2">
        <v>0.98599999999999999</v>
      </c>
      <c r="Q1232" s="2">
        <v>0.53600000000000003</v>
      </c>
      <c r="R1232" s="11">
        <v>224896793</v>
      </c>
      <c r="S1232" s="11">
        <v>324690</v>
      </c>
      <c r="T1232">
        <v>2016</v>
      </c>
      <c r="U1232">
        <v>11</v>
      </c>
      <c r="V1232">
        <f t="shared" si="114"/>
        <v>600000</v>
      </c>
      <c r="W1232">
        <f t="shared" si="115"/>
        <v>18429897</v>
      </c>
      <c r="X1232">
        <f t="shared" si="116"/>
        <v>17829897</v>
      </c>
      <c r="Y1232">
        <f t="shared" si="117"/>
        <v>-26144845.5</v>
      </c>
      <c r="Z1232">
        <f t="shared" si="118"/>
        <v>45174742.5</v>
      </c>
      <c r="AA1232" t="str">
        <f t="shared" si="119"/>
        <v>Normal</v>
      </c>
      <c r="AE1232" s="2"/>
      <c r="AF1232" s="2"/>
    </row>
    <row r="1233" spans="1:32" x14ac:dyDescent="0.35">
      <c r="A1233">
        <v>1232</v>
      </c>
      <c r="B1233" s="1">
        <v>42696</v>
      </c>
      <c r="C1233" s="9" t="s">
        <v>2179</v>
      </c>
      <c r="D1233" s="9" t="s">
        <v>4988</v>
      </c>
      <c r="E1233" s="9" t="s">
        <v>6684</v>
      </c>
      <c r="F1233" s="9" t="s">
        <v>31</v>
      </c>
      <c r="G1233" s="9" t="s">
        <v>2180</v>
      </c>
      <c r="H1233" s="9" t="s">
        <v>86</v>
      </c>
      <c r="I1233" s="11">
        <v>147000</v>
      </c>
      <c r="J1233" s="11">
        <v>4852364</v>
      </c>
      <c r="K1233" s="11">
        <v>3216261</v>
      </c>
      <c r="L1233" s="3">
        <v>311</v>
      </c>
      <c r="M1233" s="3">
        <v>241</v>
      </c>
      <c r="N1233" s="3">
        <v>327653</v>
      </c>
      <c r="O1233" s="2">
        <v>1.6E-2</v>
      </c>
      <c r="P1233" s="2">
        <v>0.50800000000000001</v>
      </c>
      <c r="Q1233" s="2">
        <v>6.8000000000000005E-2</v>
      </c>
      <c r="R1233" s="11">
        <v>476740615</v>
      </c>
      <c r="S1233" s="11">
        <v>1838861</v>
      </c>
      <c r="T1233">
        <v>2016</v>
      </c>
      <c r="U1233">
        <v>11</v>
      </c>
      <c r="V1233">
        <f t="shared" si="114"/>
        <v>600000</v>
      </c>
      <c r="W1233">
        <f t="shared" si="115"/>
        <v>18429897</v>
      </c>
      <c r="X1233">
        <f t="shared" si="116"/>
        <v>17829897</v>
      </c>
      <c r="Y1233">
        <f t="shared" si="117"/>
        <v>-26144845.5</v>
      </c>
      <c r="Z1233">
        <f t="shared" si="118"/>
        <v>45174742.5</v>
      </c>
      <c r="AA1233" t="str">
        <f t="shared" si="119"/>
        <v>Normal</v>
      </c>
      <c r="AE1233" s="2"/>
      <c r="AF1233" s="2"/>
    </row>
    <row r="1234" spans="1:32" x14ac:dyDescent="0.35">
      <c r="A1234">
        <v>1233</v>
      </c>
      <c r="B1234" s="1">
        <v>42697</v>
      </c>
      <c r="C1234" s="9" t="s">
        <v>2181</v>
      </c>
      <c r="D1234" s="9" t="s">
        <v>4988</v>
      </c>
      <c r="E1234" s="9" t="s">
        <v>6685</v>
      </c>
      <c r="F1234" s="9" t="s">
        <v>15</v>
      </c>
      <c r="G1234" s="9" t="s">
        <v>4849</v>
      </c>
      <c r="H1234" s="9" t="s">
        <v>105</v>
      </c>
      <c r="I1234" s="11">
        <v>20000000</v>
      </c>
      <c r="J1234" s="11">
        <v>3754918</v>
      </c>
      <c r="K1234" s="11">
        <v>826645</v>
      </c>
      <c r="L1234" s="3">
        <v>117</v>
      </c>
      <c r="M1234" s="3">
        <v>4730</v>
      </c>
      <c r="N1234" s="3">
        <v>969717</v>
      </c>
      <c r="O1234" s="2">
        <v>0.30099999999999999</v>
      </c>
      <c r="P1234" s="2">
        <v>0.28300000000000003</v>
      </c>
      <c r="Q1234" s="2">
        <v>0.156</v>
      </c>
      <c r="R1234" s="11">
        <v>300548693</v>
      </c>
      <c r="S1234" s="11">
        <v>509843</v>
      </c>
      <c r="T1234">
        <v>2016</v>
      </c>
      <c r="U1234">
        <v>11</v>
      </c>
      <c r="V1234">
        <f t="shared" si="114"/>
        <v>600000</v>
      </c>
      <c r="W1234">
        <f t="shared" si="115"/>
        <v>18429897</v>
      </c>
      <c r="X1234">
        <f t="shared" si="116"/>
        <v>17829897</v>
      </c>
      <c r="Y1234">
        <f t="shared" si="117"/>
        <v>-26144845.5</v>
      </c>
      <c r="Z1234">
        <f t="shared" si="118"/>
        <v>45174742.5</v>
      </c>
      <c r="AA1234" t="str">
        <f t="shared" si="119"/>
        <v>Normal</v>
      </c>
      <c r="AE1234" s="2"/>
      <c r="AF1234" s="2"/>
    </row>
    <row r="1235" spans="1:32" x14ac:dyDescent="0.35">
      <c r="A1235">
        <v>1234</v>
      </c>
      <c r="B1235" s="1">
        <v>42697</v>
      </c>
      <c r="C1235" s="9" t="s">
        <v>2182</v>
      </c>
      <c r="D1235" s="9" t="s">
        <v>4930</v>
      </c>
      <c r="E1235" s="9" t="s">
        <v>6686</v>
      </c>
      <c r="F1235" s="9" t="s">
        <v>31</v>
      </c>
      <c r="G1235" s="9" t="s">
        <v>2183</v>
      </c>
      <c r="H1235" s="9" t="s">
        <v>86</v>
      </c>
      <c r="I1235" s="11">
        <v>600000</v>
      </c>
      <c r="J1235" s="11">
        <v>3192302</v>
      </c>
      <c r="K1235" s="11">
        <v>2637192</v>
      </c>
      <c r="L1235" s="3">
        <v>197</v>
      </c>
      <c r="M1235" s="3">
        <v>3043</v>
      </c>
      <c r="N1235" s="3">
        <v>1842334</v>
      </c>
      <c r="O1235" s="2">
        <v>7.400000000000001E-2</v>
      </c>
      <c r="P1235" s="2">
        <v>0.44700000000000001</v>
      </c>
      <c r="Q1235" s="2">
        <v>-9.9000000000000005E-2</v>
      </c>
      <c r="R1235" s="11">
        <v>419236712</v>
      </c>
      <c r="S1235" s="11">
        <v>94187</v>
      </c>
      <c r="T1235">
        <v>2016</v>
      </c>
      <c r="U1235">
        <v>11</v>
      </c>
      <c r="V1235">
        <f t="shared" si="114"/>
        <v>600000</v>
      </c>
      <c r="W1235">
        <f t="shared" si="115"/>
        <v>18429897</v>
      </c>
      <c r="X1235">
        <f t="shared" si="116"/>
        <v>17829897</v>
      </c>
      <c r="Y1235">
        <f t="shared" si="117"/>
        <v>-26144845.5</v>
      </c>
      <c r="Z1235">
        <f t="shared" si="118"/>
        <v>45174742.5</v>
      </c>
      <c r="AA1235" t="str">
        <f t="shared" si="119"/>
        <v>Normal</v>
      </c>
      <c r="AE1235" s="2"/>
      <c r="AF1235" s="2"/>
    </row>
    <row r="1236" spans="1:32" x14ac:dyDescent="0.35">
      <c r="A1236">
        <v>1235</v>
      </c>
      <c r="B1236" s="1">
        <v>42697</v>
      </c>
      <c r="C1236" s="9" t="s">
        <v>111</v>
      </c>
      <c r="D1236" s="9" t="s">
        <v>4925</v>
      </c>
      <c r="E1236" s="9" t="s">
        <v>5986</v>
      </c>
      <c r="F1236" s="9" t="s">
        <v>15</v>
      </c>
      <c r="G1236" s="9" t="s">
        <v>2184</v>
      </c>
      <c r="H1236" s="9" t="s">
        <v>105</v>
      </c>
      <c r="I1236" s="11">
        <v>10000000</v>
      </c>
      <c r="J1236" s="11">
        <v>1745534</v>
      </c>
      <c r="K1236" s="11">
        <v>8957863</v>
      </c>
      <c r="L1236" s="3">
        <v>272</v>
      </c>
      <c r="M1236" s="3">
        <v>4037</v>
      </c>
      <c r="N1236" s="3">
        <v>1928800</v>
      </c>
      <c r="O1236" s="2">
        <v>0.63900000000000001</v>
      </c>
      <c r="P1236" s="2">
        <v>1.0620000000000001E-2</v>
      </c>
      <c r="Q1236" s="2">
        <v>6.6000000000000003E-2</v>
      </c>
      <c r="R1236" s="11">
        <v>378590139</v>
      </c>
      <c r="S1236" s="11">
        <v>1343401</v>
      </c>
      <c r="T1236">
        <v>2016</v>
      </c>
      <c r="U1236">
        <v>11</v>
      </c>
      <c r="V1236">
        <f t="shared" si="114"/>
        <v>600000</v>
      </c>
      <c r="W1236">
        <f t="shared" si="115"/>
        <v>18429897</v>
      </c>
      <c r="X1236">
        <f t="shared" si="116"/>
        <v>17829897</v>
      </c>
      <c r="Y1236">
        <f t="shared" si="117"/>
        <v>-26144845.5</v>
      </c>
      <c r="Z1236">
        <f t="shared" si="118"/>
        <v>45174742.5</v>
      </c>
      <c r="AA1236" t="str">
        <f t="shared" si="119"/>
        <v>Normal</v>
      </c>
      <c r="AE1236" s="2"/>
      <c r="AF1236" s="2"/>
    </row>
    <row r="1237" spans="1:32" x14ac:dyDescent="0.35">
      <c r="A1237">
        <v>1236</v>
      </c>
      <c r="B1237" s="1">
        <v>42698</v>
      </c>
      <c r="C1237" s="9" t="s">
        <v>2185</v>
      </c>
      <c r="D1237" s="9" t="s">
        <v>4988</v>
      </c>
      <c r="E1237" s="9" t="s">
        <v>6687</v>
      </c>
      <c r="F1237" s="9" t="s">
        <v>310</v>
      </c>
      <c r="G1237" s="9" t="s">
        <v>2186</v>
      </c>
      <c r="H1237" s="9" t="s">
        <v>86</v>
      </c>
      <c r="I1237" s="11">
        <v>18429897</v>
      </c>
      <c r="J1237" s="11">
        <v>43468</v>
      </c>
      <c r="K1237" s="11">
        <v>8317576</v>
      </c>
      <c r="L1237" s="3">
        <v>426</v>
      </c>
      <c r="M1237" s="3">
        <v>1280</v>
      </c>
      <c r="N1237" s="3">
        <v>1659079</v>
      </c>
      <c r="O1237" s="2">
        <v>0.22399999999999998</v>
      </c>
      <c r="P1237" s="2">
        <v>0.68200000000000005</v>
      </c>
      <c r="Q1237" s="2">
        <v>-0.58499999999999996</v>
      </c>
      <c r="R1237" s="11">
        <v>331450709</v>
      </c>
      <c r="S1237" s="11">
        <v>1914982</v>
      </c>
      <c r="T1237">
        <v>2016</v>
      </c>
      <c r="U1237">
        <v>11</v>
      </c>
      <c r="V1237">
        <f t="shared" si="114"/>
        <v>600000</v>
      </c>
      <c r="W1237">
        <f t="shared" si="115"/>
        <v>18429897</v>
      </c>
      <c r="X1237">
        <f t="shared" si="116"/>
        <v>17829897</v>
      </c>
      <c r="Y1237">
        <f t="shared" si="117"/>
        <v>-26144845.5</v>
      </c>
      <c r="Z1237">
        <f t="shared" si="118"/>
        <v>45174742.5</v>
      </c>
      <c r="AA1237" t="str">
        <f t="shared" si="119"/>
        <v>Normal</v>
      </c>
      <c r="AE1237" s="2"/>
      <c r="AF1237" s="2"/>
    </row>
    <row r="1238" spans="1:32" x14ac:dyDescent="0.35">
      <c r="A1238">
        <v>1237</v>
      </c>
      <c r="B1238" s="1">
        <v>42698</v>
      </c>
      <c r="C1238" s="9" t="s">
        <v>2187</v>
      </c>
      <c r="D1238" s="9" t="s">
        <v>4988</v>
      </c>
      <c r="E1238" s="9" t="s">
        <v>6688</v>
      </c>
      <c r="F1238" s="9" t="s">
        <v>15</v>
      </c>
      <c r="G1238" s="9" t="s">
        <v>2188</v>
      </c>
      <c r="H1238" s="9" t="s">
        <v>86</v>
      </c>
      <c r="I1238" s="11">
        <v>18429897</v>
      </c>
      <c r="J1238" s="11">
        <v>636871</v>
      </c>
      <c r="K1238" s="11">
        <v>17099136</v>
      </c>
      <c r="L1238" s="3">
        <v>402</v>
      </c>
      <c r="M1238" s="3">
        <v>2505.5</v>
      </c>
      <c r="N1238" s="3">
        <v>529001</v>
      </c>
      <c r="O1238" s="2">
        <v>-1.9E-2</v>
      </c>
      <c r="P1238" s="2">
        <v>1.0529999999999999</v>
      </c>
      <c r="Q1238" s="2">
        <v>0.16500000000000001</v>
      </c>
      <c r="R1238" s="11">
        <v>77750310</v>
      </c>
      <c r="S1238" s="11">
        <v>1358701</v>
      </c>
      <c r="T1238">
        <v>2016</v>
      </c>
      <c r="U1238">
        <v>11</v>
      </c>
      <c r="V1238">
        <f t="shared" si="114"/>
        <v>600000</v>
      </c>
      <c r="W1238">
        <f t="shared" si="115"/>
        <v>18429897</v>
      </c>
      <c r="X1238">
        <f t="shared" si="116"/>
        <v>17829897</v>
      </c>
      <c r="Y1238">
        <f t="shared" si="117"/>
        <v>-26144845.5</v>
      </c>
      <c r="Z1238">
        <f t="shared" si="118"/>
        <v>45174742.5</v>
      </c>
      <c r="AA1238" t="str">
        <f t="shared" si="119"/>
        <v>Normal</v>
      </c>
      <c r="AE1238" s="2"/>
      <c r="AF1238" s="2"/>
    </row>
    <row r="1239" spans="1:32" x14ac:dyDescent="0.35">
      <c r="A1239">
        <v>1238</v>
      </c>
      <c r="B1239" s="1">
        <v>42698</v>
      </c>
      <c r="C1239" s="9" t="s">
        <v>822</v>
      </c>
      <c r="D1239" s="9" t="s">
        <v>4988</v>
      </c>
      <c r="E1239" s="9" t="s">
        <v>6689</v>
      </c>
      <c r="F1239" s="9" t="s">
        <v>31</v>
      </c>
      <c r="G1239" s="9" t="s">
        <v>2189</v>
      </c>
      <c r="H1239" s="9" t="s">
        <v>105</v>
      </c>
      <c r="I1239" s="11">
        <v>4000000</v>
      </c>
      <c r="J1239" s="11">
        <v>1502930</v>
      </c>
      <c r="K1239" s="11">
        <v>2599662</v>
      </c>
      <c r="L1239" s="3">
        <v>378</v>
      </c>
      <c r="M1239" s="3">
        <v>3071</v>
      </c>
      <c r="N1239" s="3">
        <v>292688</v>
      </c>
      <c r="O1239" s="2">
        <v>0.224</v>
      </c>
      <c r="P1239" s="2">
        <v>1.145E-2</v>
      </c>
      <c r="Q1239" s="2">
        <v>0.35100000000000003</v>
      </c>
      <c r="R1239" s="11">
        <v>242453720</v>
      </c>
      <c r="S1239" s="11">
        <v>662019</v>
      </c>
      <c r="T1239">
        <v>2016</v>
      </c>
      <c r="U1239">
        <v>11</v>
      </c>
      <c r="V1239">
        <f t="shared" si="114"/>
        <v>600000</v>
      </c>
      <c r="W1239">
        <f t="shared" si="115"/>
        <v>18429897</v>
      </c>
      <c r="X1239">
        <f t="shared" si="116"/>
        <v>17829897</v>
      </c>
      <c r="Y1239">
        <f t="shared" si="117"/>
        <v>-26144845.5</v>
      </c>
      <c r="Z1239">
        <f t="shared" si="118"/>
        <v>45174742.5</v>
      </c>
      <c r="AA1239" t="str">
        <f t="shared" si="119"/>
        <v>Normal</v>
      </c>
      <c r="AE1239" s="2"/>
      <c r="AF1239" s="2"/>
    </row>
    <row r="1240" spans="1:32" x14ac:dyDescent="0.35">
      <c r="A1240">
        <v>1239</v>
      </c>
      <c r="B1240" s="1">
        <v>42698</v>
      </c>
      <c r="C1240" s="9" t="s">
        <v>2190</v>
      </c>
      <c r="D1240" s="9" t="s">
        <v>4988</v>
      </c>
      <c r="E1240" s="9" t="s">
        <v>6690</v>
      </c>
      <c r="F1240" s="9" t="s">
        <v>19</v>
      </c>
      <c r="G1240" s="9" t="s">
        <v>2006</v>
      </c>
      <c r="H1240" s="9" t="s">
        <v>105</v>
      </c>
      <c r="I1240" s="11">
        <v>18429897</v>
      </c>
      <c r="J1240" s="11">
        <v>223915</v>
      </c>
      <c r="K1240" s="11">
        <v>5320349</v>
      </c>
      <c r="L1240" s="3">
        <v>111</v>
      </c>
      <c r="M1240" s="3">
        <v>3452</v>
      </c>
      <c r="N1240" s="3">
        <v>1756085</v>
      </c>
      <c r="O1240" s="2">
        <v>1.6E-2</v>
      </c>
      <c r="P1240" s="2">
        <v>0.26700000000000002</v>
      </c>
      <c r="Q1240" s="2">
        <v>0.52300000000000002</v>
      </c>
      <c r="R1240" s="11">
        <v>417861412</v>
      </c>
      <c r="S1240" s="11">
        <v>1687667</v>
      </c>
      <c r="T1240">
        <v>2016</v>
      </c>
      <c r="U1240">
        <v>11</v>
      </c>
      <c r="V1240">
        <f t="shared" si="114"/>
        <v>600000</v>
      </c>
      <c r="W1240">
        <f t="shared" si="115"/>
        <v>18429897</v>
      </c>
      <c r="X1240">
        <f t="shared" si="116"/>
        <v>17829897</v>
      </c>
      <c r="Y1240">
        <f t="shared" si="117"/>
        <v>-26144845.5</v>
      </c>
      <c r="Z1240">
        <f t="shared" si="118"/>
        <v>45174742.5</v>
      </c>
      <c r="AA1240" t="str">
        <f t="shared" si="119"/>
        <v>Normal</v>
      </c>
      <c r="AE1240" s="2"/>
      <c r="AF1240" s="2"/>
    </row>
    <row r="1241" spans="1:32" x14ac:dyDescent="0.35">
      <c r="A1241">
        <v>1240</v>
      </c>
      <c r="B1241" s="1">
        <v>42698</v>
      </c>
      <c r="C1241" s="9" t="s">
        <v>2191</v>
      </c>
      <c r="D1241" s="9" t="s">
        <v>4988</v>
      </c>
      <c r="E1241" s="9" t="s">
        <v>6691</v>
      </c>
      <c r="F1241" s="9" t="s">
        <v>31</v>
      </c>
      <c r="G1241" s="9" t="s">
        <v>2192</v>
      </c>
      <c r="H1241" s="9" t="s">
        <v>105</v>
      </c>
      <c r="I1241" s="11">
        <v>18429897</v>
      </c>
      <c r="J1241" s="11">
        <v>2550734</v>
      </c>
      <c r="K1241" s="11">
        <v>19610535</v>
      </c>
      <c r="L1241" s="3">
        <v>206</v>
      </c>
      <c r="M1241" s="3">
        <v>1872</v>
      </c>
      <c r="N1241" s="3">
        <v>807961</v>
      </c>
      <c r="O1241" s="2">
        <v>0.28599999999999998</v>
      </c>
      <c r="P1241" s="2">
        <v>1.1430000000000001E-2</v>
      </c>
      <c r="Q1241" s="2">
        <v>0.22</v>
      </c>
      <c r="R1241" s="11">
        <v>7190570</v>
      </c>
      <c r="S1241" s="11">
        <v>1182726</v>
      </c>
      <c r="T1241">
        <v>2016</v>
      </c>
      <c r="U1241">
        <v>11</v>
      </c>
      <c r="V1241">
        <f t="shared" si="114"/>
        <v>600000</v>
      </c>
      <c r="W1241">
        <f t="shared" si="115"/>
        <v>18429897</v>
      </c>
      <c r="X1241">
        <f t="shared" si="116"/>
        <v>17829897</v>
      </c>
      <c r="Y1241">
        <f t="shared" si="117"/>
        <v>-26144845.5</v>
      </c>
      <c r="Z1241">
        <f t="shared" si="118"/>
        <v>45174742.5</v>
      </c>
      <c r="AA1241" t="str">
        <f t="shared" si="119"/>
        <v>Normal</v>
      </c>
      <c r="AE1241" s="2"/>
      <c r="AF1241" s="2"/>
    </row>
    <row r="1242" spans="1:32" x14ac:dyDescent="0.35">
      <c r="A1242">
        <v>1241</v>
      </c>
      <c r="B1242" s="1">
        <v>42699</v>
      </c>
      <c r="C1242" s="9" t="s">
        <v>2193</v>
      </c>
      <c r="D1242" s="9" t="s">
        <v>4988</v>
      </c>
      <c r="E1242" s="9" t="s">
        <v>6692</v>
      </c>
      <c r="F1242" s="9" t="s">
        <v>408</v>
      </c>
      <c r="G1242" s="9" t="s">
        <v>2194</v>
      </c>
      <c r="H1242" s="9" t="s">
        <v>86</v>
      </c>
      <c r="I1242" s="11">
        <v>18429897</v>
      </c>
      <c r="J1242" s="11">
        <v>3891168</v>
      </c>
      <c r="K1242" s="11">
        <v>668426</v>
      </c>
      <c r="L1242" s="3">
        <v>278</v>
      </c>
      <c r="M1242" s="3">
        <v>4601</v>
      </c>
      <c r="N1242" s="3">
        <v>921003</v>
      </c>
      <c r="O1242" s="2">
        <v>6.0999999999999999E-2</v>
      </c>
      <c r="P1242" s="2">
        <v>0.57100000000000006</v>
      </c>
      <c r="Q1242" s="2">
        <v>0.9</v>
      </c>
      <c r="R1242" s="11">
        <v>250264963</v>
      </c>
      <c r="S1242" s="11">
        <v>1008193.5</v>
      </c>
      <c r="T1242">
        <v>2016</v>
      </c>
      <c r="U1242">
        <v>11</v>
      </c>
      <c r="V1242">
        <f t="shared" si="114"/>
        <v>600000</v>
      </c>
      <c r="W1242">
        <f t="shared" si="115"/>
        <v>18429897</v>
      </c>
      <c r="X1242">
        <f t="shared" si="116"/>
        <v>17829897</v>
      </c>
      <c r="Y1242">
        <f t="shared" si="117"/>
        <v>-26144845.5</v>
      </c>
      <c r="Z1242">
        <f t="shared" si="118"/>
        <v>45174742.5</v>
      </c>
      <c r="AA1242" t="str">
        <f t="shared" si="119"/>
        <v>Normal</v>
      </c>
      <c r="AE1242" s="2"/>
      <c r="AF1242" s="2"/>
    </row>
    <row r="1243" spans="1:32" x14ac:dyDescent="0.35">
      <c r="A1243">
        <v>1242</v>
      </c>
      <c r="B1243" s="1">
        <v>42699</v>
      </c>
      <c r="C1243" s="9" t="s">
        <v>2195</v>
      </c>
      <c r="D1243" s="9" t="s">
        <v>4988</v>
      </c>
      <c r="E1243" s="9" t="s">
        <v>6693</v>
      </c>
      <c r="F1243" s="9" t="s">
        <v>31</v>
      </c>
      <c r="G1243" s="9" t="s">
        <v>2196</v>
      </c>
      <c r="H1243" s="9" t="s">
        <v>105</v>
      </c>
      <c r="I1243" s="11">
        <v>18429897</v>
      </c>
      <c r="J1243" s="11">
        <v>4817008</v>
      </c>
      <c r="K1243" s="11">
        <v>8543656</v>
      </c>
      <c r="L1243" s="3">
        <v>484</v>
      </c>
      <c r="M1243" s="3">
        <v>3531</v>
      </c>
      <c r="N1243" s="3">
        <v>852614</v>
      </c>
      <c r="O1243" s="2">
        <v>0.20100000000000001</v>
      </c>
      <c r="P1243" s="2">
        <v>0.89800000000000002</v>
      </c>
      <c r="Q1243" s="2">
        <v>-0.105</v>
      </c>
      <c r="R1243" s="11">
        <v>251130220</v>
      </c>
      <c r="S1243" s="11">
        <v>390042</v>
      </c>
      <c r="T1243">
        <v>2016</v>
      </c>
      <c r="U1243">
        <v>11</v>
      </c>
      <c r="V1243">
        <f t="shared" si="114"/>
        <v>600000</v>
      </c>
      <c r="W1243">
        <f t="shared" si="115"/>
        <v>18429897</v>
      </c>
      <c r="X1243">
        <f t="shared" si="116"/>
        <v>17829897</v>
      </c>
      <c r="Y1243">
        <f t="shared" si="117"/>
        <v>-26144845.5</v>
      </c>
      <c r="Z1243">
        <f t="shared" si="118"/>
        <v>45174742.5</v>
      </c>
      <c r="AA1243" t="str">
        <f t="shared" si="119"/>
        <v>Normal</v>
      </c>
      <c r="AE1243" s="2"/>
      <c r="AF1243" s="2"/>
    </row>
    <row r="1244" spans="1:32" x14ac:dyDescent="0.35">
      <c r="A1244">
        <v>1243</v>
      </c>
      <c r="B1244" s="1">
        <v>42699</v>
      </c>
      <c r="C1244" s="9" t="s">
        <v>2197</v>
      </c>
      <c r="D1244" s="9" t="s">
        <v>4988</v>
      </c>
      <c r="E1244" s="9" t="s">
        <v>5913</v>
      </c>
      <c r="F1244" s="9" t="s">
        <v>554</v>
      </c>
      <c r="G1244" s="9" t="s">
        <v>1326</v>
      </c>
      <c r="H1244" s="9" t="s">
        <v>86</v>
      </c>
      <c r="I1244" s="11">
        <v>18429897</v>
      </c>
      <c r="J1244" s="11">
        <v>2458704</v>
      </c>
      <c r="K1244" s="11">
        <v>4044899</v>
      </c>
      <c r="L1244" s="3">
        <v>180</v>
      </c>
      <c r="M1244" s="3">
        <v>1143</v>
      </c>
      <c r="N1244" s="3">
        <v>269194</v>
      </c>
      <c r="O1244" s="2">
        <v>0.16</v>
      </c>
      <c r="P1244" s="2">
        <v>0.60299999999999998</v>
      </c>
      <c r="Q1244" s="2">
        <v>-1.9E-2</v>
      </c>
      <c r="R1244" s="11">
        <v>274056634</v>
      </c>
      <c r="S1244" s="11">
        <v>1360001</v>
      </c>
      <c r="T1244">
        <v>2016</v>
      </c>
      <c r="U1244">
        <v>11</v>
      </c>
      <c r="V1244">
        <f t="shared" si="114"/>
        <v>600000</v>
      </c>
      <c r="W1244">
        <f t="shared" si="115"/>
        <v>18429897</v>
      </c>
      <c r="X1244">
        <f t="shared" si="116"/>
        <v>17829897</v>
      </c>
      <c r="Y1244">
        <f t="shared" si="117"/>
        <v>-26144845.5</v>
      </c>
      <c r="Z1244">
        <f t="shared" si="118"/>
        <v>45174742.5</v>
      </c>
      <c r="AA1244" t="str">
        <f t="shared" si="119"/>
        <v>Normal</v>
      </c>
      <c r="AE1244" s="2"/>
      <c r="AF1244" s="2"/>
    </row>
    <row r="1245" spans="1:32" x14ac:dyDescent="0.35">
      <c r="A1245">
        <v>1244</v>
      </c>
      <c r="B1245" s="1">
        <v>42700</v>
      </c>
      <c r="C1245" s="9" t="s">
        <v>2198</v>
      </c>
      <c r="D1245" s="9" t="s">
        <v>4988</v>
      </c>
      <c r="E1245" s="9" t="s">
        <v>6694</v>
      </c>
      <c r="F1245" s="9" t="s">
        <v>15</v>
      </c>
      <c r="G1245" s="9" t="s">
        <v>2199</v>
      </c>
      <c r="H1245" s="9" t="s">
        <v>86</v>
      </c>
      <c r="I1245" s="11">
        <v>18429897</v>
      </c>
      <c r="J1245" s="11">
        <v>4377525</v>
      </c>
      <c r="K1245" s="11">
        <v>10718849</v>
      </c>
      <c r="L1245" s="3">
        <v>459</v>
      </c>
      <c r="M1245" s="3">
        <v>536</v>
      </c>
      <c r="N1245" s="3">
        <v>1442795</v>
      </c>
      <c r="O1245" s="2">
        <v>0.13600000000000001</v>
      </c>
      <c r="P1245" s="2">
        <v>0.81499999999999995</v>
      </c>
      <c r="Q1245" s="2">
        <v>-0.3</v>
      </c>
      <c r="R1245" s="11">
        <v>216801486</v>
      </c>
      <c r="S1245" s="11">
        <v>135394</v>
      </c>
      <c r="T1245">
        <v>2016</v>
      </c>
      <c r="U1245">
        <v>11</v>
      </c>
      <c r="V1245">
        <f t="shared" si="114"/>
        <v>600000</v>
      </c>
      <c r="W1245">
        <f t="shared" si="115"/>
        <v>18429897</v>
      </c>
      <c r="X1245">
        <f t="shared" si="116"/>
        <v>17829897</v>
      </c>
      <c r="Y1245">
        <f t="shared" si="117"/>
        <v>-26144845.5</v>
      </c>
      <c r="Z1245">
        <f t="shared" si="118"/>
        <v>45174742.5</v>
      </c>
      <c r="AA1245" t="str">
        <f t="shared" si="119"/>
        <v>Normal</v>
      </c>
      <c r="AE1245" s="2"/>
      <c r="AF1245" s="2"/>
    </row>
    <row r="1246" spans="1:32" x14ac:dyDescent="0.35">
      <c r="A1246">
        <v>1245</v>
      </c>
      <c r="B1246" s="1">
        <v>42702</v>
      </c>
      <c r="C1246" s="9" t="s">
        <v>2200</v>
      </c>
      <c r="D1246" s="9" t="s">
        <v>4988</v>
      </c>
      <c r="E1246" s="9" t="s">
        <v>6695</v>
      </c>
      <c r="F1246" s="9" t="s">
        <v>15</v>
      </c>
      <c r="G1246" s="9" t="s">
        <v>856</v>
      </c>
      <c r="H1246" s="9" t="s">
        <v>86</v>
      </c>
      <c r="I1246" s="11">
        <v>100000</v>
      </c>
      <c r="J1246" s="11">
        <v>4927990</v>
      </c>
      <c r="K1246" s="11">
        <v>19475707</v>
      </c>
      <c r="L1246" s="3">
        <v>375</v>
      </c>
      <c r="M1246" s="3">
        <v>120</v>
      </c>
      <c r="N1246" s="3">
        <v>478329</v>
      </c>
      <c r="O1246" s="2">
        <v>0.32799999999999996</v>
      </c>
      <c r="P1246" s="2">
        <v>0.87</v>
      </c>
      <c r="Q1246" s="2">
        <v>0.36749999999999999</v>
      </c>
      <c r="R1246" s="11">
        <v>239924169</v>
      </c>
      <c r="S1246" s="11">
        <v>1127215</v>
      </c>
      <c r="T1246">
        <v>2016</v>
      </c>
      <c r="U1246">
        <v>11</v>
      </c>
      <c r="V1246">
        <f t="shared" si="114"/>
        <v>600000</v>
      </c>
      <c r="W1246">
        <f t="shared" si="115"/>
        <v>18429897</v>
      </c>
      <c r="X1246">
        <f t="shared" si="116"/>
        <v>17829897</v>
      </c>
      <c r="Y1246">
        <f t="shared" si="117"/>
        <v>-26144845.5</v>
      </c>
      <c r="Z1246">
        <f t="shared" si="118"/>
        <v>45174742.5</v>
      </c>
      <c r="AA1246" t="str">
        <f t="shared" si="119"/>
        <v>Normal</v>
      </c>
      <c r="AE1246" s="2"/>
      <c r="AF1246" s="2"/>
    </row>
    <row r="1247" spans="1:32" x14ac:dyDescent="0.35">
      <c r="A1247">
        <v>1246</v>
      </c>
      <c r="B1247" s="1">
        <v>42702</v>
      </c>
      <c r="C1247" s="9" t="s">
        <v>2201</v>
      </c>
      <c r="D1247" s="9" t="s">
        <v>4925</v>
      </c>
      <c r="E1247" s="9" t="s">
        <v>6696</v>
      </c>
      <c r="F1247" s="9" t="s">
        <v>294</v>
      </c>
      <c r="G1247" s="9" t="s">
        <v>2202</v>
      </c>
      <c r="H1247" s="9" t="s">
        <v>105</v>
      </c>
      <c r="I1247" s="11">
        <v>2000000</v>
      </c>
      <c r="J1247" s="11">
        <v>4301945</v>
      </c>
      <c r="K1247" s="11">
        <v>4619046</v>
      </c>
      <c r="L1247" s="3">
        <v>318</v>
      </c>
      <c r="M1247" s="3">
        <v>4230</v>
      </c>
      <c r="N1247" s="3">
        <v>466393</v>
      </c>
      <c r="O1247" s="2">
        <v>1.6E-2</v>
      </c>
      <c r="P1247" s="2">
        <v>0.33299999999999996</v>
      </c>
      <c r="Q1247" s="2">
        <v>-0.20600000000000002</v>
      </c>
      <c r="R1247" s="11">
        <v>31403338</v>
      </c>
      <c r="S1247" s="11">
        <v>611263</v>
      </c>
      <c r="T1247">
        <v>2016</v>
      </c>
      <c r="U1247">
        <v>11</v>
      </c>
      <c r="V1247">
        <f t="shared" si="114"/>
        <v>600000</v>
      </c>
      <c r="W1247">
        <f t="shared" si="115"/>
        <v>18429897</v>
      </c>
      <c r="X1247">
        <f t="shared" si="116"/>
        <v>17829897</v>
      </c>
      <c r="Y1247">
        <f t="shared" si="117"/>
        <v>-26144845.5</v>
      </c>
      <c r="Z1247">
        <f t="shared" si="118"/>
        <v>45174742.5</v>
      </c>
      <c r="AA1247" t="str">
        <f t="shared" si="119"/>
        <v>Normal</v>
      </c>
      <c r="AE1247" s="2"/>
      <c r="AF1247" s="2"/>
    </row>
    <row r="1248" spans="1:32" x14ac:dyDescent="0.35">
      <c r="A1248">
        <v>1247</v>
      </c>
      <c r="B1248" s="1">
        <v>42703</v>
      </c>
      <c r="C1248" s="9" t="s">
        <v>2203</v>
      </c>
      <c r="D1248" s="9" t="s">
        <v>4988</v>
      </c>
      <c r="E1248" s="9" t="s">
        <v>6697</v>
      </c>
      <c r="F1248" s="9" t="s">
        <v>63</v>
      </c>
      <c r="G1248" s="9" t="s">
        <v>2204</v>
      </c>
      <c r="H1248" s="9" t="s">
        <v>86</v>
      </c>
      <c r="I1248" s="11">
        <v>18429897</v>
      </c>
      <c r="J1248" s="11">
        <v>2335567</v>
      </c>
      <c r="K1248" s="11">
        <v>7470304</v>
      </c>
      <c r="L1248" s="3">
        <v>352</v>
      </c>
      <c r="M1248" s="3">
        <v>4129</v>
      </c>
      <c r="N1248" s="3">
        <v>1511423</v>
      </c>
      <c r="O1248" s="2">
        <v>0.14000000000000001</v>
      </c>
      <c r="P1248" s="2">
        <v>0.63100000000000001</v>
      </c>
      <c r="Q1248" s="2">
        <v>-4.9000000000000002E-2</v>
      </c>
      <c r="R1248" s="11">
        <v>220921797</v>
      </c>
      <c r="S1248" s="11">
        <v>520699</v>
      </c>
      <c r="T1248">
        <v>2016</v>
      </c>
      <c r="U1248">
        <v>11</v>
      </c>
      <c r="V1248">
        <f t="shared" si="114"/>
        <v>600000</v>
      </c>
      <c r="W1248">
        <f t="shared" si="115"/>
        <v>18429897</v>
      </c>
      <c r="X1248">
        <f t="shared" si="116"/>
        <v>17829897</v>
      </c>
      <c r="Y1248">
        <f t="shared" si="117"/>
        <v>-26144845.5</v>
      </c>
      <c r="Z1248">
        <f t="shared" si="118"/>
        <v>45174742.5</v>
      </c>
      <c r="AA1248" t="str">
        <f t="shared" si="119"/>
        <v>Normal</v>
      </c>
      <c r="AE1248" s="2"/>
      <c r="AF1248" s="2"/>
    </row>
    <row r="1249" spans="1:32" x14ac:dyDescent="0.35">
      <c r="A1249">
        <v>1248</v>
      </c>
      <c r="B1249" s="1">
        <v>42703</v>
      </c>
      <c r="C1249" s="9" t="s">
        <v>2205</v>
      </c>
      <c r="D1249" s="9" t="s">
        <v>4988</v>
      </c>
      <c r="E1249" s="9" t="s">
        <v>6698</v>
      </c>
      <c r="F1249" s="9" t="s">
        <v>27</v>
      </c>
      <c r="G1249" s="9" t="s">
        <v>2206</v>
      </c>
      <c r="H1249" s="9" t="s">
        <v>105</v>
      </c>
      <c r="I1249" s="11">
        <v>3000000</v>
      </c>
      <c r="J1249" s="11">
        <v>1639796</v>
      </c>
      <c r="K1249" s="11">
        <v>9037609</v>
      </c>
      <c r="L1249" s="3">
        <v>397</v>
      </c>
      <c r="M1249" s="3">
        <v>2420</v>
      </c>
      <c r="N1249" s="3">
        <v>1018455</v>
      </c>
      <c r="O1249" s="2">
        <v>-0.02</v>
      </c>
      <c r="P1249" s="2">
        <v>0.40700000000000003</v>
      </c>
      <c r="Q1249" s="2">
        <v>4.9000000000000002E-2</v>
      </c>
      <c r="R1249" s="11">
        <v>210237504</v>
      </c>
      <c r="S1249" s="11">
        <v>1044922</v>
      </c>
      <c r="T1249">
        <v>2016</v>
      </c>
      <c r="U1249">
        <v>11</v>
      </c>
      <c r="V1249">
        <f t="shared" si="114"/>
        <v>600000</v>
      </c>
      <c r="W1249">
        <f t="shared" si="115"/>
        <v>18429897</v>
      </c>
      <c r="X1249">
        <f t="shared" si="116"/>
        <v>17829897</v>
      </c>
      <c r="Y1249">
        <f t="shared" si="117"/>
        <v>-26144845.5</v>
      </c>
      <c r="Z1249">
        <f t="shared" si="118"/>
        <v>45174742.5</v>
      </c>
      <c r="AA1249" t="str">
        <f t="shared" si="119"/>
        <v>Normal</v>
      </c>
      <c r="AE1249" s="2"/>
      <c r="AF1249" s="2"/>
    </row>
    <row r="1250" spans="1:32" x14ac:dyDescent="0.35">
      <c r="A1250">
        <v>1249</v>
      </c>
      <c r="B1250" s="1">
        <v>42704</v>
      </c>
      <c r="C1250" s="9" t="s">
        <v>865</v>
      </c>
      <c r="D1250" s="9" t="s">
        <v>4988</v>
      </c>
      <c r="E1250" s="9" t="s">
        <v>6699</v>
      </c>
      <c r="F1250" s="9" t="s">
        <v>866</v>
      </c>
      <c r="G1250" s="9" t="s">
        <v>2207</v>
      </c>
      <c r="H1250" s="9" t="s">
        <v>105</v>
      </c>
      <c r="I1250" s="11">
        <v>1000000</v>
      </c>
      <c r="J1250" s="11">
        <v>4890026</v>
      </c>
      <c r="K1250" s="11">
        <v>15990019</v>
      </c>
      <c r="L1250" s="3">
        <v>350</v>
      </c>
      <c r="M1250" s="3">
        <v>3627</v>
      </c>
      <c r="N1250" s="3">
        <v>1653284</v>
      </c>
      <c r="O1250" s="2">
        <v>-0.15</v>
      </c>
      <c r="P1250" s="2">
        <v>0.31900000000000001</v>
      </c>
      <c r="Q1250" s="2">
        <v>0.182</v>
      </c>
      <c r="R1250" s="11">
        <v>141369675</v>
      </c>
      <c r="S1250" s="11">
        <v>1201597</v>
      </c>
      <c r="T1250">
        <v>2016</v>
      </c>
      <c r="U1250">
        <v>11</v>
      </c>
      <c r="V1250">
        <f t="shared" si="114"/>
        <v>600000</v>
      </c>
      <c r="W1250">
        <f t="shared" si="115"/>
        <v>18429897</v>
      </c>
      <c r="X1250">
        <f t="shared" si="116"/>
        <v>17829897</v>
      </c>
      <c r="Y1250">
        <f t="shared" si="117"/>
        <v>-26144845.5</v>
      </c>
      <c r="Z1250">
        <f t="shared" si="118"/>
        <v>45174742.5</v>
      </c>
      <c r="AA1250" t="str">
        <f t="shared" si="119"/>
        <v>Normal</v>
      </c>
      <c r="AE1250" s="2"/>
      <c r="AF1250" s="2"/>
    </row>
    <row r="1251" spans="1:32" x14ac:dyDescent="0.35">
      <c r="A1251">
        <v>1250</v>
      </c>
      <c r="B1251" s="1">
        <v>42704</v>
      </c>
      <c r="C1251" s="9" t="s">
        <v>2208</v>
      </c>
      <c r="D1251" s="9" t="s">
        <v>4925</v>
      </c>
      <c r="E1251" s="9" t="s">
        <v>5531</v>
      </c>
      <c r="F1251" s="9" t="s">
        <v>15</v>
      </c>
      <c r="G1251" s="9" t="s">
        <v>2209</v>
      </c>
      <c r="H1251" s="9" t="s">
        <v>86</v>
      </c>
      <c r="I1251" s="11">
        <v>963000</v>
      </c>
      <c r="J1251" s="11">
        <v>1224719</v>
      </c>
      <c r="K1251" s="11">
        <v>19695409</v>
      </c>
      <c r="L1251" s="3">
        <v>337</v>
      </c>
      <c r="M1251" s="3">
        <v>4423</v>
      </c>
      <c r="N1251" s="3">
        <v>1412298</v>
      </c>
      <c r="O1251" s="2">
        <v>-4.8000000000000001E-2</v>
      </c>
      <c r="P1251" s="2">
        <v>0.79200000000000004</v>
      </c>
      <c r="Q1251" s="2">
        <v>-0.313</v>
      </c>
      <c r="R1251" s="11">
        <v>250264963</v>
      </c>
      <c r="S1251" s="11">
        <v>1134454</v>
      </c>
      <c r="T1251">
        <v>2016</v>
      </c>
      <c r="U1251">
        <v>11</v>
      </c>
      <c r="V1251">
        <f t="shared" si="114"/>
        <v>600000</v>
      </c>
      <c r="W1251">
        <f t="shared" si="115"/>
        <v>18429897</v>
      </c>
      <c r="X1251">
        <f t="shared" si="116"/>
        <v>17829897</v>
      </c>
      <c r="Y1251">
        <f t="shared" si="117"/>
        <v>-26144845.5</v>
      </c>
      <c r="Z1251">
        <f t="shared" si="118"/>
        <v>45174742.5</v>
      </c>
      <c r="AA1251" t="str">
        <f t="shared" si="119"/>
        <v>Normal</v>
      </c>
      <c r="AE1251" s="2"/>
      <c r="AF1251" s="2"/>
    </row>
    <row r="1252" spans="1:32" x14ac:dyDescent="0.35">
      <c r="A1252">
        <v>1251</v>
      </c>
      <c r="B1252" s="1">
        <v>42704</v>
      </c>
      <c r="C1252" s="9" t="s">
        <v>2210</v>
      </c>
      <c r="D1252" s="9" t="s">
        <v>4925</v>
      </c>
      <c r="E1252" s="9" t="s">
        <v>6700</v>
      </c>
      <c r="F1252" s="9" t="s">
        <v>15</v>
      </c>
      <c r="G1252" s="9" t="s">
        <v>2211</v>
      </c>
      <c r="H1252" s="9" t="s">
        <v>86</v>
      </c>
      <c r="I1252" s="11">
        <v>150000</v>
      </c>
      <c r="J1252" s="11">
        <v>2069648</v>
      </c>
      <c r="K1252" s="11">
        <v>2021067</v>
      </c>
      <c r="L1252" s="3">
        <v>192</v>
      </c>
      <c r="M1252" s="3">
        <v>843</v>
      </c>
      <c r="N1252" s="3">
        <v>79222</v>
      </c>
      <c r="O1252" s="2">
        <v>-0.4</v>
      </c>
      <c r="P1252" s="2">
        <v>0.88</v>
      </c>
      <c r="Q1252" s="2">
        <v>0.36749999999999999</v>
      </c>
      <c r="R1252" s="11">
        <v>44691969</v>
      </c>
      <c r="S1252" s="11">
        <v>301566</v>
      </c>
      <c r="T1252">
        <v>2016</v>
      </c>
      <c r="U1252">
        <v>11</v>
      </c>
      <c r="V1252">
        <f t="shared" si="114"/>
        <v>600000</v>
      </c>
      <c r="W1252">
        <f t="shared" si="115"/>
        <v>18429897</v>
      </c>
      <c r="X1252">
        <f t="shared" si="116"/>
        <v>17829897</v>
      </c>
      <c r="Y1252">
        <f t="shared" si="117"/>
        <v>-26144845.5</v>
      </c>
      <c r="Z1252">
        <f t="shared" si="118"/>
        <v>45174742.5</v>
      </c>
      <c r="AA1252" t="str">
        <f t="shared" si="119"/>
        <v>Normal</v>
      </c>
      <c r="AE1252" s="2"/>
      <c r="AF1252" s="2"/>
    </row>
    <row r="1253" spans="1:32" x14ac:dyDescent="0.35">
      <c r="A1253">
        <v>1252</v>
      </c>
      <c r="B1253" s="1">
        <v>42704</v>
      </c>
      <c r="C1253" s="9" t="s">
        <v>2212</v>
      </c>
      <c r="D1253" s="9" t="s">
        <v>4930</v>
      </c>
      <c r="E1253" s="9" t="s">
        <v>6701</v>
      </c>
      <c r="F1253" s="9" t="s">
        <v>15</v>
      </c>
      <c r="G1253" s="9" t="s">
        <v>2213</v>
      </c>
      <c r="H1253" s="9" t="s">
        <v>86</v>
      </c>
      <c r="I1253" s="11">
        <v>200000</v>
      </c>
      <c r="J1253" s="11">
        <v>388671</v>
      </c>
      <c r="K1253" s="11">
        <v>9824874</v>
      </c>
      <c r="L1253" s="3">
        <v>216</v>
      </c>
      <c r="M1253" s="3">
        <v>4904</v>
      </c>
      <c r="N1253" s="3">
        <v>834505</v>
      </c>
      <c r="O1253" s="2">
        <v>7.2999999999999995E-2</v>
      </c>
      <c r="P1253" s="2">
        <v>0.45799999999999996</v>
      </c>
      <c r="Q1253" s="2">
        <v>0.27200000000000002</v>
      </c>
      <c r="R1253" s="11">
        <v>219309774</v>
      </c>
      <c r="S1253" s="11">
        <v>1374947</v>
      </c>
      <c r="T1253">
        <v>2016</v>
      </c>
      <c r="U1253">
        <v>11</v>
      </c>
      <c r="V1253">
        <f t="shared" si="114"/>
        <v>600000</v>
      </c>
      <c r="W1253">
        <f t="shared" si="115"/>
        <v>18429897</v>
      </c>
      <c r="X1253">
        <f t="shared" si="116"/>
        <v>17829897</v>
      </c>
      <c r="Y1253">
        <f t="shared" si="117"/>
        <v>-26144845.5</v>
      </c>
      <c r="Z1253">
        <f t="shared" si="118"/>
        <v>45174742.5</v>
      </c>
      <c r="AA1253" t="str">
        <f t="shared" si="119"/>
        <v>Normal</v>
      </c>
      <c r="AE1253" s="2"/>
      <c r="AF1253" s="2"/>
    </row>
    <row r="1254" spans="1:32" x14ac:dyDescent="0.35">
      <c r="A1254">
        <v>1253</v>
      </c>
      <c r="B1254" s="1">
        <v>42704</v>
      </c>
      <c r="C1254" s="9" t="s">
        <v>2214</v>
      </c>
      <c r="D1254" s="9" t="s">
        <v>4930</v>
      </c>
      <c r="E1254" s="9" t="s">
        <v>6702</v>
      </c>
      <c r="F1254" s="9" t="s">
        <v>15</v>
      </c>
      <c r="G1254" s="9" t="s">
        <v>125</v>
      </c>
      <c r="H1254" s="9" t="s">
        <v>105</v>
      </c>
      <c r="I1254" s="11">
        <v>2000000</v>
      </c>
      <c r="J1254" s="11">
        <v>3972537</v>
      </c>
      <c r="K1254" s="11">
        <v>15076720</v>
      </c>
      <c r="L1254" s="3">
        <v>301</v>
      </c>
      <c r="M1254" s="3">
        <v>2473</v>
      </c>
      <c r="N1254" s="3">
        <v>820118</v>
      </c>
      <c r="O1254" s="2">
        <v>0.187</v>
      </c>
      <c r="P1254" s="2">
        <v>0.20699999999999999</v>
      </c>
      <c r="Q1254" s="2">
        <v>0.45</v>
      </c>
      <c r="R1254" s="11">
        <v>125808101</v>
      </c>
      <c r="S1254" s="11">
        <v>50885</v>
      </c>
      <c r="T1254">
        <v>2016</v>
      </c>
      <c r="U1254">
        <v>11</v>
      </c>
      <c r="V1254">
        <f t="shared" si="114"/>
        <v>600000</v>
      </c>
      <c r="W1254">
        <f t="shared" si="115"/>
        <v>18429897</v>
      </c>
      <c r="X1254">
        <f t="shared" si="116"/>
        <v>17829897</v>
      </c>
      <c r="Y1254">
        <f t="shared" si="117"/>
        <v>-26144845.5</v>
      </c>
      <c r="Z1254">
        <f t="shared" si="118"/>
        <v>45174742.5</v>
      </c>
      <c r="AA1254" t="str">
        <f t="shared" si="119"/>
        <v>Normal</v>
      </c>
      <c r="AE1254" s="2"/>
      <c r="AF1254" s="2"/>
    </row>
    <row r="1255" spans="1:32" x14ac:dyDescent="0.35">
      <c r="A1255">
        <v>1254</v>
      </c>
      <c r="B1255" s="1">
        <v>42704</v>
      </c>
      <c r="C1255" s="9" t="s">
        <v>2215</v>
      </c>
      <c r="D1255" s="9" t="s">
        <v>4939</v>
      </c>
      <c r="E1255" s="9" t="s">
        <v>6703</v>
      </c>
      <c r="F1255" s="9" t="s">
        <v>63</v>
      </c>
      <c r="G1255" s="9" t="s">
        <v>1920</v>
      </c>
      <c r="H1255" s="9" t="s">
        <v>86</v>
      </c>
      <c r="I1255" s="11">
        <v>218000</v>
      </c>
      <c r="J1255" s="11">
        <v>3256189</v>
      </c>
      <c r="K1255" s="11">
        <v>275596</v>
      </c>
      <c r="L1255" s="3">
        <v>422</v>
      </c>
      <c r="M1255" s="3">
        <v>2219</v>
      </c>
      <c r="N1255" s="3">
        <v>1018455</v>
      </c>
      <c r="O1255" s="2">
        <v>0.22800000000000001</v>
      </c>
      <c r="P1255" s="2">
        <v>1.171</v>
      </c>
      <c r="Q1255" s="2">
        <v>8.1000000000000003E-2</v>
      </c>
      <c r="R1255" s="11">
        <v>44216181</v>
      </c>
      <c r="S1255" s="11">
        <v>851925</v>
      </c>
      <c r="T1255">
        <v>2016</v>
      </c>
      <c r="U1255">
        <v>11</v>
      </c>
      <c r="V1255">
        <f t="shared" si="114"/>
        <v>600000</v>
      </c>
      <c r="W1255">
        <f t="shared" si="115"/>
        <v>18429897</v>
      </c>
      <c r="X1255">
        <f t="shared" si="116"/>
        <v>17829897</v>
      </c>
      <c r="Y1255">
        <f t="shared" si="117"/>
        <v>-26144845.5</v>
      </c>
      <c r="Z1255">
        <f t="shared" si="118"/>
        <v>45174742.5</v>
      </c>
      <c r="AA1255" t="str">
        <f t="shared" si="119"/>
        <v>Normal</v>
      </c>
      <c r="AE1255" s="2"/>
      <c r="AF1255" s="2"/>
    </row>
    <row r="1256" spans="1:32" x14ac:dyDescent="0.35">
      <c r="A1256">
        <v>1255</v>
      </c>
      <c r="B1256" s="1">
        <v>42704</v>
      </c>
      <c r="C1256" s="9" t="s">
        <v>2216</v>
      </c>
      <c r="D1256" s="9" t="s">
        <v>4930</v>
      </c>
      <c r="E1256" s="9" t="s">
        <v>6704</v>
      </c>
      <c r="F1256" s="9" t="s">
        <v>41</v>
      </c>
      <c r="G1256" s="9" t="s">
        <v>2217</v>
      </c>
      <c r="H1256" s="9" t="s">
        <v>86</v>
      </c>
      <c r="I1256" s="11">
        <v>100000</v>
      </c>
      <c r="J1256" s="11">
        <v>442399</v>
      </c>
      <c r="K1256" s="11">
        <v>16141573</v>
      </c>
      <c r="L1256" s="3">
        <v>327</v>
      </c>
      <c r="M1256" s="3">
        <v>844</v>
      </c>
      <c r="N1256" s="3">
        <v>988395</v>
      </c>
      <c r="O1256" s="2">
        <v>1.6E-2</v>
      </c>
      <c r="P1256" s="2">
        <v>0.67500000000000004</v>
      </c>
      <c r="Q1256" s="2">
        <v>0.64900000000000002</v>
      </c>
      <c r="R1256" s="11">
        <v>380503937</v>
      </c>
      <c r="S1256" s="11">
        <v>952122</v>
      </c>
      <c r="T1256">
        <v>2016</v>
      </c>
      <c r="U1256">
        <v>11</v>
      </c>
      <c r="V1256">
        <f t="shared" si="114"/>
        <v>600000</v>
      </c>
      <c r="W1256">
        <f t="shared" si="115"/>
        <v>18429897</v>
      </c>
      <c r="X1256">
        <f t="shared" si="116"/>
        <v>17829897</v>
      </c>
      <c r="Y1256">
        <f t="shared" si="117"/>
        <v>-26144845.5</v>
      </c>
      <c r="Z1256">
        <f t="shared" si="118"/>
        <v>45174742.5</v>
      </c>
      <c r="AA1256" t="str">
        <f t="shared" si="119"/>
        <v>Normal</v>
      </c>
      <c r="AE1256" s="2"/>
      <c r="AF1256" s="2"/>
    </row>
    <row r="1257" spans="1:32" x14ac:dyDescent="0.35">
      <c r="A1257">
        <v>1256</v>
      </c>
      <c r="B1257" s="1">
        <v>42704</v>
      </c>
      <c r="C1257" s="9" t="s">
        <v>2218</v>
      </c>
      <c r="D1257" s="9" t="s">
        <v>4988</v>
      </c>
      <c r="E1257" s="9" t="s">
        <v>6705</v>
      </c>
      <c r="F1257" s="9" t="s">
        <v>1255</v>
      </c>
      <c r="G1257" s="9" t="s">
        <v>2219</v>
      </c>
      <c r="H1257" s="9" t="s">
        <v>86</v>
      </c>
      <c r="I1257" s="11">
        <v>440000</v>
      </c>
      <c r="J1257" s="11">
        <v>1125201</v>
      </c>
      <c r="K1257" s="11">
        <v>4926297</v>
      </c>
      <c r="L1257" s="3">
        <v>493</v>
      </c>
      <c r="M1257" s="3">
        <v>3378</v>
      </c>
      <c r="N1257" s="3">
        <v>994357</v>
      </c>
      <c r="O1257" s="2">
        <v>0.437</v>
      </c>
      <c r="P1257" s="2">
        <v>0.85199999999999998</v>
      </c>
      <c r="Q1257" s="2">
        <v>0.27500000000000002</v>
      </c>
      <c r="R1257" s="11">
        <v>200408608</v>
      </c>
      <c r="S1257" s="11">
        <v>1099299</v>
      </c>
      <c r="T1257">
        <v>2016</v>
      </c>
      <c r="U1257">
        <v>11</v>
      </c>
      <c r="V1257">
        <f t="shared" si="114"/>
        <v>600000</v>
      </c>
      <c r="W1257">
        <f t="shared" si="115"/>
        <v>18429897</v>
      </c>
      <c r="X1257">
        <f t="shared" si="116"/>
        <v>17829897</v>
      </c>
      <c r="Y1257">
        <f t="shared" si="117"/>
        <v>-26144845.5</v>
      </c>
      <c r="Z1257">
        <f t="shared" si="118"/>
        <v>45174742.5</v>
      </c>
      <c r="AA1257" t="str">
        <f t="shared" si="119"/>
        <v>Normal</v>
      </c>
      <c r="AE1257" s="2"/>
      <c r="AF1257" s="2"/>
    </row>
    <row r="1258" spans="1:32" x14ac:dyDescent="0.35">
      <c r="A1258">
        <v>1257</v>
      </c>
      <c r="B1258" s="1">
        <v>42704</v>
      </c>
      <c r="C1258" s="9" t="s">
        <v>2220</v>
      </c>
      <c r="D1258" s="9" t="s">
        <v>4988</v>
      </c>
      <c r="E1258" s="9" t="s">
        <v>6706</v>
      </c>
      <c r="F1258" s="9" t="s">
        <v>15</v>
      </c>
      <c r="G1258" s="9" t="s">
        <v>120</v>
      </c>
      <c r="H1258" s="9" t="s">
        <v>105</v>
      </c>
      <c r="I1258" s="11">
        <v>500000</v>
      </c>
      <c r="J1258" s="11">
        <v>2786199</v>
      </c>
      <c r="K1258" s="11">
        <v>10153449</v>
      </c>
      <c r="L1258" s="3">
        <v>342</v>
      </c>
      <c r="M1258" s="3">
        <v>3032</v>
      </c>
      <c r="N1258" s="3">
        <v>1230105</v>
      </c>
      <c r="O1258" s="2">
        <v>1.6E-2</v>
      </c>
      <c r="P1258" s="2">
        <v>0.27500000000000002</v>
      </c>
      <c r="Q1258" s="2">
        <v>0.115</v>
      </c>
      <c r="R1258" s="11">
        <v>263048321</v>
      </c>
      <c r="S1258" s="11">
        <v>1278813</v>
      </c>
      <c r="T1258">
        <v>2016</v>
      </c>
      <c r="U1258">
        <v>11</v>
      </c>
      <c r="V1258">
        <f t="shared" si="114"/>
        <v>600000</v>
      </c>
      <c r="W1258">
        <f t="shared" si="115"/>
        <v>18429897</v>
      </c>
      <c r="X1258">
        <f t="shared" si="116"/>
        <v>17829897</v>
      </c>
      <c r="Y1258">
        <f t="shared" si="117"/>
        <v>-26144845.5</v>
      </c>
      <c r="Z1258">
        <f t="shared" si="118"/>
        <v>45174742.5</v>
      </c>
      <c r="AA1258" t="str">
        <f t="shared" si="119"/>
        <v>Normal</v>
      </c>
      <c r="AE1258" s="2"/>
      <c r="AF1258" s="2"/>
    </row>
    <row r="1259" spans="1:32" x14ac:dyDescent="0.35">
      <c r="A1259">
        <v>1258</v>
      </c>
      <c r="B1259" s="1">
        <v>42704</v>
      </c>
      <c r="C1259" s="9" t="s">
        <v>1342</v>
      </c>
      <c r="D1259" s="9" t="s">
        <v>4988</v>
      </c>
      <c r="E1259" s="9" t="s">
        <v>6262</v>
      </c>
      <c r="F1259" s="9" t="s">
        <v>15</v>
      </c>
      <c r="G1259" s="9" t="s">
        <v>2221</v>
      </c>
      <c r="H1259" s="9" t="s">
        <v>86</v>
      </c>
      <c r="I1259" s="11">
        <v>18429897</v>
      </c>
      <c r="J1259" s="11">
        <v>2711252</v>
      </c>
      <c r="K1259" s="11">
        <v>19571251</v>
      </c>
      <c r="L1259" s="3">
        <v>206</v>
      </c>
      <c r="M1259" s="3">
        <v>198</v>
      </c>
      <c r="N1259" s="3">
        <v>1919989</v>
      </c>
      <c r="O1259" s="2">
        <v>-0.26900000000000002</v>
      </c>
      <c r="P1259" s="2">
        <v>0.82</v>
      </c>
      <c r="Q1259" s="2">
        <v>0.36749999999999999</v>
      </c>
      <c r="R1259" s="11">
        <v>321278450</v>
      </c>
      <c r="S1259" s="11">
        <v>1686338</v>
      </c>
      <c r="T1259">
        <v>2016</v>
      </c>
      <c r="U1259">
        <v>11</v>
      </c>
      <c r="V1259">
        <f t="shared" si="114"/>
        <v>600000</v>
      </c>
      <c r="W1259">
        <f t="shared" si="115"/>
        <v>18429897</v>
      </c>
      <c r="X1259">
        <f t="shared" si="116"/>
        <v>17829897</v>
      </c>
      <c r="Y1259">
        <f t="shared" si="117"/>
        <v>-26144845.5</v>
      </c>
      <c r="Z1259">
        <f t="shared" si="118"/>
        <v>45174742.5</v>
      </c>
      <c r="AA1259" t="str">
        <f t="shared" si="119"/>
        <v>Normal</v>
      </c>
      <c r="AE1259" s="2"/>
      <c r="AF1259" s="2"/>
    </row>
    <row r="1260" spans="1:32" x14ac:dyDescent="0.35">
      <c r="A1260">
        <v>1259</v>
      </c>
      <c r="B1260" s="1">
        <v>42704</v>
      </c>
      <c r="C1260" s="9" t="s">
        <v>2222</v>
      </c>
      <c r="D1260" s="9" t="s">
        <v>4988</v>
      </c>
      <c r="E1260" s="9" t="s">
        <v>6707</v>
      </c>
      <c r="F1260" s="9" t="s">
        <v>31</v>
      </c>
      <c r="G1260" s="9" t="s">
        <v>2223</v>
      </c>
      <c r="H1260" s="9" t="s">
        <v>86</v>
      </c>
      <c r="I1260" s="11">
        <v>500000</v>
      </c>
      <c r="J1260" s="11">
        <v>4014257</v>
      </c>
      <c r="K1260" s="11">
        <v>12739243</v>
      </c>
      <c r="L1260" s="3">
        <v>289</v>
      </c>
      <c r="M1260" s="3">
        <v>3255</v>
      </c>
      <c r="N1260" s="3">
        <v>1301269</v>
      </c>
      <c r="O1260" s="2">
        <v>5.0999999999999997E-2</v>
      </c>
      <c r="P1260" s="2">
        <v>0.96299999999999997</v>
      </c>
      <c r="Q1260" s="2">
        <v>-2.7E-2</v>
      </c>
      <c r="R1260" s="11">
        <v>99163066</v>
      </c>
      <c r="S1260" s="11">
        <v>1106787</v>
      </c>
      <c r="T1260">
        <v>2016</v>
      </c>
      <c r="U1260">
        <v>11</v>
      </c>
      <c r="V1260">
        <f t="shared" si="114"/>
        <v>600000</v>
      </c>
      <c r="W1260">
        <f t="shared" si="115"/>
        <v>18429897</v>
      </c>
      <c r="X1260">
        <f t="shared" si="116"/>
        <v>17829897</v>
      </c>
      <c r="Y1260">
        <f t="shared" si="117"/>
        <v>-26144845.5</v>
      </c>
      <c r="Z1260">
        <f t="shared" si="118"/>
        <v>45174742.5</v>
      </c>
      <c r="AA1260" t="str">
        <f t="shared" si="119"/>
        <v>Normal</v>
      </c>
      <c r="AE1260" s="2"/>
      <c r="AF1260" s="2"/>
    </row>
    <row r="1261" spans="1:32" x14ac:dyDescent="0.35">
      <c r="A1261">
        <v>1260</v>
      </c>
      <c r="B1261" s="1">
        <v>42646</v>
      </c>
      <c r="C1261" s="9" t="s">
        <v>2224</v>
      </c>
      <c r="D1261" s="9" t="s">
        <v>4925</v>
      </c>
      <c r="E1261" s="9" t="s">
        <v>6708</v>
      </c>
      <c r="F1261" s="9" t="s">
        <v>15</v>
      </c>
      <c r="G1261" s="9" t="s">
        <v>2225</v>
      </c>
      <c r="H1261" s="9" t="s">
        <v>86</v>
      </c>
      <c r="I1261" s="11">
        <v>18429897</v>
      </c>
      <c r="J1261" s="11">
        <v>1345165</v>
      </c>
      <c r="K1261" s="11">
        <v>19782443</v>
      </c>
      <c r="L1261" s="3">
        <v>313</v>
      </c>
      <c r="M1261" s="3">
        <v>749</v>
      </c>
      <c r="N1261" s="3">
        <v>1865289</v>
      </c>
      <c r="O1261" s="2">
        <v>0.129</v>
      </c>
      <c r="P1261" s="2">
        <v>0.247</v>
      </c>
      <c r="Q1261" s="2">
        <v>-0.16200000000000001</v>
      </c>
      <c r="R1261" s="11">
        <v>458236857</v>
      </c>
      <c r="S1261" s="11">
        <v>1008193.5</v>
      </c>
      <c r="T1261">
        <v>2016</v>
      </c>
      <c r="U1261">
        <v>10</v>
      </c>
      <c r="V1261">
        <f t="shared" si="114"/>
        <v>600000</v>
      </c>
      <c r="W1261">
        <f t="shared" si="115"/>
        <v>18429897</v>
      </c>
      <c r="X1261">
        <f t="shared" si="116"/>
        <v>17829897</v>
      </c>
      <c r="Y1261">
        <f t="shared" si="117"/>
        <v>-26144845.5</v>
      </c>
      <c r="Z1261">
        <f t="shared" si="118"/>
        <v>45174742.5</v>
      </c>
      <c r="AA1261" t="str">
        <f t="shared" si="119"/>
        <v>Normal</v>
      </c>
      <c r="AE1261" s="2"/>
      <c r="AF1261" s="2"/>
    </row>
    <row r="1262" spans="1:32" x14ac:dyDescent="0.35">
      <c r="A1262">
        <v>1261</v>
      </c>
      <c r="B1262" s="1">
        <v>42646</v>
      </c>
      <c r="C1262" s="9" t="s">
        <v>2226</v>
      </c>
      <c r="D1262" s="9" t="s">
        <v>4988</v>
      </c>
      <c r="E1262" s="9" t="s">
        <v>6709</v>
      </c>
      <c r="F1262" s="9" t="s">
        <v>15</v>
      </c>
      <c r="G1262" s="9" t="s">
        <v>2227</v>
      </c>
      <c r="H1262" s="9" t="s">
        <v>105</v>
      </c>
      <c r="I1262" s="11">
        <v>5000000</v>
      </c>
      <c r="J1262" s="11">
        <v>4625014</v>
      </c>
      <c r="K1262" s="11">
        <v>12109013</v>
      </c>
      <c r="L1262" s="3">
        <v>434</v>
      </c>
      <c r="M1262" s="3">
        <v>1419</v>
      </c>
      <c r="N1262" s="3">
        <v>1661134</v>
      </c>
      <c r="O1262" s="2">
        <v>-0.53500000000000003</v>
      </c>
      <c r="P1262" s="2">
        <v>0.72400000000000009</v>
      </c>
      <c r="Q1262" s="2">
        <v>0.33200000000000002</v>
      </c>
      <c r="R1262" s="11">
        <v>448204572</v>
      </c>
      <c r="S1262" s="11">
        <v>1581313</v>
      </c>
      <c r="T1262">
        <v>2016</v>
      </c>
      <c r="U1262">
        <v>10</v>
      </c>
      <c r="V1262">
        <f t="shared" si="114"/>
        <v>600000</v>
      </c>
      <c r="W1262">
        <f t="shared" si="115"/>
        <v>18429897</v>
      </c>
      <c r="X1262">
        <f t="shared" si="116"/>
        <v>17829897</v>
      </c>
      <c r="Y1262">
        <f t="shared" si="117"/>
        <v>-26144845.5</v>
      </c>
      <c r="Z1262">
        <f t="shared" si="118"/>
        <v>45174742.5</v>
      </c>
      <c r="AA1262" t="str">
        <f t="shared" si="119"/>
        <v>Normal</v>
      </c>
      <c r="AE1262" s="2"/>
      <c r="AF1262" s="2"/>
    </row>
    <row r="1263" spans="1:32" x14ac:dyDescent="0.35">
      <c r="A1263">
        <v>1262</v>
      </c>
      <c r="B1263" s="1">
        <v>42646</v>
      </c>
      <c r="C1263" s="9" t="s">
        <v>2228</v>
      </c>
      <c r="D1263" s="9" t="s">
        <v>4988</v>
      </c>
      <c r="E1263" s="9" t="s">
        <v>6710</v>
      </c>
      <c r="F1263" s="9" t="s">
        <v>15</v>
      </c>
      <c r="G1263" s="9" t="s">
        <v>2229</v>
      </c>
      <c r="H1263" s="9" t="s">
        <v>105</v>
      </c>
      <c r="I1263" s="11">
        <v>18429897</v>
      </c>
      <c r="J1263" s="11">
        <v>2233478</v>
      </c>
      <c r="K1263" s="11">
        <v>4288812</v>
      </c>
      <c r="L1263" s="3">
        <v>131</v>
      </c>
      <c r="M1263" s="3">
        <v>3077</v>
      </c>
      <c r="N1263" s="3">
        <v>1018455</v>
      </c>
      <c r="O1263" s="2">
        <v>0.36099999999999999</v>
      </c>
      <c r="P1263" s="2">
        <v>0.34200000000000003</v>
      </c>
      <c r="Q1263" s="2">
        <v>0.23300000000000001</v>
      </c>
      <c r="R1263" s="11">
        <v>436399709</v>
      </c>
      <c r="S1263" s="11">
        <v>862783</v>
      </c>
      <c r="T1263">
        <v>2016</v>
      </c>
      <c r="U1263">
        <v>10</v>
      </c>
      <c r="V1263">
        <f t="shared" si="114"/>
        <v>600000</v>
      </c>
      <c r="W1263">
        <f t="shared" si="115"/>
        <v>18429897</v>
      </c>
      <c r="X1263">
        <f t="shared" si="116"/>
        <v>17829897</v>
      </c>
      <c r="Y1263">
        <f t="shared" si="117"/>
        <v>-26144845.5</v>
      </c>
      <c r="Z1263">
        <f t="shared" si="118"/>
        <v>45174742.5</v>
      </c>
      <c r="AA1263" t="str">
        <f t="shared" si="119"/>
        <v>Normal</v>
      </c>
      <c r="AE1263" s="2"/>
      <c r="AF1263" s="2"/>
    </row>
    <row r="1264" spans="1:32" x14ac:dyDescent="0.35">
      <c r="A1264">
        <v>1263</v>
      </c>
      <c r="B1264" s="1">
        <v>42646</v>
      </c>
      <c r="C1264" s="9" t="s">
        <v>153</v>
      </c>
      <c r="D1264" s="9" t="s">
        <v>4930</v>
      </c>
      <c r="E1264" s="9" t="s">
        <v>5594</v>
      </c>
      <c r="F1264" s="9" t="s">
        <v>35</v>
      </c>
      <c r="G1264" s="9" t="s">
        <v>2230</v>
      </c>
      <c r="H1264" s="9" t="s">
        <v>105</v>
      </c>
      <c r="I1264" s="11">
        <v>2000000</v>
      </c>
      <c r="J1264" s="11">
        <v>4116463</v>
      </c>
      <c r="K1264" s="11">
        <v>13883176</v>
      </c>
      <c r="L1264" s="3">
        <v>254</v>
      </c>
      <c r="M1264" s="3">
        <v>3915</v>
      </c>
      <c r="N1264" s="3">
        <v>546851</v>
      </c>
      <c r="O1264" s="2">
        <v>0.1</v>
      </c>
      <c r="P1264" s="2">
        <v>0.34699999999999998</v>
      </c>
      <c r="Q1264" s="2">
        <v>0.36749999999999999</v>
      </c>
      <c r="R1264" s="11">
        <v>139684474</v>
      </c>
      <c r="S1264" s="11">
        <v>478827</v>
      </c>
      <c r="T1264">
        <v>2016</v>
      </c>
      <c r="U1264">
        <v>10</v>
      </c>
      <c r="V1264">
        <f t="shared" si="114"/>
        <v>600000</v>
      </c>
      <c r="W1264">
        <f t="shared" si="115"/>
        <v>18429897</v>
      </c>
      <c r="X1264">
        <f t="shared" si="116"/>
        <v>17829897</v>
      </c>
      <c r="Y1264">
        <f t="shared" si="117"/>
        <v>-26144845.5</v>
      </c>
      <c r="Z1264">
        <f t="shared" si="118"/>
        <v>45174742.5</v>
      </c>
      <c r="AA1264" t="str">
        <f t="shared" si="119"/>
        <v>Normal</v>
      </c>
      <c r="AE1264" s="2"/>
      <c r="AF1264" s="2"/>
    </row>
    <row r="1265" spans="1:32" x14ac:dyDescent="0.35">
      <c r="A1265">
        <v>1264</v>
      </c>
      <c r="B1265" s="1">
        <v>42646</v>
      </c>
      <c r="C1265" s="9" t="s">
        <v>2231</v>
      </c>
      <c r="D1265" s="9" t="s">
        <v>4925</v>
      </c>
      <c r="E1265" s="9" t="s">
        <v>6711</v>
      </c>
      <c r="F1265" s="9" t="s">
        <v>19</v>
      </c>
      <c r="G1265" s="9" t="s">
        <v>2232</v>
      </c>
      <c r="H1265" s="9" t="s">
        <v>86</v>
      </c>
      <c r="I1265" s="11">
        <v>200000</v>
      </c>
      <c r="J1265" s="11">
        <v>1207137</v>
      </c>
      <c r="K1265" s="11">
        <v>12343755</v>
      </c>
      <c r="L1265" s="3">
        <v>104</v>
      </c>
      <c r="M1265" s="3">
        <v>714</v>
      </c>
      <c r="N1265" s="3">
        <v>1155848</v>
      </c>
      <c r="O1265" s="2">
        <v>-0.11</v>
      </c>
      <c r="P1265" s="2">
        <v>0.81499999999999995</v>
      </c>
      <c r="Q1265" s="2">
        <v>0.35499999999999998</v>
      </c>
      <c r="R1265" s="11">
        <v>219906737</v>
      </c>
      <c r="S1265" s="11">
        <v>1371043</v>
      </c>
      <c r="T1265">
        <v>2016</v>
      </c>
      <c r="U1265">
        <v>10</v>
      </c>
      <c r="V1265">
        <f t="shared" si="114"/>
        <v>600000</v>
      </c>
      <c r="W1265">
        <f t="shared" si="115"/>
        <v>18429897</v>
      </c>
      <c r="X1265">
        <f t="shared" si="116"/>
        <v>17829897</v>
      </c>
      <c r="Y1265">
        <f t="shared" si="117"/>
        <v>-26144845.5</v>
      </c>
      <c r="Z1265">
        <f t="shared" si="118"/>
        <v>45174742.5</v>
      </c>
      <c r="AA1265" t="str">
        <f t="shared" si="119"/>
        <v>Normal</v>
      </c>
      <c r="AE1265" s="2"/>
      <c r="AF1265" s="2"/>
    </row>
    <row r="1266" spans="1:32" x14ac:dyDescent="0.35">
      <c r="A1266">
        <v>1265</v>
      </c>
      <c r="B1266" s="1">
        <v>42647</v>
      </c>
      <c r="C1266" s="9" t="s">
        <v>2233</v>
      </c>
      <c r="D1266" s="9" t="s">
        <v>4925</v>
      </c>
      <c r="E1266" s="9" t="s">
        <v>6061</v>
      </c>
      <c r="F1266" s="9" t="s">
        <v>15</v>
      </c>
      <c r="G1266" s="9" t="s">
        <v>2234</v>
      </c>
      <c r="H1266" s="9" t="s">
        <v>105</v>
      </c>
      <c r="I1266" s="11">
        <v>450000</v>
      </c>
      <c r="J1266" s="11">
        <v>204114</v>
      </c>
      <c r="K1266" s="11">
        <v>6283222</v>
      </c>
      <c r="L1266" s="3">
        <v>32</v>
      </c>
      <c r="M1266" s="3">
        <v>2505.5</v>
      </c>
      <c r="N1266" s="3">
        <v>223945</v>
      </c>
      <c r="O1266" s="2">
        <v>-7.2000000000000008E-2</v>
      </c>
      <c r="P1266" s="2">
        <v>0.81900000000000006</v>
      </c>
      <c r="Q1266" s="2">
        <v>0.60299999999999998</v>
      </c>
      <c r="R1266" s="11">
        <v>135821932</v>
      </c>
      <c r="S1266" s="11">
        <v>690816</v>
      </c>
      <c r="T1266">
        <v>2016</v>
      </c>
      <c r="U1266">
        <v>10</v>
      </c>
      <c r="V1266">
        <f t="shared" si="114"/>
        <v>600000</v>
      </c>
      <c r="W1266">
        <f t="shared" si="115"/>
        <v>18429897</v>
      </c>
      <c r="X1266">
        <f t="shared" si="116"/>
        <v>17829897</v>
      </c>
      <c r="Y1266">
        <f t="shared" si="117"/>
        <v>-26144845.5</v>
      </c>
      <c r="Z1266">
        <f t="shared" si="118"/>
        <v>45174742.5</v>
      </c>
      <c r="AA1266" t="str">
        <f t="shared" si="119"/>
        <v>Normal</v>
      </c>
      <c r="AE1266" s="2"/>
      <c r="AF1266" s="2"/>
    </row>
    <row r="1267" spans="1:32" x14ac:dyDescent="0.35">
      <c r="A1267">
        <v>1266</v>
      </c>
      <c r="B1267" s="1">
        <v>42647</v>
      </c>
      <c r="C1267" s="9" t="s">
        <v>2235</v>
      </c>
      <c r="D1267" s="9" t="s">
        <v>4925</v>
      </c>
      <c r="E1267" s="9" t="s">
        <v>6712</v>
      </c>
      <c r="F1267" s="9" t="s">
        <v>31</v>
      </c>
      <c r="G1267" s="9" t="s">
        <v>2236</v>
      </c>
      <c r="H1267" s="9" t="s">
        <v>86</v>
      </c>
      <c r="I1267" s="11">
        <v>18429897</v>
      </c>
      <c r="J1267" s="11">
        <v>294167</v>
      </c>
      <c r="K1267" s="11">
        <v>1630475</v>
      </c>
      <c r="L1267" s="3">
        <v>339</v>
      </c>
      <c r="M1267" s="3">
        <v>1461</v>
      </c>
      <c r="N1267" s="3">
        <v>1847724</v>
      </c>
      <c r="O1267" s="2">
        <v>0.27200000000000002</v>
      </c>
      <c r="P1267" s="2">
        <v>0.754</v>
      </c>
      <c r="Q1267" s="2">
        <v>-0.26300000000000001</v>
      </c>
      <c r="R1267" s="11">
        <v>316716303</v>
      </c>
      <c r="S1267" s="11">
        <v>293822</v>
      </c>
      <c r="T1267">
        <v>2016</v>
      </c>
      <c r="U1267">
        <v>10</v>
      </c>
      <c r="V1267">
        <f t="shared" si="114"/>
        <v>600000</v>
      </c>
      <c r="W1267">
        <f t="shared" si="115"/>
        <v>18429897</v>
      </c>
      <c r="X1267">
        <f t="shared" si="116"/>
        <v>17829897</v>
      </c>
      <c r="Y1267">
        <f t="shared" si="117"/>
        <v>-26144845.5</v>
      </c>
      <c r="Z1267">
        <f t="shared" si="118"/>
        <v>45174742.5</v>
      </c>
      <c r="AA1267" t="str">
        <f t="shared" si="119"/>
        <v>Normal</v>
      </c>
      <c r="AE1267" s="2"/>
      <c r="AF1267" s="2"/>
    </row>
    <row r="1268" spans="1:32" x14ac:dyDescent="0.35">
      <c r="A1268">
        <v>1267</v>
      </c>
      <c r="B1268" s="1">
        <v>42647</v>
      </c>
      <c r="C1268" s="9" t="s">
        <v>133</v>
      </c>
      <c r="D1268" s="9" t="s">
        <v>4988</v>
      </c>
      <c r="E1268" s="9" t="s">
        <v>6713</v>
      </c>
      <c r="F1268" s="9" t="s">
        <v>31</v>
      </c>
      <c r="G1268" s="9" t="s">
        <v>715</v>
      </c>
      <c r="H1268" s="9" t="s">
        <v>105</v>
      </c>
      <c r="I1268" s="11">
        <v>18429897</v>
      </c>
      <c r="J1268" s="11">
        <v>1876057</v>
      </c>
      <c r="K1268" s="11">
        <v>12999339</v>
      </c>
      <c r="L1268" s="3">
        <v>481</v>
      </c>
      <c r="M1268" s="3">
        <v>2505.5</v>
      </c>
      <c r="N1268" s="3">
        <v>373054</v>
      </c>
      <c r="O1268" s="2">
        <v>0.29699999999999999</v>
      </c>
      <c r="P1268" s="2">
        <v>0.71</v>
      </c>
      <c r="Q1268" s="2">
        <v>1.1000000000000001E-2</v>
      </c>
      <c r="R1268" s="11">
        <v>147832752</v>
      </c>
      <c r="S1268" s="11">
        <v>1181379</v>
      </c>
      <c r="T1268">
        <v>2016</v>
      </c>
      <c r="U1268">
        <v>10</v>
      </c>
      <c r="V1268">
        <f t="shared" si="114"/>
        <v>600000</v>
      </c>
      <c r="W1268">
        <f t="shared" si="115"/>
        <v>18429897</v>
      </c>
      <c r="X1268">
        <f t="shared" si="116"/>
        <v>17829897</v>
      </c>
      <c r="Y1268">
        <f t="shared" si="117"/>
        <v>-26144845.5</v>
      </c>
      <c r="Z1268">
        <f t="shared" si="118"/>
        <v>45174742.5</v>
      </c>
      <c r="AA1268" t="str">
        <f t="shared" si="119"/>
        <v>Normal</v>
      </c>
      <c r="AE1268" s="2"/>
      <c r="AF1268" s="2"/>
    </row>
    <row r="1269" spans="1:32" x14ac:dyDescent="0.35">
      <c r="A1269">
        <v>1268</v>
      </c>
      <c r="B1269" s="1">
        <v>42647</v>
      </c>
      <c r="C1269" s="9" t="s">
        <v>2237</v>
      </c>
      <c r="D1269" s="9" t="s">
        <v>4925</v>
      </c>
      <c r="E1269" s="9" t="s">
        <v>6061</v>
      </c>
      <c r="F1269" s="9" t="s">
        <v>63</v>
      </c>
      <c r="G1269" s="9" t="s">
        <v>2238</v>
      </c>
      <c r="H1269" s="9" t="s">
        <v>105</v>
      </c>
      <c r="I1269" s="11">
        <v>2000000</v>
      </c>
      <c r="J1269" s="11">
        <v>4766702</v>
      </c>
      <c r="K1269" s="11">
        <v>11591088</v>
      </c>
      <c r="L1269" s="3">
        <v>308</v>
      </c>
      <c r="M1269" s="3">
        <v>4149</v>
      </c>
      <c r="N1269" s="3">
        <v>477166</v>
      </c>
      <c r="O1269" s="2">
        <v>-1</v>
      </c>
      <c r="P1269" s="2">
        <v>0.50800000000000001</v>
      </c>
      <c r="Q1269" s="2">
        <v>2.7999999999999997E-2</v>
      </c>
      <c r="R1269" s="11">
        <v>483731140</v>
      </c>
      <c r="S1269" s="11">
        <v>539184</v>
      </c>
      <c r="T1269">
        <v>2016</v>
      </c>
      <c r="U1269">
        <v>10</v>
      </c>
      <c r="V1269">
        <f t="shared" si="114"/>
        <v>600000</v>
      </c>
      <c r="W1269">
        <f t="shared" si="115"/>
        <v>18429897</v>
      </c>
      <c r="X1269">
        <f t="shared" si="116"/>
        <v>17829897</v>
      </c>
      <c r="Y1269">
        <f t="shared" si="117"/>
        <v>-26144845.5</v>
      </c>
      <c r="Z1269">
        <f t="shared" si="118"/>
        <v>45174742.5</v>
      </c>
      <c r="AA1269" t="str">
        <f t="shared" si="119"/>
        <v>Normal</v>
      </c>
      <c r="AE1269" s="2"/>
      <c r="AF1269" s="2"/>
    </row>
    <row r="1270" spans="1:32" x14ac:dyDescent="0.35">
      <c r="A1270">
        <v>1269</v>
      </c>
      <c r="B1270" s="1">
        <v>42647</v>
      </c>
      <c r="C1270" s="9" t="s">
        <v>190</v>
      </c>
      <c r="D1270" s="9" t="s">
        <v>4925</v>
      </c>
      <c r="E1270" s="9" t="s">
        <v>6714</v>
      </c>
      <c r="F1270" s="9" t="s">
        <v>63</v>
      </c>
      <c r="G1270" s="9" t="s">
        <v>2239</v>
      </c>
      <c r="H1270" s="9" t="s">
        <v>105</v>
      </c>
      <c r="I1270" s="11">
        <v>4200000</v>
      </c>
      <c r="J1270" s="11">
        <v>262518</v>
      </c>
      <c r="K1270" s="11">
        <v>15495188</v>
      </c>
      <c r="L1270" s="3">
        <v>35</v>
      </c>
      <c r="M1270" s="3">
        <v>3217</v>
      </c>
      <c r="N1270" s="3">
        <v>1873698</v>
      </c>
      <c r="O1270" s="2">
        <v>1.6E-2</v>
      </c>
      <c r="P1270" s="2">
        <v>0.68099999999999994</v>
      </c>
      <c r="Q1270" s="2">
        <v>0.39200000000000002</v>
      </c>
      <c r="R1270" s="11">
        <v>123509077</v>
      </c>
      <c r="S1270" s="11">
        <v>781604</v>
      </c>
      <c r="T1270">
        <v>2016</v>
      </c>
      <c r="U1270">
        <v>10</v>
      </c>
      <c r="V1270">
        <f t="shared" si="114"/>
        <v>600000</v>
      </c>
      <c r="W1270">
        <f t="shared" si="115"/>
        <v>18429897</v>
      </c>
      <c r="X1270">
        <f t="shared" si="116"/>
        <v>17829897</v>
      </c>
      <c r="Y1270">
        <f t="shared" si="117"/>
        <v>-26144845.5</v>
      </c>
      <c r="Z1270">
        <f t="shared" si="118"/>
        <v>45174742.5</v>
      </c>
      <c r="AA1270" t="str">
        <f t="shared" si="119"/>
        <v>Normal</v>
      </c>
      <c r="AE1270" s="2"/>
      <c r="AF1270" s="2"/>
    </row>
    <row r="1271" spans="1:32" x14ac:dyDescent="0.35">
      <c r="A1271">
        <v>1270</v>
      </c>
      <c r="B1271" s="1">
        <v>42647</v>
      </c>
      <c r="C1271" s="9" t="s">
        <v>2240</v>
      </c>
      <c r="D1271" s="9" t="s">
        <v>4988</v>
      </c>
      <c r="E1271" s="9" t="s">
        <v>6715</v>
      </c>
      <c r="F1271" s="9" t="s">
        <v>124</v>
      </c>
      <c r="G1271" s="9" t="s">
        <v>2241</v>
      </c>
      <c r="H1271" s="9" t="s">
        <v>105</v>
      </c>
      <c r="I1271" s="11">
        <v>3000000</v>
      </c>
      <c r="J1271" s="11">
        <v>1000000000</v>
      </c>
      <c r="K1271" s="11">
        <v>2605821</v>
      </c>
      <c r="L1271" s="3">
        <v>185</v>
      </c>
      <c r="M1271" s="3">
        <v>3985</v>
      </c>
      <c r="N1271" s="3">
        <v>243633</v>
      </c>
      <c r="O1271" s="2">
        <v>1.6E-2</v>
      </c>
      <c r="P1271" s="2">
        <v>0.53400000000000003</v>
      </c>
      <c r="Q1271" s="2">
        <v>0.193</v>
      </c>
      <c r="R1271" s="11">
        <v>250264963</v>
      </c>
      <c r="S1271" s="11">
        <v>957091</v>
      </c>
      <c r="T1271">
        <v>2016</v>
      </c>
      <c r="U1271">
        <v>10</v>
      </c>
      <c r="V1271">
        <f t="shared" si="114"/>
        <v>600000</v>
      </c>
      <c r="W1271">
        <f t="shared" si="115"/>
        <v>18429897</v>
      </c>
      <c r="X1271">
        <f t="shared" si="116"/>
        <v>17829897</v>
      </c>
      <c r="Y1271">
        <f t="shared" si="117"/>
        <v>-26144845.5</v>
      </c>
      <c r="Z1271">
        <f t="shared" si="118"/>
        <v>45174742.5</v>
      </c>
      <c r="AA1271" t="str">
        <f t="shared" si="119"/>
        <v>Normal</v>
      </c>
      <c r="AE1271" s="2"/>
      <c r="AF1271" s="2"/>
    </row>
    <row r="1272" spans="1:32" x14ac:dyDescent="0.35">
      <c r="A1272">
        <v>1271</v>
      </c>
      <c r="B1272" s="1">
        <v>42647</v>
      </c>
      <c r="C1272" s="9" t="s">
        <v>2242</v>
      </c>
      <c r="D1272" s="9" t="s">
        <v>4988</v>
      </c>
      <c r="E1272" s="9" t="s">
        <v>6716</v>
      </c>
      <c r="F1272" s="9" t="s">
        <v>41</v>
      </c>
      <c r="G1272" s="9" t="s">
        <v>2243</v>
      </c>
      <c r="H1272" s="9" t="s">
        <v>105</v>
      </c>
      <c r="I1272" s="11">
        <v>18429897</v>
      </c>
      <c r="J1272" s="11">
        <v>564225</v>
      </c>
      <c r="K1272" s="11">
        <v>10821053</v>
      </c>
      <c r="L1272" s="3">
        <v>451</v>
      </c>
      <c r="M1272" s="3">
        <v>2281</v>
      </c>
      <c r="N1272" s="3">
        <v>1093409</v>
      </c>
      <c r="O1272" s="2">
        <v>0.183</v>
      </c>
      <c r="P1272" s="2">
        <v>0.45700000000000002</v>
      </c>
      <c r="Q1272" s="2">
        <v>0.36749999999999999</v>
      </c>
      <c r="R1272" s="11">
        <v>250264963</v>
      </c>
      <c r="S1272" s="11">
        <v>1554717</v>
      </c>
      <c r="T1272">
        <v>2016</v>
      </c>
      <c r="U1272">
        <v>10</v>
      </c>
      <c r="V1272">
        <f t="shared" si="114"/>
        <v>600000</v>
      </c>
      <c r="W1272">
        <f t="shared" si="115"/>
        <v>18429897</v>
      </c>
      <c r="X1272">
        <f t="shared" si="116"/>
        <v>17829897</v>
      </c>
      <c r="Y1272">
        <f t="shared" si="117"/>
        <v>-26144845.5</v>
      </c>
      <c r="Z1272">
        <f t="shared" si="118"/>
        <v>45174742.5</v>
      </c>
      <c r="AA1272" t="str">
        <f t="shared" si="119"/>
        <v>Normal</v>
      </c>
      <c r="AE1272" s="2"/>
      <c r="AF1272" s="2"/>
    </row>
    <row r="1273" spans="1:32" x14ac:dyDescent="0.35">
      <c r="A1273">
        <v>1272</v>
      </c>
      <c r="B1273" s="1">
        <v>42647</v>
      </c>
      <c r="C1273" s="9" t="s">
        <v>2244</v>
      </c>
      <c r="D1273" s="9" t="s">
        <v>4988</v>
      </c>
      <c r="E1273" s="9" t="s">
        <v>6717</v>
      </c>
      <c r="F1273" s="9" t="s">
        <v>31</v>
      </c>
      <c r="G1273" s="9" t="s">
        <v>4850</v>
      </c>
      <c r="H1273" s="9" t="s">
        <v>86</v>
      </c>
      <c r="I1273" s="11">
        <v>1000000</v>
      </c>
      <c r="J1273" s="11">
        <v>4659191</v>
      </c>
      <c r="K1273" s="11">
        <v>16391364</v>
      </c>
      <c r="L1273" s="3">
        <v>30</v>
      </c>
      <c r="M1273" s="3">
        <v>3009</v>
      </c>
      <c r="N1273" s="3">
        <v>1149198</v>
      </c>
      <c r="O1273" s="2">
        <v>0.23300000000000001</v>
      </c>
      <c r="P1273" s="2">
        <v>0.46600000000000003</v>
      </c>
      <c r="Q1273" s="2">
        <v>0.17100000000000001</v>
      </c>
      <c r="R1273" s="11">
        <v>441642666</v>
      </c>
      <c r="S1273" s="11">
        <v>1285659</v>
      </c>
      <c r="T1273">
        <v>2016</v>
      </c>
      <c r="U1273">
        <v>10</v>
      </c>
      <c r="V1273">
        <f t="shared" si="114"/>
        <v>600000</v>
      </c>
      <c r="W1273">
        <f t="shared" si="115"/>
        <v>18429897</v>
      </c>
      <c r="X1273">
        <f t="shared" si="116"/>
        <v>17829897</v>
      </c>
      <c r="Y1273">
        <f t="shared" si="117"/>
        <v>-26144845.5</v>
      </c>
      <c r="Z1273">
        <f t="shared" si="118"/>
        <v>45174742.5</v>
      </c>
      <c r="AA1273" t="str">
        <f t="shared" si="119"/>
        <v>Normal</v>
      </c>
      <c r="AE1273" s="2"/>
      <c r="AF1273" s="2"/>
    </row>
    <row r="1274" spans="1:32" x14ac:dyDescent="0.35">
      <c r="A1274">
        <v>1273</v>
      </c>
      <c r="B1274" s="1">
        <v>42647</v>
      </c>
      <c r="C1274" s="9" t="s">
        <v>2245</v>
      </c>
      <c r="D1274" s="9" t="s">
        <v>4988</v>
      </c>
      <c r="E1274" s="9" t="s">
        <v>6718</v>
      </c>
      <c r="F1274" s="9" t="s">
        <v>19</v>
      </c>
      <c r="G1274" s="9" t="s">
        <v>2246</v>
      </c>
      <c r="H1274" s="9" t="s">
        <v>105</v>
      </c>
      <c r="I1274" s="11">
        <v>2500000</v>
      </c>
      <c r="J1274" s="11">
        <v>3383022</v>
      </c>
      <c r="K1274" s="11">
        <v>17835786</v>
      </c>
      <c r="L1274" s="3">
        <v>308</v>
      </c>
      <c r="M1274" s="3">
        <v>1498</v>
      </c>
      <c r="N1274" s="3">
        <v>438267</v>
      </c>
      <c r="O1274" s="2">
        <v>0.7</v>
      </c>
      <c r="P1274" s="2">
        <v>1.1079999999999999</v>
      </c>
      <c r="Q1274" s="2">
        <v>9.5000000000000001E-2</v>
      </c>
      <c r="R1274" s="11">
        <v>15052024</v>
      </c>
      <c r="S1274" s="11">
        <v>34666</v>
      </c>
      <c r="T1274">
        <v>2016</v>
      </c>
      <c r="U1274">
        <v>10</v>
      </c>
      <c r="V1274">
        <f t="shared" si="114"/>
        <v>600000</v>
      </c>
      <c r="W1274">
        <f t="shared" si="115"/>
        <v>18429897</v>
      </c>
      <c r="X1274">
        <f t="shared" si="116"/>
        <v>17829897</v>
      </c>
      <c r="Y1274">
        <f t="shared" si="117"/>
        <v>-26144845.5</v>
      </c>
      <c r="Z1274">
        <f t="shared" si="118"/>
        <v>45174742.5</v>
      </c>
      <c r="AA1274" t="str">
        <f t="shared" si="119"/>
        <v>Normal</v>
      </c>
      <c r="AE1274" s="2"/>
      <c r="AF1274" s="2"/>
    </row>
    <row r="1275" spans="1:32" x14ac:dyDescent="0.35">
      <c r="A1275">
        <v>1274</v>
      </c>
      <c r="B1275" s="1">
        <v>42647</v>
      </c>
      <c r="C1275" s="9" t="s">
        <v>2247</v>
      </c>
      <c r="D1275" s="9" t="s">
        <v>4988</v>
      </c>
      <c r="E1275" s="9" t="s">
        <v>6719</v>
      </c>
      <c r="F1275" s="9" t="s">
        <v>31</v>
      </c>
      <c r="G1275" s="9" t="s">
        <v>2248</v>
      </c>
      <c r="H1275" s="9" t="s">
        <v>105</v>
      </c>
      <c r="I1275" s="11">
        <v>3750000</v>
      </c>
      <c r="J1275" s="11">
        <v>3818204</v>
      </c>
      <c r="K1275" s="11">
        <v>18797542</v>
      </c>
      <c r="L1275" s="3">
        <v>223</v>
      </c>
      <c r="M1275" s="3">
        <v>4942</v>
      </c>
      <c r="N1275" s="3">
        <v>1018455</v>
      </c>
      <c r="O1275" s="2">
        <v>9.6000000000000002E-2</v>
      </c>
      <c r="P1275" s="2">
        <v>0.46700000000000003</v>
      </c>
      <c r="Q1275" s="2">
        <v>0.27</v>
      </c>
      <c r="R1275" s="11">
        <v>423344445</v>
      </c>
      <c r="S1275" s="11">
        <v>225952</v>
      </c>
      <c r="T1275">
        <v>2016</v>
      </c>
      <c r="U1275">
        <v>10</v>
      </c>
      <c r="V1275">
        <f t="shared" si="114"/>
        <v>600000</v>
      </c>
      <c r="W1275">
        <f t="shared" si="115"/>
        <v>18429897</v>
      </c>
      <c r="X1275">
        <f t="shared" si="116"/>
        <v>17829897</v>
      </c>
      <c r="Y1275">
        <f t="shared" si="117"/>
        <v>-26144845.5</v>
      </c>
      <c r="Z1275">
        <f t="shared" si="118"/>
        <v>45174742.5</v>
      </c>
      <c r="AA1275" t="str">
        <f t="shared" si="119"/>
        <v>Normal</v>
      </c>
      <c r="AE1275" s="2"/>
      <c r="AF1275" s="2"/>
    </row>
    <row r="1276" spans="1:32" x14ac:dyDescent="0.35">
      <c r="A1276">
        <v>1275</v>
      </c>
      <c r="B1276" s="1">
        <v>42648</v>
      </c>
      <c r="C1276" s="9" t="s">
        <v>2249</v>
      </c>
      <c r="D1276" s="9" t="s">
        <v>4988</v>
      </c>
      <c r="E1276" s="9" t="s">
        <v>6720</v>
      </c>
      <c r="F1276" s="9" t="s">
        <v>41</v>
      </c>
      <c r="G1276" s="9" t="s">
        <v>856</v>
      </c>
      <c r="H1276" s="9" t="s">
        <v>86</v>
      </c>
      <c r="I1276" s="11">
        <v>18429897</v>
      </c>
      <c r="J1276" s="11">
        <v>3572025</v>
      </c>
      <c r="K1276" s="11">
        <v>4317959</v>
      </c>
      <c r="L1276" s="3">
        <v>459</v>
      </c>
      <c r="M1276" s="3">
        <v>1061</v>
      </c>
      <c r="N1276" s="3">
        <v>1571750</v>
      </c>
      <c r="O1276" s="2">
        <v>0.124</v>
      </c>
      <c r="P1276" s="2">
        <v>0.57499999999999996</v>
      </c>
      <c r="Q1276" s="2">
        <v>0.16500000000000001</v>
      </c>
      <c r="R1276" s="11">
        <v>406956984</v>
      </c>
      <c r="S1276" s="11">
        <v>1542321</v>
      </c>
      <c r="T1276">
        <v>2016</v>
      </c>
      <c r="U1276">
        <v>10</v>
      </c>
      <c r="V1276">
        <f t="shared" si="114"/>
        <v>600000</v>
      </c>
      <c r="W1276">
        <f t="shared" si="115"/>
        <v>18429897</v>
      </c>
      <c r="X1276">
        <f t="shared" si="116"/>
        <v>17829897</v>
      </c>
      <c r="Y1276">
        <f t="shared" si="117"/>
        <v>-26144845.5</v>
      </c>
      <c r="Z1276">
        <f t="shared" si="118"/>
        <v>45174742.5</v>
      </c>
      <c r="AA1276" t="str">
        <f t="shared" si="119"/>
        <v>Normal</v>
      </c>
      <c r="AE1276" s="2"/>
      <c r="AF1276" s="2"/>
    </row>
    <row r="1277" spans="1:32" x14ac:dyDescent="0.35">
      <c r="A1277">
        <v>1276</v>
      </c>
      <c r="B1277" s="1">
        <v>42648</v>
      </c>
      <c r="C1277" s="9" t="s">
        <v>2250</v>
      </c>
      <c r="D1277" s="9" t="s">
        <v>4988</v>
      </c>
      <c r="E1277" s="9" t="s">
        <v>6721</v>
      </c>
      <c r="F1277" s="9" t="s">
        <v>31</v>
      </c>
      <c r="G1277" s="9" t="s">
        <v>2251</v>
      </c>
      <c r="H1277" s="9" t="s">
        <v>105</v>
      </c>
      <c r="I1277" s="11">
        <v>18429897</v>
      </c>
      <c r="J1277" s="11">
        <v>3291992</v>
      </c>
      <c r="K1277" s="11">
        <v>3542437</v>
      </c>
      <c r="L1277" s="3">
        <v>259</v>
      </c>
      <c r="M1277" s="3">
        <v>4609</v>
      </c>
      <c r="N1277" s="3">
        <v>1423039</v>
      </c>
      <c r="O1277" s="2">
        <v>0.313</v>
      </c>
      <c r="P1277" s="2">
        <v>0.70399999999999996</v>
      </c>
      <c r="Q1277" s="2">
        <v>0.19700000000000001</v>
      </c>
      <c r="R1277" s="11">
        <v>457365154</v>
      </c>
      <c r="S1277" s="11">
        <v>1846404</v>
      </c>
      <c r="T1277">
        <v>2016</v>
      </c>
      <c r="U1277">
        <v>10</v>
      </c>
      <c r="V1277">
        <f t="shared" si="114"/>
        <v>600000</v>
      </c>
      <c r="W1277">
        <f t="shared" si="115"/>
        <v>18429897</v>
      </c>
      <c r="X1277">
        <f t="shared" si="116"/>
        <v>17829897</v>
      </c>
      <c r="Y1277">
        <f t="shared" si="117"/>
        <v>-26144845.5</v>
      </c>
      <c r="Z1277">
        <f t="shared" si="118"/>
        <v>45174742.5</v>
      </c>
      <c r="AA1277" t="str">
        <f t="shared" si="119"/>
        <v>Normal</v>
      </c>
      <c r="AE1277" s="2"/>
      <c r="AF1277" s="2"/>
    </row>
    <row r="1278" spans="1:32" x14ac:dyDescent="0.35">
      <c r="A1278">
        <v>1277</v>
      </c>
      <c r="B1278" s="1">
        <v>42648</v>
      </c>
      <c r="C1278" s="9" t="s">
        <v>2252</v>
      </c>
      <c r="D1278" s="9" t="s">
        <v>4930</v>
      </c>
      <c r="E1278" s="9" t="s">
        <v>6722</v>
      </c>
      <c r="F1278" s="9" t="s">
        <v>15</v>
      </c>
      <c r="G1278" s="9" t="s">
        <v>2253</v>
      </c>
      <c r="H1278" s="9" t="s">
        <v>105</v>
      </c>
      <c r="I1278" s="11">
        <v>18429897</v>
      </c>
      <c r="J1278" s="11">
        <v>3873128</v>
      </c>
      <c r="K1278" s="11">
        <v>11562554</v>
      </c>
      <c r="L1278" s="3">
        <v>284</v>
      </c>
      <c r="M1278" s="3">
        <v>3742</v>
      </c>
      <c r="N1278" s="3">
        <v>1174056</v>
      </c>
      <c r="O1278" s="2">
        <v>0.38600000000000001</v>
      </c>
      <c r="P1278" s="2">
        <v>0.94299999999999995</v>
      </c>
      <c r="Q1278" s="2">
        <v>0.26300000000000001</v>
      </c>
      <c r="R1278" s="11">
        <v>277394255</v>
      </c>
      <c r="S1278" s="11">
        <v>1628597</v>
      </c>
      <c r="T1278">
        <v>2016</v>
      </c>
      <c r="U1278">
        <v>10</v>
      </c>
      <c r="V1278">
        <f t="shared" si="114"/>
        <v>600000</v>
      </c>
      <c r="W1278">
        <f t="shared" si="115"/>
        <v>18429897</v>
      </c>
      <c r="X1278">
        <f t="shared" si="116"/>
        <v>17829897</v>
      </c>
      <c r="Y1278">
        <f t="shared" si="117"/>
        <v>-26144845.5</v>
      </c>
      <c r="Z1278">
        <f t="shared" si="118"/>
        <v>45174742.5</v>
      </c>
      <c r="AA1278" t="str">
        <f t="shared" si="119"/>
        <v>Normal</v>
      </c>
      <c r="AE1278" s="2"/>
      <c r="AF1278" s="2"/>
    </row>
    <row r="1279" spans="1:32" x14ac:dyDescent="0.35">
      <c r="A1279">
        <v>1278</v>
      </c>
      <c r="B1279" s="1">
        <v>42648</v>
      </c>
      <c r="C1279" s="9" t="s">
        <v>2254</v>
      </c>
      <c r="D1279" s="9" t="s">
        <v>4930</v>
      </c>
      <c r="E1279" s="9" t="s">
        <v>6723</v>
      </c>
      <c r="F1279" s="9" t="s">
        <v>31</v>
      </c>
      <c r="G1279" s="9" t="s">
        <v>2255</v>
      </c>
      <c r="H1279" s="9" t="s">
        <v>105</v>
      </c>
      <c r="I1279" s="11">
        <v>1200000</v>
      </c>
      <c r="J1279" s="11">
        <v>60461</v>
      </c>
      <c r="K1279" s="11">
        <v>10153449</v>
      </c>
      <c r="L1279" s="3">
        <v>362</v>
      </c>
      <c r="M1279" s="3">
        <v>4934</v>
      </c>
      <c r="N1279" s="3">
        <v>1087942</v>
      </c>
      <c r="O1279" s="2">
        <v>0.44</v>
      </c>
      <c r="P1279" s="2">
        <v>0.50800000000000001</v>
      </c>
      <c r="Q1279" s="2">
        <v>0.20800000000000002</v>
      </c>
      <c r="R1279" s="11">
        <v>483440910</v>
      </c>
      <c r="S1279" s="11">
        <v>364515</v>
      </c>
      <c r="T1279">
        <v>2016</v>
      </c>
      <c r="U1279">
        <v>10</v>
      </c>
      <c r="V1279">
        <f t="shared" si="114"/>
        <v>600000</v>
      </c>
      <c r="W1279">
        <f t="shared" si="115"/>
        <v>18429897</v>
      </c>
      <c r="X1279">
        <f t="shared" si="116"/>
        <v>17829897</v>
      </c>
      <c r="Y1279">
        <f t="shared" si="117"/>
        <v>-26144845.5</v>
      </c>
      <c r="Z1279">
        <f t="shared" si="118"/>
        <v>45174742.5</v>
      </c>
      <c r="AA1279" t="str">
        <f t="shared" si="119"/>
        <v>Normal</v>
      </c>
      <c r="AE1279" s="2"/>
      <c r="AF1279" s="2"/>
    </row>
    <row r="1280" spans="1:32" x14ac:dyDescent="0.35">
      <c r="A1280">
        <v>1279</v>
      </c>
      <c r="B1280" s="1">
        <v>42649</v>
      </c>
      <c r="C1280" s="9" t="s">
        <v>2256</v>
      </c>
      <c r="D1280" s="9" t="s">
        <v>4988</v>
      </c>
      <c r="E1280" s="9" t="s">
        <v>6724</v>
      </c>
      <c r="F1280" s="9" t="s">
        <v>15</v>
      </c>
      <c r="G1280" s="9" t="s">
        <v>2257</v>
      </c>
      <c r="H1280" s="9" t="s">
        <v>86</v>
      </c>
      <c r="I1280" s="11">
        <v>18429897</v>
      </c>
      <c r="J1280" s="11">
        <v>4329973</v>
      </c>
      <c r="K1280" s="11">
        <v>4763200</v>
      </c>
      <c r="L1280" s="3">
        <v>411</v>
      </c>
      <c r="M1280" s="3">
        <v>3227</v>
      </c>
      <c r="N1280" s="3">
        <v>734718</v>
      </c>
      <c r="O1280" s="2">
        <v>0.38</v>
      </c>
      <c r="P1280" s="2">
        <v>0.92200000000000004</v>
      </c>
      <c r="Q1280" s="2">
        <v>0.34600000000000003</v>
      </c>
      <c r="R1280" s="11">
        <v>201585690</v>
      </c>
      <c r="S1280" s="11">
        <v>1404525</v>
      </c>
      <c r="T1280">
        <v>2016</v>
      </c>
      <c r="U1280">
        <v>10</v>
      </c>
      <c r="V1280">
        <f t="shared" si="114"/>
        <v>600000</v>
      </c>
      <c r="W1280">
        <f t="shared" si="115"/>
        <v>18429897</v>
      </c>
      <c r="X1280">
        <f t="shared" si="116"/>
        <v>17829897</v>
      </c>
      <c r="Y1280">
        <f t="shared" si="117"/>
        <v>-26144845.5</v>
      </c>
      <c r="Z1280">
        <f t="shared" si="118"/>
        <v>45174742.5</v>
      </c>
      <c r="AA1280" t="str">
        <f t="shared" si="119"/>
        <v>Normal</v>
      </c>
      <c r="AE1280" s="2"/>
      <c r="AF1280" s="2"/>
    </row>
    <row r="1281" spans="1:32" x14ac:dyDescent="0.35">
      <c r="A1281">
        <v>1280</v>
      </c>
      <c r="B1281" s="1">
        <v>42649</v>
      </c>
      <c r="C1281" s="9" t="s">
        <v>2258</v>
      </c>
      <c r="D1281" s="9" t="s">
        <v>4930</v>
      </c>
      <c r="E1281" s="9" t="s">
        <v>6664</v>
      </c>
      <c r="F1281" s="9" t="s">
        <v>63</v>
      </c>
      <c r="G1281" s="9" t="s">
        <v>889</v>
      </c>
      <c r="H1281" s="9" t="s">
        <v>86</v>
      </c>
      <c r="I1281" s="11">
        <v>300000</v>
      </c>
      <c r="J1281" s="11">
        <v>3704527</v>
      </c>
      <c r="K1281" s="11">
        <v>10153449</v>
      </c>
      <c r="L1281" s="3">
        <v>260</v>
      </c>
      <c r="M1281" s="3">
        <v>1792</v>
      </c>
      <c r="N1281" s="3">
        <v>1247167</v>
      </c>
      <c r="O1281" s="2">
        <v>0.48299999999999998</v>
      </c>
      <c r="P1281" s="2">
        <v>0.503</v>
      </c>
      <c r="Q1281" s="2">
        <v>0.113</v>
      </c>
      <c r="R1281" s="11">
        <v>82776998</v>
      </c>
      <c r="S1281" s="11">
        <v>206612</v>
      </c>
      <c r="T1281">
        <v>2016</v>
      </c>
      <c r="U1281">
        <v>10</v>
      </c>
      <c r="V1281">
        <f t="shared" si="114"/>
        <v>600000</v>
      </c>
      <c r="W1281">
        <f t="shared" si="115"/>
        <v>18429897</v>
      </c>
      <c r="X1281">
        <f t="shared" si="116"/>
        <v>17829897</v>
      </c>
      <c r="Y1281">
        <f t="shared" si="117"/>
        <v>-26144845.5</v>
      </c>
      <c r="Z1281">
        <f t="shared" si="118"/>
        <v>45174742.5</v>
      </c>
      <c r="AA1281" t="str">
        <f t="shared" si="119"/>
        <v>Normal</v>
      </c>
      <c r="AE1281" s="2"/>
      <c r="AF1281" s="2"/>
    </row>
    <row r="1282" spans="1:32" x14ac:dyDescent="0.35">
      <c r="A1282">
        <v>1281</v>
      </c>
      <c r="B1282" s="1">
        <v>42649</v>
      </c>
      <c r="C1282" s="9" t="s">
        <v>2259</v>
      </c>
      <c r="D1282" s="9" t="s">
        <v>4988</v>
      </c>
      <c r="E1282" s="9" t="s">
        <v>6725</v>
      </c>
      <c r="F1282" s="9" t="s">
        <v>63</v>
      </c>
      <c r="G1282" s="9" t="s">
        <v>2260</v>
      </c>
      <c r="H1282" s="9" t="s">
        <v>86</v>
      </c>
      <c r="I1282" s="11">
        <v>18429897</v>
      </c>
      <c r="J1282" s="11">
        <v>3702368</v>
      </c>
      <c r="K1282" s="11">
        <v>2958362</v>
      </c>
      <c r="L1282" s="3">
        <v>254</v>
      </c>
      <c r="M1282" s="3">
        <v>1440</v>
      </c>
      <c r="N1282" s="3">
        <v>36703</v>
      </c>
      <c r="O1282" s="2">
        <v>0.32299999999999995</v>
      </c>
      <c r="P1282" s="2">
        <v>0.36299999999999999</v>
      </c>
      <c r="Q1282" s="2">
        <v>0.14199999999999999</v>
      </c>
      <c r="R1282" s="11">
        <v>10384235</v>
      </c>
      <c r="S1282" s="11">
        <v>1103759</v>
      </c>
      <c r="T1282">
        <v>2016</v>
      </c>
      <c r="U1282">
        <v>10</v>
      </c>
      <c r="V1282">
        <f t="shared" ref="V1282:V1345" si="120">_xlfn.PERCENTILE.INC(I1282:I4325,0.25)</f>
        <v>600000</v>
      </c>
      <c r="W1282">
        <f t="shared" ref="W1282:W1345" si="121">_xlfn.PERCENTILE.INC(I1282:I4325,0.75)</f>
        <v>18429897</v>
      </c>
      <c r="X1282">
        <f t="shared" ref="X1282:X1345" si="122">W1282-V1282</f>
        <v>17829897</v>
      </c>
      <c r="Y1282">
        <f t="shared" ref="Y1282:Y1345" si="123">V1282-1.5*X1282</f>
        <v>-26144845.5</v>
      </c>
      <c r="Z1282">
        <f t="shared" ref="Z1282:Z1345" si="124">W1282+1.5*X1282</f>
        <v>45174742.5</v>
      </c>
      <c r="AA1282" t="str">
        <f t="shared" ref="AA1282:AA1345" si="125">IF(OR(I1282&lt;$Y$2, I1282&gt;$Z$2), "Outlier", "Normal")</f>
        <v>Normal</v>
      </c>
      <c r="AE1282" s="2"/>
      <c r="AF1282" s="2"/>
    </row>
    <row r="1283" spans="1:32" x14ac:dyDescent="0.35">
      <c r="A1283">
        <v>1282</v>
      </c>
      <c r="B1283" s="1">
        <v>42649</v>
      </c>
      <c r="C1283" s="9" t="s">
        <v>2261</v>
      </c>
      <c r="D1283" s="9" t="s">
        <v>4925</v>
      </c>
      <c r="E1283" s="9" t="s">
        <v>6670</v>
      </c>
      <c r="F1283" s="9" t="s">
        <v>15</v>
      </c>
      <c r="G1283" s="9" t="s">
        <v>2262</v>
      </c>
      <c r="H1283" s="9" t="s">
        <v>105</v>
      </c>
      <c r="I1283" s="11">
        <v>1050000</v>
      </c>
      <c r="J1283" s="11">
        <v>1979314</v>
      </c>
      <c r="K1283" s="11">
        <v>6848886</v>
      </c>
      <c r="L1283" s="3">
        <v>403</v>
      </c>
      <c r="M1283" s="3">
        <v>939</v>
      </c>
      <c r="N1283" s="3">
        <v>140681</v>
      </c>
      <c r="O1283" s="2">
        <v>0.2</v>
      </c>
      <c r="P1283" s="2">
        <v>1.0170000000000001</v>
      </c>
      <c r="Q1283" s="2">
        <v>-0.15</v>
      </c>
      <c r="R1283" s="11">
        <v>280524268</v>
      </c>
      <c r="S1283" s="11">
        <v>610203</v>
      </c>
      <c r="T1283">
        <v>2016</v>
      </c>
      <c r="U1283">
        <v>10</v>
      </c>
      <c r="V1283">
        <f t="shared" si="120"/>
        <v>600000</v>
      </c>
      <c r="W1283">
        <f t="shared" si="121"/>
        <v>18429897</v>
      </c>
      <c r="X1283">
        <f t="shared" si="122"/>
        <v>17829897</v>
      </c>
      <c r="Y1283">
        <f t="shared" si="123"/>
        <v>-26144845.5</v>
      </c>
      <c r="Z1283">
        <f t="shared" si="124"/>
        <v>45174742.5</v>
      </c>
      <c r="AA1283" t="str">
        <f t="shared" si="125"/>
        <v>Normal</v>
      </c>
      <c r="AE1283" s="2"/>
      <c r="AF1283" s="2"/>
    </row>
    <row r="1284" spans="1:32" x14ac:dyDescent="0.35">
      <c r="A1284">
        <v>1283</v>
      </c>
      <c r="B1284" s="1">
        <v>42650</v>
      </c>
      <c r="C1284" s="9" t="s">
        <v>2263</v>
      </c>
      <c r="D1284" s="9" t="s">
        <v>4930</v>
      </c>
      <c r="E1284" s="9" t="s">
        <v>6726</v>
      </c>
      <c r="F1284" s="9" t="s">
        <v>15</v>
      </c>
      <c r="G1284" s="9" t="s">
        <v>2264</v>
      </c>
      <c r="H1284" s="9" t="s">
        <v>86</v>
      </c>
      <c r="I1284" s="11">
        <v>100000</v>
      </c>
      <c r="J1284" s="11">
        <v>4008340</v>
      </c>
      <c r="K1284" s="11">
        <v>14815842</v>
      </c>
      <c r="L1284" s="3">
        <v>264</v>
      </c>
      <c r="M1284" s="3">
        <v>4837</v>
      </c>
      <c r="N1284" s="3">
        <v>1565594</v>
      </c>
      <c r="O1284" s="2">
        <v>0.42700000000000005</v>
      </c>
      <c r="P1284" s="2">
        <v>0.50800000000000001</v>
      </c>
      <c r="Q1284" s="2">
        <v>0.34600000000000003</v>
      </c>
      <c r="R1284" s="11">
        <v>29326628</v>
      </c>
      <c r="S1284" s="11">
        <v>496359</v>
      </c>
      <c r="T1284">
        <v>2016</v>
      </c>
      <c r="U1284">
        <v>10</v>
      </c>
      <c r="V1284">
        <f t="shared" si="120"/>
        <v>600000</v>
      </c>
      <c r="W1284">
        <f t="shared" si="121"/>
        <v>18429897</v>
      </c>
      <c r="X1284">
        <f t="shared" si="122"/>
        <v>17829897</v>
      </c>
      <c r="Y1284">
        <f t="shared" si="123"/>
        <v>-26144845.5</v>
      </c>
      <c r="Z1284">
        <f t="shared" si="124"/>
        <v>45174742.5</v>
      </c>
      <c r="AA1284" t="str">
        <f t="shared" si="125"/>
        <v>Normal</v>
      </c>
      <c r="AE1284" s="2"/>
      <c r="AF1284" s="2"/>
    </row>
    <row r="1285" spans="1:32" x14ac:dyDescent="0.35">
      <c r="A1285">
        <v>1284</v>
      </c>
      <c r="B1285" s="1">
        <v>42650</v>
      </c>
      <c r="C1285" s="9" t="s">
        <v>2265</v>
      </c>
      <c r="D1285" s="9" t="s">
        <v>4930</v>
      </c>
      <c r="E1285" s="9" t="s">
        <v>6727</v>
      </c>
      <c r="F1285" s="9" t="s">
        <v>31</v>
      </c>
      <c r="G1285" s="9" t="s">
        <v>2266</v>
      </c>
      <c r="H1285" s="9" t="s">
        <v>105</v>
      </c>
      <c r="I1285" s="11">
        <v>2200000</v>
      </c>
      <c r="J1285" s="11">
        <v>1921455</v>
      </c>
      <c r="K1285" s="11">
        <v>1395445</v>
      </c>
      <c r="L1285" s="3">
        <v>359</v>
      </c>
      <c r="M1285" s="3">
        <v>577</v>
      </c>
      <c r="N1285" s="3">
        <v>348702</v>
      </c>
      <c r="O1285" s="2">
        <v>1.6E-2</v>
      </c>
      <c r="P1285" s="2">
        <v>1.113</v>
      </c>
      <c r="Q1285" s="2">
        <v>0.52800000000000002</v>
      </c>
      <c r="R1285" s="11">
        <v>83184472</v>
      </c>
      <c r="S1285" s="11">
        <v>693881</v>
      </c>
      <c r="T1285">
        <v>2016</v>
      </c>
      <c r="U1285">
        <v>10</v>
      </c>
      <c r="V1285">
        <f t="shared" si="120"/>
        <v>600000</v>
      </c>
      <c r="W1285">
        <f t="shared" si="121"/>
        <v>18429897</v>
      </c>
      <c r="X1285">
        <f t="shared" si="122"/>
        <v>17829897</v>
      </c>
      <c r="Y1285">
        <f t="shared" si="123"/>
        <v>-26144845.5</v>
      </c>
      <c r="Z1285">
        <f t="shared" si="124"/>
        <v>45174742.5</v>
      </c>
      <c r="AA1285" t="str">
        <f t="shared" si="125"/>
        <v>Normal</v>
      </c>
      <c r="AE1285" s="2"/>
      <c r="AF1285" s="2"/>
    </row>
    <row r="1286" spans="1:32" x14ac:dyDescent="0.35">
      <c r="A1286">
        <v>1285</v>
      </c>
      <c r="B1286" s="1">
        <v>42650</v>
      </c>
      <c r="C1286" s="9" t="s">
        <v>2267</v>
      </c>
      <c r="D1286" s="9" t="s">
        <v>4988</v>
      </c>
      <c r="E1286" s="9" t="s">
        <v>6728</v>
      </c>
      <c r="F1286" s="9" t="s">
        <v>31</v>
      </c>
      <c r="G1286" s="9" t="s">
        <v>2268</v>
      </c>
      <c r="H1286" s="9" t="s">
        <v>105</v>
      </c>
      <c r="I1286" s="11">
        <v>15000000</v>
      </c>
      <c r="J1286" s="11">
        <v>263839</v>
      </c>
      <c r="K1286" s="11">
        <v>2193428</v>
      </c>
      <c r="L1286" s="3">
        <v>184</v>
      </c>
      <c r="M1286" s="3">
        <v>4061</v>
      </c>
      <c r="N1286" s="3">
        <v>1434911</v>
      </c>
      <c r="O1286" s="2">
        <v>0.59299999999999997</v>
      </c>
      <c r="P1286" s="2">
        <v>1.0580000000000001</v>
      </c>
      <c r="Q1286" s="2">
        <v>-0.35100000000000003</v>
      </c>
      <c r="R1286" s="11">
        <v>480359351</v>
      </c>
      <c r="S1286" s="11">
        <v>1008193.5</v>
      </c>
      <c r="T1286">
        <v>2016</v>
      </c>
      <c r="U1286">
        <v>10</v>
      </c>
      <c r="V1286">
        <f t="shared" si="120"/>
        <v>600000</v>
      </c>
      <c r="W1286">
        <f t="shared" si="121"/>
        <v>18429897</v>
      </c>
      <c r="X1286">
        <f t="shared" si="122"/>
        <v>17829897</v>
      </c>
      <c r="Y1286">
        <f t="shared" si="123"/>
        <v>-26144845.5</v>
      </c>
      <c r="Z1286">
        <f t="shared" si="124"/>
        <v>45174742.5</v>
      </c>
      <c r="AA1286" t="str">
        <f t="shared" si="125"/>
        <v>Normal</v>
      </c>
      <c r="AE1286" s="2"/>
      <c r="AF1286" s="2"/>
    </row>
    <row r="1287" spans="1:32" x14ac:dyDescent="0.35">
      <c r="A1287">
        <v>1286</v>
      </c>
      <c r="B1287" s="1">
        <v>42650</v>
      </c>
      <c r="C1287" s="9" t="s">
        <v>2269</v>
      </c>
      <c r="D1287" s="9" t="s">
        <v>4930</v>
      </c>
      <c r="E1287" s="9" t="s">
        <v>6729</v>
      </c>
      <c r="F1287" s="9" t="s">
        <v>554</v>
      </c>
      <c r="G1287" s="9" t="s">
        <v>2270</v>
      </c>
      <c r="H1287" s="9" t="s">
        <v>86</v>
      </c>
      <c r="I1287" s="11">
        <v>18429897</v>
      </c>
      <c r="J1287" s="11">
        <v>4540930</v>
      </c>
      <c r="K1287" s="11">
        <v>5364475</v>
      </c>
      <c r="L1287" s="3">
        <v>180</v>
      </c>
      <c r="M1287" s="3">
        <v>3507</v>
      </c>
      <c r="N1287" s="3">
        <v>32453</v>
      </c>
      <c r="O1287" s="2">
        <v>-7.4999999999999997E-2</v>
      </c>
      <c r="P1287" s="2">
        <v>0.56100000000000005</v>
      </c>
      <c r="Q1287" s="2">
        <v>0.26</v>
      </c>
      <c r="R1287" s="11">
        <v>135615943</v>
      </c>
      <c r="S1287" s="11">
        <v>1873561</v>
      </c>
      <c r="T1287">
        <v>2016</v>
      </c>
      <c r="U1287">
        <v>10</v>
      </c>
      <c r="V1287">
        <f t="shared" si="120"/>
        <v>600000</v>
      </c>
      <c r="W1287">
        <f t="shared" si="121"/>
        <v>18429897</v>
      </c>
      <c r="X1287">
        <f t="shared" si="122"/>
        <v>17829897</v>
      </c>
      <c r="Y1287">
        <f t="shared" si="123"/>
        <v>-26144845.5</v>
      </c>
      <c r="Z1287">
        <f t="shared" si="124"/>
        <v>45174742.5</v>
      </c>
      <c r="AA1287" t="str">
        <f t="shared" si="125"/>
        <v>Normal</v>
      </c>
      <c r="AE1287" s="2"/>
      <c r="AF1287" s="2"/>
    </row>
    <row r="1288" spans="1:32" x14ac:dyDescent="0.35">
      <c r="A1288">
        <v>1287</v>
      </c>
      <c r="B1288" s="1">
        <v>42653</v>
      </c>
      <c r="C1288" s="9" t="s">
        <v>2271</v>
      </c>
      <c r="D1288" s="9" t="s">
        <v>4925</v>
      </c>
      <c r="E1288" s="9" t="s">
        <v>6730</v>
      </c>
      <c r="F1288" s="9" t="s">
        <v>27</v>
      </c>
      <c r="G1288" s="9" t="s">
        <v>2272</v>
      </c>
      <c r="H1288" s="9" t="s">
        <v>86</v>
      </c>
      <c r="I1288" s="11">
        <v>375000</v>
      </c>
      <c r="J1288" s="11">
        <v>1187985</v>
      </c>
      <c r="K1288" s="11">
        <v>17487459</v>
      </c>
      <c r="L1288" s="3">
        <v>6</v>
      </c>
      <c r="M1288" s="3">
        <v>677</v>
      </c>
      <c r="N1288" s="3">
        <v>524287</v>
      </c>
      <c r="O1288" s="2">
        <v>0.29799999999999999</v>
      </c>
      <c r="P1288" s="2">
        <v>0.50800000000000001</v>
      </c>
      <c r="Q1288" s="2">
        <v>6.4000000000000001E-2</v>
      </c>
      <c r="R1288" s="11">
        <v>85101563</v>
      </c>
      <c r="S1288" s="11">
        <v>1785491</v>
      </c>
      <c r="T1288">
        <v>2016</v>
      </c>
      <c r="U1288">
        <v>10</v>
      </c>
      <c r="V1288">
        <f t="shared" si="120"/>
        <v>600000</v>
      </c>
      <c r="W1288">
        <f t="shared" si="121"/>
        <v>18429897</v>
      </c>
      <c r="X1288">
        <f t="shared" si="122"/>
        <v>17829897</v>
      </c>
      <c r="Y1288">
        <f t="shared" si="123"/>
        <v>-26144845.5</v>
      </c>
      <c r="Z1288">
        <f t="shared" si="124"/>
        <v>45174742.5</v>
      </c>
      <c r="AA1288" t="str">
        <f t="shared" si="125"/>
        <v>Normal</v>
      </c>
      <c r="AE1288" s="2"/>
      <c r="AF1288" s="2"/>
    </row>
    <row r="1289" spans="1:32" x14ac:dyDescent="0.35">
      <c r="A1289">
        <v>1288</v>
      </c>
      <c r="B1289" s="1">
        <v>42654</v>
      </c>
      <c r="C1289" s="9" t="s">
        <v>2273</v>
      </c>
      <c r="D1289" s="9" t="s">
        <v>4988</v>
      </c>
      <c r="E1289" s="9" t="s">
        <v>6731</v>
      </c>
      <c r="F1289" s="9" t="s">
        <v>15</v>
      </c>
      <c r="G1289" s="9" t="s">
        <v>2274</v>
      </c>
      <c r="H1289" s="9" t="s">
        <v>105</v>
      </c>
      <c r="I1289" s="11">
        <v>50000000</v>
      </c>
      <c r="J1289" s="11">
        <v>527462</v>
      </c>
      <c r="K1289" s="11">
        <v>19805450</v>
      </c>
      <c r="L1289" s="3">
        <v>336</v>
      </c>
      <c r="M1289" s="3">
        <v>4582</v>
      </c>
      <c r="N1289" s="3">
        <v>1876304</v>
      </c>
      <c r="O1289" s="2">
        <v>0.40899999999999997</v>
      </c>
      <c r="P1289" s="2">
        <v>0.87</v>
      </c>
      <c r="Q1289" s="2">
        <v>5.4000000000000006E-2</v>
      </c>
      <c r="R1289" s="11">
        <v>397288819</v>
      </c>
      <c r="S1289" s="11">
        <v>1801916</v>
      </c>
      <c r="T1289">
        <v>2016</v>
      </c>
      <c r="U1289">
        <v>10</v>
      </c>
      <c r="V1289">
        <f t="shared" si="120"/>
        <v>600000</v>
      </c>
      <c r="W1289">
        <f t="shared" si="121"/>
        <v>18429897</v>
      </c>
      <c r="X1289">
        <f t="shared" si="122"/>
        <v>17829897</v>
      </c>
      <c r="Y1289">
        <f t="shared" si="123"/>
        <v>-26144845.5</v>
      </c>
      <c r="Z1289">
        <f t="shared" si="124"/>
        <v>45174742.5</v>
      </c>
      <c r="AA1289" t="str">
        <f t="shared" si="125"/>
        <v>Outlier</v>
      </c>
      <c r="AE1289" s="2"/>
      <c r="AF1289" s="2"/>
    </row>
    <row r="1290" spans="1:32" x14ac:dyDescent="0.35">
      <c r="A1290">
        <v>1289</v>
      </c>
      <c r="B1290" s="1">
        <v>42654</v>
      </c>
      <c r="C1290" s="9" t="s">
        <v>2275</v>
      </c>
      <c r="D1290" s="9" t="s">
        <v>4988</v>
      </c>
      <c r="E1290" s="9" t="s">
        <v>6732</v>
      </c>
      <c r="F1290" s="9" t="s">
        <v>19</v>
      </c>
      <c r="G1290" s="9" t="s">
        <v>2276</v>
      </c>
      <c r="H1290" s="9" t="s">
        <v>86</v>
      </c>
      <c r="I1290" s="11">
        <v>500000</v>
      </c>
      <c r="J1290" s="11">
        <v>3117050</v>
      </c>
      <c r="K1290" s="11">
        <v>10153449</v>
      </c>
      <c r="L1290" s="3">
        <v>129</v>
      </c>
      <c r="M1290" s="3">
        <v>854</v>
      </c>
      <c r="N1290" s="3">
        <v>531313</v>
      </c>
      <c r="O1290" s="2">
        <v>0.21199999999999999</v>
      </c>
      <c r="P1290" s="2">
        <v>0.50800000000000001</v>
      </c>
      <c r="Q1290" s="2">
        <v>0.25700000000000001</v>
      </c>
      <c r="R1290" s="11">
        <v>157376813</v>
      </c>
      <c r="S1290" s="11">
        <v>1999347</v>
      </c>
      <c r="T1290">
        <v>2016</v>
      </c>
      <c r="U1290">
        <v>10</v>
      </c>
      <c r="V1290">
        <f t="shared" si="120"/>
        <v>600000</v>
      </c>
      <c r="W1290">
        <f t="shared" si="121"/>
        <v>18429897</v>
      </c>
      <c r="X1290">
        <f t="shared" si="122"/>
        <v>17829897</v>
      </c>
      <c r="Y1290">
        <f t="shared" si="123"/>
        <v>-26144845.5</v>
      </c>
      <c r="Z1290">
        <f t="shared" si="124"/>
        <v>45174742.5</v>
      </c>
      <c r="AA1290" t="str">
        <f t="shared" si="125"/>
        <v>Normal</v>
      </c>
      <c r="AE1290" s="2"/>
      <c r="AF1290" s="2"/>
    </row>
    <row r="1291" spans="1:32" x14ac:dyDescent="0.35">
      <c r="A1291">
        <v>1290</v>
      </c>
      <c r="B1291" s="1">
        <v>42655</v>
      </c>
      <c r="C1291" s="9" t="s">
        <v>1084</v>
      </c>
      <c r="D1291" s="9" t="s">
        <v>4988</v>
      </c>
      <c r="E1291" s="9" t="s">
        <v>1111</v>
      </c>
      <c r="F1291" s="9" t="s">
        <v>27</v>
      </c>
      <c r="G1291" s="9" t="s">
        <v>4851</v>
      </c>
      <c r="H1291" s="9" t="s">
        <v>86</v>
      </c>
      <c r="I1291" s="11">
        <v>18429897</v>
      </c>
      <c r="J1291" s="11">
        <v>1183593</v>
      </c>
      <c r="K1291" s="11">
        <v>987605</v>
      </c>
      <c r="L1291" s="3">
        <v>407</v>
      </c>
      <c r="M1291" s="3">
        <v>845</v>
      </c>
      <c r="N1291" s="3">
        <v>1965470</v>
      </c>
      <c r="O1291" s="2">
        <v>-0.28999999999999998</v>
      </c>
      <c r="P1291" s="2">
        <v>0.44799999999999995</v>
      </c>
      <c r="Q1291" s="2">
        <v>9.3000000000000013E-2</v>
      </c>
      <c r="R1291" s="11">
        <v>439676652</v>
      </c>
      <c r="S1291" s="11">
        <v>1727863</v>
      </c>
      <c r="T1291">
        <v>2016</v>
      </c>
      <c r="U1291">
        <v>10</v>
      </c>
      <c r="V1291">
        <f t="shared" si="120"/>
        <v>600000</v>
      </c>
      <c r="W1291">
        <f t="shared" si="121"/>
        <v>18429897</v>
      </c>
      <c r="X1291">
        <f t="shared" si="122"/>
        <v>17829897</v>
      </c>
      <c r="Y1291">
        <f t="shared" si="123"/>
        <v>-26144845.5</v>
      </c>
      <c r="Z1291">
        <f t="shared" si="124"/>
        <v>45174742.5</v>
      </c>
      <c r="AA1291" t="str">
        <f t="shared" si="125"/>
        <v>Normal</v>
      </c>
      <c r="AE1291" s="2"/>
      <c r="AF1291" s="2"/>
    </row>
    <row r="1292" spans="1:32" x14ac:dyDescent="0.35">
      <c r="A1292">
        <v>1291</v>
      </c>
      <c r="B1292" s="1">
        <v>42656</v>
      </c>
      <c r="C1292" s="9" t="s">
        <v>2277</v>
      </c>
      <c r="D1292" s="9" t="s">
        <v>1873</v>
      </c>
      <c r="E1292" s="9" t="s">
        <v>2278</v>
      </c>
      <c r="F1292" s="9" t="s">
        <v>63</v>
      </c>
      <c r="G1292" s="9" t="s">
        <v>2279</v>
      </c>
      <c r="H1292" s="9" t="s">
        <v>105</v>
      </c>
      <c r="I1292" s="11">
        <v>2000000</v>
      </c>
      <c r="J1292" s="11">
        <v>4293464</v>
      </c>
      <c r="K1292" s="11">
        <v>337580</v>
      </c>
      <c r="L1292" s="3">
        <v>476</v>
      </c>
      <c r="M1292" s="3">
        <v>2743</v>
      </c>
      <c r="N1292" s="3">
        <v>543048</v>
      </c>
      <c r="O1292" s="2">
        <v>1.6E-2</v>
      </c>
      <c r="P1292" s="2">
        <v>0.82</v>
      </c>
      <c r="Q1292" s="2">
        <v>0.19800000000000001</v>
      </c>
      <c r="R1292" s="11">
        <v>140899274</v>
      </c>
      <c r="S1292" s="11">
        <v>338170</v>
      </c>
      <c r="T1292">
        <v>2016</v>
      </c>
      <c r="U1292">
        <v>10</v>
      </c>
      <c r="V1292">
        <f t="shared" si="120"/>
        <v>600000</v>
      </c>
      <c r="W1292">
        <f t="shared" si="121"/>
        <v>18429897</v>
      </c>
      <c r="X1292">
        <f t="shared" si="122"/>
        <v>17829897</v>
      </c>
      <c r="Y1292">
        <f t="shared" si="123"/>
        <v>-26144845.5</v>
      </c>
      <c r="Z1292">
        <f t="shared" si="124"/>
        <v>45174742.5</v>
      </c>
      <c r="AA1292" t="str">
        <f t="shared" si="125"/>
        <v>Normal</v>
      </c>
      <c r="AE1292" s="2"/>
      <c r="AF1292" s="2"/>
    </row>
    <row r="1293" spans="1:32" x14ac:dyDescent="0.35">
      <c r="A1293">
        <v>1292</v>
      </c>
      <c r="B1293" s="1">
        <v>42656</v>
      </c>
      <c r="C1293" s="9" t="s">
        <v>2280</v>
      </c>
      <c r="D1293" s="9" t="s">
        <v>4925</v>
      </c>
      <c r="E1293" s="9" t="s">
        <v>6733</v>
      </c>
      <c r="F1293" s="9" t="s">
        <v>2281</v>
      </c>
      <c r="G1293" s="9" t="s">
        <v>1315</v>
      </c>
      <c r="H1293" s="9" t="s">
        <v>86</v>
      </c>
      <c r="I1293" s="11">
        <v>18429897</v>
      </c>
      <c r="J1293" s="11">
        <v>2229876</v>
      </c>
      <c r="K1293" s="11">
        <v>17193469</v>
      </c>
      <c r="L1293" s="3">
        <v>438</v>
      </c>
      <c r="M1293" s="3">
        <v>560</v>
      </c>
      <c r="N1293" s="3">
        <v>1272139</v>
      </c>
      <c r="O1293" s="2">
        <v>0.191</v>
      </c>
      <c r="P1293" s="2">
        <v>0.50800000000000001</v>
      </c>
      <c r="Q1293" s="2">
        <v>1</v>
      </c>
      <c r="R1293" s="11">
        <v>228891969</v>
      </c>
      <c r="S1293" s="11">
        <v>943306</v>
      </c>
      <c r="T1293">
        <v>2016</v>
      </c>
      <c r="U1293">
        <v>10</v>
      </c>
      <c r="V1293">
        <f t="shared" si="120"/>
        <v>600000</v>
      </c>
      <c r="W1293">
        <f t="shared" si="121"/>
        <v>18429897</v>
      </c>
      <c r="X1293">
        <f t="shared" si="122"/>
        <v>17829897</v>
      </c>
      <c r="Y1293">
        <f t="shared" si="123"/>
        <v>-26144845.5</v>
      </c>
      <c r="Z1293">
        <f t="shared" si="124"/>
        <v>45174742.5</v>
      </c>
      <c r="AA1293" t="str">
        <f t="shared" si="125"/>
        <v>Normal</v>
      </c>
      <c r="AE1293" s="2"/>
      <c r="AF1293" s="2"/>
    </row>
    <row r="1294" spans="1:32" x14ac:dyDescent="0.35">
      <c r="A1294">
        <v>1293</v>
      </c>
      <c r="B1294" s="1">
        <v>42656</v>
      </c>
      <c r="C1294" s="9" t="s">
        <v>2282</v>
      </c>
      <c r="D1294" s="9" t="s">
        <v>4988</v>
      </c>
      <c r="E1294" s="9" t="s">
        <v>6734</v>
      </c>
      <c r="F1294" s="9" t="s">
        <v>15</v>
      </c>
      <c r="G1294" s="9" t="s">
        <v>2283</v>
      </c>
      <c r="H1294" s="9" t="s">
        <v>86</v>
      </c>
      <c r="I1294" s="11">
        <v>18429897</v>
      </c>
      <c r="J1294" s="11">
        <v>42410</v>
      </c>
      <c r="K1294" s="11">
        <v>8951075</v>
      </c>
      <c r="L1294" s="3">
        <v>141</v>
      </c>
      <c r="M1294" s="3">
        <v>556</v>
      </c>
      <c r="N1294" s="3">
        <v>1340872</v>
      </c>
      <c r="O1294" s="2">
        <v>0.247</v>
      </c>
      <c r="P1294" s="2">
        <v>0.36899999999999999</v>
      </c>
      <c r="Q1294" s="2">
        <v>0.47600000000000003</v>
      </c>
      <c r="R1294" s="11">
        <v>15853522</v>
      </c>
      <c r="S1294" s="11">
        <v>1008193.5</v>
      </c>
      <c r="T1294">
        <v>2016</v>
      </c>
      <c r="U1294">
        <v>10</v>
      </c>
      <c r="V1294">
        <f t="shared" si="120"/>
        <v>600000</v>
      </c>
      <c r="W1294">
        <f t="shared" si="121"/>
        <v>18429897</v>
      </c>
      <c r="X1294">
        <f t="shared" si="122"/>
        <v>17829897</v>
      </c>
      <c r="Y1294">
        <f t="shared" si="123"/>
        <v>-26144845.5</v>
      </c>
      <c r="Z1294">
        <f t="shared" si="124"/>
        <v>45174742.5</v>
      </c>
      <c r="AA1294" t="str">
        <f t="shared" si="125"/>
        <v>Normal</v>
      </c>
      <c r="AE1294" s="2"/>
      <c r="AF1294" s="2"/>
    </row>
    <row r="1295" spans="1:32" x14ac:dyDescent="0.35">
      <c r="A1295">
        <v>1294</v>
      </c>
      <c r="B1295" s="1">
        <v>42656</v>
      </c>
      <c r="C1295" s="9" t="s">
        <v>2284</v>
      </c>
      <c r="D1295" s="9" t="s">
        <v>4930</v>
      </c>
      <c r="E1295" s="9" t="s">
        <v>2285</v>
      </c>
      <c r="F1295" s="9" t="s">
        <v>408</v>
      </c>
      <c r="G1295" s="9" t="s">
        <v>2286</v>
      </c>
      <c r="H1295" s="9" t="s">
        <v>86</v>
      </c>
      <c r="I1295" s="11">
        <v>450000</v>
      </c>
      <c r="J1295" s="11">
        <v>4759556</v>
      </c>
      <c r="K1295" s="11">
        <v>1641306</v>
      </c>
      <c r="L1295" s="3">
        <v>327</v>
      </c>
      <c r="M1295" s="3">
        <v>3139</v>
      </c>
      <c r="N1295" s="3">
        <v>1267503</v>
      </c>
      <c r="O1295" s="2">
        <v>8.4000000000000005E-2</v>
      </c>
      <c r="P1295" s="2">
        <v>0.57899999999999996</v>
      </c>
      <c r="Q1295" s="2">
        <v>4.2000000000000003E-2</v>
      </c>
      <c r="R1295" s="11">
        <v>373982107</v>
      </c>
      <c r="S1295" s="11">
        <v>28837</v>
      </c>
      <c r="T1295">
        <v>2016</v>
      </c>
      <c r="U1295">
        <v>10</v>
      </c>
      <c r="V1295">
        <f t="shared" si="120"/>
        <v>600000</v>
      </c>
      <c r="W1295">
        <f t="shared" si="121"/>
        <v>18429897</v>
      </c>
      <c r="X1295">
        <f t="shared" si="122"/>
        <v>17829897</v>
      </c>
      <c r="Y1295">
        <f t="shared" si="123"/>
        <v>-26144845.5</v>
      </c>
      <c r="Z1295">
        <f t="shared" si="124"/>
        <v>45174742.5</v>
      </c>
      <c r="AA1295" t="str">
        <f t="shared" si="125"/>
        <v>Normal</v>
      </c>
      <c r="AE1295" s="2"/>
      <c r="AF1295" s="2"/>
    </row>
    <row r="1296" spans="1:32" x14ac:dyDescent="0.35">
      <c r="A1296">
        <v>1295</v>
      </c>
      <c r="B1296" s="1">
        <v>42657</v>
      </c>
      <c r="C1296" s="9" t="s">
        <v>2287</v>
      </c>
      <c r="D1296" s="9" t="s">
        <v>4988</v>
      </c>
      <c r="E1296" s="9" t="s">
        <v>6735</v>
      </c>
      <c r="F1296" s="9" t="s">
        <v>27</v>
      </c>
      <c r="G1296" s="9" t="s">
        <v>193</v>
      </c>
      <c r="H1296" s="9" t="s">
        <v>86</v>
      </c>
      <c r="I1296" s="11">
        <v>25000</v>
      </c>
      <c r="J1296" s="11">
        <v>2582854</v>
      </c>
      <c r="K1296" s="11">
        <v>16685191</v>
      </c>
      <c r="L1296" s="3">
        <v>377</v>
      </c>
      <c r="M1296" s="3">
        <v>4823</v>
      </c>
      <c r="N1296" s="3">
        <v>1018455</v>
      </c>
      <c r="O1296" s="2">
        <v>0.13500000000000001</v>
      </c>
      <c r="P1296" s="2">
        <v>0.59099999999999997</v>
      </c>
      <c r="Q1296" s="2">
        <v>-0.09</v>
      </c>
      <c r="R1296" s="11">
        <v>250264963</v>
      </c>
      <c r="S1296" s="11">
        <v>465342</v>
      </c>
      <c r="T1296">
        <v>2016</v>
      </c>
      <c r="U1296">
        <v>10</v>
      </c>
      <c r="V1296">
        <f t="shared" si="120"/>
        <v>600000</v>
      </c>
      <c r="W1296">
        <f t="shared" si="121"/>
        <v>18429897</v>
      </c>
      <c r="X1296">
        <f t="shared" si="122"/>
        <v>17829897</v>
      </c>
      <c r="Y1296">
        <f t="shared" si="123"/>
        <v>-26144845.5</v>
      </c>
      <c r="Z1296">
        <f t="shared" si="124"/>
        <v>45174742.5</v>
      </c>
      <c r="AA1296" t="str">
        <f t="shared" si="125"/>
        <v>Normal</v>
      </c>
      <c r="AE1296" s="2"/>
      <c r="AF1296" s="2"/>
    </row>
    <row r="1297" spans="1:32" x14ac:dyDescent="0.35">
      <c r="A1297">
        <v>1296</v>
      </c>
      <c r="B1297" s="1">
        <v>42657</v>
      </c>
      <c r="C1297" s="9" t="s">
        <v>2288</v>
      </c>
      <c r="D1297" s="9" t="s">
        <v>4988</v>
      </c>
      <c r="E1297" s="9" t="s">
        <v>6736</v>
      </c>
      <c r="F1297" s="9" t="s">
        <v>15</v>
      </c>
      <c r="G1297" s="9" t="s">
        <v>227</v>
      </c>
      <c r="H1297" s="9" t="s">
        <v>105</v>
      </c>
      <c r="I1297" s="11">
        <v>7000000</v>
      </c>
      <c r="J1297" s="11">
        <v>1329627</v>
      </c>
      <c r="K1297" s="11">
        <v>10627038</v>
      </c>
      <c r="L1297" s="3">
        <v>254</v>
      </c>
      <c r="M1297" s="3">
        <v>313</v>
      </c>
      <c r="N1297" s="3">
        <v>1517654</v>
      </c>
      <c r="O1297" s="2">
        <v>-0.17399999999999999</v>
      </c>
      <c r="P1297" s="2">
        <v>0.41399999999999998</v>
      </c>
      <c r="Q1297" s="2">
        <v>0.187</v>
      </c>
      <c r="R1297" s="11">
        <v>102654559</v>
      </c>
      <c r="S1297" s="11">
        <v>1408848</v>
      </c>
      <c r="T1297">
        <v>2016</v>
      </c>
      <c r="U1297">
        <v>10</v>
      </c>
      <c r="V1297">
        <f t="shared" si="120"/>
        <v>600000</v>
      </c>
      <c r="W1297">
        <f t="shared" si="121"/>
        <v>18429897</v>
      </c>
      <c r="X1297">
        <f t="shared" si="122"/>
        <v>17829897</v>
      </c>
      <c r="Y1297">
        <f t="shared" si="123"/>
        <v>-26144845.5</v>
      </c>
      <c r="Z1297">
        <f t="shared" si="124"/>
        <v>45174742.5</v>
      </c>
      <c r="AA1297" t="str">
        <f t="shared" si="125"/>
        <v>Normal</v>
      </c>
      <c r="AE1297" s="2"/>
      <c r="AF1297" s="2"/>
    </row>
    <row r="1298" spans="1:32" x14ac:dyDescent="0.35">
      <c r="A1298">
        <v>1297</v>
      </c>
      <c r="B1298" s="1">
        <v>42657</v>
      </c>
      <c r="C1298" s="9" t="s">
        <v>2289</v>
      </c>
      <c r="D1298" s="9" t="s">
        <v>4933</v>
      </c>
      <c r="E1298" s="9" t="s">
        <v>6737</v>
      </c>
      <c r="F1298" s="9" t="s">
        <v>124</v>
      </c>
      <c r="G1298" s="9" t="s">
        <v>2290</v>
      </c>
      <c r="H1298" s="9" t="s">
        <v>105</v>
      </c>
      <c r="I1298" s="11">
        <v>6000000</v>
      </c>
      <c r="J1298" s="11">
        <v>3392891</v>
      </c>
      <c r="K1298" s="11">
        <v>10153449</v>
      </c>
      <c r="L1298" s="3">
        <v>254</v>
      </c>
      <c r="M1298" s="3">
        <v>3208</v>
      </c>
      <c r="N1298" s="3">
        <v>620794</v>
      </c>
      <c r="O1298" s="2">
        <v>0.47499999999999998</v>
      </c>
      <c r="P1298" s="2">
        <v>0.98799999999999999</v>
      </c>
      <c r="Q1298" s="2">
        <v>-0.109</v>
      </c>
      <c r="R1298" s="11">
        <v>332508275</v>
      </c>
      <c r="S1298" s="11">
        <v>417965</v>
      </c>
      <c r="T1298">
        <v>2016</v>
      </c>
      <c r="U1298">
        <v>10</v>
      </c>
      <c r="V1298">
        <f t="shared" si="120"/>
        <v>600000</v>
      </c>
      <c r="W1298">
        <f t="shared" si="121"/>
        <v>18429897</v>
      </c>
      <c r="X1298">
        <f t="shared" si="122"/>
        <v>17829897</v>
      </c>
      <c r="Y1298">
        <f t="shared" si="123"/>
        <v>-26144845.5</v>
      </c>
      <c r="Z1298">
        <f t="shared" si="124"/>
        <v>45174742.5</v>
      </c>
      <c r="AA1298" t="str">
        <f t="shared" si="125"/>
        <v>Normal</v>
      </c>
      <c r="AE1298" s="2"/>
      <c r="AF1298" s="2"/>
    </row>
    <row r="1299" spans="1:32" x14ac:dyDescent="0.35">
      <c r="A1299">
        <v>1298</v>
      </c>
      <c r="B1299" s="1">
        <v>42657</v>
      </c>
      <c r="C1299" s="9" t="s">
        <v>2291</v>
      </c>
      <c r="D1299" s="9" t="s">
        <v>4930</v>
      </c>
      <c r="E1299" s="9" t="s">
        <v>6738</v>
      </c>
      <c r="F1299" s="9" t="s">
        <v>19</v>
      </c>
      <c r="G1299" s="9" t="s">
        <v>2292</v>
      </c>
      <c r="H1299" s="9" t="s">
        <v>86</v>
      </c>
      <c r="I1299" s="11">
        <v>18429897</v>
      </c>
      <c r="J1299" s="11">
        <v>2662440</v>
      </c>
      <c r="K1299" s="11">
        <v>9097183</v>
      </c>
      <c r="L1299" s="3">
        <v>221</v>
      </c>
      <c r="M1299" s="3">
        <v>3028</v>
      </c>
      <c r="N1299" s="3">
        <v>1628548</v>
      </c>
      <c r="O1299" s="2">
        <v>4.3999999999999997E-2</v>
      </c>
      <c r="P1299" s="2">
        <v>0.90700000000000003</v>
      </c>
      <c r="Q1299" s="2">
        <v>0.159</v>
      </c>
      <c r="R1299" s="11">
        <v>226540097</v>
      </c>
      <c r="S1299" s="11">
        <v>1200740</v>
      </c>
      <c r="T1299">
        <v>2016</v>
      </c>
      <c r="U1299">
        <v>10</v>
      </c>
      <c r="V1299">
        <f t="shared" si="120"/>
        <v>600000</v>
      </c>
      <c r="W1299">
        <f t="shared" si="121"/>
        <v>18429897</v>
      </c>
      <c r="X1299">
        <f t="shared" si="122"/>
        <v>17829897</v>
      </c>
      <c r="Y1299">
        <f t="shared" si="123"/>
        <v>-26144845.5</v>
      </c>
      <c r="Z1299">
        <f t="shared" si="124"/>
        <v>45174742.5</v>
      </c>
      <c r="AA1299" t="str">
        <f t="shared" si="125"/>
        <v>Normal</v>
      </c>
      <c r="AE1299" s="2"/>
      <c r="AF1299" s="2"/>
    </row>
    <row r="1300" spans="1:32" x14ac:dyDescent="0.35">
      <c r="A1300">
        <v>1299</v>
      </c>
      <c r="B1300" s="1">
        <v>42657</v>
      </c>
      <c r="C1300" s="9" t="s">
        <v>2293</v>
      </c>
      <c r="D1300" s="9" t="s">
        <v>4988</v>
      </c>
      <c r="E1300" s="9" t="s">
        <v>6739</v>
      </c>
      <c r="F1300" s="9" t="s">
        <v>31</v>
      </c>
      <c r="G1300" s="9" t="s">
        <v>2294</v>
      </c>
      <c r="H1300" s="9" t="s">
        <v>86</v>
      </c>
      <c r="I1300" s="11">
        <v>18429897</v>
      </c>
      <c r="J1300" s="11">
        <v>167444</v>
      </c>
      <c r="K1300" s="11">
        <v>4578867</v>
      </c>
      <c r="L1300" s="3">
        <v>157</v>
      </c>
      <c r="M1300" s="3">
        <v>377</v>
      </c>
      <c r="N1300" s="3">
        <v>753300</v>
      </c>
      <c r="O1300" s="2">
        <v>0.27800000000000002</v>
      </c>
      <c r="P1300" s="2">
        <v>0.41700000000000004</v>
      </c>
      <c r="Q1300" s="2">
        <v>0.51200000000000001</v>
      </c>
      <c r="R1300" s="11">
        <v>433978977</v>
      </c>
      <c r="S1300" s="11">
        <v>1409181</v>
      </c>
      <c r="T1300">
        <v>2016</v>
      </c>
      <c r="U1300">
        <v>10</v>
      </c>
      <c r="V1300">
        <f t="shared" si="120"/>
        <v>600000</v>
      </c>
      <c r="W1300">
        <f t="shared" si="121"/>
        <v>18429897</v>
      </c>
      <c r="X1300">
        <f t="shared" si="122"/>
        <v>17829897</v>
      </c>
      <c r="Y1300">
        <f t="shared" si="123"/>
        <v>-26144845.5</v>
      </c>
      <c r="Z1300">
        <f t="shared" si="124"/>
        <v>45174742.5</v>
      </c>
      <c r="AA1300" t="str">
        <f t="shared" si="125"/>
        <v>Normal</v>
      </c>
      <c r="AE1300" s="2"/>
      <c r="AF1300" s="2"/>
    </row>
    <row r="1301" spans="1:32" x14ac:dyDescent="0.35">
      <c r="A1301">
        <v>1300</v>
      </c>
      <c r="B1301" s="1">
        <v>42657</v>
      </c>
      <c r="C1301" s="9" t="s">
        <v>356</v>
      </c>
      <c r="D1301" s="9" t="s">
        <v>4988</v>
      </c>
      <c r="E1301" s="9" t="s">
        <v>6740</v>
      </c>
      <c r="F1301" s="9" t="s">
        <v>15</v>
      </c>
      <c r="G1301" s="9" t="s">
        <v>2295</v>
      </c>
      <c r="H1301" s="9" t="s">
        <v>86</v>
      </c>
      <c r="I1301" s="11">
        <v>18429897</v>
      </c>
      <c r="J1301" s="11">
        <v>3803043</v>
      </c>
      <c r="K1301" s="11">
        <v>18637937</v>
      </c>
      <c r="L1301" s="3">
        <v>288</v>
      </c>
      <c r="M1301" s="3">
        <v>2505.5</v>
      </c>
      <c r="N1301" s="3">
        <v>1673954</v>
      </c>
      <c r="O1301" s="2">
        <v>0.40100000000000002</v>
      </c>
      <c r="P1301" s="2">
        <v>1.0580000000000001</v>
      </c>
      <c r="Q1301" s="2">
        <v>8.900000000000001E-2</v>
      </c>
      <c r="R1301" s="11">
        <v>2575568</v>
      </c>
      <c r="S1301" s="11">
        <v>15552</v>
      </c>
      <c r="T1301">
        <v>2016</v>
      </c>
      <c r="U1301">
        <v>10</v>
      </c>
      <c r="V1301">
        <f t="shared" si="120"/>
        <v>600000</v>
      </c>
      <c r="W1301">
        <f t="shared" si="121"/>
        <v>18429897</v>
      </c>
      <c r="X1301">
        <f t="shared" si="122"/>
        <v>17829897</v>
      </c>
      <c r="Y1301">
        <f t="shared" si="123"/>
        <v>-26144845.5</v>
      </c>
      <c r="Z1301">
        <f t="shared" si="124"/>
        <v>45174742.5</v>
      </c>
      <c r="AA1301" t="str">
        <f t="shared" si="125"/>
        <v>Normal</v>
      </c>
      <c r="AE1301" s="2"/>
      <c r="AF1301" s="2"/>
    </row>
    <row r="1302" spans="1:32" x14ac:dyDescent="0.35">
      <c r="A1302">
        <v>1301</v>
      </c>
      <c r="B1302" s="1">
        <v>42658</v>
      </c>
      <c r="C1302" s="9" t="s">
        <v>2296</v>
      </c>
      <c r="D1302" s="9" t="s">
        <v>4988</v>
      </c>
      <c r="E1302" s="9" t="s">
        <v>6741</v>
      </c>
      <c r="F1302" s="9" t="s">
        <v>15</v>
      </c>
      <c r="G1302" s="9" t="s">
        <v>4852</v>
      </c>
      <c r="H1302" s="9" t="s">
        <v>105</v>
      </c>
      <c r="I1302" s="11">
        <v>25000000</v>
      </c>
      <c r="J1302" s="11">
        <v>2018750</v>
      </c>
      <c r="K1302" s="11">
        <v>15776500</v>
      </c>
      <c r="L1302" s="3">
        <v>495</v>
      </c>
      <c r="M1302" s="3">
        <v>2245</v>
      </c>
      <c r="N1302" s="3">
        <v>1960404</v>
      </c>
      <c r="O1302" s="2">
        <v>-0.111</v>
      </c>
      <c r="P1302" s="2">
        <v>0.626</v>
      </c>
      <c r="Q1302" s="2">
        <v>-0.23899999999999999</v>
      </c>
      <c r="R1302" s="11">
        <v>481380511</v>
      </c>
      <c r="S1302" s="11">
        <v>1872284</v>
      </c>
      <c r="T1302">
        <v>2016</v>
      </c>
      <c r="U1302">
        <v>10</v>
      </c>
      <c r="V1302">
        <f t="shared" si="120"/>
        <v>600000</v>
      </c>
      <c r="W1302">
        <f t="shared" si="121"/>
        <v>18429897</v>
      </c>
      <c r="X1302">
        <f t="shared" si="122"/>
        <v>17829897</v>
      </c>
      <c r="Y1302">
        <f t="shared" si="123"/>
        <v>-26144845.5</v>
      </c>
      <c r="Z1302">
        <f t="shared" si="124"/>
        <v>45174742.5</v>
      </c>
      <c r="AA1302" t="str">
        <f t="shared" si="125"/>
        <v>Normal</v>
      </c>
      <c r="AE1302" s="2"/>
      <c r="AF1302" s="2"/>
    </row>
    <row r="1303" spans="1:32" x14ac:dyDescent="0.35">
      <c r="A1303">
        <v>1302</v>
      </c>
      <c r="B1303" s="1">
        <v>42658</v>
      </c>
      <c r="C1303" s="9" t="s">
        <v>2297</v>
      </c>
      <c r="D1303" s="9" t="s">
        <v>4988</v>
      </c>
      <c r="E1303" s="9" t="s">
        <v>6742</v>
      </c>
      <c r="F1303" s="9" t="s">
        <v>124</v>
      </c>
      <c r="G1303" s="9" t="s">
        <v>2298</v>
      </c>
      <c r="H1303" s="9" t="s">
        <v>86</v>
      </c>
      <c r="I1303" s="11">
        <v>227000</v>
      </c>
      <c r="J1303" s="11">
        <v>3505090</v>
      </c>
      <c r="K1303" s="11">
        <v>4061092</v>
      </c>
      <c r="L1303" s="3">
        <v>113</v>
      </c>
      <c r="M1303" s="3">
        <v>3481</v>
      </c>
      <c r="N1303" s="3">
        <v>1018455</v>
      </c>
      <c r="O1303" s="2">
        <v>0.14599999999999999</v>
      </c>
      <c r="P1303" s="2">
        <v>0.75099999999999989</v>
      </c>
      <c r="Q1303" s="2">
        <v>-0.4</v>
      </c>
      <c r="R1303" s="11">
        <v>255049739</v>
      </c>
      <c r="S1303" s="11">
        <v>1008193.5</v>
      </c>
      <c r="T1303">
        <v>2016</v>
      </c>
      <c r="U1303">
        <v>10</v>
      </c>
      <c r="V1303">
        <f t="shared" si="120"/>
        <v>600000</v>
      </c>
      <c r="W1303">
        <f t="shared" si="121"/>
        <v>18429897</v>
      </c>
      <c r="X1303">
        <f t="shared" si="122"/>
        <v>17829897</v>
      </c>
      <c r="Y1303">
        <f t="shared" si="123"/>
        <v>-26144845.5</v>
      </c>
      <c r="Z1303">
        <f t="shared" si="124"/>
        <v>45174742.5</v>
      </c>
      <c r="AA1303" t="str">
        <f t="shared" si="125"/>
        <v>Normal</v>
      </c>
      <c r="AE1303" s="2"/>
      <c r="AF1303" s="2"/>
    </row>
    <row r="1304" spans="1:32" x14ac:dyDescent="0.35">
      <c r="A1304">
        <v>1303</v>
      </c>
      <c r="B1304" s="1">
        <v>42658</v>
      </c>
      <c r="C1304" s="9" t="s">
        <v>2299</v>
      </c>
      <c r="D1304" s="9" t="s">
        <v>4988</v>
      </c>
      <c r="E1304" s="9" t="s">
        <v>6743</v>
      </c>
      <c r="F1304" s="9" t="s">
        <v>31</v>
      </c>
      <c r="G1304" s="9" t="s">
        <v>2300</v>
      </c>
      <c r="H1304" s="9" t="s">
        <v>86</v>
      </c>
      <c r="I1304" s="11">
        <v>1000000</v>
      </c>
      <c r="J1304" s="11">
        <v>4480261</v>
      </c>
      <c r="K1304" s="11">
        <v>14724555</v>
      </c>
      <c r="L1304" s="3">
        <v>28</v>
      </c>
      <c r="M1304" s="3">
        <v>1148</v>
      </c>
      <c r="N1304" s="3">
        <v>920250</v>
      </c>
      <c r="O1304" s="2">
        <v>0.17599999999999999</v>
      </c>
      <c r="P1304" s="2">
        <v>0.88500000000000001</v>
      </c>
      <c r="Q1304" s="2">
        <v>0.30299999999999999</v>
      </c>
      <c r="R1304" s="11">
        <v>133609531</v>
      </c>
      <c r="S1304" s="11">
        <v>802726</v>
      </c>
      <c r="T1304">
        <v>2016</v>
      </c>
      <c r="U1304">
        <v>10</v>
      </c>
      <c r="V1304">
        <f t="shared" si="120"/>
        <v>600000</v>
      </c>
      <c r="W1304">
        <f t="shared" si="121"/>
        <v>18429897</v>
      </c>
      <c r="X1304">
        <f t="shared" si="122"/>
        <v>17829897</v>
      </c>
      <c r="Y1304">
        <f t="shared" si="123"/>
        <v>-26144845.5</v>
      </c>
      <c r="Z1304">
        <f t="shared" si="124"/>
        <v>45174742.5</v>
      </c>
      <c r="AA1304" t="str">
        <f t="shared" si="125"/>
        <v>Normal</v>
      </c>
      <c r="AE1304" s="2"/>
      <c r="AF1304" s="2"/>
    </row>
    <row r="1305" spans="1:32" x14ac:dyDescent="0.35">
      <c r="A1305">
        <v>1304</v>
      </c>
      <c r="B1305" s="1">
        <v>42660</v>
      </c>
      <c r="C1305" s="9" t="s">
        <v>784</v>
      </c>
      <c r="D1305" s="9" t="s">
        <v>4930</v>
      </c>
      <c r="E1305" s="9" t="s">
        <v>6744</v>
      </c>
      <c r="F1305" s="9" t="s">
        <v>15</v>
      </c>
      <c r="G1305" s="9" t="s">
        <v>2301</v>
      </c>
      <c r="H1305" s="9" t="s">
        <v>86</v>
      </c>
      <c r="I1305" s="11">
        <v>18429897</v>
      </c>
      <c r="J1305" s="11">
        <v>3060851</v>
      </c>
      <c r="K1305" s="11">
        <v>3675672</v>
      </c>
      <c r="L1305" s="3">
        <v>32</v>
      </c>
      <c r="M1305" s="3">
        <v>2199</v>
      </c>
      <c r="N1305" s="3">
        <v>845852</v>
      </c>
      <c r="O1305" s="2">
        <v>6.8000000000000005E-2</v>
      </c>
      <c r="P1305" s="2">
        <v>0.50800000000000001</v>
      </c>
      <c r="Q1305" s="2">
        <v>0.127</v>
      </c>
      <c r="R1305" s="11">
        <v>139301648</v>
      </c>
      <c r="S1305" s="11">
        <v>1008193.5</v>
      </c>
      <c r="T1305">
        <v>2016</v>
      </c>
      <c r="U1305">
        <v>10</v>
      </c>
      <c r="V1305">
        <f t="shared" si="120"/>
        <v>600000</v>
      </c>
      <c r="W1305">
        <f t="shared" si="121"/>
        <v>18429897</v>
      </c>
      <c r="X1305">
        <f t="shared" si="122"/>
        <v>17829897</v>
      </c>
      <c r="Y1305">
        <f t="shared" si="123"/>
        <v>-26144845.5</v>
      </c>
      <c r="Z1305">
        <f t="shared" si="124"/>
        <v>45174742.5</v>
      </c>
      <c r="AA1305" t="str">
        <f t="shared" si="125"/>
        <v>Normal</v>
      </c>
      <c r="AE1305" s="2"/>
      <c r="AF1305" s="2"/>
    </row>
    <row r="1306" spans="1:32" x14ac:dyDescent="0.35">
      <c r="A1306">
        <v>1305</v>
      </c>
      <c r="B1306" s="1">
        <v>42660</v>
      </c>
      <c r="C1306" s="9" t="s">
        <v>1785</v>
      </c>
      <c r="D1306" s="9" t="s">
        <v>4988</v>
      </c>
      <c r="E1306" s="9" t="s">
        <v>6745</v>
      </c>
      <c r="F1306" s="9" t="s">
        <v>27</v>
      </c>
      <c r="G1306" s="9" t="s">
        <v>2302</v>
      </c>
      <c r="H1306" s="9" t="s">
        <v>86</v>
      </c>
      <c r="I1306" s="11">
        <v>18429897</v>
      </c>
      <c r="J1306" s="11">
        <v>3364631</v>
      </c>
      <c r="K1306" s="11">
        <v>9120415</v>
      </c>
      <c r="L1306" s="3">
        <v>293</v>
      </c>
      <c r="M1306" s="3">
        <v>2477</v>
      </c>
      <c r="N1306" s="3">
        <v>754812</v>
      </c>
      <c r="O1306" s="2">
        <v>0.30499999999999999</v>
      </c>
      <c r="P1306" s="2">
        <v>0.42699999999999999</v>
      </c>
      <c r="Q1306" s="2">
        <v>0.27500000000000002</v>
      </c>
      <c r="R1306" s="11">
        <v>17584896</v>
      </c>
      <c r="S1306" s="11">
        <v>1683162</v>
      </c>
      <c r="T1306">
        <v>2016</v>
      </c>
      <c r="U1306">
        <v>10</v>
      </c>
      <c r="V1306">
        <f t="shared" si="120"/>
        <v>600000</v>
      </c>
      <c r="W1306">
        <f t="shared" si="121"/>
        <v>18429897</v>
      </c>
      <c r="X1306">
        <f t="shared" si="122"/>
        <v>17829897</v>
      </c>
      <c r="Y1306">
        <f t="shared" si="123"/>
        <v>-26144845.5</v>
      </c>
      <c r="Z1306">
        <f t="shared" si="124"/>
        <v>45174742.5</v>
      </c>
      <c r="AA1306" t="str">
        <f t="shared" si="125"/>
        <v>Normal</v>
      </c>
      <c r="AE1306" s="2"/>
      <c r="AF1306" s="2"/>
    </row>
    <row r="1307" spans="1:32" x14ac:dyDescent="0.35">
      <c r="A1307">
        <v>1306</v>
      </c>
      <c r="B1307" s="1">
        <v>42660</v>
      </c>
      <c r="C1307" s="9" t="s">
        <v>2303</v>
      </c>
      <c r="D1307" s="9" t="s">
        <v>4988</v>
      </c>
      <c r="E1307" s="9" t="s">
        <v>6746</v>
      </c>
      <c r="F1307" s="9" t="s">
        <v>19</v>
      </c>
      <c r="G1307" s="9" t="s">
        <v>2304</v>
      </c>
      <c r="H1307" s="9" t="s">
        <v>86</v>
      </c>
      <c r="I1307" s="11">
        <v>300000</v>
      </c>
      <c r="J1307" s="11">
        <v>1288157</v>
      </c>
      <c r="K1307" s="11">
        <v>14999410</v>
      </c>
      <c r="L1307" s="3">
        <v>254</v>
      </c>
      <c r="M1307" s="3">
        <v>3573</v>
      </c>
      <c r="N1307" s="3">
        <v>702514</v>
      </c>
      <c r="O1307" s="2">
        <v>-1.2999999999999999E-2</v>
      </c>
      <c r="P1307" s="2">
        <v>0.79200000000000004</v>
      </c>
      <c r="Q1307" s="2">
        <v>-5.7999999999999996E-2</v>
      </c>
      <c r="R1307" s="11">
        <v>37364057</v>
      </c>
      <c r="S1307" s="11">
        <v>1787556</v>
      </c>
      <c r="T1307">
        <v>2016</v>
      </c>
      <c r="U1307">
        <v>10</v>
      </c>
      <c r="V1307">
        <f t="shared" si="120"/>
        <v>600000</v>
      </c>
      <c r="W1307">
        <f t="shared" si="121"/>
        <v>18429897</v>
      </c>
      <c r="X1307">
        <f t="shared" si="122"/>
        <v>17829897</v>
      </c>
      <c r="Y1307">
        <f t="shared" si="123"/>
        <v>-26144845.5</v>
      </c>
      <c r="Z1307">
        <f t="shared" si="124"/>
        <v>45174742.5</v>
      </c>
      <c r="AA1307" t="str">
        <f t="shared" si="125"/>
        <v>Normal</v>
      </c>
      <c r="AE1307" s="2"/>
      <c r="AF1307" s="2"/>
    </row>
    <row r="1308" spans="1:32" x14ac:dyDescent="0.35">
      <c r="A1308">
        <v>1307</v>
      </c>
      <c r="B1308" s="1">
        <v>42660</v>
      </c>
      <c r="C1308" s="9" t="s">
        <v>2305</v>
      </c>
      <c r="D1308" s="9" t="s">
        <v>5000</v>
      </c>
      <c r="E1308" s="9" t="s">
        <v>2306</v>
      </c>
      <c r="F1308" s="9" t="s">
        <v>31</v>
      </c>
      <c r="G1308" s="9" t="s">
        <v>2307</v>
      </c>
      <c r="H1308" s="9" t="s">
        <v>105</v>
      </c>
      <c r="I1308" s="11">
        <v>16000000</v>
      </c>
      <c r="J1308" s="11">
        <v>1203538</v>
      </c>
      <c r="K1308" s="11">
        <v>823806</v>
      </c>
      <c r="L1308" s="3">
        <v>233</v>
      </c>
      <c r="M1308" s="3">
        <v>1272</v>
      </c>
      <c r="N1308" s="3">
        <v>940098</v>
      </c>
      <c r="O1308" s="2">
        <v>0.13100000000000001</v>
      </c>
      <c r="P1308" s="2">
        <v>0.872</v>
      </c>
      <c r="Q1308" s="2">
        <v>-0.3</v>
      </c>
      <c r="R1308" s="11">
        <v>176151756</v>
      </c>
      <c r="S1308" s="11">
        <v>1750120</v>
      </c>
      <c r="T1308">
        <v>2016</v>
      </c>
      <c r="U1308">
        <v>10</v>
      </c>
      <c r="V1308">
        <f t="shared" si="120"/>
        <v>600000</v>
      </c>
      <c r="W1308">
        <f t="shared" si="121"/>
        <v>18429897</v>
      </c>
      <c r="X1308">
        <f t="shared" si="122"/>
        <v>17829897</v>
      </c>
      <c r="Y1308">
        <f t="shared" si="123"/>
        <v>-26144845.5</v>
      </c>
      <c r="Z1308">
        <f t="shared" si="124"/>
        <v>45174742.5</v>
      </c>
      <c r="AA1308" t="str">
        <f t="shared" si="125"/>
        <v>Normal</v>
      </c>
      <c r="AE1308" s="2"/>
      <c r="AF1308" s="2"/>
    </row>
    <row r="1309" spans="1:32" x14ac:dyDescent="0.35">
      <c r="A1309">
        <v>1308</v>
      </c>
      <c r="B1309" s="1">
        <v>42661</v>
      </c>
      <c r="C1309" s="9" t="s">
        <v>2308</v>
      </c>
      <c r="D1309" s="9" t="s">
        <v>4930</v>
      </c>
      <c r="E1309" s="9" t="s">
        <v>6747</v>
      </c>
      <c r="F1309" s="9" t="s">
        <v>27</v>
      </c>
      <c r="G1309" s="9" t="s">
        <v>2309</v>
      </c>
      <c r="H1309" s="9" t="s">
        <v>86</v>
      </c>
      <c r="I1309" s="11">
        <v>150000</v>
      </c>
      <c r="J1309" s="11">
        <v>2086708</v>
      </c>
      <c r="K1309" s="11">
        <v>14541817</v>
      </c>
      <c r="L1309" s="3">
        <v>475</v>
      </c>
      <c r="M1309" s="3">
        <v>3461</v>
      </c>
      <c r="N1309" s="3">
        <v>1018455</v>
      </c>
      <c r="O1309" s="2">
        <v>4.5999999999999999E-2</v>
      </c>
      <c r="P1309" s="2">
        <v>1.0860000000000002E-2</v>
      </c>
      <c r="Q1309" s="2">
        <v>0.25800000000000001</v>
      </c>
      <c r="R1309" s="11">
        <v>313276261</v>
      </c>
      <c r="S1309" s="11">
        <v>1169434</v>
      </c>
      <c r="T1309">
        <v>2016</v>
      </c>
      <c r="U1309">
        <v>10</v>
      </c>
      <c r="V1309">
        <f t="shared" si="120"/>
        <v>600000</v>
      </c>
      <c r="W1309">
        <f t="shared" si="121"/>
        <v>18429897</v>
      </c>
      <c r="X1309">
        <f t="shared" si="122"/>
        <v>17829897</v>
      </c>
      <c r="Y1309">
        <f t="shared" si="123"/>
        <v>-26144845.5</v>
      </c>
      <c r="Z1309">
        <f t="shared" si="124"/>
        <v>45174742.5</v>
      </c>
      <c r="AA1309" t="str">
        <f t="shared" si="125"/>
        <v>Normal</v>
      </c>
      <c r="AE1309" s="2"/>
      <c r="AF1309" s="2"/>
    </row>
    <row r="1310" spans="1:32" x14ac:dyDescent="0.35">
      <c r="A1310">
        <v>1309</v>
      </c>
      <c r="B1310" s="1">
        <v>42661</v>
      </c>
      <c r="C1310" s="9" t="s">
        <v>2310</v>
      </c>
      <c r="D1310" s="9" t="s">
        <v>4988</v>
      </c>
      <c r="E1310" s="9" t="s">
        <v>6748</v>
      </c>
      <c r="F1310" s="9" t="s">
        <v>31</v>
      </c>
      <c r="G1310" s="9" t="s">
        <v>1357</v>
      </c>
      <c r="H1310" s="9" t="s">
        <v>105</v>
      </c>
      <c r="I1310" s="11">
        <v>18429897</v>
      </c>
      <c r="J1310" s="11">
        <v>4266850</v>
      </c>
      <c r="K1310" s="11">
        <v>4596379</v>
      </c>
      <c r="L1310" s="3">
        <v>42</v>
      </c>
      <c r="M1310" s="3">
        <v>2505.5</v>
      </c>
      <c r="N1310" s="3">
        <v>1438435</v>
      </c>
      <c r="O1310" s="2">
        <v>0.58499999999999996</v>
      </c>
      <c r="P1310" s="2">
        <v>0.97199999999999998</v>
      </c>
      <c r="Q1310" s="2">
        <v>0.503</v>
      </c>
      <c r="R1310" s="11">
        <v>179255156</v>
      </c>
      <c r="S1310" s="11">
        <v>1008193.5</v>
      </c>
      <c r="T1310">
        <v>2016</v>
      </c>
      <c r="U1310">
        <v>10</v>
      </c>
      <c r="V1310">
        <f t="shared" si="120"/>
        <v>600000</v>
      </c>
      <c r="W1310">
        <f t="shared" si="121"/>
        <v>18429897</v>
      </c>
      <c r="X1310">
        <f t="shared" si="122"/>
        <v>17829897</v>
      </c>
      <c r="Y1310">
        <f t="shared" si="123"/>
        <v>-26144845.5</v>
      </c>
      <c r="Z1310">
        <f t="shared" si="124"/>
        <v>45174742.5</v>
      </c>
      <c r="AA1310" t="str">
        <f t="shared" si="125"/>
        <v>Normal</v>
      </c>
      <c r="AE1310" s="2"/>
      <c r="AF1310" s="2"/>
    </row>
    <row r="1311" spans="1:32" x14ac:dyDescent="0.35">
      <c r="A1311">
        <v>1310</v>
      </c>
      <c r="B1311" s="1">
        <v>42661</v>
      </c>
      <c r="C1311" s="9" t="s">
        <v>2311</v>
      </c>
      <c r="D1311" s="9" t="s">
        <v>4925</v>
      </c>
      <c r="E1311" s="9" t="s">
        <v>6749</v>
      </c>
      <c r="F1311" s="9" t="s">
        <v>41</v>
      </c>
      <c r="G1311" s="9" t="s">
        <v>1811</v>
      </c>
      <c r="H1311" s="9" t="s">
        <v>86</v>
      </c>
      <c r="I1311" s="11">
        <v>18429897</v>
      </c>
      <c r="J1311" s="11">
        <v>2531926</v>
      </c>
      <c r="K1311" s="11">
        <v>14013717</v>
      </c>
      <c r="L1311" s="3">
        <v>91</v>
      </c>
      <c r="M1311" s="3">
        <v>2934</v>
      </c>
      <c r="N1311" s="3">
        <v>1018455</v>
      </c>
      <c r="O1311" s="2">
        <v>-1.3000000000000001E-2</v>
      </c>
      <c r="P1311" s="2">
        <v>1.1140000000000001E-2</v>
      </c>
      <c r="Q1311" s="2">
        <v>0.3</v>
      </c>
      <c r="R1311" s="11">
        <v>41579766</v>
      </c>
      <c r="S1311" s="11">
        <v>1662808</v>
      </c>
      <c r="T1311">
        <v>2016</v>
      </c>
      <c r="U1311">
        <v>10</v>
      </c>
      <c r="V1311">
        <f t="shared" si="120"/>
        <v>600000</v>
      </c>
      <c r="W1311">
        <f t="shared" si="121"/>
        <v>18429897</v>
      </c>
      <c r="X1311">
        <f t="shared" si="122"/>
        <v>17829897</v>
      </c>
      <c r="Y1311">
        <f t="shared" si="123"/>
        <v>-26144845.5</v>
      </c>
      <c r="Z1311">
        <f t="shared" si="124"/>
        <v>45174742.5</v>
      </c>
      <c r="AA1311" t="str">
        <f t="shared" si="125"/>
        <v>Normal</v>
      </c>
      <c r="AE1311" s="2"/>
      <c r="AF1311" s="2"/>
    </row>
    <row r="1312" spans="1:32" x14ac:dyDescent="0.35">
      <c r="A1312">
        <v>1311</v>
      </c>
      <c r="B1312" s="1">
        <v>42661</v>
      </c>
      <c r="C1312" s="9" t="s">
        <v>2312</v>
      </c>
      <c r="D1312" s="9" t="s">
        <v>4930</v>
      </c>
      <c r="E1312" s="9" t="s">
        <v>6750</v>
      </c>
      <c r="F1312" s="9" t="s">
        <v>63</v>
      </c>
      <c r="G1312" s="9" t="s">
        <v>2313</v>
      </c>
      <c r="H1312" s="9" t="s">
        <v>105</v>
      </c>
      <c r="I1312" s="11">
        <v>2500000</v>
      </c>
      <c r="J1312" s="11">
        <v>1753196</v>
      </c>
      <c r="K1312" s="11">
        <v>10033443</v>
      </c>
      <c r="L1312" s="3">
        <v>110</v>
      </c>
      <c r="M1312" s="3">
        <v>3619</v>
      </c>
      <c r="N1312" s="3">
        <v>1767393</v>
      </c>
      <c r="O1312" s="2">
        <v>0.26900000000000002</v>
      </c>
      <c r="P1312" s="2">
        <v>0.27500000000000002</v>
      </c>
      <c r="Q1312" s="2">
        <v>0.109</v>
      </c>
      <c r="R1312" s="11">
        <v>55480427</v>
      </c>
      <c r="S1312" s="11">
        <v>1560345</v>
      </c>
      <c r="T1312">
        <v>2016</v>
      </c>
      <c r="U1312">
        <v>10</v>
      </c>
      <c r="V1312">
        <f t="shared" si="120"/>
        <v>600000</v>
      </c>
      <c r="W1312">
        <f t="shared" si="121"/>
        <v>18429897</v>
      </c>
      <c r="X1312">
        <f t="shared" si="122"/>
        <v>17829897</v>
      </c>
      <c r="Y1312">
        <f t="shared" si="123"/>
        <v>-26144845.5</v>
      </c>
      <c r="Z1312">
        <f t="shared" si="124"/>
        <v>45174742.5</v>
      </c>
      <c r="AA1312" t="str">
        <f t="shared" si="125"/>
        <v>Normal</v>
      </c>
      <c r="AE1312" s="2"/>
      <c r="AF1312" s="2"/>
    </row>
    <row r="1313" spans="1:32" x14ac:dyDescent="0.35">
      <c r="A1313">
        <v>1312</v>
      </c>
      <c r="B1313" s="1">
        <v>42661</v>
      </c>
      <c r="C1313" s="9" t="s">
        <v>2314</v>
      </c>
      <c r="D1313" s="9" t="s">
        <v>4930</v>
      </c>
      <c r="E1313" s="9" t="s">
        <v>6751</v>
      </c>
      <c r="F1313" s="9" t="s">
        <v>15</v>
      </c>
      <c r="G1313" s="9" t="s">
        <v>2315</v>
      </c>
      <c r="H1313" s="9" t="s">
        <v>86</v>
      </c>
      <c r="I1313" s="11">
        <v>18429897</v>
      </c>
      <c r="J1313" s="11">
        <v>3902460</v>
      </c>
      <c r="K1313" s="11">
        <v>619929</v>
      </c>
      <c r="L1313" s="3">
        <v>231</v>
      </c>
      <c r="M1313" s="3">
        <v>879</v>
      </c>
      <c r="N1313" s="3">
        <v>1208501</v>
      </c>
      <c r="O1313" s="2">
        <v>0.47899999999999998</v>
      </c>
      <c r="P1313" s="2">
        <v>0.625</v>
      </c>
      <c r="Q1313" s="2">
        <v>0.375</v>
      </c>
      <c r="R1313" s="11">
        <v>183485310</v>
      </c>
      <c r="S1313" s="11">
        <v>991641</v>
      </c>
      <c r="T1313">
        <v>2016</v>
      </c>
      <c r="U1313">
        <v>10</v>
      </c>
      <c r="V1313">
        <f t="shared" si="120"/>
        <v>600000</v>
      </c>
      <c r="W1313">
        <f t="shared" si="121"/>
        <v>18429897</v>
      </c>
      <c r="X1313">
        <f t="shared" si="122"/>
        <v>17829897</v>
      </c>
      <c r="Y1313">
        <f t="shared" si="123"/>
        <v>-26144845.5</v>
      </c>
      <c r="Z1313">
        <f t="shared" si="124"/>
        <v>45174742.5</v>
      </c>
      <c r="AA1313" t="str">
        <f t="shared" si="125"/>
        <v>Normal</v>
      </c>
      <c r="AE1313" s="2"/>
      <c r="AF1313" s="2"/>
    </row>
    <row r="1314" spans="1:32" x14ac:dyDescent="0.35">
      <c r="A1314">
        <v>1313</v>
      </c>
      <c r="B1314" s="1">
        <v>42662</v>
      </c>
      <c r="C1314" s="9" t="s">
        <v>884</v>
      </c>
      <c r="D1314" s="9" t="s">
        <v>4988</v>
      </c>
      <c r="E1314" s="9" t="s">
        <v>6752</v>
      </c>
      <c r="F1314" s="9" t="s">
        <v>15</v>
      </c>
      <c r="G1314" s="9" t="s">
        <v>2316</v>
      </c>
      <c r="H1314" s="9" t="s">
        <v>105</v>
      </c>
      <c r="I1314" s="11">
        <v>30000000</v>
      </c>
      <c r="J1314" s="11">
        <v>4269656</v>
      </c>
      <c r="K1314" s="11">
        <v>15261576</v>
      </c>
      <c r="L1314" s="3">
        <v>348</v>
      </c>
      <c r="M1314" s="3">
        <v>4537</v>
      </c>
      <c r="N1314" s="3">
        <v>1981604</v>
      </c>
      <c r="O1314" s="2">
        <v>-6.4000000000000001E-2</v>
      </c>
      <c r="P1314" s="2">
        <v>0.50600000000000001</v>
      </c>
      <c r="Q1314" s="2">
        <v>0.13300000000000001</v>
      </c>
      <c r="R1314" s="11">
        <v>488963544</v>
      </c>
      <c r="S1314" s="11">
        <v>188369</v>
      </c>
      <c r="T1314">
        <v>2016</v>
      </c>
      <c r="U1314">
        <v>10</v>
      </c>
      <c r="V1314">
        <f t="shared" si="120"/>
        <v>600000</v>
      </c>
      <c r="W1314">
        <f t="shared" si="121"/>
        <v>18429897</v>
      </c>
      <c r="X1314">
        <f t="shared" si="122"/>
        <v>17829897</v>
      </c>
      <c r="Y1314">
        <f t="shared" si="123"/>
        <v>-26144845.5</v>
      </c>
      <c r="Z1314">
        <f t="shared" si="124"/>
        <v>45174742.5</v>
      </c>
      <c r="AA1314" t="str">
        <f t="shared" si="125"/>
        <v>Normal</v>
      </c>
      <c r="AE1314" s="2"/>
      <c r="AF1314" s="2"/>
    </row>
    <row r="1315" spans="1:32" x14ac:dyDescent="0.35">
      <c r="A1315">
        <v>1314</v>
      </c>
      <c r="B1315" s="1">
        <v>42662</v>
      </c>
      <c r="C1315" s="9" t="s">
        <v>950</v>
      </c>
      <c r="D1315" s="9" t="s">
        <v>4988</v>
      </c>
      <c r="E1315" s="9" t="s">
        <v>6753</v>
      </c>
      <c r="F1315" s="9" t="s">
        <v>15</v>
      </c>
      <c r="G1315" s="9" t="s">
        <v>2317</v>
      </c>
      <c r="H1315" s="9" t="s">
        <v>105</v>
      </c>
      <c r="I1315" s="11">
        <v>1100000</v>
      </c>
      <c r="J1315" s="11">
        <v>4514616</v>
      </c>
      <c r="K1315" s="11">
        <v>5273197</v>
      </c>
      <c r="L1315" s="3">
        <v>95</v>
      </c>
      <c r="M1315" s="3">
        <v>1541</v>
      </c>
      <c r="N1315" s="3">
        <v>1787224</v>
      </c>
      <c r="O1315" s="2">
        <v>0.13900000000000001</v>
      </c>
      <c r="P1315" s="2">
        <v>0.69700000000000006</v>
      </c>
      <c r="Q1315" s="2">
        <v>0.25900000000000001</v>
      </c>
      <c r="R1315" s="11">
        <v>150822256</v>
      </c>
      <c r="S1315" s="11">
        <v>812967</v>
      </c>
      <c r="T1315">
        <v>2016</v>
      </c>
      <c r="U1315">
        <v>10</v>
      </c>
      <c r="V1315">
        <f t="shared" si="120"/>
        <v>600000</v>
      </c>
      <c r="W1315">
        <f t="shared" si="121"/>
        <v>18429897</v>
      </c>
      <c r="X1315">
        <f t="shared" si="122"/>
        <v>17829897</v>
      </c>
      <c r="Y1315">
        <f t="shared" si="123"/>
        <v>-26144845.5</v>
      </c>
      <c r="Z1315">
        <f t="shared" si="124"/>
        <v>45174742.5</v>
      </c>
      <c r="AA1315" t="str">
        <f t="shared" si="125"/>
        <v>Normal</v>
      </c>
      <c r="AE1315" s="2"/>
      <c r="AF1315" s="2"/>
    </row>
    <row r="1316" spans="1:32" x14ac:dyDescent="0.35">
      <c r="A1316">
        <v>1315</v>
      </c>
      <c r="B1316" s="1">
        <v>42662</v>
      </c>
      <c r="C1316" s="9" t="s">
        <v>2318</v>
      </c>
      <c r="D1316" s="9" t="s">
        <v>4930</v>
      </c>
      <c r="E1316" s="9" t="s">
        <v>6754</v>
      </c>
      <c r="F1316" s="9" t="s">
        <v>31</v>
      </c>
      <c r="G1316" s="9" t="s">
        <v>2319</v>
      </c>
      <c r="H1316" s="9" t="s">
        <v>105</v>
      </c>
      <c r="I1316" s="11">
        <v>750000</v>
      </c>
      <c r="J1316" s="11">
        <v>1508739</v>
      </c>
      <c r="K1316" s="11">
        <v>19051157</v>
      </c>
      <c r="L1316" s="3">
        <v>58</v>
      </c>
      <c r="M1316" s="3">
        <v>1029</v>
      </c>
      <c r="N1316" s="3">
        <v>972179</v>
      </c>
      <c r="O1316" s="2">
        <v>-7.6999999999999999E-2</v>
      </c>
      <c r="P1316" s="2">
        <v>1.0109999999999999</v>
      </c>
      <c r="Q1316" s="2">
        <v>-8.5000000000000006E-2</v>
      </c>
      <c r="R1316" s="11">
        <v>178180192</v>
      </c>
      <c r="S1316" s="11">
        <v>1584309</v>
      </c>
      <c r="T1316">
        <v>2016</v>
      </c>
      <c r="U1316">
        <v>10</v>
      </c>
      <c r="V1316">
        <f t="shared" si="120"/>
        <v>600000</v>
      </c>
      <c r="W1316">
        <f t="shared" si="121"/>
        <v>18429897</v>
      </c>
      <c r="X1316">
        <f t="shared" si="122"/>
        <v>17829897</v>
      </c>
      <c r="Y1316">
        <f t="shared" si="123"/>
        <v>-26144845.5</v>
      </c>
      <c r="Z1316">
        <f t="shared" si="124"/>
        <v>45174742.5</v>
      </c>
      <c r="AA1316" t="str">
        <f t="shared" si="125"/>
        <v>Normal</v>
      </c>
      <c r="AE1316" s="2"/>
      <c r="AF1316" s="2"/>
    </row>
    <row r="1317" spans="1:32" x14ac:dyDescent="0.35">
      <c r="A1317">
        <v>1316</v>
      </c>
      <c r="B1317" s="1">
        <v>42663</v>
      </c>
      <c r="C1317" s="9" t="s">
        <v>2320</v>
      </c>
      <c r="D1317" s="9" t="s">
        <v>4988</v>
      </c>
      <c r="E1317" s="9" t="s">
        <v>6755</v>
      </c>
      <c r="F1317" s="9" t="s">
        <v>15</v>
      </c>
      <c r="G1317" s="9" t="s">
        <v>2321</v>
      </c>
      <c r="H1317" s="9" t="s">
        <v>86</v>
      </c>
      <c r="I1317" s="11">
        <v>18429897</v>
      </c>
      <c r="J1317" s="11">
        <v>3554008</v>
      </c>
      <c r="K1317" s="11">
        <v>16813914</v>
      </c>
      <c r="L1317" s="3">
        <v>47</v>
      </c>
      <c r="M1317" s="3">
        <v>2764</v>
      </c>
      <c r="N1317" s="3">
        <v>824562</v>
      </c>
      <c r="O1317" s="2">
        <v>-0.28300000000000003</v>
      </c>
      <c r="P1317" s="2">
        <v>0.69299999999999995</v>
      </c>
      <c r="Q1317" s="2">
        <v>0.10100000000000001</v>
      </c>
      <c r="R1317" s="11">
        <v>4563125</v>
      </c>
      <c r="S1317" s="11">
        <v>1937213</v>
      </c>
      <c r="T1317">
        <v>2016</v>
      </c>
      <c r="U1317">
        <v>10</v>
      </c>
      <c r="V1317">
        <f t="shared" si="120"/>
        <v>600000</v>
      </c>
      <c r="W1317">
        <f t="shared" si="121"/>
        <v>18429897</v>
      </c>
      <c r="X1317">
        <f t="shared" si="122"/>
        <v>17829897</v>
      </c>
      <c r="Y1317">
        <f t="shared" si="123"/>
        <v>-26144845.5</v>
      </c>
      <c r="Z1317">
        <f t="shared" si="124"/>
        <v>45174742.5</v>
      </c>
      <c r="AA1317" t="str">
        <f t="shared" si="125"/>
        <v>Normal</v>
      </c>
      <c r="AE1317" s="2"/>
      <c r="AF1317" s="2"/>
    </row>
    <row r="1318" spans="1:32" x14ac:dyDescent="0.35">
      <c r="A1318">
        <v>1317</v>
      </c>
      <c r="B1318" s="1">
        <v>42663</v>
      </c>
      <c r="C1318" s="9" t="s">
        <v>2322</v>
      </c>
      <c r="D1318" s="9" t="s">
        <v>4988</v>
      </c>
      <c r="E1318" s="9" t="s">
        <v>6756</v>
      </c>
      <c r="F1318" s="9" t="s">
        <v>31</v>
      </c>
      <c r="G1318" s="9" t="s">
        <v>1275</v>
      </c>
      <c r="H1318" s="9" t="s">
        <v>86</v>
      </c>
      <c r="I1318" s="11">
        <v>18429897</v>
      </c>
      <c r="J1318" s="11">
        <v>2959794</v>
      </c>
      <c r="K1318" s="11">
        <v>3937408</v>
      </c>
      <c r="L1318" s="3">
        <v>401</v>
      </c>
      <c r="M1318" s="3">
        <v>2505.5</v>
      </c>
      <c r="N1318" s="3">
        <v>920340</v>
      </c>
      <c r="O1318" s="2">
        <v>-3.7000000000000005E-2</v>
      </c>
      <c r="P1318" s="2">
        <v>0.23499999999999999</v>
      </c>
      <c r="Q1318" s="2">
        <v>-5.5E-2</v>
      </c>
      <c r="R1318" s="11">
        <v>16820823</v>
      </c>
      <c r="S1318" s="11">
        <v>307925</v>
      </c>
      <c r="T1318">
        <v>2016</v>
      </c>
      <c r="U1318">
        <v>10</v>
      </c>
      <c r="V1318">
        <f t="shared" si="120"/>
        <v>600000</v>
      </c>
      <c r="W1318">
        <f t="shared" si="121"/>
        <v>18429897</v>
      </c>
      <c r="X1318">
        <f t="shared" si="122"/>
        <v>17829897</v>
      </c>
      <c r="Y1318">
        <f t="shared" si="123"/>
        <v>-26144845.5</v>
      </c>
      <c r="Z1318">
        <f t="shared" si="124"/>
        <v>45174742.5</v>
      </c>
      <c r="AA1318" t="str">
        <f t="shared" si="125"/>
        <v>Normal</v>
      </c>
      <c r="AE1318" s="2"/>
      <c r="AF1318" s="2"/>
    </row>
    <row r="1319" spans="1:32" x14ac:dyDescent="0.35">
      <c r="A1319">
        <v>1318</v>
      </c>
      <c r="B1319" s="1">
        <v>42663</v>
      </c>
      <c r="C1319" s="9" t="s">
        <v>650</v>
      </c>
      <c r="D1319" s="9" t="s">
        <v>4988</v>
      </c>
      <c r="E1319" s="9" t="s">
        <v>6757</v>
      </c>
      <c r="F1319" s="9" t="s">
        <v>63</v>
      </c>
      <c r="G1319" s="9" t="s">
        <v>2323</v>
      </c>
      <c r="H1319" s="9" t="s">
        <v>105</v>
      </c>
      <c r="I1319" s="11">
        <v>18429897</v>
      </c>
      <c r="J1319" s="11">
        <v>2255879</v>
      </c>
      <c r="K1319" s="11">
        <v>12057076</v>
      </c>
      <c r="L1319" s="3">
        <v>19</v>
      </c>
      <c r="M1319" s="3">
        <v>2333</v>
      </c>
      <c r="N1319" s="3">
        <v>46965</v>
      </c>
      <c r="O1319" s="2">
        <v>0.6</v>
      </c>
      <c r="P1319" s="2">
        <v>0.871</v>
      </c>
      <c r="Q1319" s="2">
        <v>-0.32100000000000001</v>
      </c>
      <c r="R1319" s="11">
        <v>390938535</v>
      </c>
      <c r="S1319" s="11">
        <v>1709701</v>
      </c>
      <c r="T1319">
        <v>2016</v>
      </c>
      <c r="U1319">
        <v>10</v>
      </c>
      <c r="V1319">
        <f t="shared" si="120"/>
        <v>600000</v>
      </c>
      <c r="W1319">
        <f t="shared" si="121"/>
        <v>18429897</v>
      </c>
      <c r="X1319">
        <f t="shared" si="122"/>
        <v>17829897</v>
      </c>
      <c r="Y1319">
        <f t="shared" si="123"/>
        <v>-26144845.5</v>
      </c>
      <c r="Z1319">
        <f t="shared" si="124"/>
        <v>45174742.5</v>
      </c>
      <c r="AA1319" t="str">
        <f t="shared" si="125"/>
        <v>Normal</v>
      </c>
      <c r="AE1319" s="2"/>
      <c r="AF1319" s="2"/>
    </row>
    <row r="1320" spans="1:32" x14ac:dyDescent="0.35">
      <c r="A1320">
        <v>1319</v>
      </c>
      <c r="B1320" s="1">
        <v>42664</v>
      </c>
      <c r="C1320" s="9" t="s">
        <v>2324</v>
      </c>
      <c r="D1320" s="9" t="s">
        <v>4988</v>
      </c>
      <c r="E1320" s="9" t="s">
        <v>6758</v>
      </c>
      <c r="F1320" s="9" t="s">
        <v>31</v>
      </c>
      <c r="G1320" s="9" t="s">
        <v>2325</v>
      </c>
      <c r="H1320" s="9" t="s">
        <v>86</v>
      </c>
      <c r="I1320" s="11">
        <v>300000</v>
      </c>
      <c r="J1320" s="11">
        <v>1996761</v>
      </c>
      <c r="K1320" s="11">
        <v>7304451</v>
      </c>
      <c r="L1320" s="3">
        <v>314</v>
      </c>
      <c r="M1320" s="3">
        <v>4037</v>
      </c>
      <c r="N1320" s="3">
        <v>660690</v>
      </c>
      <c r="O1320" s="2">
        <v>1.8000000000000002E-2</v>
      </c>
      <c r="P1320" s="2">
        <v>0.21</v>
      </c>
      <c r="Q1320" s="2">
        <v>-0.121</v>
      </c>
      <c r="R1320" s="11">
        <v>122249010</v>
      </c>
      <c r="S1320" s="11">
        <v>1451468</v>
      </c>
      <c r="T1320">
        <v>2016</v>
      </c>
      <c r="U1320">
        <v>10</v>
      </c>
      <c r="V1320">
        <f t="shared" si="120"/>
        <v>600000</v>
      </c>
      <c r="W1320">
        <f t="shared" si="121"/>
        <v>18429897</v>
      </c>
      <c r="X1320">
        <f t="shared" si="122"/>
        <v>17829897</v>
      </c>
      <c r="Y1320">
        <f t="shared" si="123"/>
        <v>-26144845.5</v>
      </c>
      <c r="Z1320">
        <f t="shared" si="124"/>
        <v>45174742.5</v>
      </c>
      <c r="AA1320" t="str">
        <f t="shared" si="125"/>
        <v>Normal</v>
      </c>
      <c r="AE1320" s="2"/>
      <c r="AF1320" s="2"/>
    </row>
    <row r="1321" spans="1:32" x14ac:dyDescent="0.35">
      <c r="A1321">
        <v>1320</v>
      </c>
      <c r="B1321" s="1">
        <v>42666</v>
      </c>
      <c r="C1321" s="9" t="s">
        <v>797</v>
      </c>
      <c r="D1321" s="9" t="s">
        <v>4925</v>
      </c>
      <c r="E1321" s="9" t="s">
        <v>6759</v>
      </c>
      <c r="F1321" s="9" t="s">
        <v>15</v>
      </c>
      <c r="G1321" s="9" t="s">
        <v>2326</v>
      </c>
      <c r="H1321" s="9" t="s">
        <v>86</v>
      </c>
      <c r="I1321" s="11">
        <v>18429897</v>
      </c>
      <c r="J1321" s="11">
        <v>590475</v>
      </c>
      <c r="K1321" s="11">
        <v>12083678</v>
      </c>
      <c r="L1321" s="3">
        <v>291</v>
      </c>
      <c r="M1321" s="3">
        <v>2702</v>
      </c>
      <c r="N1321" s="3">
        <v>765828</v>
      </c>
      <c r="O1321" s="2">
        <v>0.06</v>
      </c>
      <c r="P1321" s="2">
        <v>0.29799999999999999</v>
      </c>
      <c r="Q1321" s="2">
        <v>0.21199999999999999</v>
      </c>
      <c r="R1321" s="11">
        <v>37039314</v>
      </c>
      <c r="S1321" s="11">
        <v>737926</v>
      </c>
      <c r="T1321">
        <v>2016</v>
      </c>
      <c r="U1321">
        <v>10</v>
      </c>
      <c r="V1321">
        <f t="shared" si="120"/>
        <v>600000</v>
      </c>
      <c r="W1321">
        <f t="shared" si="121"/>
        <v>18429897</v>
      </c>
      <c r="X1321">
        <f t="shared" si="122"/>
        <v>17829897</v>
      </c>
      <c r="Y1321">
        <f t="shared" si="123"/>
        <v>-26144845.5</v>
      </c>
      <c r="Z1321">
        <f t="shared" si="124"/>
        <v>45174742.5</v>
      </c>
      <c r="AA1321" t="str">
        <f t="shared" si="125"/>
        <v>Normal</v>
      </c>
      <c r="AE1321" s="2"/>
      <c r="AF1321" s="2"/>
    </row>
    <row r="1322" spans="1:32" x14ac:dyDescent="0.35">
      <c r="A1322">
        <v>1321</v>
      </c>
      <c r="B1322" s="1">
        <v>42667</v>
      </c>
      <c r="C1322" s="9" t="s">
        <v>52</v>
      </c>
      <c r="D1322" s="9" t="s">
        <v>4988</v>
      </c>
      <c r="E1322" s="9" t="s">
        <v>6760</v>
      </c>
      <c r="F1322" s="9" t="s">
        <v>19</v>
      </c>
      <c r="G1322" s="9" t="s">
        <v>2327</v>
      </c>
      <c r="H1322" s="9" t="s">
        <v>105</v>
      </c>
      <c r="I1322" s="11">
        <v>3000000</v>
      </c>
      <c r="J1322" s="11">
        <v>1388628</v>
      </c>
      <c r="K1322" s="11">
        <v>11184362</v>
      </c>
      <c r="L1322" s="3">
        <v>54</v>
      </c>
      <c r="M1322" s="3">
        <v>1900</v>
      </c>
      <c r="N1322" s="3">
        <v>1558207</v>
      </c>
      <c r="O1322" s="2">
        <v>1.6E-2</v>
      </c>
      <c r="P1322" s="2">
        <v>0.92799999999999994</v>
      </c>
      <c r="Q1322" s="2">
        <v>0.23800000000000002</v>
      </c>
      <c r="R1322" s="11">
        <v>450327544</v>
      </c>
      <c r="S1322" s="11">
        <v>1912136</v>
      </c>
      <c r="T1322">
        <v>2016</v>
      </c>
      <c r="U1322">
        <v>10</v>
      </c>
      <c r="V1322">
        <f t="shared" si="120"/>
        <v>600000</v>
      </c>
      <c r="W1322">
        <f t="shared" si="121"/>
        <v>18429897</v>
      </c>
      <c r="X1322">
        <f t="shared" si="122"/>
        <v>17829897</v>
      </c>
      <c r="Y1322">
        <f t="shared" si="123"/>
        <v>-26144845.5</v>
      </c>
      <c r="Z1322">
        <f t="shared" si="124"/>
        <v>45174742.5</v>
      </c>
      <c r="AA1322" t="str">
        <f t="shared" si="125"/>
        <v>Normal</v>
      </c>
      <c r="AE1322" s="2"/>
      <c r="AF1322" s="2"/>
    </row>
    <row r="1323" spans="1:32" x14ac:dyDescent="0.35">
      <c r="A1323">
        <v>1322</v>
      </c>
      <c r="B1323" s="1">
        <v>42667</v>
      </c>
      <c r="C1323" s="9" t="s">
        <v>1551</v>
      </c>
      <c r="D1323" s="9" t="s">
        <v>4988</v>
      </c>
      <c r="E1323" s="9" t="s">
        <v>6761</v>
      </c>
      <c r="F1323" s="9" t="s">
        <v>31</v>
      </c>
      <c r="G1323" s="9" t="s">
        <v>2328</v>
      </c>
      <c r="H1323" s="9" t="s">
        <v>105</v>
      </c>
      <c r="I1323" s="11">
        <v>7500000</v>
      </c>
      <c r="J1323" s="11">
        <v>2757332</v>
      </c>
      <c r="K1323" s="11">
        <v>5988740</v>
      </c>
      <c r="L1323" s="3">
        <v>278</v>
      </c>
      <c r="M1323" s="3">
        <v>4011</v>
      </c>
      <c r="N1323" s="3">
        <v>525194</v>
      </c>
      <c r="O1323" s="2">
        <v>-0.11900000000000001</v>
      </c>
      <c r="P1323" s="2">
        <v>1.0309999999999999</v>
      </c>
      <c r="Q1323" s="2">
        <v>0.29199999999999998</v>
      </c>
      <c r="R1323" s="11">
        <v>171672982</v>
      </c>
      <c r="S1323" s="11">
        <v>107139</v>
      </c>
      <c r="T1323">
        <v>2016</v>
      </c>
      <c r="U1323">
        <v>10</v>
      </c>
      <c r="V1323">
        <f t="shared" si="120"/>
        <v>600000</v>
      </c>
      <c r="W1323">
        <f t="shared" si="121"/>
        <v>18429897</v>
      </c>
      <c r="X1323">
        <f t="shared" si="122"/>
        <v>17829897</v>
      </c>
      <c r="Y1323">
        <f t="shared" si="123"/>
        <v>-26144845.5</v>
      </c>
      <c r="Z1323">
        <f t="shared" si="124"/>
        <v>45174742.5</v>
      </c>
      <c r="AA1323" t="str">
        <f t="shared" si="125"/>
        <v>Normal</v>
      </c>
      <c r="AE1323" s="2"/>
      <c r="AF1323" s="2"/>
    </row>
    <row r="1324" spans="1:32" x14ac:dyDescent="0.35">
      <c r="A1324">
        <v>1323</v>
      </c>
      <c r="B1324" s="1">
        <v>42668</v>
      </c>
      <c r="C1324" s="9" t="s">
        <v>2329</v>
      </c>
      <c r="D1324" s="9" t="s">
        <v>4925</v>
      </c>
      <c r="E1324" s="9" t="s">
        <v>6762</v>
      </c>
      <c r="F1324" s="9" t="s">
        <v>15</v>
      </c>
      <c r="G1324" s="9" t="s">
        <v>673</v>
      </c>
      <c r="H1324" s="9" t="s">
        <v>105</v>
      </c>
      <c r="I1324" s="11">
        <v>6000000</v>
      </c>
      <c r="J1324" s="11">
        <v>4435056</v>
      </c>
      <c r="K1324" s="11">
        <v>13062919</v>
      </c>
      <c r="L1324" s="3">
        <v>146</v>
      </c>
      <c r="M1324" s="3">
        <v>1926</v>
      </c>
      <c r="N1324" s="3">
        <v>1311206</v>
      </c>
      <c r="O1324" s="2">
        <v>0.19</v>
      </c>
      <c r="P1324" s="2">
        <v>0.51800000000000002</v>
      </c>
      <c r="Q1324" s="2">
        <v>0.22699999999999998</v>
      </c>
      <c r="R1324" s="11">
        <v>54522401</v>
      </c>
      <c r="S1324" s="11">
        <v>576328</v>
      </c>
      <c r="T1324">
        <v>2016</v>
      </c>
      <c r="U1324">
        <v>10</v>
      </c>
      <c r="V1324">
        <f t="shared" si="120"/>
        <v>600000</v>
      </c>
      <c r="W1324">
        <f t="shared" si="121"/>
        <v>18429897</v>
      </c>
      <c r="X1324">
        <f t="shared" si="122"/>
        <v>17829897</v>
      </c>
      <c r="Y1324">
        <f t="shared" si="123"/>
        <v>-26144845.5</v>
      </c>
      <c r="Z1324">
        <f t="shared" si="124"/>
        <v>45174742.5</v>
      </c>
      <c r="AA1324" t="str">
        <f t="shared" si="125"/>
        <v>Normal</v>
      </c>
      <c r="AE1324" s="2"/>
      <c r="AF1324" s="2"/>
    </row>
    <row r="1325" spans="1:32" x14ac:dyDescent="0.35">
      <c r="A1325">
        <v>1324</v>
      </c>
      <c r="B1325" s="1">
        <v>42668</v>
      </c>
      <c r="C1325" s="9" t="s">
        <v>2330</v>
      </c>
      <c r="D1325" s="9" t="s">
        <v>4988</v>
      </c>
      <c r="E1325" s="9" t="s">
        <v>6763</v>
      </c>
      <c r="F1325" s="9" t="s">
        <v>31</v>
      </c>
      <c r="G1325" s="9" t="s">
        <v>2135</v>
      </c>
      <c r="H1325" s="9" t="s">
        <v>86</v>
      </c>
      <c r="I1325" s="11">
        <v>500000</v>
      </c>
      <c r="J1325" s="11">
        <v>4334381</v>
      </c>
      <c r="K1325" s="11">
        <v>5277444</v>
      </c>
      <c r="L1325" s="3">
        <v>259</v>
      </c>
      <c r="M1325" s="3">
        <v>4793</v>
      </c>
      <c r="N1325" s="3">
        <v>644295</v>
      </c>
      <c r="O1325" s="2">
        <v>0.36299999999999999</v>
      </c>
      <c r="P1325" s="2">
        <v>0.76900000000000002</v>
      </c>
      <c r="Q1325" s="2">
        <v>4.4000000000000004E-2</v>
      </c>
      <c r="R1325" s="11">
        <v>123540428</v>
      </c>
      <c r="S1325" s="11">
        <v>170235</v>
      </c>
      <c r="T1325">
        <v>2016</v>
      </c>
      <c r="U1325">
        <v>10</v>
      </c>
      <c r="V1325">
        <f t="shared" si="120"/>
        <v>600000</v>
      </c>
      <c r="W1325">
        <f t="shared" si="121"/>
        <v>18429897</v>
      </c>
      <c r="X1325">
        <f t="shared" si="122"/>
        <v>17829897</v>
      </c>
      <c r="Y1325">
        <f t="shared" si="123"/>
        <v>-26144845.5</v>
      </c>
      <c r="Z1325">
        <f t="shared" si="124"/>
        <v>45174742.5</v>
      </c>
      <c r="AA1325" t="str">
        <f t="shared" si="125"/>
        <v>Normal</v>
      </c>
      <c r="AE1325" s="2"/>
      <c r="AF1325" s="2"/>
    </row>
    <row r="1326" spans="1:32" x14ac:dyDescent="0.35">
      <c r="A1326">
        <v>1325</v>
      </c>
      <c r="B1326" s="1">
        <v>42668</v>
      </c>
      <c r="C1326" s="9" t="s">
        <v>2331</v>
      </c>
      <c r="D1326" s="9" t="s">
        <v>4930</v>
      </c>
      <c r="E1326" s="9" t="s">
        <v>6764</v>
      </c>
      <c r="F1326" s="9" t="s">
        <v>27</v>
      </c>
      <c r="G1326" s="9" t="s">
        <v>2332</v>
      </c>
      <c r="H1326" s="9" t="s">
        <v>86</v>
      </c>
      <c r="I1326" s="11">
        <v>18429897</v>
      </c>
      <c r="J1326" s="11">
        <v>954216</v>
      </c>
      <c r="K1326" s="11">
        <v>18156190</v>
      </c>
      <c r="L1326" s="3">
        <v>72</v>
      </c>
      <c r="M1326" s="3">
        <v>4930</v>
      </c>
      <c r="N1326" s="3">
        <v>1018455</v>
      </c>
      <c r="O1326" s="2">
        <v>0.38600000000000001</v>
      </c>
      <c r="P1326" s="2">
        <v>0.747</v>
      </c>
      <c r="Q1326" s="2">
        <v>-0.35799999999999998</v>
      </c>
      <c r="R1326" s="11">
        <v>477557548</v>
      </c>
      <c r="S1326" s="11">
        <v>965382</v>
      </c>
      <c r="T1326">
        <v>2016</v>
      </c>
      <c r="U1326">
        <v>10</v>
      </c>
      <c r="V1326">
        <f t="shared" si="120"/>
        <v>600000</v>
      </c>
      <c r="W1326">
        <f t="shared" si="121"/>
        <v>18429897</v>
      </c>
      <c r="X1326">
        <f t="shared" si="122"/>
        <v>17829897</v>
      </c>
      <c r="Y1326">
        <f t="shared" si="123"/>
        <v>-26144845.5</v>
      </c>
      <c r="Z1326">
        <f t="shared" si="124"/>
        <v>45174742.5</v>
      </c>
      <c r="AA1326" t="str">
        <f t="shared" si="125"/>
        <v>Normal</v>
      </c>
      <c r="AE1326" s="2"/>
      <c r="AF1326" s="2"/>
    </row>
    <row r="1327" spans="1:32" x14ac:dyDescent="0.35">
      <c r="A1327">
        <v>1326</v>
      </c>
      <c r="B1327" s="1">
        <v>42668</v>
      </c>
      <c r="C1327" s="9" t="s">
        <v>2333</v>
      </c>
      <c r="D1327" s="9" t="s">
        <v>4925</v>
      </c>
      <c r="E1327" s="9" t="s">
        <v>6765</v>
      </c>
      <c r="F1327" s="9" t="s">
        <v>19</v>
      </c>
      <c r="G1327" s="9" t="s">
        <v>1479</v>
      </c>
      <c r="H1327" s="9" t="s">
        <v>86</v>
      </c>
      <c r="I1327" s="11">
        <v>18429897</v>
      </c>
      <c r="J1327" s="11">
        <v>3403027</v>
      </c>
      <c r="K1327" s="11">
        <v>18936442</v>
      </c>
      <c r="L1327" s="3">
        <v>335</v>
      </c>
      <c r="M1327" s="3">
        <v>2505.5</v>
      </c>
      <c r="N1327" s="3">
        <v>138013</v>
      </c>
      <c r="O1327" s="2">
        <v>6.8000000000000005E-2</v>
      </c>
      <c r="P1327" s="2">
        <v>0.25600000000000001</v>
      </c>
      <c r="Q1327" s="2">
        <v>-0.18600000000000003</v>
      </c>
      <c r="R1327" s="11">
        <v>396857175</v>
      </c>
      <c r="S1327" s="11">
        <v>1517314</v>
      </c>
      <c r="T1327">
        <v>2016</v>
      </c>
      <c r="U1327">
        <v>10</v>
      </c>
      <c r="V1327">
        <f t="shared" si="120"/>
        <v>600000</v>
      </c>
      <c r="W1327">
        <f t="shared" si="121"/>
        <v>18429897</v>
      </c>
      <c r="X1327">
        <f t="shared" si="122"/>
        <v>17829897</v>
      </c>
      <c r="Y1327">
        <f t="shared" si="123"/>
        <v>-26144845.5</v>
      </c>
      <c r="Z1327">
        <f t="shared" si="124"/>
        <v>45174742.5</v>
      </c>
      <c r="AA1327" t="str">
        <f t="shared" si="125"/>
        <v>Normal</v>
      </c>
      <c r="AE1327" s="2"/>
      <c r="AF1327" s="2"/>
    </row>
    <row r="1328" spans="1:32" x14ac:dyDescent="0.35">
      <c r="A1328">
        <v>1327</v>
      </c>
      <c r="B1328" s="1">
        <v>42668</v>
      </c>
      <c r="C1328" s="9" t="s">
        <v>2334</v>
      </c>
      <c r="D1328" s="9" t="s">
        <v>4930</v>
      </c>
      <c r="E1328" s="9" t="s">
        <v>6766</v>
      </c>
      <c r="F1328" s="9" t="s">
        <v>19</v>
      </c>
      <c r="G1328" s="9" t="s">
        <v>2335</v>
      </c>
      <c r="H1328" s="9" t="s">
        <v>86</v>
      </c>
      <c r="I1328" s="11">
        <v>100000</v>
      </c>
      <c r="J1328" s="11">
        <v>442361</v>
      </c>
      <c r="K1328" s="11">
        <v>3401548</v>
      </c>
      <c r="L1328" s="3">
        <v>399</v>
      </c>
      <c r="M1328" s="3">
        <v>3865</v>
      </c>
      <c r="N1328" s="3">
        <v>1037131</v>
      </c>
      <c r="O1328" s="2">
        <v>0.29899999999999999</v>
      </c>
      <c r="P1328" s="2">
        <v>0.745</v>
      </c>
      <c r="Q1328" s="2">
        <v>0.376</v>
      </c>
      <c r="R1328" s="11">
        <v>303341644</v>
      </c>
      <c r="S1328" s="11">
        <v>948151</v>
      </c>
      <c r="T1328">
        <v>2016</v>
      </c>
      <c r="U1328">
        <v>10</v>
      </c>
      <c r="V1328">
        <f t="shared" si="120"/>
        <v>600000</v>
      </c>
      <c r="W1328">
        <f t="shared" si="121"/>
        <v>18429897</v>
      </c>
      <c r="X1328">
        <f t="shared" si="122"/>
        <v>17829897</v>
      </c>
      <c r="Y1328">
        <f t="shared" si="123"/>
        <v>-26144845.5</v>
      </c>
      <c r="Z1328">
        <f t="shared" si="124"/>
        <v>45174742.5</v>
      </c>
      <c r="AA1328" t="str">
        <f t="shared" si="125"/>
        <v>Normal</v>
      </c>
      <c r="AE1328" s="2"/>
      <c r="AF1328" s="2"/>
    </row>
    <row r="1329" spans="1:32" x14ac:dyDescent="0.35">
      <c r="A1329">
        <v>1328</v>
      </c>
      <c r="B1329" s="1">
        <v>42669</v>
      </c>
      <c r="C1329" s="9" t="s">
        <v>2336</v>
      </c>
      <c r="D1329" s="9" t="s">
        <v>4988</v>
      </c>
      <c r="E1329" s="9" t="s">
        <v>6767</v>
      </c>
      <c r="F1329" s="9" t="s">
        <v>27</v>
      </c>
      <c r="G1329" s="9" t="s">
        <v>1953</v>
      </c>
      <c r="H1329" s="9" t="s">
        <v>86</v>
      </c>
      <c r="I1329" s="11">
        <v>1000000</v>
      </c>
      <c r="J1329" s="11">
        <v>3381565</v>
      </c>
      <c r="K1329" s="11">
        <v>14582330</v>
      </c>
      <c r="L1329" s="3">
        <v>6</v>
      </c>
      <c r="M1329" s="3">
        <v>3555</v>
      </c>
      <c r="N1329" s="3">
        <v>194510</v>
      </c>
      <c r="O1329" s="2">
        <v>-1.6E-2</v>
      </c>
      <c r="P1329" s="2">
        <v>0.21099999999999999</v>
      </c>
      <c r="Q1329" s="2">
        <v>0.36749999999999999</v>
      </c>
      <c r="R1329" s="11">
        <v>362073612</v>
      </c>
      <c r="S1329" s="11">
        <v>791033</v>
      </c>
      <c r="T1329">
        <v>2016</v>
      </c>
      <c r="U1329">
        <v>10</v>
      </c>
      <c r="V1329">
        <f t="shared" si="120"/>
        <v>600000</v>
      </c>
      <c r="W1329">
        <f t="shared" si="121"/>
        <v>18429897</v>
      </c>
      <c r="X1329">
        <f t="shared" si="122"/>
        <v>17829897</v>
      </c>
      <c r="Y1329">
        <f t="shared" si="123"/>
        <v>-26144845.5</v>
      </c>
      <c r="Z1329">
        <f t="shared" si="124"/>
        <v>45174742.5</v>
      </c>
      <c r="AA1329" t="str">
        <f t="shared" si="125"/>
        <v>Normal</v>
      </c>
      <c r="AE1329" s="2"/>
      <c r="AF1329" s="2"/>
    </row>
    <row r="1330" spans="1:32" x14ac:dyDescent="0.35">
      <c r="A1330">
        <v>1329</v>
      </c>
      <c r="B1330" s="1">
        <v>42669</v>
      </c>
      <c r="C1330" s="9" t="s">
        <v>1644</v>
      </c>
      <c r="D1330" s="9" t="s">
        <v>4988</v>
      </c>
      <c r="E1330" s="9" t="s">
        <v>6768</v>
      </c>
      <c r="F1330" s="9" t="s">
        <v>15</v>
      </c>
      <c r="G1330" s="9" t="s">
        <v>2337</v>
      </c>
      <c r="H1330" s="9" t="s">
        <v>86</v>
      </c>
      <c r="I1330" s="11">
        <v>18429897</v>
      </c>
      <c r="J1330" s="11">
        <v>1722796</v>
      </c>
      <c r="K1330" s="11">
        <v>18594581</v>
      </c>
      <c r="L1330" s="3">
        <v>268</v>
      </c>
      <c r="M1330" s="3">
        <v>2505.5</v>
      </c>
      <c r="N1330" s="3">
        <v>411720</v>
      </c>
      <c r="O1330" s="2">
        <v>5.0999999999999997E-2</v>
      </c>
      <c r="P1330" s="2">
        <v>1.0200000000000001E-2</v>
      </c>
      <c r="Q1330" s="2">
        <v>8.1000000000000003E-2</v>
      </c>
      <c r="R1330" s="11">
        <v>15032790</v>
      </c>
      <c r="S1330" s="11">
        <v>387276</v>
      </c>
      <c r="T1330">
        <v>2016</v>
      </c>
      <c r="U1330">
        <v>10</v>
      </c>
      <c r="V1330">
        <f t="shared" si="120"/>
        <v>600000</v>
      </c>
      <c r="W1330">
        <f t="shared" si="121"/>
        <v>18429897</v>
      </c>
      <c r="X1330">
        <f t="shared" si="122"/>
        <v>17829897</v>
      </c>
      <c r="Y1330">
        <f t="shared" si="123"/>
        <v>-26144845.5</v>
      </c>
      <c r="Z1330">
        <f t="shared" si="124"/>
        <v>45174742.5</v>
      </c>
      <c r="AA1330" t="str">
        <f t="shared" si="125"/>
        <v>Normal</v>
      </c>
      <c r="AE1330" s="2"/>
      <c r="AF1330" s="2"/>
    </row>
    <row r="1331" spans="1:32" x14ac:dyDescent="0.35">
      <c r="A1331">
        <v>1330</v>
      </c>
      <c r="B1331" s="1">
        <v>42669</v>
      </c>
      <c r="C1331" s="9" t="s">
        <v>2338</v>
      </c>
      <c r="D1331" s="9" t="s">
        <v>4925</v>
      </c>
      <c r="E1331" s="9" t="s">
        <v>6557</v>
      </c>
      <c r="F1331" s="9" t="s">
        <v>408</v>
      </c>
      <c r="G1331" s="9" t="s">
        <v>2339</v>
      </c>
      <c r="H1331" s="9" t="s">
        <v>105</v>
      </c>
      <c r="I1331" s="11">
        <v>1000000</v>
      </c>
      <c r="J1331" s="11">
        <v>2260244</v>
      </c>
      <c r="K1331" s="11">
        <v>2624635</v>
      </c>
      <c r="L1331" s="3">
        <v>325</v>
      </c>
      <c r="M1331" s="3">
        <v>2333</v>
      </c>
      <c r="N1331" s="3">
        <v>1003573</v>
      </c>
      <c r="O1331" s="2">
        <v>0.2</v>
      </c>
      <c r="P1331" s="2">
        <v>0.94799999999999995</v>
      </c>
      <c r="Q1331" s="2">
        <v>0.11599999999999999</v>
      </c>
      <c r="R1331" s="11">
        <v>219872128</v>
      </c>
      <c r="S1331" s="11">
        <v>682965</v>
      </c>
      <c r="T1331">
        <v>2016</v>
      </c>
      <c r="U1331">
        <v>10</v>
      </c>
      <c r="V1331">
        <f t="shared" si="120"/>
        <v>600000</v>
      </c>
      <c r="W1331">
        <f t="shared" si="121"/>
        <v>18429897</v>
      </c>
      <c r="X1331">
        <f t="shared" si="122"/>
        <v>17829897</v>
      </c>
      <c r="Y1331">
        <f t="shared" si="123"/>
        <v>-26144845.5</v>
      </c>
      <c r="Z1331">
        <f t="shared" si="124"/>
        <v>45174742.5</v>
      </c>
      <c r="AA1331" t="str">
        <f t="shared" si="125"/>
        <v>Normal</v>
      </c>
      <c r="AE1331" s="2"/>
      <c r="AF1331" s="2"/>
    </row>
    <row r="1332" spans="1:32" x14ac:dyDescent="0.35">
      <c r="A1332">
        <v>1331</v>
      </c>
      <c r="B1332" s="1">
        <v>42670</v>
      </c>
      <c r="C1332" s="9" t="s">
        <v>2340</v>
      </c>
      <c r="D1332" s="9" t="s">
        <v>4988</v>
      </c>
      <c r="E1332" s="9" t="s">
        <v>6769</v>
      </c>
      <c r="F1332" s="9" t="s">
        <v>15</v>
      </c>
      <c r="G1332" s="9" t="s">
        <v>2341</v>
      </c>
      <c r="H1332" s="9" t="s">
        <v>105</v>
      </c>
      <c r="I1332" s="11">
        <v>700000</v>
      </c>
      <c r="J1332" s="11">
        <v>3593842</v>
      </c>
      <c r="K1332" s="11">
        <v>14818640</v>
      </c>
      <c r="L1332" s="3">
        <v>6</v>
      </c>
      <c r="M1332" s="3">
        <v>2064</v>
      </c>
      <c r="N1332" s="3">
        <v>1388017</v>
      </c>
      <c r="O1332" s="2">
        <v>5.2999999999999999E-2</v>
      </c>
      <c r="P1332" s="2">
        <v>0.48399999999999999</v>
      </c>
      <c r="Q1332" s="2">
        <v>-0.246</v>
      </c>
      <c r="R1332" s="11">
        <v>337924687</v>
      </c>
      <c r="S1332" s="11">
        <v>47527</v>
      </c>
      <c r="T1332">
        <v>2016</v>
      </c>
      <c r="U1332">
        <v>10</v>
      </c>
      <c r="V1332">
        <f t="shared" si="120"/>
        <v>600000</v>
      </c>
      <c r="W1332">
        <f t="shared" si="121"/>
        <v>18429897</v>
      </c>
      <c r="X1332">
        <f t="shared" si="122"/>
        <v>17829897</v>
      </c>
      <c r="Y1332">
        <f t="shared" si="123"/>
        <v>-26144845.5</v>
      </c>
      <c r="Z1332">
        <f t="shared" si="124"/>
        <v>45174742.5</v>
      </c>
      <c r="AA1332" t="str">
        <f t="shared" si="125"/>
        <v>Normal</v>
      </c>
      <c r="AE1332" s="2"/>
      <c r="AF1332" s="2"/>
    </row>
    <row r="1333" spans="1:32" x14ac:dyDescent="0.35">
      <c r="A1333">
        <v>1332</v>
      </c>
      <c r="B1333" s="1">
        <v>42670</v>
      </c>
      <c r="C1333" s="9" t="s">
        <v>1011</v>
      </c>
      <c r="D1333" s="9" t="s">
        <v>4930</v>
      </c>
      <c r="E1333" s="9" t="s">
        <v>6770</v>
      </c>
      <c r="F1333" s="9" t="s">
        <v>35</v>
      </c>
      <c r="G1333" s="9" t="s">
        <v>2342</v>
      </c>
      <c r="H1333" s="9" t="s">
        <v>105</v>
      </c>
      <c r="I1333" s="11">
        <v>971000</v>
      </c>
      <c r="J1333" s="11">
        <v>2135944</v>
      </c>
      <c r="K1333" s="11">
        <v>18760368</v>
      </c>
      <c r="L1333" s="3">
        <v>363</v>
      </c>
      <c r="M1333" s="3">
        <v>1419</v>
      </c>
      <c r="N1333" s="3">
        <v>808288</v>
      </c>
      <c r="O1333" s="2">
        <v>-0.13300000000000001</v>
      </c>
      <c r="P1333" s="2">
        <v>0.46200000000000002</v>
      </c>
      <c r="Q1333" s="2">
        <v>0.183</v>
      </c>
      <c r="R1333" s="11">
        <v>441442080</v>
      </c>
      <c r="S1333" s="11">
        <v>1189805</v>
      </c>
      <c r="T1333">
        <v>2016</v>
      </c>
      <c r="U1333">
        <v>10</v>
      </c>
      <c r="V1333">
        <f t="shared" si="120"/>
        <v>600000</v>
      </c>
      <c r="W1333">
        <f t="shared" si="121"/>
        <v>18429897</v>
      </c>
      <c r="X1333">
        <f t="shared" si="122"/>
        <v>17829897</v>
      </c>
      <c r="Y1333">
        <f t="shared" si="123"/>
        <v>-26144845.5</v>
      </c>
      <c r="Z1333">
        <f t="shared" si="124"/>
        <v>45174742.5</v>
      </c>
      <c r="AA1333" t="str">
        <f t="shared" si="125"/>
        <v>Normal</v>
      </c>
      <c r="AE1333" s="2"/>
      <c r="AF1333" s="2"/>
    </row>
    <row r="1334" spans="1:32" x14ac:dyDescent="0.35">
      <c r="A1334">
        <v>1333</v>
      </c>
      <c r="B1334" s="1">
        <v>42670</v>
      </c>
      <c r="C1334" s="9" t="s">
        <v>248</v>
      </c>
      <c r="D1334" s="9" t="s">
        <v>4930</v>
      </c>
      <c r="E1334" s="9" t="s">
        <v>6771</v>
      </c>
      <c r="F1334" s="9" t="s">
        <v>15</v>
      </c>
      <c r="G1334" s="9" t="s">
        <v>2343</v>
      </c>
      <c r="H1334" s="9" t="s">
        <v>105</v>
      </c>
      <c r="I1334" s="11">
        <v>27000000</v>
      </c>
      <c r="J1334" s="11">
        <v>4041009</v>
      </c>
      <c r="K1334" s="11">
        <v>4579504</v>
      </c>
      <c r="L1334" s="3">
        <v>273</v>
      </c>
      <c r="M1334" s="3">
        <v>2950</v>
      </c>
      <c r="N1334" s="3">
        <v>504321</v>
      </c>
      <c r="O1334" s="2">
        <v>0.28699999999999998</v>
      </c>
      <c r="P1334" s="2">
        <v>0.39</v>
      </c>
      <c r="Q1334" s="2">
        <v>0.48200000000000004</v>
      </c>
      <c r="R1334" s="11">
        <v>401980617</v>
      </c>
      <c r="S1334" s="11">
        <v>1528244</v>
      </c>
      <c r="T1334">
        <v>2016</v>
      </c>
      <c r="U1334">
        <v>10</v>
      </c>
      <c r="V1334">
        <f t="shared" si="120"/>
        <v>600000</v>
      </c>
      <c r="W1334">
        <f t="shared" si="121"/>
        <v>18429897</v>
      </c>
      <c r="X1334">
        <f t="shared" si="122"/>
        <v>17829897</v>
      </c>
      <c r="Y1334">
        <f t="shared" si="123"/>
        <v>-26144845.5</v>
      </c>
      <c r="Z1334">
        <f t="shared" si="124"/>
        <v>45174742.5</v>
      </c>
      <c r="AA1334" t="str">
        <f t="shared" si="125"/>
        <v>Normal</v>
      </c>
      <c r="AE1334" s="2"/>
      <c r="AF1334" s="2"/>
    </row>
    <row r="1335" spans="1:32" x14ac:dyDescent="0.35">
      <c r="A1335">
        <v>1334</v>
      </c>
      <c r="B1335" s="1">
        <v>42671</v>
      </c>
      <c r="C1335" s="9" t="s">
        <v>2344</v>
      </c>
      <c r="D1335" s="9" t="s">
        <v>4928</v>
      </c>
      <c r="E1335" s="9" t="s">
        <v>6772</v>
      </c>
      <c r="F1335" s="9" t="s">
        <v>15</v>
      </c>
      <c r="G1335" s="9" t="s">
        <v>2345</v>
      </c>
      <c r="H1335" s="9" t="s">
        <v>86</v>
      </c>
      <c r="I1335" s="11">
        <v>18429897</v>
      </c>
      <c r="J1335" s="11">
        <v>2677231</v>
      </c>
      <c r="K1335" s="11">
        <v>11689166</v>
      </c>
      <c r="L1335" s="3">
        <v>156</v>
      </c>
      <c r="M1335" s="3">
        <v>3097</v>
      </c>
      <c r="N1335" s="3">
        <v>1018455</v>
      </c>
      <c r="O1335" s="2">
        <v>-4.5999999999999999E-2</v>
      </c>
      <c r="P1335" s="2">
        <v>0.50800000000000001</v>
      </c>
      <c r="Q1335" s="2">
        <v>0.36749999999999999</v>
      </c>
      <c r="R1335" s="11">
        <v>334243758</v>
      </c>
      <c r="S1335" s="11">
        <v>1446788</v>
      </c>
      <c r="T1335">
        <v>2016</v>
      </c>
      <c r="U1335">
        <v>10</v>
      </c>
      <c r="V1335">
        <f t="shared" si="120"/>
        <v>600000</v>
      </c>
      <c r="W1335">
        <f t="shared" si="121"/>
        <v>18429897</v>
      </c>
      <c r="X1335">
        <f t="shared" si="122"/>
        <v>17829897</v>
      </c>
      <c r="Y1335">
        <f t="shared" si="123"/>
        <v>-26144845.5</v>
      </c>
      <c r="Z1335">
        <f t="shared" si="124"/>
        <v>45174742.5</v>
      </c>
      <c r="AA1335" t="str">
        <f t="shared" si="125"/>
        <v>Normal</v>
      </c>
      <c r="AE1335" s="2"/>
      <c r="AF1335" s="2"/>
    </row>
    <row r="1336" spans="1:32" x14ac:dyDescent="0.35">
      <c r="A1336">
        <v>1335</v>
      </c>
      <c r="B1336" s="1">
        <v>42672</v>
      </c>
      <c r="C1336" s="9" t="s">
        <v>2346</v>
      </c>
      <c r="D1336" s="9" t="s">
        <v>4930</v>
      </c>
      <c r="E1336" s="9" t="s">
        <v>6773</v>
      </c>
      <c r="F1336" s="9" t="s">
        <v>27</v>
      </c>
      <c r="G1336" s="9" t="s">
        <v>2031</v>
      </c>
      <c r="H1336" s="9" t="s">
        <v>86</v>
      </c>
      <c r="I1336" s="11">
        <v>100000</v>
      </c>
      <c r="J1336" s="11">
        <v>4993741</v>
      </c>
      <c r="K1336" s="11">
        <v>15977108</v>
      </c>
      <c r="L1336" s="3">
        <v>243</v>
      </c>
      <c r="M1336" s="3">
        <v>2280</v>
      </c>
      <c r="N1336" s="3">
        <v>699157</v>
      </c>
      <c r="O1336" s="2">
        <v>1.6E-2</v>
      </c>
      <c r="P1336" s="2">
        <v>1.046</v>
      </c>
      <c r="Q1336" s="2">
        <v>3.3000000000000002E-2</v>
      </c>
      <c r="R1336" s="11">
        <v>84004692</v>
      </c>
      <c r="S1336" s="11">
        <v>1783053</v>
      </c>
      <c r="T1336">
        <v>2016</v>
      </c>
      <c r="U1336">
        <v>10</v>
      </c>
      <c r="V1336">
        <f t="shared" si="120"/>
        <v>600000</v>
      </c>
      <c r="W1336">
        <f t="shared" si="121"/>
        <v>18429897</v>
      </c>
      <c r="X1336">
        <f t="shared" si="122"/>
        <v>17829897</v>
      </c>
      <c r="Y1336">
        <f t="shared" si="123"/>
        <v>-26144845.5</v>
      </c>
      <c r="Z1336">
        <f t="shared" si="124"/>
        <v>45174742.5</v>
      </c>
      <c r="AA1336" t="str">
        <f t="shared" si="125"/>
        <v>Normal</v>
      </c>
      <c r="AE1336" s="2"/>
      <c r="AF1336" s="2"/>
    </row>
    <row r="1337" spans="1:32" x14ac:dyDescent="0.35">
      <c r="A1337">
        <v>1336</v>
      </c>
      <c r="B1337" s="1">
        <v>42672</v>
      </c>
      <c r="C1337" s="9" t="s">
        <v>2347</v>
      </c>
      <c r="D1337" s="9" t="s">
        <v>4930</v>
      </c>
      <c r="E1337" s="9" t="s">
        <v>6774</v>
      </c>
      <c r="F1337" s="9" t="s">
        <v>35</v>
      </c>
      <c r="G1337" s="9" t="s">
        <v>2031</v>
      </c>
      <c r="H1337" s="9" t="s">
        <v>86</v>
      </c>
      <c r="I1337" s="11">
        <v>100000</v>
      </c>
      <c r="J1337" s="11">
        <v>3198439</v>
      </c>
      <c r="K1337" s="11">
        <v>6733911</v>
      </c>
      <c r="L1337" s="3">
        <v>342</v>
      </c>
      <c r="M1337" s="3">
        <v>2505.5</v>
      </c>
      <c r="N1337" s="3">
        <v>641892</v>
      </c>
      <c r="O1337" s="2">
        <v>0.33200000000000002</v>
      </c>
      <c r="P1337" s="2">
        <v>1.038</v>
      </c>
      <c r="Q1337" s="2">
        <v>-0.19</v>
      </c>
      <c r="R1337" s="11">
        <v>262039873</v>
      </c>
      <c r="S1337" s="11">
        <v>929185</v>
      </c>
      <c r="T1337">
        <v>2016</v>
      </c>
      <c r="U1337">
        <v>10</v>
      </c>
      <c r="V1337">
        <f t="shared" si="120"/>
        <v>600000</v>
      </c>
      <c r="W1337">
        <f t="shared" si="121"/>
        <v>18429897</v>
      </c>
      <c r="X1337">
        <f t="shared" si="122"/>
        <v>17829897</v>
      </c>
      <c r="Y1337">
        <f t="shared" si="123"/>
        <v>-26144845.5</v>
      </c>
      <c r="Z1337">
        <f t="shared" si="124"/>
        <v>45174742.5</v>
      </c>
      <c r="AA1337" t="str">
        <f t="shared" si="125"/>
        <v>Normal</v>
      </c>
      <c r="AE1337" s="2"/>
      <c r="AF1337" s="2"/>
    </row>
    <row r="1338" spans="1:32" x14ac:dyDescent="0.35">
      <c r="A1338">
        <v>1337</v>
      </c>
      <c r="B1338" s="1">
        <v>42672</v>
      </c>
      <c r="C1338" s="9" t="s">
        <v>2348</v>
      </c>
      <c r="D1338" s="9" t="s">
        <v>4930</v>
      </c>
      <c r="E1338" s="9" t="s">
        <v>6775</v>
      </c>
      <c r="F1338" s="9" t="s">
        <v>15</v>
      </c>
      <c r="G1338" s="9" t="s">
        <v>2031</v>
      </c>
      <c r="H1338" s="9" t="s">
        <v>86</v>
      </c>
      <c r="I1338" s="11">
        <v>100000</v>
      </c>
      <c r="J1338" s="11">
        <v>1495883</v>
      </c>
      <c r="K1338" s="11">
        <v>4832627</v>
      </c>
      <c r="L1338" s="3">
        <v>323</v>
      </c>
      <c r="M1338" s="3">
        <v>2278</v>
      </c>
      <c r="N1338" s="3">
        <v>136330</v>
      </c>
      <c r="O1338" s="2">
        <v>0.22700000000000001</v>
      </c>
      <c r="P1338" s="2">
        <v>0.50800000000000001</v>
      </c>
      <c r="Q1338" s="2">
        <v>3.2000000000000001E-2</v>
      </c>
      <c r="R1338" s="11">
        <v>263259247</v>
      </c>
      <c r="S1338" s="11">
        <v>544013</v>
      </c>
      <c r="T1338">
        <v>2016</v>
      </c>
      <c r="U1338">
        <v>10</v>
      </c>
      <c r="V1338">
        <f t="shared" si="120"/>
        <v>600000</v>
      </c>
      <c r="W1338">
        <f t="shared" si="121"/>
        <v>18429897</v>
      </c>
      <c r="X1338">
        <f t="shared" si="122"/>
        <v>17829897</v>
      </c>
      <c r="Y1338">
        <f t="shared" si="123"/>
        <v>-26144845.5</v>
      </c>
      <c r="Z1338">
        <f t="shared" si="124"/>
        <v>45174742.5</v>
      </c>
      <c r="AA1338" t="str">
        <f t="shared" si="125"/>
        <v>Normal</v>
      </c>
      <c r="AE1338" s="2"/>
      <c r="AF1338" s="2"/>
    </row>
    <row r="1339" spans="1:32" x14ac:dyDescent="0.35">
      <c r="A1339">
        <v>1338</v>
      </c>
      <c r="B1339" s="1">
        <v>42673</v>
      </c>
      <c r="C1339" s="9" t="s">
        <v>2349</v>
      </c>
      <c r="D1339" s="9" t="s">
        <v>4930</v>
      </c>
      <c r="E1339" s="9" t="s">
        <v>6776</v>
      </c>
      <c r="F1339" s="9" t="s">
        <v>15</v>
      </c>
      <c r="G1339" s="9" t="s">
        <v>2350</v>
      </c>
      <c r="H1339" s="9" t="s">
        <v>105</v>
      </c>
      <c r="I1339" s="11">
        <v>750000</v>
      </c>
      <c r="J1339" s="11">
        <v>3880931</v>
      </c>
      <c r="K1339" s="11">
        <v>8003074</v>
      </c>
      <c r="L1339" s="3">
        <v>389</v>
      </c>
      <c r="M1339" s="3">
        <v>2535</v>
      </c>
      <c r="N1339" s="3">
        <v>703942</v>
      </c>
      <c r="O1339" s="2">
        <v>0.155</v>
      </c>
      <c r="P1339" s="2">
        <v>1.012</v>
      </c>
      <c r="Q1339" s="2">
        <v>0.23499999999999999</v>
      </c>
      <c r="R1339" s="11">
        <v>163695671</v>
      </c>
      <c r="S1339" s="11">
        <v>1013779</v>
      </c>
      <c r="T1339">
        <v>2016</v>
      </c>
      <c r="U1339">
        <v>10</v>
      </c>
      <c r="V1339">
        <f t="shared" si="120"/>
        <v>600000</v>
      </c>
      <c r="W1339">
        <f t="shared" si="121"/>
        <v>18429897</v>
      </c>
      <c r="X1339">
        <f t="shared" si="122"/>
        <v>17829897</v>
      </c>
      <c r="Y1339">
        <f t="shared" si="123"/>
        <v>-26144845.5</v>
      </c>
      <c r="Z1339">
        <f t="shared" si="124"/>
        <v>45174742.5</v>
      </c>
      <c r="AA1339" t="str">
        <f t="shared" si="125"/>
        <v>Normal</v>
      </c>
      <c r="AE1339" s="2"/>
      <c r="AF1339" s="2"/>
    </row>
    <row r="1340" spans="1:32" x14ac:dyDescent="0.35">
      <c r="A1340">
        <v>1339</v>
      </c>
      <c r="B1340" s="1">
        <v>42674</v>
      </c>
      <c r="C1340" s="9" t="s">
        <v>2351</v>
      </c>
      <c r="D1340" s="9" t="s">
        <v>4988</v>
      </c>
      <c r="E1340" s="9" t="s">
        <v>6777</v>
      </c>
      <c r="F1340" s="9" t="s">
        <v>31</v>
      </c>
      <c r="G1340" s="9" t="s">
        <v>2352</v>
      </c>
      <c r="H1340" s="9" t="s">
        <v>86</v>
      </c>
      <c r="I1340" s="11">
        <v>1000000</v>
      </c>
      <c r="J1340" s="11">
        <v>2051550</v>
      </c>
      <c r="K1340" s="11">
        <v>6774238</v>
      </c>
      <c r="L1340" s="3">
        <v>22</v>
      </c>
      <c r="M1340" s="3">
        <v>682</v>
      </c>
      <c r="N1340" s="3">
        <v>439818</v>
      </c>
      <c r="O1340" s="2">
        <v>-0.17399999999999999</v>
      </c>
      <c r="P1340" s="2">
        <v>0.79200000000000004</v>
      </c>
      <c r="Q1340" s="2">
        <v>9.8000000000000004E-2</v>
      </c>
      <c r="R1340" s="11">
        <v>304996034</v>
      </c>
      <c r="S1340" s="11">
        <v>1348109</v>
      </c>
      <c r="T1340">
        <v>2016</v>
      </c>
      <c r="U1340">
        <v>10</v>
      </c>
      <c r="V1340">
        <f t="shared" si="120"/>
        <v>600000</v>
      </c>
      <c r="W1340">
        <f t="shared" si="121"/>
        <v>18429897</v>
      </c>
      <c r="X1340">
        <f t="shared" si="122"/>
        <v>17829897</v>
      </c>
      <c r="Y1340">
        <f t="shared" si="123"/>
        <v>-26144845.5</v>
      </c>
      <c r="Z1340">
        <f t="shared" si="124"/>
        <v>45174742.5</v>
      </c>
      <c r="AA1340" t="str">
        <f t="shared" si="125"/>
        <v>Normal</v>
      </c>
      <c r="AE1340" s="2"/>
      <c r="AF1340" s="2"/>
    </row>
    <row r="1341" spans="1:32" x14ac:dyDescent="0.35">
      <c r="A1341">
        <v>1340</v>
      </c>
      <c r="B1341" s="1">
        <v>42614</v>
      </c>
      <c r="C1341" s="9" t="s">
        <v>370</v>
      </c>
      <c r="D1341" s="9" t="s">
        <v>4930</v>
      </c>
      <c r="E1341" s="9" t="s">
        <v>5079</v>
      </c>
      <c r="F1341" s="9" t="s">
        <v>35</v>
      </c>
      <c r="G1341" s="9" t="s">
        <v>2353</v>
      </c>
      <c r="H1341" s="9" t="s">
        <v>105</v>
      </c>
      <c r="I1341" s="11">
        <v>18429897</v>
      </c>
      <c r="J1341" s="11">
        <v>2680158</v>
      </c>
      <c r="K1341" s="11">
        <v>14535549</v>
      </c>
      <c r="L1341" s="3">
        <v>394</v>
      </c>
      <c r="M1341" s="3">
        <v>3317</v>
      </c>
      <c r="N1341" s="3">
        <v>707918</v>
      </c>
      <c r="O1341" s="2">
        <v>-0.113</v>
      </c>
      <c r="P1341" s="2">
        <v>0.499</v>
      </c>
      <c r="Q1341" s="2">
        <v>-1</v>
      </c>
      <c r="R1341" s="11">
        <v>309765189</v>
      </c>
      <c r="S1341" s="11">
        <v>1457397</v>
      </c>
      <c r="T1341">
        <v>2016</v>
      </c>
      <c r="U1341">
        <v>9</v>
      </c>
      <c r="V1341">
        <f t="shared" si="120"/>
        <v>600000</v>
      </c>
      <c r="W1341">
        <f t="shared" si="121"/>
        <v>18429897</v>
      </c>
      <c r="X1341">
        <f t="shared" si="122"/>
        <v>17829897</v>
      </c>
      <c r="Y1341">
        <f t="shared" si="123"/>
        <v>-26144845.5</v>
      </c>
      <c r="Z1341">
        <f t="shared" si="124"/>
        <v>45174742.5</v>
      </c>
      <c r="AA1341" t="str">
        <f t="shared" si="125"/>
        <v>Normal</v>
      </c>
      <c r="AE1341" s="2"/>
      <c r="AF1341" s="2"/>
    </row>
    <row r="1342" spans="1:32" x14ac:dyDescent="0.35">
      <c r="A1342">
        <v>1341</v>
      </c>
      <c r="B1342" s="1">
        <v>42614</v>
      </c>
      <c r="C1342" s="9" t="s">
        <v>2354</v>
      </c>
      <c r="D1342" s="9" t="s">
        <v>4930</v>
      </c>
      <c r="E1342" s="9" t="s">
        <v>6778</v>
      </c>
      <c r="F1342" s="9" t="s">
        <v>554</v>
      </c>
      <c r="G1342" s="9" t="s">
        <v>853</v>
      </c>
      <c r="H1342" s="9" t="s">
        <v>105</v>
      </c>
      <c r="I1342" s="11">
        <v>6700000</v>
      </c>
      <c r="J1342" s="11">
        <v>2531926</v>
      </c>
      <c r="K1342" s="11">
        <v>7481480</v>
      </c>
      <c r="L1342" s="3">
        <v>22</v>
      </c>
      <c r="M1342" s="3">
        <v>4218</v>
      </c>
      <c r="N1342" s="3">
        <v>389845</v>
      </c>
      <c r="O1342" s="2">
        <v>0.19900000000000001</v>
      </c>
      <c r="P1342" s="2">
        <v>0.63</v>
      </c>
      <c r="Q1342" s="2">
        <v>0.35100000000000003</v>
      </c>
      <c r="R1342" s="11">
        <v>391185583</v>
      </c>
      <c r="S1342" s="11">
        <v>1227998</v>
      </c>
      <c r="T1342">
        <v>2016</v>
      </c>
      <c r="U1342">
        <v>9</v>
      </c>
      <c r="V1342">
        <f t="shared" si="120"/>
        <v>600000</v>
      </c>
      <c r="W1342">
        <f t="shared" si="121"/>
        <v>18429897</v>
      </c>
      <c r="X1342">
        <f t="shared" si="122"/>
        <v>17829897</v>
      </c>
      <c r="Y1342">
        <f t="shared" si="123"/>
        <v>-26144845.5</v>
      </c>
      <c r="Z1342">
        <f t="shared" si="124"/>
        <v>45174742.5</v>
      </c>
      <c r="AA1342" t="str">
        <f t="shared" si="125"/>
        <v>Normal</v>
      </c>
      <c r="AE1342" s="2"/>
      <c r="AF1342" s="2"/>
    </row>
    <row r="1343" spans="1:32" x14ac:dyDescent="0.35">
      <c r="A1343">
        <v>1342</v>
      </c>
      <c r="B1343" s="1">
        <v>42614</v>
      </c>
      <c r="C1343" s="9" t="s">
        <v>2355</v>
      </c>
      <c r="D1343" s="9" t="s">
        <v>4925</v>
      </c>
      <c r="E1343" s="9" t="s">
        <v>6779</v>
      </c>
      <c r="F1343" s="9" t="s">
        <v>124</v>
      </c>
      <c r="G1343" s="9" t="s">
        <v>2356</v>
      </c>
      <c r="H1343" s="9" t="s">
        <v>86</v>
      </c>
      <c r="I1343" s="11">
        <v>18429897</v>
      </c>
      <c r="J1343" s="11">
        <v>614329</v>
      </c>
      <c r="K1343" s="11">
        <v>7587825</v>
      </c>
      <c r="L1343" s="3">
        <v>326</v>
      </c>
      <c r="M1343" s="3">
        <v>1643</v>
      </c>
      <c r="N1343" s="3">
        <v>393331</v>
      </c>
      <c r="O1343" s="2">
        <v>0.24600000000000002</v>
      </c>
      <c r="P1343" s="2">
        <v>0.60899999999999999</v>
      </c>
      <c r="Q1343" s="2">
        <v>3.5000000000000003E-2</v>
      </c>
      <c r="R1343" s="11">
        <v>21086745</v>
      </c>
      <c r="S1343" s="11">
        <v>343013</v>
      </c>
      <c r="T1343">
        <v>2016</v>
      </c>
      <c r="U1343">
        <v>9</v>
      </c>
      <c r="V1343">
        <f t="shared" si="120"/>
        <v>600000</v>
      </c>
      <c r="W1343">
        <f t="shared" si="121"/>
        <v>18429897</v>
      </c>
      <c r="X1343">
        <f t="shared" si="122"/>
        <v>17829897</v>
      </c>
      <c r="Y1343">
        <f t="shared" si="123"/>
        <v>-26144845.5</v>
      </c>
      <c r="Z1343">
        <f t="shared" si="124"/>
        <v>45174742.5</v>
      </c>
      <c r="AA1343" t="str">
        <f t="shared" si="125"/>
        <v>Normal</v>
      </c>
      <c r="AE1343" s="2"/>
      <c r="AF1343" s="2"/>
    </row>
    <row r="1344" spans="1:32" x14ac:dyDescent="0.35">
      <c r="A1344">
        <v>1343</v>
      </c>
      <c r="B1344" s="1">
        <v>42614</v>
      </c>
      <c r="C1344" s="9" t="s">
        <v>1505</v>
      </c>
      <c r="D1344" s="9" t="s">
        <v>4930</v>
      </c>
      <c r="E1344" s="9" t="s">
        <v>6780</v>
      </c>
      <c r="F1344" s="9" t="s">
        <v>27</v>
      </c>
      <c r="G1344" s="9" t="s">
        <v>2357</v>
      </c>
      <c r="H1344" s="9" t="s">
        <v>86</v>
      </c>
      <c r="I1344" s="11">
        <v>18429897</v>
      </c>
      <c r="J1344" s="11">
        <v>2882862</v>
      </c>
      <c r="K1344" s="11">
        <v>18895683</v>
      </c>
      <c r="L1344" s="3">
        <v>177</v>
      </c>
      <c r="M1344" s="3">
        <v>1983</v>
      </c>
      <c r="N1344" s="3">
        <v>1470639</v>
      </c>
      <c r="O1344" s="2">
        <v>0.17100000000000001</v>
      </c>
      <c r="P1344" s="2">
        <v>0.55200000000000005</v>
      </c>
      <c r="Q1344" s="2">
        <v>-0.7</v>
      </c>
      <c r="R1344" s="11">
        <v>106860570</v>
      </c>
      <c r="S1344" s="11">
        <v>1008193.5</v>
      </c>
      <c r="T1344">
        <v>2016</v>
      </c>
      <c r="U1344">
        <v>9</v>
      </c>
      <c r="V1344">
        <f t="shared" si="120"/>
        <v>600000</v>
      </c>
      <c r="W1344">
        <f t="shared" si="121"/>
        <v>18429897</v>
      </c>
      <c r="X1344">
        <f t="shared" si="122"/>
        <v>17829897</v>
      </c>
      <c r="Y1344">
        <f t="shared" si="123"/>
        <v>-26144845.5</v>
      </c>
      <c r="Z1344">
        <f t="shared" si="124"/>
        <v>45174742.5</v>
      </c>
      <c r="AA1344" t="str">
        <f t="shared" si="125"/>
        <v>Normal</v>
      </c>
      <c r="AE1344" s="2"/>
      <c r="AF1344" s="2"/>
    </row>
    <row r="1345" spans="1:32" x14ac:dyDescent="0.35">
      <c r="A1345">
        <v>1344</v>
      </c>
      <c r="B1345" s="1">
        <v>42617</v>
      </c>
      <c r="C1345" s="9" t="s">
        <v>2358</v>
      </c>
      <c r="D1345" s="9" t="s">
        <v>4930</v>
      </c>
      <c r="E1345" s="9" t="s">
        <v>6781</v>
      </c>
      <c r="F1345" s="9" t="s">
        <v>1984</v>
      </c>
      <c r="G1345" s="9" t="s">
        <v>2359</v>
      </c>
      <c r="H1345" s="9" t="s">
        <v>105</v>
      </c>
      <c r="I1345" s="11">
        <v>18429897</v>
      </c>
      <c r="J1345" s="11">
        <v>949720</v>
      </c>
      <c r="K1345" s="11">
        <v>11617021</v>
      </c>
      <c r="L1345" s="3">
        <v>254</v>
      </c>
      <c r="M1345" s="3">
        <v>509</v>
      </c>
      <c r="N1345" s="3">
        <v>948952</v>
      </c>
      <c r="O1345" s="2">
        <v>2.5000000000000001E-2</v>
      </c>
      <c r="P1345" s="2">
        <v>0.442</v>
      </c>
      <c r="Q1345" s="2">
        <v>0.13500000000000001</v>
      </c>
      <c r="R1345" s="11">
        <v>112820755</v>
      </c>
      <c r="S1345" s="11">
        <v>259437</v>
      </c>
      <c r="T1345">
        <v>2016</v>
      </c>
      <c r="U1345">
        <v>9</v>
      </c>
      <c r="V1345">
        <f t="shared" si="120"/>
        <v>600000</v>
      </c>
      <c r="W1345">
        <f t="shared" si="121"/>
        <v>18429897</v>
      </c>
      <c r="X1345">
        <f t="shared" si="122"/>
        <v>17829897</v>
      </c>
      <c r="Y1345">
        <f t="shared" si="123"/>
        <v>-26144845.5</v>
      </c>
      <c r="Z1345">
        <f t="shared" si="124"/>
        <v>45174742.5</v>
      </c>
      <c r="AA1345" t="str">
        <f t="shared" si="125"/>
        <v>Normal</v>
      </c>
      <c r="AE1345" s="2"/>
      <c r="AF1345" s="2"/>
    </row>
    <row r="1346" spans="1:32" x14ac:dyDescent="0.35">
      <c r="A1346">
        <v>1345</v>
      </c>
      <c r="B1346" s="1">
        <v>42618</v>
      </c>
      <c r="C1346" s="9" t="s">
        <v>2360</v>
      </c>
      <c r="D1346" s="9" t="s">
        <v>4930</v>
      </c>
      <c r="E1346" s="9" t="s">
        <v>6782</v>
      </c>
      <c r="F1346" s="9" t="s">
        <v>31</v>
      </c>
      <c r="G1346" s="9" t="s">
        <v>2361</v>
      </c>
      <c r="H1346" s="9" t="s">
        <v>86</v>
      </c>
      <c r="I1346" s="11">
        <v>18429897</v>
      </c>
      <c r="J1346" s="11">
        <v>2531926</v>
      </c>
      <c r="K1346" s="11">
        <v>18594281</v>
      </c>
      <c r="L1346" s="3">
        <v>345</v>
      </c>
      <c r="M1346" s="3">
        <v>2930</v>
      </c>
      <c r="N1346" s="3">
        <v>1388966</v>
      </c>
      <c r="O1346" s="2">
        <v>1.9E-2</v>
      </c>
      <c r="P1346" s="2">
        <v>0.59799999999999998</v>
      </c>
      <c r="Q1346" s="2">
        <v>0.42699999999999999</v>
      </c>
      <c r="R1346" s="11">
        <v>116064215</v>
      </c>
      <c r="S1346" s="11">
        <v>553648</v>
      </c>
      <c r="T1346">
        <v>2016</v>
      </c>
      <c r="U1346">
        <v>9</v>
      </c>
      <c r="V1346">
        <f t="shared" ref="V1346:V1409" si="126">_xlfn.PERCENTILE.INC(I1346:I4389,0.25)</f>
        <v>600000</v>
      </c>
      <c r="W1346">
        <f t="shared" ref="W1346:W1409" si="127">_xlfn.PERCENTILE.INC(I1346:I4389,0.75)</f>
        <v>18429897</v>
      </c>
      <c r="X1346">
        <f t="shared" ref="X1346:X1409" si="128">W1346-V1346</f>
        <v>17829897</v>
      </c>
      <c r="Y1346">
        <f t="shared" ref="Y1346:Y1409" si="129">V1346-1.5*X1346</f>
        <v>-26144845.5</v>
      </c>
      <c r="Z1346">
        <f t="shared" ref="Z1346:Z1409" si="130">W1346+1.5*X1346</f>
        <v>45174742.5</v>
      </c>
      <c r="AA1346" t="str">
        <f t="shared" ref="AA1346:AA1409" si="131">IF(OR(I1346&lt;$Y$2, I1346&gt;$Z$2), "Outlier", "Normal")</f>
        <v>Normal</v>
      </c>
      <c r="AE1346" s="2"/>
      <c r="AF1346" s="2"/>
    </row>
    <row r="1347" spans="1:32" x14ac:dyDescent="0.35">
      <c r="A1347">
        <v>1346</v>
      </c>
      <c r="B1347" s="1">
        <v>42618</v>
      </c>
      <c r="C1347" s="9" t="s">
        <v>2030</v>
      </c>
      <c r="D1347" s="9" t="s">
        <v>4925</v>
      </c>
      <c r="E1347" s="9" t="s">
        <v>6603</v>
      </c>
      <c r="F1347" s="9" t="s">
        <v>27</v>
      </c>
      <c r="G1347" s="9" t="s">
        <v>2362</v>
      </c>
      <c r="H1347" s="9" t="s">
        <v>86</v>
      </c>
      <c r="I1347" s="11">
        <v>18429897</v>
      </c>
      <c r="J1347" s="11">
        <v>4281254</v>
      </c>
      <c r="K1347" s="11">
        <v>14238939</v>
      </c>
      <c r="L1347" s="3">
        <v>278</v>
      </c>
      <c r="M1347" s="3">
        <v>2166</v>
      </c>
      <c r="N1347" s="3">
        <v>1153553</v>
      </c>
      <c r="O1347" s="2">
        <v>0.16300000000000001</v>
      </c>
      <c r="P1347" s="2">
        <v>0.79900000000000004</v>
      </c>
      <c r="Q1347" s="2">
        <v>0.36749999999999999</v>
      </c>
      <c r="R1347" s="11">
        <v>460246147</v>
      </c>
      <c r="S1347" s="11">
        <v>1008193.5</v>
      </c>
      <c r="T1347">
        <v>2016</v>
      </c>
      <c r="U1347">
        <v>9</v>
      </c>
      <c r="V1347">
        <f t="shared" si="126"/>
        <v>600000</v>
      </c>
      <c r="W1347">
        <f t="shared" si="127"/>
        <v>18429897</v>
      </c>
      <c r="X1347">
        <f t="shared" si="128"/>
        <v>17829897</v>
      </c>
      <c r="Y1347">
        <f t="shared" si="129"/>
        <v>-26144845.5</v>
      </c>
      <c r="Z1347">
        <f t="shared" si="130"/>
        <v>45174742.5</v>
      </c>
      <c r="AA1347" t="str">
        <f t="shared" si="131"/>
        <v>Normal</v>
      </c>
      <c r="AE1347" s="2"/>
      <c r="AF1347" s="2"/>
    </row>
    <row r="1348" spans="1:32" x14ac:dyDescent="0.35">
      <c r="A1348">
        <v>1347</v>
      </c>
      <c r="B1348" s="1">
        <v>42619</v>
      </c>
      <c r="C1348" s="9" t="s">
        <v>511</v>
      </c>
      <c r="D1348" s="9" t="s">
        <v>4925</v>
      </c>
      <c r="E1348" s="9" t="s">
        <v>6783</v>
      </c>
      <c r="F1348" s="9" t="s">
        <v>35</v>
      </c>
      <c r="G1348" s="9" t="s">
        <v>2363</v>
      </c>
      <c r="H1348" s="9" t="s">
        <v>105</v>
      </c>
      <c r="I1348" s="11">
        <v>1350000</v>
      </c>
      <c r="J1348" s="11">
        <v>3510387</v>
      </c>
      <c r="K1348" s="11">
        <v>17715597</v>
      </c>
      <c r="L1348" s="3">
        <v>334</v>
      </c>
      <c r="M1348" s="3">
        <v>2505.5</v>
      </c>
      <c r="N1348" s="3">
        <v>1076333</v>
      </c>
      <c r="O1348" s="2">
        <v>-0.13</v>
      </c>
      <c r="P1348" s="2">
        <v>0.39600000000000002</v>
      </c>
      <c r="Q1348" s="2">
        <v>-0.121</v>
      </c>
      <c r="R1348" s="11">
        <v>157702724</v>
      </c>
      <c r="S1348" s="11">
        <v>1741807</v>
      </c>
      <c r="T1348">
        <v>2016</v>
      </c>
      <c r="U1348">
        <v>9</v>
      </c>
      <c r="V1348">
        <f t="shared" si="126"/>
        <v>600000</v>
      </c>
      <c r="W1348">
        <f t="shared" si="127"/>
        <v>18429897</v>
      </c>
      <c r="X1348">
        <f t="shared" si="128"/>
        <v>17829897</v>
      </c>
      <c r="Y1348">
        <f t="shared" si="129"/>
        <v>-26144845.5</v>
      </c>
      <c r="Z1348">
        <f t="shared" si="130"/>
        <v>45174742.5</v>
      </c>
      <c r="AA1348" t="str">
        <f t="shared" si="131"/>
        <v>Normal</v>
      </c>
      <c r="AE1348" s="2"/>
      <c r="AF1348" s="2"/>
    </row>
    <row r="1349" spans="1:32" x14ac:dyDescent="0.35">
      <c r="A1349">
        <v>1348</v>
      </c>
      <c r="B1349" s="1">
        <v>42619</v>
      </c>
      <c r="C1349" s="9" t="s">
        <v>2364</v>
      </c>
      <c r="D1349" s="9" t="s">
        <v>4988</v>
      </c>
      <c r="E1349" s="9" t="s">
        <v>6784</v>
      </c>
      <c r="F1349" s="9" t="s">
        <v>31</v>
      </c>
      <c r="G1349" s="9" t="s">
        <v>856</v>
      </c>
      <c r="H1349" s="9" t="s">
        <v>86</v>
      </c>
      <c r="I1349" s="11">
        <v>500000</v>
      </c>
      <c r="J1349" s="11">
        <v>3678802</v>
      </c>
      <c r="K1349" s="11">
        <v>3987962</v>
      </c>
      <c r="L1349" s="3">
        <v>191</v>
      </c>
      <c r="M1349" s="3">
        <v>4540</v>
      </c>
      <c r="N1349" s="3">
        <v>933004</v>
      </c>
      <c r="O1349" s="2">
        <v>0.13800000000000001</v>
      </c>
      <c r="P1349" s="2">
        <v>0.34200000000000003</v>
      </c>
      <c r="Q1349" s="2">
        <v>0.23600000000000002</v>
      </c>
      <c r="R1349" s="11">
        <v>355498883</v>
      </c>
      <c r="S1349" s="11">
        <v>750252</v>
      </c>
      <c r="T1349">
        <v>2016</v>
      </c>
      <c r="U1349">
        <v>9</v>
      </c>
      <c r="V1349">
        <f t="shared" si="126"/>
        <v>600000</v>
      </c>
      <c r="W1349">
        <f t="shared" si="127"/>
        <v>18429897</v>
      </c>
      <c r="X1349">
        <f t="shared" si="128"/>
        <v>17829897</v>
      </c>
      <c r="Y1349">
        <f t="shared" si="129"/>
        <v>-26144845.5</v>
      </c>
      <c r="Z1349">
        <f t="shared" si="130"/>
        <v>45174742.5</v>
      </c>
      <c r="AA1349" t="str">
        <f t="shared" si="131"/>
        <v>Normal</v>
      </c>
      <c r="AE1349" s="2"/>
      <c r="AF1349" s="2"/>
    </row>
    <row r="1350" spans="1:32" x14ac:dyDescent="0.35">
      <c r="A1350">
        <v>1349</v>
      </c>
      <c r="B1350" s="1">
        <v>42619</v>
      </c>
      <c r="C1350" s="9" t="s">
        <v>65</v>
      </c>
      <c r="D1350" s="9" t="s">
        <v>4925</v>
      </c>
      <c r="E1350" s="9" t="s">
        <v>6785</v>
      </c>
      <c r="F1350" s="9" t="s">
        <v>27</v>
      </c>
      <c r="G1350" s="9" t="s">
        <v>2365</v>
      </c>
      <c r="H1350" s="9" t="s">
        <v>105</v>
      </c>
      <c r="I1350" s="11">
        <v>18429897</v>
      </c>
      <c r="J1350" s="11">
        <v>2984159</v>
      </c>
      <c r="K1350" s="11">
        <v>18769853</v>
      </c>
      <c r="L1350" s="3">
        <v>142</v>
      </c>
      <c r="M1350" s="3">
        <v>3878</v>
      </c>
      <c r="N1350" s="3">
        <v>774174</v>
      </c>
      <c r="O1350" s="2">
        <v>-0.158</v>
      </c>
      <c r="P1350" s="2">
        <v>0.89</v>
      </c>
      <c r="Q1350" s="2">
        <v>1.7000000000000001E-2</v>
      </c>
      <c r="R1350" s="11">
        <v>441634053</v>
      </c>
      <c r="S1350" s="11">
        <v>800870</v>
      </c>
      <c r="T1350">
        <v>2016</v>
      </c>
      <c r="U1350">
        <v>9</v>
      </c>
      <c r="V1350">
        <f t="shared" si="126"/>
        <v>600000</v>
      </c>
      <c r="W1350">
        <f t="shared" si="127"/>
        <v>18429897</v>
      </c>
      <c r="X1350">
        <f t="shared" si="128"/>
        <v>17829897</v>
      </c>
      <c r="Y1350">
        <f t="shared" si="129"/>
        <v>-26144845.5</v>
      </c>
      <c r="Z1350">
        <f t="shared" si="130"/>
        <v>45174742.5</v>
      </c>
      <c r="AA1350" t="str">
        <f t="shared" si="131"/>
        <v>Normal</v>
      </c>
      <c r="AE1350" s="2"/>
      <c r="AF1350" s="2"/>
    </row>
    <row r="1351" spans="1:32" x14ac:dyDescent="0.35">
      <c r="A1351">
        <v>1350</v>
      </c>
      <c r="B1351" s="1">
        <v>42619</v>
      </c>
      <c r="C1351" s="9" t="s">
        <v>1354</v>
      </c>
      <c r="D1351" s="9" t="s">
        <v>4988</v>
      </c>
      <c r="E1351" s="9" t="s">
        <v>6786</v>
      </c>
      <c r="F1351" s="9" t="s">
        <v>31</v>
      </c>
      <c r="G1351" s="9" t="s">
        <v>436</v>
      </c>
      <c r="H1351" s="9" t="s">
        <v>105</v>
      </c>
      <c r="I1351" s="11">
        <v>900000</v>
      </c>
      <c r="J1351" s="11">
        <v>320246</v>
      </c>
      <c r="K1351" s="11">
        <v>18890405</v>
      </c>
      <c r="L1351" s="3">
        <v>314</v>
      </c>
      <c r="M1351" s="3">
        <v>1089</v>
      </c>
      <c r="N1351" s="3">
        <v>524076</v>
      </c>
      <c r="O1351" s="2">
        <v>-9.0999999999999998E-2</v>
      </c>
      <c r="P1351" s="2">
        <v>0.72599999999999998</v>
      </c>
      <c r="Q1351" s="2">
        <v>0.23899999999999999</v>
      </c>
      <c r="R1351" s="11">
        <v>47790143</v>
      </c>
      <c r="S1351" s="11">
        <v>1266536</v>
      </c>
      <c r="T1351">
        <v>2016</v>
      </c>
      <c r="U1351">
        <v>9</v>
      </c>
      <c r="V1351">
        <f t="shared" si="126"/>
        <v>600000</v>
      </c>
      <c r="W1351">
        <f t="shared" si="127"/>
        <v>18429897</v>
      </c>
      <c r="X1351">
        <f t="shared" si="128"/>
        <v>17829897</v>
      </c>
      <c r="Y1351">
        <f t="shared" si="129"/>
        <v>-26144845.5</v>
      </c>
      <c r="Z1351">
        <f t="shared" si="130"/>
        <v>45174742.5</v>
      </c>
      <c r="AA1351" t="str">
        <f t="shared" si="131"/>
        <v>Normal</v>
      </c>
      <c r="AE1351" s="2"/>
      <c r="AF1351" s="2"/>
    </row>
    <row r="1352" spans="1:32" x14ac:dyDescent="0.35">
      <c r="A1352">
        <v>1351</v>
      </c>
      <c r="B1352" s="1">
        <v>42620</v>
      </c>
      <c r="C1352" s="9" t="s">
        <v>286</v>
      </c>
      <c r="D1352" s="9" t="s">
        <v>4925</v>
      </c>
      <c r="E1352" s="9" t="s">
        <v>6787</v>
      </c>
      <c r="F1352" s="9" t="s">
        <v>2366</v>
      </c>
      <c r="G1352" s="9" t="s">
        <v>4853</v>
      </c>
      <c r="H1352" s="9" t="s">
        <v>105</v>
      </c>
      <c r="I1352" s="11">
        <v>8000000</v>
      </c>
      <c r="J1352" s="11">
        <v>1973998</v>
      </c>
      <c r="K1352" s="11">
        <v>911290</v>
      </c>
      <c r="L1352" s="3">
        <v>111</v>
      </c>
      <c r="M1352" s="3">
        <v>1031</v>
      </c>
      <c r="N1352" s="3">
        <v>1778837</v>
      </c>
      <c r="O1352" s="2">
        <v>0.156</v>
      </c>
      <c r="P1352" s="2">
        <v>0.55200000000000005</v>
      </c>
      <c r="Q1352" s="2">
        <v>-0.41199999999999998</v>
      </c>
      <c r="R1352" s="11">
        <v>393347803</v>
      </c>
      <c r="S1352" s="11">
        <v>1994213</v>
      </c>
      <c r="T1352">
        <v>2016</v>
      </c>
      <c r="U1352">
        <v>9</v>
      </c>
      <c r="V1352">
        <f t="shared" si="126"/>
        <v>600000</v>
      </c>
      <c r="W1352">
        <f t="shared" si="127"/>
        <v>18429897</v>
      </c>
      <c r="X1352">
        <f t="shared" si="128"/>
        <v>17829897</v>
      </c>
      <c r="Y1352">
        <f t="shared" si="129"/>
        <v>-26144845.5</v>
      </c>
      <c r="Z1352">
        <f t="shared" si="130"/>
        <v>45174742.5</v>
      </c>
      <c r="AA1352" t="str">
        <f t="shared" si="131"/>
        <v>Normal</v>
      </c>
      <c r="AE1352" s="2"/>
      <c r="AF1352" s="2"/>
    </row>
    <row r="1353" spans="1:32" x14ac:dyDescent="0.35">
      <c r="A1353">
        <v>1352</v>
      </c>
      <c r="B1353" s="1">
        <v>42620</v>
      </c>
      <c r="C1353" s="9" t="s">
        <v>2367</v>
      </c>
      <c r="D1353" s="9" t="s">
        <v>4988</v>
      </c>
      <c r="E1353" s="9" t="s">
        <v>6607</v>
      </c>
      <c r="F1353" s="9" t="s">
        <v>27</v>
      </c>
      <c r="G1353" s="9" t="s">
        <v>2016</v>
      </c>
      <c r="H1353" s="9" t="s">
        <v>86</v>
      </c>
      <c r="I1353" s="11">
        <v>500000</v>
      </c>
      <c r="J1353" s="11">
        <v>2531926</v>
      </c>
      <c r="K1353" s="11">
        <v>7187838</v>
      </c>
      <c r="L1353" s="3">
        <v>407</v>
      </c>
      <c r="M1353" s="3">
        <v>2454</v>
      </c>
      <c r="N1353" s="3">
        <v>818300</v>
      </c>
      <c r="O1353" s="2">
        <v>0.23699999999999999</v>
      </c>
      <c r="P1353" s="2">
        <v>1.1079999999999999</v>
      </c>
      <c r="Q1353" s="2">
        <v>0.109</v>
      </c>
      <c r="R1353" s="11">
        <v>335418283</v>
      </c>
      <c r="S1353" s="11">
        <v>565619</v>
      </c>
      <c r="T1353">
        <v>2016</v>
      </c>
      <c r="U1353">
        <v>9</v>
      </c>
      <c r="V1353">
        <f t="shared" si="126"/>
        <v>600000</v>
      </c>
      <c r="W1353">
        <f t="shared" si="127"/>
        <v>18429897</v>
      </c>
      <c r="X1353">
        <f t="shared" si="128"/>
        <v>17829897</v>
      </c>
      <c r="Y1353">
        <f t="shared" si="129"/>
        <v>-26144845.5</v>
      </c>
      <c r="Z1353">
        <f t="shared" si="130"/>
        <v>45174742.5</v>
      </c>
      <c r="AA1353" t="str">
        <f t="shared" si="131"/>
        <v>Normal</v>
      </c>
      <c r="AE1353" s="2"/>
      <c r="AF1353" s="2"/>
    </row>
    <row r="1354" spans="1:32" x14ac:dyDescent="0.35">
      <c r="A1354">
        <v>1353</v>
      </c>
      <c r="B1354" s="1">
        <v>42620</v>
      </c>
      <c r="C1354" s="9" t="s">
        <v>2368</v>
      </c>
      <c r="D1354" s="9" t="s">
        <v>4938</v>
      </c>
      <c r="E1354" s="9" t="s">
        <v>6788</v>
      </c>
      <c r="F1354" s="9" t="s">
        <v>15</v>
      </c>
      <c r="G1354" s="9" t="s">
        <v>1176</v>
      </c>
      <c r="H1354" s="9" t="s">
        <v>105</v>
      </c>
      <c r="I1354" s="11">
        <v>6000000</v>
      </c>
      <c r="J1354" s="11">
        <v>4578187</v>
      </c>
      <c r="K1354" s="11">
        <v>8324505</v>
      </c>
      <c r="L1354" s="3">
        <v>343</v>
      </c>
      <c r="M1354" s="3">
        <v>2505.5</v>
      </c>
      <c r="N1354" s="3">
        <v>1768178</v>
      </c>
      <c r="O1354" s="2">
        <v>0.188</v>
      </c>
      <c r="P1354" s="2">
        <v>0.66099999999999992</v>
      </c>
      <c r="Q1354" s="2">
        <v>3.7999999999999999E-2</v>
      </c>
      <c r="R1354" s="11">
        <v>491057929</v>
      </c>
      <c r="S1354" s="11">
        <v>1665437</v>
      </c>
      <c r="T1354">
        <v>2016</v>
      </c>
      <c r="U1354">
        <v>9</v>
      </c>
      <c r="V1354">
        <f t="shared" si="126"/>
        <v>600000</v>
      </c>
      <c r="W1354">
        <f t="shared" si="127"/>
        <v>18429897</v>
      </c>
      <c r="X1354">
        <f t="shared" si="128"/>
        <v>17829897</v>
      </c>
      <c r="Y1354">
        <f t="shared" si="129"/>
        <v>-26144845.5</v>
      </c>
      <c r="Z1354">
        <f t="shared" si="130"/>
        <v>45174742.5</v>
      </c>
      <c r="AA1354" t="str">
        <f t="shared" si="131"/>
        <v>Normal</v>
      </c>
      <c r="AE1354" s="2"/>
      <c r="AF1354" s="2"/>
    </row>
    <row r="1355" spans="1:32" x14ac:dyDescent="0.35">
      <c r="A1355">
        <v>1354</v>
      </c>
      <c r="B1355" s="1">
        <v>42620</v>
      </c>
      <c r="C1355" s="9" t="s">
        <v>2369</v>
      </c>
      <c r="D1355" s="9" t="s">
        <v>4925</v>
      </c>
      <c r="E1355" s="9" t="s">
        <v>5278</v>
      </c>
      <c r="F1355" s="9" t="s">
        <v>19</v>
      </c>
      <c r="G1355" s="9" t="s">
        <v>2370</v>
      </c>
      <c r="H1355" s="9" t="s">
        <v>86</v>
      </c>
      <c r="I1355" s="11">
        <v>315000</v>
      </c>
      <c r="J1355" s="11">
        <v>1113066</v>
      </c>
      <c r="K1355" s="11">
        <v>8445557</v>
      </c>
      <c r="L1355" s="3">
        <v>499</v>
      </c>
      <c r="M1355" s="3">
        <v>207</v>
      </c>
      <c r="N1355" s="3">
        <v>1536281</v>
      </c>
      <c r="O1355" s="2">
        <v>-0.10300000000000001</v>
      </c>
      <c r="P1355" s="2">
        <v>0.53200000000000003</v>
      </c>
      <c r="Q1355" s="2">
        <v>-0.14000000000000001</v>
      </c>
      <c r="R1355" s="11">
        <v>449856828</v>
      </c>
      <c r="S1355" s="11">
        <v>1851711</v>
      </c>
      <c r="T1355">
        <v>2016</v>
      </c>
      <c r="U1355">
        <v>9</v>
      </c>
      <c r="V1355">
        <f t="shared" si="126"/>
        <v>600000</v>
      </c>
      <c r="W1355">
        <f t="shared" si="127"/>
        <v>18429897</v>
      </c>
      <c r="X1355">
        <f t="shared" si="128"/>
        <v>17829897</v>
      </c>
      <c r="Y1355">
        <f t="shared" si="129"/>
        <v>-26144845.5</v>
      </c>
      <c r="Z1355">
        <f t="shared" si="130"/>
        <v>45174742.5</v>
      </c>
      <c r="AA1355" t="str">
        <f t="shared" si="131"/>
        <v>Normal</v>
      </c>
      <c r="AE1355" s="2"/>
      <c r="AF1355" s="2"/>
    </row>
    <row r="1356" spans="1:32" x14ac:dyDescent="0.35">
      <c r="A1356">
        <v>1355</v>
      </c>
      <c r="B1356" s="1">
        <v>42621</v>
      </c>
      <c r="C1356" s="9" t="s">
        <v>2371</v>
      </c>
      <c r="D1356" s="9" t="s">
        <v>4938</v>
      </c>
      <c r="E1356" s="9" t="s">
        <v>6371</v>
      </c>
      <c r="F1356" s="9" t="s">
        <v>15</v>
      </c>
      <c r="G1356" s="9" t="s">
        <v>2372</v>
      </c>
      <c r="H1356" s="9" t="s">
        <v>86</v>
      </c>
      <c r="I1356" s="11">
        <v>670000</v>
      </c>
      <c r="J1356" s="11">
        <v>2494644</v>
      </c>
      <c r="K1356" s="11">
        <v>15590219</v>
      </c>
      <c r="L1356" s="3">
        <v>18</v>
      </c>
      <c r="M1356" s="3">
        <v>2503</v>
      </c>
      <c r="N1356" s="3">
        <v>1205710</v>
      </c>
      <c r="O1356" s="2">
        <v>-0.254</v>
      </c>
      <c r="P1356" s="2">
        <v>0.41599999999999998</v>
      </c>
      <c r="Q1356" s="2">
        <v>-0.20300000000000001</v>
      </c>
      <c r="R1356" s="11">
        <v>146885134</v>
      </c>
      <c r="S1356" s="11">
        <v>1670385</v>
      </c>
      <c r="T1356">
        <v>2016</v>
      </c>
      <c r="U1356">
        <v>9</v>
      </c>
      <c r="V1356">
        <f t="shared" si="126"/>
        <v>600000</v>
      </c>
      <c r="W1356">
        <f t="shared" si="127"/>
        <v>18429897</v>
      </c>
      <c r="X1356">
        <f t="shared" si="128"/>
        <v>17829897</v>
      </c>
      <c r="Y1356">
        <f t="shared" si="129"/>
        <v>-26144845.5</v>
      </c>
      <c r="Z1356">
        <f t="shared" si="130"/>
        <v>45174742.5</v>
      </c>
      <c r="AA1356" t="str">
        <f t="shared" si="131"/>
        <v>Normal</v>
      </c>
      <c r="AE1356" s="2"/>
      <c r="AF1356" s="2"/>
    </row>
    <row r="1357" spans="1:32" x14ac:dyDescent="0.35">
      <c r="A1357">
        <v>1356</v>
      </c>
      <c r="B1357" s="1">
        <v>42621</v>
      </c>
      <c r="C1357" s="9" t="s">
        <v>2373</v>
      </c>
      <c r="D1357" s="9" t="s">
        <v>4925</v>
      </c>
      <c r="E1357" s="9" t="s">
        <v>6789</v>
      </c>
      <c r="F1357" s="9" t="s">
        <v>15</v>
      </c>
      <c r="G1357" s="9" t="s">
        <v>2374</v>
      </c>
      <c r="H1357" s="9" t="s">
        <v>86</v>
      </c>
      <c r="I1357" s="11">
        <v>200000</v>
      </c>
      <c r="J1357" s="11">
        <v>1733451</v>
      </c>
      <c r="K1357" s="11">
        <v>14000435</v>
      </c>
      <c r="L1357" s="3">
        <v>254</v>
      </c>
      <c r="M1357" s="3">
        <v>479</v>
      </c>
      <c r="N1357" s="3">
        <v>1685722</v>
      </c>
      <c r="O1357" s="2">
        <v>0.11800000000000001</v>
      </c>
      <c r="P1357" s="2">
        <v>0.52300000000000002</v>
      </c>
      <c r="Q1357" s="2">
        <v>0.03</v>
      </c>
      <c r="R1357" s="11">
        <v>335533278</v>
      </c>
      <c r="S1357" s="11">
        <v>344797</v>
      </c>
      <c r="T1357">
        <v>2016</v>
      </c>
      <c r="U1357">
        <v>9</v>
      </c>
      <c r="V1357">
        <f t="shared" si="126"/>
        <v>600000</v>
      </c>
      <c r="W1357">
        <f t="shared" si="127"/>
        <v>18429897</v>
      </c>
      <c r="X1357">
        <f t="shared" si="128"/>
        <v>17829897</v>
      </c>
      <c r="Y1357">
        <f t="shared" si="129"/>
        <v>-26144845.5</v>
      </c>
      <c r="Z1357">
        <f t="shared" si="130"/>
        <v>45174742.5</v>
      </c>
      <c r="AA1357" t="str">
        <f t="shared" si="131"/>
        <v>Normal</v>
      </c>
      <c r="AE1357" s="2"/>
      <c r="AF1357" s="2"/>
    </row>
    <row r="1358" spans="1:32" x14ac:dyDescent="0.35">
      <c r="A1358">
        <v>1357</v>
      </c>
      <c r="B1358" s="1">
        <v>42622</v>
      </c>
      <c r="C1358" s="9" t="s">
        <v>188</v>
      </c>
      <c r="D1358" s="9" t="s">
        <v>4938</v>
      </c>
      <c r="E1358" s="9" t="s">
        <v>6790</v>
      </c>
      <c r="F1358" s="9" t="s">
        <v>15</v>
      </c>
      <c r="G1358" s="9" t="s">
        <v>2375</v>
      </c>
      <c r="H1358" s="9" t="s">
        <v>105</v>
      </c>
      <c r="I1358" s="11">
        <v>50000000</v>
      </c>
      <c r="J1358" s="11">
        <v>689147</v>
      </c>
      <c r="K1358" s="11">
        <v>4336381</v>
      </c>
      <c r="L1358" s="3">
        <v>280</v>
      </c>
      <c r="M1358" s="3">
        <v>1337</v>
      </c>
      <c r="N1358" s="3">
        <v>1315930</v>
      </c>
      <c r="O1358" s="2">
        <v>-0.26</v>
      </c>
      <c r="P1358" s="2">
        <v>0.47399999999999998</v>
      </c>
      <c r="Q1358" s="2">
        <v>-0.16700000000000001</v>
      </c>
      <c r="R1358" s="11">
        <v>101802428</v>
      </c>
      <c r="S1358" s="11">
        <v>443307</v>
      </c>
      <c r="T1358">
        <v>2016</v>
      </c>
      <c r="U1358">
        <v>9</v>
      </c>
      <c r="V1358">
        <f t="shared" si="126"/>
        <v>600000</v>
      </c>
      <c r="W1358">
        <f t="shared" si="127"/>
        <v>18429897</v>
      </c>
      <c r="X1358">
        <f t="shared" si="128"/>
        <v>17829897</v>
      </c>
      <c r="Y1358">
        <f t="shared" si="129"/>
        <v>-26144845.5</v>
      </c>
      <c r="Z1358">
        <f t="shared" si="130"/>
        <v>45174742.5</v>
      </c>
      <c r="AA1358" t="str">
        <f t="shared" si="131"/>
        <v>Outlier</v>
      </c>
      <c r="AE1358" s="2"/>
      <c r="AF1358" s="2"/>
    </row>
    <row r="1359" spans="1:32" x14ac:dyDescent="0.35">
      <c r="A1359">
        <v>1358</v>
      </c>
      <c r="B1359" s="1">
        <v>42622</v>
      </c>
      <c r="C1359" s="9" t="s">
        <v>205</v>
      </c>
      <c r="D1359" s="9" t="s">
        <v>4988</v>
      </c>
      <c r="E1359" s="9" t="s">
        <v>6791</v>
      </c>
      <c r="F1359" s="9" t="s">
        <v>15</v>
      </c>
      <c r="G1359" s="9" t="s">
        <v>1501</v>
      </c>
      <c r="H1359" s="9" t="s">
        <v>86</v>
      </c>
      <c r="I1359" s="11">
        <v>18429897</v>
      </c>
      <c r="J1359" s="11">
        <v>2531926</v>
      </c>
      <c r="K1359" s="11">
        <v>12214823</v>
      </c>
      <c r="L1359" s="3">
        <v>429</v>
      </c>
      <c r="M1359" s="3">
        <v>1826</v>
      </c>
      <c r="N1359" s="3">
        <v>1631596</v>
      </c>
      <c r="O1359" s="2">
        <v>0.309</v>
      </c>
      <c r="P1359" s="2">
        <v>1.0669999999999999</v>
      </c>
      <c r="Q1359" s="2">
        <v>-0.6409999999999999</v>
      </c>
      <c r="R1359" s="11">
        <v>295567955</v>
      </c>
      <c r="S1359" s="11">
        <v>1565700</v>
      </c>
      <c r="T1359">
        <v>2016</v>
      </c>
      <c r="U1359">
        <v>9</v>
      </c>
      <c r="V1359">
        <f t="shared" si="126"/>
        <v>600000</v>
      </c>
      <c r="W1359">
        <f t="shared" si="127"/>
        <v>18429897</v>
      </c>
      <c r="X1359">
        <f t="shared" si="128"/>
        <v>17829897</v>
      </c>
      <c r="Y1359">
        <f t="shared" si="129"/>
        <v>-26144845.5</v>
      </c>
      <c r="Z1359">
        <f t="shared" si="130"/>
        <v>45174742.5</v>
      </c>
      <c r="AA1359" t="str">
        <f t="shared" si="131"/>
        <v>Normal</v>
      </c>
      <c r="AE1359" s="2"/>
      <c r="AF1359" s="2"/>
    </row>
    <row r="1360" spans="1:32" x14ac:dyDescent="0.35">
      <c r="A1360">
        <v>1359</v>
      </c>
      <c r="B1360" s="1">
        <v>42623</v>
      </c>
      <c r="C1360" s="9" t="s">
        <v>932</v>
      </c>
      <c r="D1360" s="9" t="s">
        <v>4925</v>
      </c>
      <c r="E1360" s="9" t="s">
        <v>6792</v>
      </c>
      <c r="F1360" s="9" t="s">
        <v>2376</v>
      </c>
      <c r="G1360" s="9" t="s">
        <v>2377</v>
      </c>
      <c r="H1360" s="9" t="s">
        <v>86</v>
      </c>
      <c r="I1360" s="11">
        <v>18429897</v>
      </c>
      <c r="J1360" s="11">
        <v>1839584</v>
      </c>
      <c r="K1360" s="11">
        <v>19495088</v>
      </c>
      <c r="L1360" s="3">
        <v>214</v>
      </c>
      <c r="M1360" s="3">
        <v>252</v>
      </c>
      <c r="N1360" s="3">
        <v>1592921</v>
      </c>
      <c r="O1360" s="2">
        <v>-9.6000000000000002E-2</v>
      </c>
      <c r="P1360" s="2">
        <v>1.0920000000000001</v>
      </c>
      <c r="Q1360" s="2">
        <v>-0.19399999999999998</v>
      </c>
      <c r="R1360" s="11">
        <v>486349228</v>
      </c>
      <c r="S1360" s="11">
        <v>835547</v>
      </c>
      <c r="T1360">
        <v>2016</v>
      </c>
      <c r="U1360">
        <v>9</v>
      </c>
      <c r="V1360">
        <f t="shared" si="126"/>
        <v>600000</v>
      </c>
      <c r="W1360">
        <f t="shared" si="127"/>
        <v>18429897</v>
      </c>
      <c r="X1360">
        <f t="shared" si="128"/>
        <v>17829897</v>
      </c>
      <c r="Y1360">
        <f t="shared" si="129"/>
        <v>-26144845.5</v>
      </c>
      <c r="Z1360">
        <f t="shared" si="130"/>
        <v>45174742.5</v>
      </c>
      <c r="AA1360" t="str">
        <f t="shared" si="131"/>
        <v>Normal</v>
      </c>
      <c r="AE1360" s="2"/>
      <c r="AF1360" s="2"/>
    </row>
    <row r="1361" spans="1:32" x14ac:dyDescent="0.35">
      <c r="A1361">
        <v>1360</v>
      </c>
      <c r="B1361" s="1">
        <v>42623</v>
      </c>
      <c r="C1361" s="9" t="s">
        <v>2378</v>
      </c>
      <c r="D1361" s="9" t="s">
        <v>4988</v>
      </c>
      <c r="E1361" s="9" t="s">
        <v>6793</v>
      </c>
      <c r="F1361" s="9" t="s">
        <v>27</v>
      </c>
      <c r="G1361" s="9" t="s">
        <v>2379</v>
      </c>
      <c r="H1361" s="9" t="s">
        <v>86</v>
      </c>
      <c r="I1361" s="11">
        <v>150000</v>
      </c>
      <c r="J1361" s="11">
        <v>430458</v>
      </c>
      <c r="K1361" s="11">
        <v>8858384</v>
      </c>
      <c r="L1361" s="3">
        <v>468</v>
      </c>
      <c r="M1361" s="3">
        <v>1348</v>
      </c>
      <c r="N1361" s="3">
        <v>1291972</v>
      </c>
      <c r="O1361" s="2">
        <v>0.56699999999999995</v>
      </c>
      <c r="P1361" s="2">
        <v>0.61299999999999999</v>
      </c>
      <c r="Q1361" s="2">
        <v>-0.20499999999999999</v>
      </c>
      <c r="R1361" s="11">
        <v>247616437</v>
      </c>
      <c r="S1361" s="11">
        <v>949444</v>
      </c>
      <c r="T1361">
        <v>2016</v>
      </c>
      <c r="U1361">
        <v>9</v>
      </c>
      <c r="V1361">
        <f t="shared" si="126"/>
        <v>600000</v>
      </c>
      <c r="W1361">
        <f t="shared" si="127"/>
        <v>18429897</v>
      </c>
      <c r="X1361">
        <f t="shared" si="128"/>
        <v>17829897</v>
      </c>
      <c r="Y1361">
        <f t="shared" si="129"/>
        <v>-26144845.5</v>
      </c>
      <c r="Z1361">
        <f t="shared" si="130"/>
        <v>45174742.5</v>
      </c>
      <c r="AA1361" t="str">
        <f t="shared" si="131"/>
        <v>Normal</v>
      </c>
      <c r="AE1361" s="2"/>
      <c r="AF1361" s="2"/>
    </row>
    <row r="1362" spans="1:32" x14ac:dyDescent="0.35">
      <c r="A1362">
        <v>1361</v>
      </c>
      <c r="B1362" s="1">
        <v>42623</v>
      </c>
      <c r="C1362" s="9" t="s">
        <v>2380</v>
      </c>
      <c r="D1362" s="9" t="s">
        <v>4988</v>
      </c>
      <c r="E1362" s="9" t="s">
        <v>5310</v>
      </c>
      <c r="F1362" s="9" t="s">
        <v>63</v>
      </c>
      <c r="G1362" s="9" t="s">
        <v>2381</v>
      </c>
      <c r="H1362" s="9" t="s">
        <v>86</v>
      </c>
      <c r="I1362" s="11">
        <v>450000</v>
      </c>
      <c r="J1362" s="11">
        <v>354490</v>
      </c>
      <c r="K1362" s="11">
        <v>18571445</v>
      </c>
      <c r="L1362" s="3">
        <v>123</v>
      </c>
      <c r="M1362" s="3">
        <v>3167</v>
      </c>
      <c r="N1362" s="3">
        <v>1445577</v>
      </c>
      <c r="O1362" s="2">
        <v>1.6E-2</v>
      </c>
      <c r="P1362" s="2">
        <v>0.46100000000000002</v>
      </c>
      <c r="Q1362" s="2">
        <v>0.107</v>
      </c>
      <c r="R1362" s="11">
        <v>478525964</v>
      </c>
      <c r="S1362" s="11">
        <v>252630</v>
      </c>
      <c r="T1362">
        <v>2016</v>
      </c>
      <c r="U1362">
        <v>9</v>
      </c>
      <c r="V1362">
        <f t="shared" si="126"/>
        <v>600000</v>
      </c>
      <c r="W1362">
        <f t="shared" si="127"/>
        <v>18429897</v>
      </c>
      <c r="X1362">
        <f t="shared" si="128"/>
        <v>17829897</v>
      </c>
      <c r="Y1362">
        <f t="shared" si="129"/>
        <v>-26144845.5</v>
      </c>
      <c r="Z1362">
        <f t="shared" si="130"/>
        <v>45174742.5</v>
      </c>
      <c r="AA1362" t="str">
        <f t="shared" si="131"/>
        <v>Normal</v>
      </c>
      <c r="AE1362" s="2"/>
      <c r="AF1362" s="2"/>
    </row>
    <row r="1363" spans="1:32" x14ac:dyDescent="0.35">
      <c r="A1363">
        <v>1362</v>
      </c>
      <c r="B1363" s="1">
        <v>42623</v>
      </c>
      <c r="C1363" s="9" t="s">
        <v>2382</v>
      </c>
      <c r="D1363" s="9" t="s">
        <v>4988</v>
      </c>
      <c r="E1363" s="9" t="s">
        <v>6794</v>
      </c>
      <c r="F1363" s="9" t="s">
        <v>27</v>
      </c>
      <c r="G1363" s="9" t="s">
        <v>2383</v>
      </c>
      <c r="H1363" s="9" t="s">
        <v>86</v>
      </c>
      <c r="I1363" s="11">
        <v>18429897</v>
      </c>
      <c r="J1363" s="11">
        <v>1767324</v>
      </c>
      <c r="K1363" s="11">
        <v>13029866</v>
      </c>
      <c r="L1363" s="3">
        <v>427</v>
      </c>
      <c r="M1363" s="3">
        <v>4989</v>
      </c>
      <c r="N1363" s="3">
        <v>1635190</v>
      </c>
      <c r="O1363" s="2">
        <v>0.21299999999999999</v>
      </c>
      <c r="P1363" s="2">
        <v>0.33</v>
      </c>
      <c r="Q1363" s="2">
        <v>0.36749999999999999</v>
      </c>
      <c r="R1363" s="11">
        <v>295737423</v>
      </c>
      <c r="S1363" s="11">
        <v>335701</v>
      </c>
      <c r="T1363">
        <v>2016</v>
      </c>
      <c r="U1363">
        <v>9</v>
      </c>
      <c r="V1363">
        <f t="shared" si="126"/>
        <v>600000</v>
      </c>
      <c r="W1363">
        <f t="shared" si="127"/>
        <v>18429897</v>
      </c>
      <c r="X1363">
        <f t="shared" si="128"/>
        <v>17829897</v>
      </c>
      <c r="Y1363">
        <f t="shared" si="129"/>
        <v>-26144845.5</v>
      </c>
      <c r="Z1363">
        <f t="shared" si="130"/>
        <v>45174742.5</v>
      </c>
      <c r="AA1363" t="str">
        <f t="shared" si="131"/>
        <v>Normal</v>
      </c>
      <c r="AE1363" s="2"/>
      <c r="AF1363" s="2"/>
    </row>
    <row r="1364" spans="1:32" x14ac:dyDescent="0.35">
      <c r="A1364">
        <v>1363</v>
      </c>
      <c r="B1364" s="1">
        <v>42625</v>
      </c>
      <c r="C1364" s="9" t="s">
        <v>2384</v>
      </c>
      <c r="D1364" s="9" t="s">
        <v>4988</v>
      </c>
      <c r="E1364" s="9" t="s">
        <v>6795</v>
      </c>
      <c r="F1364" s="9" t="s">
        <v>31</v>
      </c>
      <c r="G1364" s="9" t="s">
        <v>2385</v>
      </c>
      <c r="H1364" s="9" t="s">
        <v>86</v>
      </c>
      <c r="I1364" s="11">
        <v>448000</v>
      </c>
      <c r="J1364" s="11">
        <v>1025855</v>
      </c>
      <c r="K1364" s="11">
        <v>18506721</v>
      </c>
      <c r="L1364" s="3">
        <v>262</v>
      </c>
      <c r="M1364" s="3">
        <v>3910</v>
      </c>
      <c r="N1364" s="3">
        <v>449880</v>
      </c>
      <c r="O1364" s="2">
        <v>-2.7000000000000003E-2</v>
      </c>
      <c r="P1364" s="2">
        <v>0.91599999999999993</v>
      </c>
      <c r="Q1364" s="2">
        <v>0.1</v>
      </c>
      <c r="R1364" s="11">
        <v>454899920</v>
      </c>
      <c r="S1364" s="11">
        <v>758906</v>
      </c>
      <c r="T1364">
        <v>2016</v>
      </c>
      <c r="U1364">
        <v>9</v>
      </c>
      <c r="V1364">
        <f t="shared" si="126"/>
        <v>600000</v>
      </c>
      <c r="W1364">
        <f t="shared" si="127"/>
        <v>18429897</v>
      </c>
      <c r="X1364">
        <f t="shared" si="128"/>
        <v>17829897</v>
      </c>
      <c r="Y1364">
        <f t="shared" si="129"/>
        <v>-26144845.5</v>
      </c>
      <c r="Z1364">
        <f t="shared" si="130"/>
        <v>45174742.5</v>
      </c>
      <c r="AA1364" t="str">
        <f t="shared" si="131"/>
        <v>Normal</v>
      </c>
      <c r="AE1364" s="2"/>
      <c r="AF1364" s="2"/>
    </row>
    <row r="1365" spans="1:32" x14ac:dyDescent="0.35">
      <c r="A1365">
        <v>1364</v>
      </c>
      <c r="B1365" s="1">
        <v>42625</v>
      </c>
      <c r="C1365" s="9" t="s">
        <v>2386</v>
      </c>
      <c r="D1365" s="9" t="s">
        <v>4930</v>
      </c>
      <c r="E1365" s="9" t="s">
        <v>6796</v>
      </c>
      <c r="F1365" s="9" t="s">
        <v>41</v>
      </c>
      <c r="G1365" s="9" t="s">
        <v>2387</v>
      </c>
      <c r="H1365" s="9" t="s">
        <v>105</v>
      </c>
      <c r="I1365" s="11">
        <v>3000000</v>
      </c>
      <c r="J1365" s="11">
        <v>2782951</v>
      </c>
      <c r="K1365" s="11">
        <v>18066283</v>
      </c>
      <c r="L1365" s="3">
        <v>472</v>
      </c>
      <c r="M1365" s="3">
        <v>1566</v>
      </c>
      <c r="N1365" s="3">
        <v>1753227</v>
      </c>
      <c r="O1365" s="2">
        <v>8.5999999999999993E-2</v>
      </c>
      <c r="P1365" s="2">
        <v>1.079</v>
      </c>
      <c r="Q1365" s="2">
        <v>-0.13800000000000001</v>
      </c>
      <c r="R1365" s="11">
        <v>435613879</v>
      </c>
      <c r="S1365" s="11">
        <v>1416802</v>
      </c>
      <c r="T1365">
        <v>2016</v>
      </c>
      <c r="U1365">
        <v>9</v>
      </c>
      <c r="V1365">
        <f t="shared" si="126"/>
        <v>600000</v>
      </c>
      <c r="W1365">
        <f t="shared" si="127"/>
        <v>18429897</v>
      </c>
      <c r="X1365">
        <f t="shared" si="128"/>
        <v>17829897</v>
      </c>
      <c r="Y1365">
        <f t="shared" si="129"/>
        <v>-26144845.5</v>
      </c>
      <c r="Z1365">
        <f t="shared" si="130"/>
        <v>45174742.5</v>
      </c>
      <c r="AA1365" t="str">
        <f t="shared" si="131"/>
        <v>Normal</v>
      </c>
      <c r="AE1365" s="2"/>
      <c r="AF1365" s="2"/>
    </row>
    <row r="1366" spans="1:32" x14ac:dyDescent="0.35">
      <c r="A1366">
        <v>1365</v>
      </c>
      <c r="B1366" s="1">
        <v>42625</v>
      </c>
      <c r="C1366" s="9" t="s">
        <v>368</v>
      </c>
      <c r="D1366" s="9" t="s">
        <v>4925</v>
      </c>
      <c r="E1366" s="9" t="s">
        <v>6797</v>
      </c>
      <c r="F1366" s="9" t="s">
        <v>31</v>
      </c>
      <c r="G1366" s="9" t="s">
        <v>2388</v>
      </c>
      <c r="H1366" s="9" t="s">
        <v>105</v>
      </c>
      <c r="I1366" s="11">
        <v>12300000</v>
      </c>
      <c r="J1366" s="11">
        <v>107990</v>
      </c>
      <c r="K1366" s="11">
        <v>431816</v>
      </c>
      <c r="L1366" s="3">
        <v>112</v>
      </c>
      <c r="M1366" s="3">
        <v>4711</v>
      </c>
      <c r="N1366" s="3">
        <v>1006771</v>
      </c>
      <c r="O1366" s="2">
        <v>0.157</v>
      </c>
      <c r="P1366" s="2">
        <v>0.61099999999999999</v>
      </c>
      <c r="Q1366" s="2">
        <v>0.29599999999999999</v>
      </c>
      <c r="R1366" s="11">
        <v>15143794</v>
      </c>
      <c r="S1366" s="11">
        <v>1995979</v>
      </c>
      <c r="T1366">
        <v>2016</v>
      </c>
      <c r="U1366">
        <v>9</v>
      </c>
      <c r="V1366">
        <f t="shared" si="126"/>
        <v>600000</v>
      </c>
      <c r="W1366">
        <f t="shared" si="127"/>
        <v>18429897</v>
      </c>
      <c r="X1366">
        <f t="shared" si="128"/>
        <v>17829897</v>
      </c>
      <c r="Y1366">
        <f t="shared" si="129"/>
        <v>-26144845.5</v>
      </c>
      <c r="Z1366">
        <f t="shared" si="130"/>
        <v>45174742.5</v>
      </c>
      <c r="AA1366" t="str">
        <f t="shared" si="131"/>
        <v>Normal</v>
      </c>
      <c r="AE1366" s="2"/>
      <c r="AF1366" s="2"/>
    </row>
    <row r="1367" spans="1:32" x14ac:dyDescent="0.35">
      <c r="A1367">
        <v>1366</v>
      </c>
      <c r="B1367" s="1">
        <v>42625</v>
      </c>
      <c r="C1367" s="9" t="s">
        <v>2389</v>
      </c>
      <c r="D1367" s="9" t="s">
        <v>4988</v>
      </c>
      <c r="E1367" s="9" t="s">
        <v>6798</v>
      </c>
      <c r="F1367" s="9" t="s">
        <v>63</v>
      </c>
      <c r="G1367" s="9" t="s">
        <v>2390</v>
      </c>
      <c r="H1367" s="9" t="s">
        <v>86</v>
      </c>
      <c r="I1367" s="11">
        <v>300000</v>
      </c>
      <c r="J1367" s="11">
        <v>1523027</v>
      </c>
      <c r="K1367" s="11">
        <v>16025643</v>
      </c>
      <c r="L1367" s="3">
        <v>133</v>
      </c>
      <c r="M1367" s="3">
        <v>2228</v>
      </c>
      <c r="N1367" s="3">
        <v>1018455</v>
      </c>
      <c r="O1367" s="2">
        <v>0.29199999999999998</v>
      </c>
      <c r="P1367" s="2">
        <v>1.0749999999999999E-2</v>
      </c>
      <c r="Q1367" s="2">
        <v>0.19399999999999998</v>
      </c>
      <c r="R1367" s="11">
        <v>158318254</v>
      </c>
      <c r="S1367" s="11">
        <v>162874</v>
      </c>
      <c r="T1367">
        <v>2016</v>
      </c>
      <c r="U1367">
        <v>9</v>
      </c>
      <c r="V1367">
        <f t="shared" si="126"/>
        <v>600000</v>
      </c>
      <c r="W1367">
        <f t="shared" si="127"/>
        <v>18429897</v>
      </c>
      <c r="X1367">
        <f t="shared" si="128"/>
        <v>17829897</v>
      </c>
      <c r="Y1367">
        <f t="shared" si="129"/>
        <v>-26144845.5</v>
      </c>
      <c r="Z1367">
        <f t="shared" si="130"/>
        <v>45174742.5</v>
      </c>
      <c r="AA1367" t="str">
        <f t="shared" si="131"/>
        <v>Normal</v>
      </c>
      <c r="AE1367" s="2"/>
      <c r="AF1367" s="2"/>
    </row>
    <row r="1368" spans="1:32" x14ac:dyDescent="0.35">
      <c r="A1368">
        <v>1367</v>
      </c>
      <c r="B1368" s="1">
        <v>42626</v>
      </c>
      <c r="C1368" s="9" t="s">
        <v>2391</v>
      </c>
      <c r="D1368" s="9" t="s">
        <v>4988</v>
      </c>
      <c r="E1368" s="9" t="s">
        <v>6799</v>
      </c>
      <c r="F1368" s="9" t="s">
        <v>15</v>
      </c>
      <c r="G1368" s="9" t="s">
        <v>2392</v>
      </c>
      <c r="H1368" s="9" t="s">
        <v>86</v>
      </c>
      <c r="I1368" s="11">
        <v>18429897</v>
      </c>
      <c r="J1368" s="11">
        <v>2277333</v>
      </c>
      <c r="K1368" s="11">
        <v>3862922</v>
      </c>
      <c r="L1368" s="3">
        <v>284</v>
      </c>
      <c r="M1368" s="3">
        <v>1807</v>
      </c>
      <c r="N1368" s="3">
        <v>303856</v>
      </c>
      <c r="O1368" s="2">
        <v>0.32400000000000001</v>
      </c>
      <c r="P1368" s="2">
        <v>0.44799999999999995</v>
      </c>
      <c r="Q1368" s="2">
        <v>2.5000000000000001E-2</v>
      </c>
      <c r="R1368" s="11">
        <v>39611984</v>
      </c>
      <c r="S1368" s="11">
        <v>1268415</v>
      </c>
      <c r="T1368">
        <v>2016</v>
      </c>
      <c r="U1368">
        <v>9</v>
      </c>
      <c r="V1368">
        <f t="shared" si="126"/>
        <v>600000</v>
      </c>
      <c r="W1368">
        <f t="shared" si="127"/>
        <v>18429897</v>
      </c>
      <c r="X1368">
        <f t="shared" si="128"/>
        <v>17829897</v>
      </c>
      <c r="Y1368">
        <f t="shared" si="129"/>
        <v>-26144845.5</v>
      </c>
      <c r="Z1368">
        <f t="shared" si="130"/>
        <v>45174742.5</v>
      </c>
      <c r="AA1368" t="str">
        <f t="shared" si="131"/>
        <v>Normal</v>
      </c>
      <c r="AE1368" s="2"/>
      <c r="AF1368" s="2"/>
    </row>
    <row r="1369" spans="1:32" x14ac:dyDescent="0.35">
      <c r="A1369">
        <v>1368</v>
      </c>
      <c r="B1369" s="1">
        <v>42626</v>
      </c>
      <c r="C1369" s="9" t="s">
        <v>2393</v>
      </c>
      <c r="D1369" s="9" t="s">
        <v>4988</v>
      </c>
      <c r="E1369" s="9" t="s">
        <v>6800</v>
      </c>
      <c r="F1369" s="9" t="s">
        <v>94</v>
      </c>
      <c r="G1369" s="9" t="s">
        <v>715</v>
      </c>
      <c r="H1369" s="9" t="s">
        <v>86</v>
      </c>
      <c r="I1369" s="11">
        <v>18429897</v>
      </c>
      <c r="J1369" s="11">
        <v>4816458</v>
      </c>
      <c r="K1369" s="11">
        <v>16502754</v>
      </c>
      <c r="L1369" s="3">
        <v>278</v>
      </c>
      <c r="M1369" s="3">
        <v>4243</v>
      </c>
      <c r="N1369" s="3">
        <v>1500538</v>
      </c>
      <c r="O1369" s="2">
        <v>0.26500000000000001</v>
      </c>
      <c r="P1369" s="2">
        <v>0.80900000000000005</v>
      </c>
      <c r="Q1369" s="2">
        <v>0.13600000000000001</v>
      </c>
      <c r="R1369" s="11">
        <v>386256764</v>
      </c>
      <c r="S1369" s="11">
        <v>1849495</v>
      </c>
      <c r="T1369">
        <v>2016</v>
      </c>
      <c r="U1369">
        <v>9</v>
      </c>
      <c r="V1369">
        <f t="shared" si="126"/>
        <v>600000</v>
      </c>
      <c r="W1369">
        <f t="shared" si="127"/>
        <v>18429897</v>
      </c>
      <c r="X1369">
        <f t="shared" si="128"/>
        <v>17829897</v>
      </c>
      <c r="Y1369">
        <f t="shared" si="129"/>
        <v>-26144845.5</v>
      </c>
      <c r="Z1369">
        <f t="shared" si="130"/>
        <v>45174742.5</v>
      </c>
      <c r="AA1369" t="str">
        <f t="shared" si="131"/>
        <v>Normal</v>
      </c>
      <c r="AE1369" s="2"/>
      <c r="AF1369" s="2"/>
    </row>
    <row r="1370" spans="1:32" x14ac:dyDescent="0.35">
      <c r="A1370">
        <v>1369</v>
      </c>
      <c r="B1370" s="1">
        <v>42626</v>
      </c>
      <c r="C1370" s="9" t="s">
        <v>2280</v>
      </c>
      <c r="D1370" s="9" t="s">
        <v>4925</v>
      </c>
      <c r="E1370" s="9" t="s">
        <v>6801</v>
      </c>
      <c r="F1370" s="9" t="s">
        <v>2281</v>
      </c>
      <c r="G1370" s="9" t="s">
        <v>2394</v>
      </c>
      <c r="H1370" s="9" t="s">
        <v>86</v>
      </c>
      <c r="I1370" s="11">
        <v>18429897</v>
      </c>
      <c r="J1370" s="11">
        <v>3180010</v>
      </c>
      <c r="K1370" s="11">
        <v>16179511</v>
      </c>
      <c r="L1370" s="3">
        <v>254</v>
      </c>
      <c r="M1370" s="3">
        <v>2026</v>
      </c>
      <c r="N1370" s="3">
        <v>1618780</v>
      </c>
      <c r="O1370" s="2">
        <v>0.32799999999999996</v>
      </c>
      <c r="P1370" s="2">
        <v>0.28100000000000003</v>
      </c>
      <c r="Q1370" s="2">
        <v>0.24399999999999999</v>
      </c>
      <c r="R1370" s="11">
        <v>362907673</v>
      </c>
      <c r="S1370" s="11">
        <v>677866</v>
      </c>
      <c r="T1370">
        <v>2016</v>
      </c>
      <c r="U1370">
        <v>9</v>
      </c>
      <c r="V1370">
        <f t="shared" si="126"/>
        <v>600000</v>
      </c>
      <c r="W1370">
        <f t="shared" si="127"/>
        <v>18429897</v>
      </c>
      <c r="X1370">
        <f t="shared" si="128"/>
        <v>17829897</v>
      </c>
      <c r="Y1370">
        <f t="shared" si="129"/>
        <v>-26144845.5</v>
      </c>
      <c r="Z1370">
        <f t="shared" si="130"/>
        <v>45174742.5</v>
      </c>
      <c r="AA1370" t="str">
        <f t="shared" si="131"/>
        <v>Normal</v>
      </c>
      <c r="AE1370" s="2"/>
      <c r="AF1370" s="2"/>
    </row>
    <row r="1371" spans="1:32" x14ac:dyDescent="0.35">
      <c r="A1371">
        <v>1370</v>
      </c>
      <c r="B1371" s="1">
        <v>42626</v>
      </c>
      <c r="C1371" s="9" t="s">
        <v>2395</v>
      </c>
      <c r="D1371" s="9" t="s">
        <v>4988</v>
      </c>
      <c r="E1371" s="9" t="s">
        <v>6802</v>
      </c>
      <c r="F1371" s="9" t="s">
        <v>19</v>
      </c>
      <c r="G1371" s="9" t="s">
        <v>2396</v>
      </c>
      <c r="H1371" s="9" t="s">
        <v>105</v>
      </c>
      <c r="I1371" s="11">
        <v>2500000</v>
      </c>
      <c r="J1371" s="11">
        <v>4405982</v>
      </c>
      <c r="K1371" s="11">
        <v>5242327</v>
      </c>
      <c r="L1371" s="3">
        <v>327</v>
      </c>
      <c r="M1371" s="3">
        <v>3706</v>
      </c>
      <c r="N1371" s="3">
        <v>1308242</v>
      </c>
      <c r="O1371" s="2">
        <v>-0.3</v>
      </c>
      <c r="P1371" s="2">
        <v>0.76300000000000001</v>
      </c>
      <c r="Q1371" s="2">
        <v>0.115</v>
      </c>
      <c r="R1371" s="11">
        <v>320706953</v>
      </c>
      <c r="S1371" s="11">
        <v>1008193.5</v>
      </c>
      <c r="T1371">
        <v>2016</v>
      </c>
      <c r="U1371">
        <v>9</v>
      </c>
      <c r="V1371">
        <f t="shared" si="126"/>
        <v>600000</v>
      </c>
      <c r="W1371">
        <f t="shared" si="127"/>
        <v>18429897</v>
      </c>
      <c r="X1371">
        <f t="shared" si="128"/>
        <v>17829897</v>
      </c>
      <c r="Y1371">
        <f t="shared" si="129"/>
        <v>-26144845.5</v>
      </c>
      <c r="Z1371">
        <f t="shared" si="130"/>
        <v>45174742.5</v>
      </c>
      <c r="AA1371" t="str">
        <f t="shared" si="131"/>
        <v>Normal</v>
      </c>
      <c r="AE1371" s="2"/>
      <c r="AF1371" s="2"/>
    </row>
    <row r="1372" spans="1:32" x14ac:dyDescent="0.35">
      <c r="A1372">
        <v>1371</v>
      </c>
      <c r="B1372" s="1">
        <v>42627</v>
      </c>
      <c r="C1372" s="9" t="s">
        <v>2397</v>
      </c>
      <c r="D1372" s="9" t="s">
        <v>4988</v>
      </c>
      <c r="E1372" s="9" t="s">
        <v>6803</v>
      </c>
      <c r="F1372" s="9" t="s">
        <v>554</v>
      </c>
      <c r="G1372" s="9" t="s">
        <v>2398</v>
      </c>
      <c r="H1372" s="9" t="s">
        <v>86</v>
      </c>
      <c r="I1372" s="11">
        <v>18429897</v>
      </c>
      <c r="J1372" s="11">
        <v>1729596</v>
      </c>
      <c r="K1372" s="11">
        <v>1417739</v>
      </c>
      <c r="L1372" s="3">
        <v>205</v>
      </c>
      <c r="M1372" s="3">
        <v>856</v>
      </c>
      <c r="N1372" s="3">
        <v>1307188</v>
      </c>
      <c r="O1372" s="2">
        <v>0.25</v>
      </c>
      <c r="P1372" s="2">
        <v>0.83900000000000008</v>
      </c>
      <c r="Q1372" s="2">
        <v>0.13500000000000001</v>
      </c>
      <c r="R1372" s="11">
        <v>65764430</v>
      </c>
      <c r="S1372" s="11">
        <v>591267</v>
      </c>
      <c r="T1372">
        <v>2016</v>
      </c>
      <c r="U1372">
        <v>9</v>
      </c>
      <c r="V1372">
        <f t="shared" si="126"/>
        <v>600000</v>
      </c>
      <c r="W1372">
        <f t="shared" si="127"/>
        <v>18429897</v>
      </c>
      <c r="X1372">
        <f t="shared" si="128"/>
        <v>17829897</v>
      </c>
      <c r="Y1372">
        <f t="shared" si="129"/>
        <v>-26144845.5</v>
      </c>
      <c r="Z1372">
        <f t="shared" si="130"/>
        <v>45174742.5</v>
      </c>
      <c r="AA1372" t="str">
        <f t="shared" si="131"/>
        <v>Normal</v>
      </c>
      <c r="AE1372" s="2"/>
      <c r="AF1372" s="2"/>
    </row>
    <row r="1373" spans="1:32" x14ac:dyDescent="0.35">
      <c r="A1373">
        <v>1372</v>
      </c>
      <c r="B1373" s="1">
        <v>42627</v>
      </c>
      <c r="C1373" s="9" t="s">
        <v>2399</v>
      </c>
      <c r="D1373" s="9" t="s">
        <v>4988</v>
      </c>
      <c r="E1373" s="9" t="s">
        <v>6804</v>
      </c>
      <c r="F1373" s="9" t="s">
        <v>15</v>
      </c>
      <c r="G1373" s="9" t="s">
        <v>2400</v>
      </c>
      <c r="H1373" s="9" t="s">
        <v>86</v>
      </c>
      <c r="I1373" s="11">
        <v>150000</v>
      </c>
      <c r="J1373" s="11">
        <v>2259555</v>
      </c>
      <c r="K1373" s="11">
        <v>8446126</v>
      </c>
      <c r="L1373" s="3">
        <v>79</v>
      </c>
      <c r="M1373" s="3">
        <v>2505.5</v>
      </c>
      <c r="N1373" s="3">
        <v>1731240</v>
      </c>
      <c r="O1373" s="2">
        <v>5.2000000000000005E-2</v>
      </c>
      <c r="P1373" s="2">
        <v>0.84400000000000008</v>
      </c>
      <c r="Q1373" s="2">
        <v>-0.42700000000000005</v>
      </c>
      <c r="R1373" s="11">
        <v>421252492</v>
      </c>
      <c r="S1373" s="11">
        <v>1108526</v>
      </c>
      <c r="T1373">
        <v>2016</v>
      </c>
      <c r="U1373">
        <v>9</v>
      </c>
      <c r="V1373">
        <f t="shared" si="126"/>
        <v>600000</v>
      </c>
      <c r="W1373">
        <f t="shared" si="127"/>
        <v>18429897</v>
      </c>
      <c r="X1373">
        <f t="shared" si="128"/>
        <v>17829897</v>
      </c>
      <c r="Y1373">
        <f t="shared" si="129"/>
        <v>-26144845.5</v>
      </c>
      <c r="Z1373">
        <f t="shared" si="130"/>
        <v>45174742.5</v>
      </c>
      <c r="AA1373" t="str">
        <f t="shared" si="131"/>
        <v>Normal</v>
      </c>
      <c r="AE1373" s="2"/>
      <c r="AF1373" s="2"/>
    </row>
    <row r="1374" spans="1:32" x14ac:dyDescent="0.35">
      <c r="A1374">
        <v>1373</v>
      </c>
      <c r="B1374" s="1">
        <v>42627</v>
      </c>
      <c r="C1374" s="9" t="s">
        <v>2401</v>
      </c>
      <c r="D1374" s="9" t="s">
        <v>4925</v>
      </c>
      <c r="E1374" s="9" t="s">
        <v>6805</v>
      </c>
      <c r="F1374" s="9" t="s">
        <v>15</v>
      </c>
      <c r="G1374" s="9" t="s">
        <v>2402</v>
      </c>
      <c r="H1374" s="9" t="s">
        <v>105</v>
      </c>
      <c r="I1374" s="11">
        <v>18429897</v>
      </c>
      <c r="J1374" s="11">
        <v>2113501</v>
      </c>
      <c r="K1374" s="11">
        <v>6129223</v>
      </c>
      <c r="L1374" s="3">
        <v>257</v>
      </c>
      <c r="M1374" s="3">
        <v>4923</v>
      </c>
      <c r="N1374" s="3">
        <v>1958184</v>
      </c>
      <c r="O1374" s="2">
        <v>0.317</v>
      </c>
      <c r="P1374" s="2">
        <v>0.97900000000000009</v>
      </c>
      <c r="Q1374" s="2">
        <v>-0.03</v>
      </c>
      <c r="R1374" s="11">
        <v>290065948</v>
      </c>
      <c r="S1374" s="11">
        <v>435291</v>
      </c>
      <c r="T1374">
        <v>2016</v>
      </c>
      <c r="U1374">
        <v>9</v>
      </c>
      <c r="V1374">
        <f t="shared" si="126"/>
        <v>600000</v>
      </c>
      <c r="W1374">
        <f t="shared" si="127"/>
        <v>18429897</v>
      </c>
      <c r="X1374">
        <f t="shared" si="128"/>
        <v>17829897</v>
      </c>
      <c r="Y1374">
        <f t="shared" si="129"/>
        <v>-26144845.5</v>
      </c>
      <c r="Z1374">
        <f t="shared" si="130"/>
        <v>45174742.5</v>
      </c>
      <c r="AA1374" t="str">
        <f t="shared" si="131"/>
        <v>Normal</v>
      </c>
      <c r="AE1374" s="2"/>
      <c r="AF1374" s="2"/>
    </row>
    <row r="1375" spans="1:32" x14ac:dyDescent="0.35">
      <c r="A1375">
        <v>1374</v>
      </c>
      <c r="B1375" s="1">
        <v>42628</v>
      </c>
      <c r="C1375" s="9" t="s">
        <v>2403</v>
      </c>
      <c r="D1375" s="9" t="s">
        <v>4988</v>
      </c>
      <c r="E1375" s="9" t="s">
        <v>6806</v>
      </c>
      <c r="F1375" s="9" t="s">
        <v>19</v>
      </c>
      <c r="G1375" s="9" t="s">
        <v>4854</v>
      </c>
      <c r="H1375" s="9" t="s">
        <v>86</v>
      </c>
      <c r="I1375" s="11">
        <v>200000</v>
      </c>
      <c r="J1375" s="11">
        <v>4439225</v>
      </c>
      <c r="K1375" s="11">
        <v>11121000</v>
      </c>
      <c r="L1375" s="3">
        <v>350</v>
      </c>
      <c r="M1375" s="3">
        <v>1257</v>
      </c>
      <c r="N1375" s="3">
        <v>1663655</v>
      </c>
      <c r="O1375" s="2">
        <v>0.14300000000000002</v>
      </c>
      <c r="P1375" s="2">
        <v>0.50800000000000001</v>
      </c>
      <c r="Q1375" s="2">
        <v>-9.5000000000000001E-2</v>
      </c>
      <c r="R1375" s="11">
        <v>441894530</v>
      </c>
      <c r="S1375" s="11">
        <v>1666876</v>
      </c>
      <c r="T1375">
        <v>2016</v>
      </c>
      <c r="U1375">
        <v>9</v>
      </c>
      <c r="V1375">
        <f t="shared" si="126"/>
        <v>600000</v>
      </c>
      <c r="W1375">
        <f t="shared" si="127"/>
        <v>18429897</v>
      </c>
      <c r="X1375">
        <f t="shared" si="128"/>
        <v>17829897</v>
      </c>
      <c r="Y1375">
        <f t="shared" si="129"/>
        <v>-26144845.5</v>
      </c>
      <c r="Z1375">
        <f t="shared" si="130"/>
        <v>45174742.5</v>
      </c>
      <c r="AA1375" t="str">
        <f t="shared" si="131"/>
        <v>Normal</v>
      </c>
      <c r="AE1375" s="2"/>
      <c r="AF1375" s="2"/>
    </row>
    <row r="1376" spans="1:32" x14ac:dyDescent="0.35">
      <c r="A1376">
        <v>1375</v>
      </c>
      <c r="B1376" s="1">
        <v>42628</v>
      </c>
      <c r="C1376" s="9" t="s">
        <v>884</v>
      </c>
      <c r="D1376" s="9" t="s">
        <v>4925</v>
      </c>
      <c r="E1376" s="9" t="s">
        <v>6807</v>
      </c>
      <c r="F1376" s="9" t="s">
        <v>15</v>
      </c>
      <c r="G1376" s="9" t="s">
        <v>2404</v>
      </c>
      <c r="H1376" s="9" t="s">
        <v>105</v>
      </c>
      <c r="I1376" s="11">
        <v>5000000</v>
      </c>
      <c r="J1376" s="11">
        <v>4796862</v>
      </c>
      <c r="K1376" s="11">
        <v>1732187</v>
      </c>
      <c r="L1376" s="3">
        <v>20</v>
      </c>
      <c r="M1376" s="3">
        <v>4255</v>
      </c>
      <c r="N1376" s="3">
        <v>273105</v>
      </c>
      <c r="O1376" s="2">
        <v>0.24399999999999999</v>
      </c>
      <c r="P1376" s="2">
        <v>0.47899999999999998</v>
      </c>
      <c r="Q1376" s="2">
        <v>0.36299999999999999</v>
      </c>
      <c r="R1376" s="11">
        <v>160354700</v>
      </c>
      <c r="S1376" s="11">
        <v>229917</v>
      </c>
      <c r="T1376">
        <v>2016</v>
      </c>
      <c r="U1376">
        <v>9</v>
      </c>
      <c r="V1376">
        <f t="shared" si="126"/>
        <v>600000</v>
      </c>
      <c r="W1376">
        <f t="shared" si="127"/>
        <v>18429897</v>
      </c>
      <c r="X1376">
        <f t="shared" si="128"/>
        <v>17829897</v>
      </c>
      <c r="Y1376">
        <f t="shared" si="129"/>
        <v>-26144845.5</v>
      </c>
      <c r="Z1376">
        <f t="shared" si="130"/>
        <v>45174742.5</v>
      </c>
      <c r="AA1376" t="str">
        <f t="shared" si="131"/>
        <v>Normal</v>
      </c>
      <c r="AE1376" s="2"/>
      <c r="AF1376" s="2"/>
    </row>
    <row r="1377" spans="1:32" x14ac:dyDescent="0.35">
      <c r="A1377">
        <v>1376</v>
      </c>
      <c r="B1377" s="1">
        <v>42628</v>
      </c>
      <c r="C1377" s="9" t="s">
        <v>2405</v>
      </c>
      <c r="D1377" s="9" t="s">
        <v>4988</v>
      </c>
      <c r="E1377" s="9" t="s">
        <v>2406</v>
      </c>
      <c r="F1377" s="9" t="s">
        <v>15</v>
      </c>
      <c r="G1377" s="9" t="s">
        <v>227</v>
      </c>
      <c r="H1377" s="9" t="s">
        <v>105</v>
      </c>
      <c r="I1377" s="11">
        <v>1500000</v>
      </c>
      <c r="J1377" s="11">
        <v>4812424</v>
      </c>
      <c r="K1377" s="11">
        <v>979397</v>
      </c>
      <c r="L1377" s="3">
        <v>460</v>
      </c>
      <c r="M1377" s="3">
        <v>2358</v>
      </c>
      <c r="N1377" s="3">
        <v>1604803</v>
      </c>
      <c r="O1377" s="2">
        <v>0.17799999999999999</v>
      </c>
      <c r="P1377" s="2">
        <v>0.89300000000000002</v>
      </c>
      <c r="Q1377" s="2">
        <v>0.2</v>
      </c>
      <c r="R1377" s="11">
        <v>162476989</v>
      </c>
      <c r="S1377" s="11">
        <v>1152398</v>
      </c>
      <c r="T1377">
        <v>2016</v>
      </c>
      <c r="U1377">
        <v>9</v>
      </c>
      <c r="V1377">
        <f t="shared" si="126"/>
        <v>600000</v>
      </c>
      <c r="W1377">
        <f t="shared" si="127"/>
        <v>18429897</v>
      </c>
      <c r="X1377">
        <f t="shared" si="128"/>
        <v>17829897</v>
      </c>
      <c r="Y1377">
        <f t="shared" si="129"/>
        <v>-26144845.5</v>
      </c>
      <c r="Z1377">
        <f t="shared" si="130"/>
        <v>45174742.5</v>
      </c>
      <c r="AA1377" t="str">
        <f t="shared" si="131"/>
        <v>Normal</v>
      </c>
      <c r="AE1377" s="2"/>
      <c r="AF1377" s="2"/>
    </row>
    <row r="1378" spans="1:32" x14ac:dyDescent="0.35">
      <c r="A1378">
        <v>1377</v>
      </c>
      <c r="B1378" s="1">
        <v>42629</v>
      </c>
      <c r="C1378" s="9" t="s">
        <v>2407</v>
      </c>
      <c r="D1378" s="9" t="s">
        <v>4988</v>
      </c>
      <c r="E1378" s="9" t="s">
        <v>6808</v>
      </c>
      <c r="F1378" s="9" t="s">
        <v>124</v>
      </c>
      <c r="G1378" s="9" t="s">
        <v>2408</v>
      </c>
      <c r="H1378" s="9" t="s">
        <v>86</v>
      </c>
      <c r="I1378" s="11">
        <v>100000</v>
      </c>
      <c r="J1378" s="11">
        <v>3764776</v>
      </c>
      <c r="K1378" s="11">
        <v>8799129</v>
      </c>
      <c r="L1378" s="3">
        <v>307</v>
      </c>
      <c r="M1378" s="3">
        <v>4790</v>
      </c>
      <c r="N1378" s="3">
        <v>1020344</v>
      </c>
      <c r="O1378" s="2">
        <v>0.27200000000000002</v>
      </c>
      <c r="P1378" s="2">
        <v>0.79200000000000004</v>
      </c>
      <c r="Q1378" s="2">
        <v>-6.9000000000000006E-2</v>
      </c>
      <c r="R1378" s="11">
        <v>94368372</v>
      </c>
      <c r="S1378" s="11">
        <v>347140</v>
      </c>
      <c r="T1378">
        <v>2016</v>
      </c>
      <c r="U1378">
        <v>9</v>
      </c>
      <c r="V1378">
        <f t="shared" si="126"/>
        <v>600000</v>
      </c>
      <c r="W1378">
        <f t="shared" si="127"/>
        <v>18429897</v>
      </c>
      <c r="X1378">
        <f t="shared" si="128"/>
        <v>17829897</v>
      </c>
      <c r="Y1378">
        <f t="shared" si="129"/>
        <v>-26144845.5</v>
      </c>
      <c r="Z1378">
        <f t="shared" si="130"/>
        <v>45174742.5</v>
      </c>
      <c r="AA1378" t="str">
        <f t="shared" si="131"/>
        <v>Normal</v>
      </c>
      <c r="AE1378" s="2"/>
      <c r="AF1378" s="2"/>
    </row>
    <row r="1379" spans="1:32" x14ac:dyDescent="0.35">
      <c r="A1379">
        <v>1378</v>
      </c>
      <c r="B1379" s="1">
        <v>42629</v>
      </c>
      <c r="C1379" s="9" t="s">
        <v>2409</v>
      </c>
      <c r="D1379" s="9" t="s">
        <v>4988</v>
      </c>
      <c r="E1379" s="9" t="s">
        <v>6809</v>
      </c>
      <c r="F1379" s="9" t="s">
        <v>19</v>
      </c>
      <c r="G1379" s="9" t="s">
        <v>1357</v>
      </c>
      <c r="H1379" s="9" t="s">
        <v>105</v>
      </c>
      <c r="I1379" s="11">
        <v>1000000</v>
      </c>
      <c r="J1379" s="11">
        <v>2525493</v>
      </c>
      <c r="K1379" s="11">
        <v>15418864</v>
      </c>
      <c r="L1379" s="3">
        <v>133</v>
      </c>
      <c r="M1379" s="3">
        <v>2505.5</v>
      </c>
      <c r="N1379" s="3">
        <v>1597033</v>
      </c>
      <c r="O1379" s="2">
        <v>-4.2000000000000003E-2</v>
      </c>
      <c r="P1379" s="2">
        <v>1.149</v>
      </c>
      <c r="Q1379" s="2">
        <v>0.36749999999999999</v>
      </c>
      <c r="R1379" s="11">
        <v>204919283</v>
      </c>
      <c r="S1379" s="11">
        <v>415520</v>
      </c>
      <c r="T1379">
        <v>2016</v>
      </c>
      <c r="U1379">
        <v>9</v>
      </c>
      <c r="V1379">
        <f t="shared" si="126"/>
        <v>600000</v>
      </c>
      <c r="W1379">
        <f t="shared" si="127"/>
        <v>18429897</v>
      </c>
      <c r="X1379">
        <f t="shared" si="128"/>
        <v>17829897</v>
      </c>
      <c r="Y1379">
        <f t="shared" si="129"/>
        <v>-26144845.5</v>
      </c>
      <c r="Z1379">
        <f t="shared" si="130"/>
        <v>45174742.5</v>
      </c>
      <c r="AA1379" t="str">
        <f t="shared" si="131"/>
        <v>Normal</v>
      </c>
      <c r="AE1379" s="2"/>
      <c r="AF1379" s="2"/>
    </row>
    <row r="1380" spans="1:32" x14ac:dyDescent="0.35">
      <c r="A1380">
        <v>1379</v>
      </c>
      <c r="B1380" s="1">
        <v>42632</v>
      </c>
      <c r="C1380" s="9" t="s">
        <v>2410</v>
      </c>
      <c r="D1380" s="9" t="s">
        <v>4988</v>
      </c>
      <c r="E1380" s="9" t="s">
        <v>6810</v>
      </c>
      <c r="F1380" s="9" t="s">
        <v>15</v>
      </c>
      <c r="G1380" s="9" t="s">
        <v>853</v>
      </c>
      <c r="H1380" s="9" t="s">
        <v>86</v>
      </c>
      <c r="I1380" s="11">
        <v>750000</v>
      </c>
      <c r="J1380" s="11">
        <v>2713466</v>
      </c>
      <c r="K1380" s="11">
        <v>6368000</v>
      </c>
      <c r="L1380" s="3">
        <v>376</v>
      </c>
      <c r="M1380" s="3">
        <v>2501</v>
      </c>
      <c r="N1380" s="3">
        <v>1448048</v>
      </c>
      <c r="O1380" s="2">
        <v>-0.19400000000000001</v>
      </c>
      <c r="P1380" s="2">
        <v>0.98399999999999999</v>
      </c>
      <c r="Q1380" s="2">
        <v>-0.28000000000000003</v>
      </c>
      <c r="R1380" s="11">
        <v>302088233</v>
      </c>
      <c r="S1380" s="11">
        <v>738993</v>
      </c>
      <c r="T1380">
        <v>2016</v>
      </c>
      <c r="U1380">
        <v>9</v>
      </c>
      <c r="V1380">
        <f t="shared" si="126"/>
        <v>600000</v>
      </c>
      <c r="W1380">
        <f t="shared" si="127"/>
        <v>18429897</v>
      </c>
      <c r="X1380">
        <f t="shared" si="128"/>
        <v>17829897</v>
      </c>
      <c r="Y1380">
        <f t="shared" si="129"/>
        <v>-26144845.5</v>
      </c>
      <c r="Z1380">
        <f t="shared" si="130"/>
        <v>45174742.5</v>
      </c>
      <c r="AA1380" t="str">
        <f t="shared" si="131"/>
        <v>Normal</v>
      </c>
      <c r="AE1380" s="2"/>
      <c r="AF1380" s="2"/>
    </row>
    <row r="1381" spans="1:32" x14ac:dyDescent="0.35">
      <c r="A1381">
        <v>1380</v>
      </c>
      <c r="B1381" s="1">
        <v>42632</v>
      </c>
      <c r="C1381" s="9" t="s">
        <v>2411</v>
      </c>
      <c r="D1381" s="9" t="s">
        <v>4930</v>
      </c>
      <c r="E1381" s="9" t="s">
        <v>6811</v>
      </c>
      <c r="F1381" s="9" t="s">
        <v>27</v>
      </c>
      <c r="G1381" s="9" t="s">
        <v>2290</v>
      </c>
      <c r="H1381" s="9" t="s">
        <v>105</v>
      </c>
      <c r="I1381" s="11">
        <v>18429897</v>
      </c>
      <c r="J1381" s="11">
        <v>4902940</v>
      </c>
      <c r="K1381" s="11">
        <v>6536922</v>
      </c>
      <c r="L1381" s="3">
        <v>422</v>
      </c>
      <c r="M1381" s="3">
        <v>2003</v>
      </c>
      <c r="N1381" s="3">
        <v>1018455</v>
      </c>
      <c r="O1381" s="2">
        <v>0.318</v>
      </c>
      <c r="P1381" s="2">
        <v>0.67099999999999993</v>
      </c>
      <c r="Q1381" s="2">
        <v>7.8E-2</v>
      </c>
      <c r="R1381" s="11">
        <v>166699869</v>
      </c>
      <c r="S1381" s="11">
        <v>194326</v>
      </c>
      <c r="T1381">
        <v>2016</v>
      </c>
      <c r="U1381">
        <v>9</v>
      </c>
      <c r="V1381">
        <f t="shared" si="126"/>
        <v>600000</v>
      </c>
      <c r="W1381">
        <f t="shared" si="127"/>
        <v>18429897</v>
      </c>
      <c r="X1381">
        <f t="shared" si="128"/>
        <v>17829897</v>
      </c>
      <c r="Y1381">
        <f t="shared" si="129"/>
        <v>-26144845.5</v>
      </c>
      <c r="Z1381">
        <f t="shared" si="130"/>
        <v>45174742.5</v>
      </c>
      <c r="AA1381" t="str">
        <f t="shared" si="131"/>
        <v>Normal</v>
      </c>
      <c r="AE1381" s="2"/>
      <c r="AF1381" s="2"/>
    </row>
    <row r="1382" spans="1:32" x14ac:dyDescent="0.35">
      <c r="A1382">
        <v>1381</v>
      </c>
      <c r="B1382" s="1">
        <v>42632</v>
      </c>
      <c r="C1382" s="9" t="s">
        <v>729</v>
      </c>
      <c r="D1382" s="9" t="s">
        <v>4988</v>
      </c>
      <c r="E1382" s="9" t="s">
        <v>5308</v>
      </c>
      <c r="F1382" s="9" t="s">
        <v>15</v>
      </c>
      <c r="G1382" s="9" t="s">
        <v>898</v>
      </c>
      <c r="H1382" s="9" t="s">
        <v>105</v>
      </c>
      <c r="I1382" s="11">
        <v>15000000</v>
      </c>
      <c r="J1382" s="11">
        <v>1437013</v>
      </c>
      <c r="K1382" s="11">
        <v>10153449</v>
      </c>
      <c r="L1382" s="3">
        <v>478</v>
      </c>
      <c r="M1382" s="3">
        <v>1088</v>
      </c>
      <c r="N1382" s="3">
        <v>1734697</v>
      </c>
      <c r="O1382" s="2">
        <v>0.38900000000000001</v>
      </c>
      <c r="P1382" s="2">
        <v>0.73399999999999999</v>
      </c>
      <c r="Q1382" s="2">
        <v>0.36749999999999999</v>
      </c>
      <c r="R1382" s="11">
        <v>120855147</v>
      </c>
      <c r="S1382" s="11">
        <v>862885</v>
      </c>
      <c r="T1382">
        <v>2016</v>
      </c>
      <c r="U1382">
        <v>9</v>
      </c>
      <c r="V1382">
        <f t="shared" si="126"/>
        <v>600000</v>
      </c>
      <c r="W1382">
        <f t="shared" si="127"/>
        <v>18429897</v>
      </c>
      <c r="X1382">
        <f t="shared" si="128"/>
        <v>17829897</v>
      </c>
      <c r="Y1382">
        <f t="shared" si="129"/>
        <v>-26144845.5</v>
      </c>
      <c r="Z1382">
        <f t="shared" si="130"/>
        <v>45174742.5</v>
      </c>
      <c r="AA1382" t="str">
        <f t="shared" si="131"/>
        <v>Normal</v>
      </c>
      <c r="AE1382" s="2"/>
      <c r="AF1382" s="2"/>
    </row>
    <row r="1383" spans="1:32" x14ac:dyDescent="0.35">
      <c r="A1383">
        <v>1382</v>
      </c>
      <c r="B1383" s="1">
        <v>42633</v>
      </c>
      <c r="C1383" s="9" t="s">
        <v>2412</v>
      </c>
      <c r="D1383" s="9" t="s">
        <v>4988</v>
      </c>
      <c r="E1383" s="9" t="s">
        <v>5592</v>
      </c>
      <c r="F1383" s="9" t="s">
        <v>15</v>
      </c>
      <c r="G1383" s="9" t="s">
        <v>931</v>
      </c>
      <c r="H1383" s="9" t="s">
        <v>86</v>
      </c>
      <c r="I1383" s="11">
        <v>18429897</v>
      </c>
      <c r="J1383" s="11">
        <v>1746603</v>
      </c>
      <c r="K1383" s="11">
        <v>5723661</v>
      </c>
      <c r="L1383" s="3">
        <v>396</v>
      </c>
      <c r="M1383" s="3">
        <v>4226</v>
      </c>
      <c r="N1383" s="3">
        <v>302540</v>
      </c>
      <c r="O1383" s="2">
        <v>9.6999999999999989E-2</v>
      </c>
      <c r="P1383" s="2">
        <v>0.86</v>
      </c>
      <c r="Q1383" s="2">
        <v>0.36749999999999999</v>
      </c>
      <c r="R1383" s="11">
        <v>278220679</v>
      </c>
      <c r="S1383" s="11">
        <v>639699</v>
      </c>
      <c r="T1383">
        <v>2016</v>
      </c>
      <c r="U1383">
        <v>9</v>
      </c>
      <c r="V1383">
        <f t="shared" si="126"/>
        <v>600000</v>
      </c>
      <c r="W1383">
        <f t="shared" si="127"/>
        <v>18429897</v>
      </c>
      <c r="X1383">
        <f t="shared" si="128"/>
        <v>17829897</v>
      </c>
      <c r="Y1383">
        <f t="shared" si="129"/>
        <v>-26144845.5</v>
      </c>
      <c r="Z1383">
        <f t="shared" si="130"/>
        <v>45174742.5</v>
      </c>
      <c r="AA1383" t="str">
        <f t="shared" si="131"/>
        <v>Normal</v>
      </c>
      <c r="AE1383" s="2"/>
      <c r="AF1383" s="2"/>
    </row>
    <row r="1384" spans="1:32" x14ac:dyDescent="0.35">
      <c r="A1384">
        <v>1383</v>
      </c>
      <c r="B1384" s="1">
        <v>42633</v>
      </c>
      <c r="C1384" s="9" t="s">
        <v>2413</v>
      </c>
      <c r="D1384" s="9" t="s">
        <v>4925</v>
      </c>
      <c r="E1384" s="9" t="s">
        <v>6812</v>
      </c>
      <c r="F1384" s="9" t="s">
        <v>124</v>
      </c>
      <c r="G1384" s="9" t="s">
        <v>575</v>
      </c>
      <c r="H1384" s="9" t="s">
        <v>86</v>
      </c>
      <c r="I1384" s="11">
        <v>500000</v>
      </c>
      <c r="J1384" s="11">
        <v>4487044</v>
      </c>
      <c r="K1384" s="11">
        <v>6045616</v>
      </c>
      <c r="L1384" s="3">
        <v>105</v>
      </c>
      <c r="M1384" s="3">
        <v>2887</v>
      </c>
      <c r="N1384" s="3">
        <v>1706810</v>
      </c>
      <c r="O1384" s="2">
        <v>0.28199999999999997</v>
      </c>
      <c r="P1384" s="2">
        <v>0.21</v>
      </c>
      <c r="Q1384" s="2">
        <v>-1.6E-2</v>
      </c>
      <c r="R1384" s="11">
        <v>27422197</v>
      </c>
      <c r="S1384" s="11">
        <v>770629</v>
      </c>
      <c r="T1384">
        <v>2016</v>
      </c>
      <c r="U1384">
        <v>9</v>
      </c>
      <c r="V1384">
        <f t="shared" si="126"/>
        <v>600000</v>
      </c>
      <c r="W1384">
        <f t="shared" si="127"/>
        <v>18429897</v>
      </c>
      <c r="X1384">
        <f t="shared" si="128"/>
        <v>17829897</v>
      </c>
      <c r="Y1384">
        <f t="shared" si="129"/>
        <v>-26144845.5</v>
      </c>
      <c r="Z1384">
        <f t="shared" si="130"/>
        <v>45174742.5</v>
      </c>
      <c r="AA1384" t="str">
        <f t="shared" si="131"/>
        <v>Normal</v>
      </c>
      <c r="AE1384" s="2"/>
      <c r="AF1384" s="2"/>
    </row>
    <row r="1385" spans="1:32" x14ac:dyDescent="0.35">
      <c r="A1385">
        <v>1384</v>
      </c>
      <c r="B1385" s="1">
        <v>42633</v>
      </c>
      <c r="C1385" s="9" t="s">
        <v>2414</v>
      </c>
      <c r="D1385" s="9" t="s">
        <v>4930</v>
      </c>
      <c r="E1385" s="9" t="s">
        <v>6813</v>
      </c>
      <c r="F1385" s="9" t="s">
        <v>27</v>
      </c>
      <c r="G1385" s="9" t="s">
        <v>2415</v>
      </c>
      <c r="H1385" s="9" t="s">
        <v>86</v>
      </c>
      <c r="I1385" s="11">
        <v>18429897</v>
      </c>
      <c r="J1385" s="11">
        <v>1943884</v>
      </c>
      <c r="K1385" s="11">
        <v>5259910</v>
      </c>
      <c r="L1385" s="3">
        <v>86</v>
      </c>
      <c r="M1385" s="3">
        <v>2550</v>
      </c>
      <c r="N1385" s="3">
        <v>694907</v>
      </c>
      <c r="O1385" s="2">
        <v>-0.20600000000000002</v>
      </c>
      <c r="P1385" s="2">
        <v>0.50800000000000001</v>
      </c>
      <c r="Q1385" s="2">
        <v>0.46399999999999997</v>
      </c>
      <c r="R1385" s="11">
        <v>33500056</v>
      </c>
      <c r="S1385" s="11">
        <v>342777</v>
      </c>
      <c r="T1385">
        <v>2016</v>
      </c>
      <c r="U1385">
        <v>9</v>
      </c>
      <c r="V1385">
        <f t="shared" si="126"/>
        <v>600000</v>
      </c>
      <c r="W1385">
        <f t="shared" si="127"/>
        <v>18429897</v>
      </c>
      <c r="X1385">
        <f t="shared" si="128"/>
        <v>17829897</v>
      </c>
      <c r="Y1385">
        <f t="shared" si="129"/>
        <v>-26144845.5</v>
      </c>
      <c r="Z1385">
        <f t="shared" si="130"/>
        <v>45174742.5</v>
      </c>
      <c r="AA1385" t="str">
        <f t="shared" si="131"/>
        <v>Normal</v>
      </c>
      <c r="AE1385" s="2"/>
      <c r="AF1385" s="2"/>
    </row>
    <row r="1386" spans="1:32" x14ac:dyDescent="0.35">
      <c r="A1386">
        <v>1385</v>
      </c>
      <c r="B1386" s="1">
        <v>42634</v>
      </c>
      <c r="C1386" s="9" t="s">
        <v>2416</v>
      </c>
      <c r="D1386" s="9" t="s">
        <v>4988</v>
      </c>
      <c r="E1386" s="9" t="s">
        <v>2417</v>
      </c>
      <c r="F1386" s="9" t="s">
        <v>15</v>
      </c>
      <c r="G1386" s="9" t="s">
        <v>856</v>
      </c>
      <c r="H1386" s="9" t="s">
        <v>86</v>
      </c>
      <c r="I1386" s="11">
        <v>1000000</v>
      </c>
      <c r="J1386" s="11">
        <v>1190783</v>
      </c>
      <c r="K1386" s="11">
        <v>6939243</v>
      </c>
      <c r="L1386" s="3">
        <v>108</v>
      </c>
      <c r="M1386" s="3">
        <v>1891</v>
      </c>
      <c r="N1386" s="3">
        <v>1018455</v>
      </c>
      <c r="O1386" s="2">
        <v>-0.4</v>
      </c>
      <c r="P1386" s="2">
        <v>0.32200000000000001</v>
      </c>
      <c r="Q1386" s="2">
        <v>6.3E-2</v>
      </c>
      <c r="R1386" s="11">
        <v>323498573</v>
      </c>
      <c r="S1386" s="11">
        <v>313218</v>
      </c>
      <c r="T1386">
        <v>2016</v>
      </c>
      <c r="U1386">
        <v>9</v>
      </c>
      <c r="V1386">
        <f t="shared" si="126"/>
        <v>600000</v>
      </c>
      <c r="W1386">
        <f t="shared" si="127"/>
        <v>18429897</v>
      </c>
      <c r="X1386">
        <f t="shared" si="128"/>
        <v>17829897</v>
      </c>
      <c r="Y1386">
        <f t="shared" si="129"/>
        <v>-26144845.5</v>
      </c>
      <c r="Z1386">
        <f t="shared" si="130"/>
        <v>45174742.5</v>
      </c>
      <c r="AA1386" t="str">
        <f t="shared" si="131"/>
        <v>Normal</v>
      </c>
      <c r="AE1386" s="2"/>
      <c r="AF1386" s="2"/>
    </row>
    <row r="1387" spans="1:32" x14ac:dyDescent="0.35">
      <c r="A1387">
        <v>1386</v>
      </c>
      <c r="B1387" s="1">
        <v>42634</v>
      </c>
      <c r="C1387" s="9" t="s">
        <v>2418</v>
      </c>
      <c r="D1387" s="9" t="s">
        <v>4988</v>
      </c>
      <c r="E1387" s="9" t="s">
        <v>6814</v>
      </c>
      <c r="F1387" s="9" t="s">
        <v>1255</v>
      </c>
      <c r="G1387" s="9" t="s">
        <v>2419</v>
      </c>
      <c r="H1387" s="9" t="s">
        <v>86</v>
      </c>
      <c r="I1387" s="11">
        <v>18429897</v>
      </c>
      <c r="J1387" s="11">
        <v>2531926</v>
      </c>
      <c r="K1387" s="11">
        <v>5739247</v>
      </c>
      <c r="L1387" s="3">
        <v>438</v>
      </c>
      <c r="M1387" s="3">
        <v>3873</v>
      </c>
      <c r="N1387" s="3">
        <v>1440343</v>
      </c>
      <c r="O1387" s="2">
        <v>0.13600000000000001</v>
      </c>
      <c r="P1387" s="2">
        <v>0.439</v>
      </c>
      <c r="Q1387" s="2">
        <v>-0.12300000000000001</v>
      </c>
      <c r="R1387" s="11">
        <v>221096198</v>
      </c>
      <c r="S1387" s="11">
        <v>1008193.5</v>
      </c>
      <c r="T1387">
        <v>2016</v>
      </c>
      <c r="U1387">
        <v>9</v>
      </c>
      <c r="V1387">
        <f t="shared" si="126"/>
        <v>600000</v>
      </c>
      <c r="W1387">
        <f t="shared" si="127"/>
        <v>18429897</v>
      </c>
      <c r="X1387">
        <f t="shared" si="128"/>
        <v>17829897</v>
      </c>
      <c r="Y1387">
        <f t="shared" si="129"/>
        <v>-26144845.5</v>
      </c>
      <c r="Z1387">
        <f t="shared" si="130"/>
        <v>45174742.5</v>
      </c>
      <c r="AA1387" t="str">
        <f t="shared" si="131"/>
        <v>Normal</v>
      </c>
      <c r="AE1387" s="2"/>
      <c r="AF1387" s="2"/>
    </row>
    <row r="1388" spans="1:32" x14ac:dyDescent="0.35">
      <c r="A1388">
        <v>1387</v>
      </c>
      <c r="B1388" s="1">
        <v>42634</v>
      </c>
      <c r="C1388" s="9" t="s">
        <v>680</v>
      </c>
      <c r="D1388" s="9" t="s">
        <v>4925</v>
      </c>
      <c r="E1388" s="9" t="s">
        <v>6815</v>
      </c>
      <c r="F1388" s="9" t="s">
        <v>31</v>
      </c>
      <c r="G1388" s="9" t="s">
        <v>2420</v>
      </c>
      <c r="H1388" s="9" t="s">
        <v>105</v>
      </c>
      <c r="I1388" s="11">
        <v>31300000</v>
      </c>
      <c r="J1388" s="11">
        <v>1640206</v>
      </c>
      <c r="K1388" s="11">
        <v>13648292</v>
      </c>
      <c r="L1388" s="3">
        <v>155</v>
      </c>
      <c r="M1388" s="3">
        <v>1771</v>
      </c>
      <c r="N1388" s="3">
        <v>1964643</v>
      </c>
      <c r="O1388" s="2">
        <v>-0.22699999999999998</v>
      </c>
      <c r="P1388" s="2">
        <v>1.03</v>
      </c>
      <c r="Q1388" s="2">
        <v>6.7000000000000004E-2</v>
      </c>
      <c r="R1388" s="11">
        <v>486586935</v>
      </c>
      <c r="S1388" s="11">
        <v>567271</v>
      </c>
      <c r="T1388">
        <v>2016</v>
      </c>
      <c r="U1388">
        <v>9</v>
      </c>
      <c r="V1388">
        <f t="shared" si="126"/>
        <v>600000</v>
      </c>
      <c r="W1388">
        <f t="shared" si="127"/>
        <v>18429897</v>
      </c>
      <c r="X1388">
        <f t="shared" si="128"/>
        <v>17829897</v>
      </c>
      <c r="Y1388">
        <f t="shared" si="129"/>
        <v>-26144845.5</v>
      </c>
      <c r="Z1388">
        <f t="shared" si="130"/>
        <v>45174742.5</v>
      </c>
      <c r="AA1388" t="str">
        <f t="shared" si="131"/>
        <v>Normal</v>
      </c>
      <c r="AE1388" s="2"/>
      <c r="AF1388" s="2"/>
    </row>
    <row r="1389" spans="1:32" x14ac:dyDescent="0.35">
      <c r="A1389">
        <v>1388</v>
      </c>
      <c r="B1389" s="1">
        <v>42634</v>
      </c>
      <c r="C1389" s="9" t="s">
        <v>2421</v>
      </c>
      <c r="D1389" s="9" t="s">
        <v>4925</v>
      </c>
      <c r="E1389" s="9" t="s">
        <v>6816</v>
      </c>
      <c r="F1389" s="9" t="s">
        <v>408</v>
      </c>
      <c r="G1389" s="9" t="s">
        <v>2422</v>
      </c>
      <c r="H1389" s="9" t="s">
        <v>86</v>
      </c>
      <c r="I1389" s="11">
        <v>298000</v>
      </c>
      <c r="J1389" s="11">
        <v>4456549</v>
      </c>
      <c r="K1389" s="11">
        <v>6826495</v>
      </c>
      <c r="L1389" s="3">
        <v>168</v>
      </c>
      <c r="M1389" s="3">
        <v>1226</v>
      </c>
      <c r="N1389" s="3">
        <v>175812</v>
      </c>
      <c r="O1389" s="2">
        <v>-0.186</v>
      </c>
      <c r="P1389" s="2">
        <v>0.748</v>
      </c>
      <c r="Q1389" s="2">
        <v>0.46</v>
      </c>
      <c r="R1389" s="11">
        <v>250136829</v>
      </c>
      <c r="S1389" s="11">
        <v>1145516</v>
      </c>
      <c r="T1389">
        <v>2016</v>
      </c>
      <c r="U1389">
        <v>9</v>
      </c>
      <c r="V1389">
        <f t="shared" si="126"/>
        <v>600000</v>
      </c>
      <c r="W1389">
        <f t="shared" si="127"/>
        <v>18429897</v>
      </c>
      <c r="X1389">
        <f t="shared" si="128"/>
        <v>17829897</v>
      </c>
      <c r="Y1389">
        <f t="shared" si="129"/>
        <v>-26144845.5</v>
      </c>
      <c r="Z1389">
        <f t="shared" si="130"/>
        <v>45174742.5</v>
      </c>
      <c r="AA1389" t="str">
        <f t="shared" si="131"/>
        <v>Normal</v>
      </c>
      <c r="AE1389" s="2"/>
      <c r="AF1389" s="2"/>
    </row>
    <row r="1390" spans="1:32" x14ac:dyDescent="0.35">
      <c r="A1390">
        <v>1389</v>
      </c>
      <c r="B1390" s="1">
        <v>42634</v>
      </c>
      <c r="C1390" s="9" t="s">
        <v>1963</v>
      </c>
      <c r="D1390" s="9" t="s">
        <v>4988</v>
      </c>
      <c r="E1390" s="9" t="s">
        <v>6817</v>
      </c>
      <c r="F1390" s="9" t="s">
        <v>27</v>
      </c>
      <c r="G1390" s="9" t="s">
        <v>2423</v>
      </c>
      <c r="H1390" s="9" t="s">
        <v>86</v>
      </c>
      <c r="I1390" s="11">
        <v>350000</v>
      </c>
      <c r="J1390" s="11">
        <v>4547142</v>
      </c>
      <c r="K1390" s="11">
        <v>15119662</v>
      </c>
      <c r="L1390" s="3">
        <v>445</v>
      </c>
      <c r="M1390" s="3">
        <v>2505.5</v>
      </c>
      <c r="N1390" s="3">
        <v>1962687</v>
      </c>
      <c r="O1390" s="2">
        <v>0.152</v>
      </c>
      <c r="P1390" s="2">
        <v>1.06</v>
      </c>
      <c r="Q1390" s="2">
        <v>-0.41399999999999998</v>
      </c>
      <c r="R1390" s="11">
        <v>165395791</v>
      </c>
      <c r="S1390" s="11">
        <v>1008193.5</v>
      </c>
      <c r="T1390">
        <v>2016</v>
      </c>
      <c r="U1390">
        <v>9</v>
      </c>
      <c r="V1390">
        <f t="shared" si="126"/>
        <v>600000</v>
      </c>
      <c r="W1390">
        <f t="shared" si="127"/>
        <v>18429897</v>
      </c>
      <c r="X1390">
        <f t="shared" si="128"/>
        <v>17829897</v>
      </c>
      <c r="Y1390">
        <f t="shared" si="129"/>
        <v>-26144845.5</v>
      </c>
      <c r="Z1390">
        <f t="shared" si="130"/>
        <v>45174742.5</v>
      </c>
      <c r="AA1390" t="str">
        <f t="shared" si="131"/>
        <v>Normal</v>
      </c>
      <c r="AE1390" s="2"/>
      <c r="AF1390" s="2"/>
    </row>
    <row r="1391" spans="1:32" x14ac:dyDescent="0.35">
      <c r="A1391">
        <v>1390</v>
      </c>
      <c r="B1391" s="1">
        <v>42635</v>
      </c>
      <c r="C1391" s="9" t="s">
        <v>2424</v>
      </c>
      <c r="D1391" s="9" t="s">
        <v>4988</v>
      </c>
      <c r="E1391" s="9" t="s">
        <v>6818</v>
      </c>
      <c r="F1391" s="9" t="s">
        <v>27</v>
      </c>
      <c r="G1391" s="9" t="s">
        <v>1032</v>
      </c>
      <c r="H1391" s="9" t="s">
        <v>105</v>
      </c>
      <c r="I1391" s="11">
        <v>6000000</v>
      </c>
      <c r="J1391" s="11">
        <v>1543930</v>
      </c>
      <c r="K1391" s="11">
        <v>12136008</v>
      </c>
      <c r="L1391" s="3">
        <v>106</v>
      </c>
      <c r="M1391" s="3">
        <v>4372</v>
      </c>
      <c r="N1391" s="3">
        <v>685244</v>
      </c>
      <c r="O1391" s="2">
        <v>-1E-3</v>
      </c>
      <c r="P1391" s="2">
        <v>1.089</v>
      </c>
      <c r="Q1391" s="2">
        <v>0.29299999999999998</v>
      </c>
      <c r="R1391" s="11">
        <v>407203271</v>
      </c>
      <c r="S1391" s="11">
        <v>624735</v>
      </c>
      <c r="T1391">
        <v>2016</v>
      </c>
      <c r="U1391">
        <v>9</v>
      </c>
      <c r="V1391">
        <f t="shared" si="126"/>
        <v>600000</v>
      </c>
      <c r="W1391">
        <f t="shared" si="127"/>
        <v>18429897</v>
      </c>
      <c r="X1391">
        <f t="shared" si="128"/>
        <v>17829897</v>
      </c>
      <c r="Y1391">
        <f t="shared" si="129"/>
        <v>-26144845.5</v>
      </c>
      <c r="Z1391">
        <f t="shared" si="130"/>
        <v>45174742.5</v>
      </c>
      <c r="AA1391" t="str">
        <f t="shared" si="131"/>
        <v>Normal</v>
      </c>
      <c r="AE1391" s="2"/>
      <c r="AF1391" s="2"/>
    </row>
    <row r="1392" spans="1:32" x14ac:dyDescent="0.35">
      <c r="A1392">
        <v>1391</v>
      </c>
      <c r="B1392" s="1">
        <v>42635</v>
      </c>
      <c r="C1392" s="9" t="s">
        <v>2425</v>
      </c>
      <c r="D1392" s="9" t="s">
        <v>4988</v>
      </c>
      <c r="E1392" s="9" t="s">
        <v>6819</v>
      </c>
      <c r="F1392" s="9" t="s">
        <v>15</v>
      </c>
      <c r="G1392" s="9" t="s">
        <v>2426</v>
      </c>
      <c r="H1392" s="9" t="s">
        <v>105</v>
      </c>
      <c r="I1392" s="11">
        <v>18429897</v>
      </c>
      <c r="J1392" s="11">
        <v>2657119</v>
      </c>
      <c r="K1392" s="11">
        <v>12845634</v>
      </c>
      <c r="L1392" s="3">
        <v>206</v>
      </c>
      <c r="M1392" s="3">
        <v>412</v>
      </c>
      <c r="N1392" s="3">
        <v>1938120</v>
      </c>
      <c r="O1392" s="2">
        <v>5.0999999999999997E-2</v>
      </c>
      <c r="P1392" s="2">
        <v>1.006</v>
      </c>
      <c r="Q1392" s="2">
        <v>0.19500000000000001</v>
      </c>
      <c r="R1392" s="11">
        <v>49462144</v>
      </c>
      <c r="S1392" s="11">
        <v>177393</v>
      </c>
      <c r="T1392">
        <v>2016</v>
      </c>
      <c r="U1392">
        <v>9</v>
      </c>
      <c r="V1392">
        <f t="shared" si="126"/>
        <v>600000</v>
      </c>
      <c r="W1392">
        <f t="shared" si="127"/>
        <v>18429897</v>
      </c>
      <c r="X1392">
        <f t="shared" si="128"/>
        <v>17829897</v>
      </c>
      <c r="Y1392">
        <f t="shared" si="129"/>
        <v>-26144845.5</v>
      </c>
      <c r="Z1392">
        <f t="shared" si="130"/>
        <v>45174742.5</v>
      </c>
      <c r="AA1392" t="str">
        <f t="shared" si="131"/>
        <v>Normal</v>
      </c>
      <c r="AE1392" s="2"/>
      <c r="AF1392" s="2"/>
    </row>
    <row r="1393" spans="1:32" x14ac:dyDescent="0.35">
      <c r="A1393">
        <v>1392</v>
      </c>
      <c r="B1393" s="1">
        <v>42635</v>
      </c>
      <c r="C1393" s="9" t="s">
        <v>2427</v>
      </c>
      <c r="D1393" s="9" t="s">
        <v>4930</v>
      </c>
      <c r="E1393" s="9" t="s">
        <v>6820</v>
      </c>
      <c r="F1393" s="9" t="s">
        <v>15</v>
      </c>
      <c r="G1393" s="9" t="s">
        <v>2428</v>
      </c>
      <c r="H1393" s="9" t="s">
        <v>86</v>
      </c>
      <c r="I1393" s="11">
        <v>425000</v>
      </c>
      <c r="J1393" s="11">
        <v>4920281</v>
      </c>
      <c r="K1393" s="11">
        <v>11712949</v>
      </c>
      <c r="L1393" s="3">
        <v>151</v>
      </c>
      <c r="M1393" s="3">
        <v>4232</v>
      </c>
      <c r="N1393" s="3">
        <v>98627</v>
      </c>
      <c r="O1393" s="2">
        <v>3.9E-2</v>
      </c>
      <c r="P1393" s="2">
        <v>0.96200000000000008</v>
      </c>
      <c r="Q1393" s="2">
        <v>7.0999999999999994E-2</v>
      </c>
      <c r="R1393" s="11">
        <v>106735102</v>
      </c>
      <c r="S1393" s="11">
        <v>1040619</v>
      </c>
      <c r="T1393">
        <v>2016</v>
      </c>
      <c r="U1393">
        <v>9</v>
      </c>
      <c r="V1393">
        <f t="shared" si="126"/>
        <v>600000</v>
      </c>
      <c r="W1393">
        <f t="shared" si="127"/>
        <v>18429897</v>
      </c>
      <c r="X1393">
        <f t="shared" si="128"/>
        <v>17829897</v>
      </c>
      <c r="Y1393">
        <f t="shared" si="129"/>
        <v>-26144845.5</v>
      </c>
      <c r="Z1393">
        <f t="shared" si="130"/>
        <v>45174742.5</v>
      </c>
      <c r="AA1393" t="str">
        <f t="shared" si="131"/>
        <v>Normal</v>
      </c>
      <c r="AE1393" s="2"/>
      <c r="AF1393" s="2"/>
    </row>
    <row r="1394" spans="1:32" x14ac:dyDescent="0.35">
      <c r="A1394">
        <v>1393</v>
      </c>
      <c r="B1394" s="1">
        <v>42635</v>
      </c>
      <c r="C1394" s="9" t="s">
        <v>2429</v>
      </c>
      <c r="D1394" s="9" t="s">
        <v>4930</v>
      </c>
      <c r="E1394" s="9" t="s">
        <v>6821</v>
      </c>
      <c r="F1394" s="9" t="s">
        <v>15</v>
      </c>
      <c r="G1394" s="9" t="s">
        <v>856</v>
      </c>
      <c r="H1394" s="9" t="s">
        <v>86</v>
      </c>
      <c r="I1394" s="11">
        <v>1000000</v>
      </c>
      <c r="J1394" s="11">
        <v>3716743</v>
      </c>
      <c r="K1394" s="11">
        <v>18465015</v>
      </c>
      <c r="L1394" s="3">
        <v>154</v>
      </c>
      <c r="M1394" s="3">
        <v>1925</v>
      </c>
      <c r="N1394" s="3">
        <v>1000000000</v>
      </c>
      <c r="O1394" s="2">
        <v>-0.13699999999999998</v>
      </c>
      <c r="P1394" s="2">
        <v>0.36599999999999999</v>
      </c>
      <c r="Q1394" s="2">
        <v>2.1999999999999999E-2</v>
      </c>
      <c r="R1394" s="11">
        <v>384691047</v>
      </c>
      <c r="S1394" s="11">
        <v>109850</v>
      </c>
      <c r="T1394">
        <v>2016</v>
      </c>
      <c r="U1394">
        <v>9</v>
      </c>
      <c r="V1394">
        <f t="shared" si="126"/>
        <v>600000</v>
      </c>
      <c r="W1394">
        <f t="shared" si="127"/>
        <v>18429897</v>
      </c>
      <c r="X1394">
        <f t="shared" si="128"/>
        <v>17829897</v>
      </c>
      <c r="Y1394">
        <f t="shared" si="129"/>
        <v>-26144845.5</v>
      </c>
      <c r="Z1394">
        <f t="shared" si="130"/>
        <v>45174742.5</v>
      </c>
      <c r="AA1394" t="str">
        <f t="shared" si="131"/>
        <v>Normal</v>
      </c>
      <c r="AE1394" s="2"/>
      <c r="AF1394" s="2"/>
    </row>
    <row r="1395" spans="1:32" x14ac:dyDescent="0.35">
      <c r="A1395">
        <v>1394</v>
      </c>
      <c r="B1395" s="1">
        <v>42635</v>
      </c>
      <c r="C1395" s="9" t="s">
        <v>2430</v>
      </c>
      <c r="D1395" s="9" t="s">
        <v>4930</v>
      </c>
      <c r="E1395" s="9" t="s">
        <v>6822</v>
      </c>
      <c r="F1395" s="9" t="s">
        <v>41</v>
      </c>
      <c r="G1395" s="9" t="s">
        <v>2431</v>
      </c>
      <c r="H1395" s="9" t="s">
        <v>105</v>
      </c>
      <c r="I1395" s="11">
        <v>745000</v>
      </c>
      <c r="J1395" s="11">
        <v>1093824</v>
      </c>
      <c r="K1395" s="11">
        <v>5188663</v>
      </c>
      <c r="L1395" s="3">
        <v>299</v>
      </c>
      <c r="M1395" s="3">
        <v>62</v>
      </c>
      <c r="N1395" s="3">
        <v>1068934</v>
      </c>
      <c r="O1395" s="2">
        <v>7.5999999999999998E-2</v>
      </c>
      <c r="P1395" s="2">
        <v>0.46899999999999997</v>
      </c>
      <c r="Q1395" s="2">
        <v>0.45900000000000002</v>
      </c>
      <c r="R1395" s="11">
        <v>194358701</v>
      </c>
      <c r="S1395" s="11">
        <v>542169</v>
      </c>
      <c r="T1395">
        <v>2016</v>
      </c>
      <c r="U1395">
        <v>9</v>
      </c>
      <c r="V1395">
        <f t="shared" si="126"/>
        <v>600000</v>
      </c>
      <c r="W1395">
        <f t="shared" si="127"/>
        <v>18429897</v>
      </c>
      <c r="X1395">
        <f t="shared" si="128"/>
        <v>17829897</v>
      </c>
      <c r="Y1395">
        <f t="shared" si="129"/>
        <v>-26144845.5</v>
      </c>
      <c r="Z1395">
        <f t="shared" si="130"/>
        <v>45174742.5</v>
      </c>
      <c r="AA1395" t="str">
        <f t="shared" si="131"/>
        <v>Normal</v>
      </c>
      <c r="AE1395" s="2"/>
      <c r="AF1395" s="2"/>
    </row>
    <row r="1396" spans="1:32" x14ac:dyDescent="0.35">
      <c r="A1396">
        <v>1395</v>
      </c>
      <c r="B1396" s="1">
        <v>42636</v>
      </c>
      <c r="C1396" s="9" t="s">
        <v>2432</v>
      </c>
      <c r="D1396" s="9" t="s">
        <v>4930</v>
      </c>
      <c r="E1396" s="9" t="s">
        <v>6823</v>
      </c>
      <c r="F1396" s="9" t="s">
        <v>35</v>
      </c>
      <c r="G1396" s="9" t="s">
        <v>2433</v>
      </c>
      <c r="H1396" s="9" t="s">
        <v>105</v>
      </c>
      <c r="I1396" s="11">
        <v>6000000</v>
      </c>
      <c r="J1396" s="11">
        <v>2961909</v>
      </c>
      <c r="K1396" s="11">
        <v>19649467</v>
      </c>
      <c r="L1396" s="3">
        <v>371</v>
      </c>
      <c r="M1396" s="3">
        <v>4634</v>
      </c>
      <c r="N1396" s="3">
        <v>1663887</v>
      </c>
      <c r="O1396" s="2">
        <v>0.11699999999999999</v>
      </c>
      <c r="P1396" s="2">
        <v>0.90400000000000003</v>
      </c>
      <c r="Q1396" s="2">
        <v>0.28000000000000003</v>
      </c>
      <c r="R1396" s="11">
        <v>227275902</v>
      </c>
      <c r="S1396" s="11">
        <v>1589958</v>
      </c>
      <c r="T1396">
        <v>2016</v>
      </c>
      <c r="U1396">
        <v>9</v>
      </c>
      <c r="V1396">
        <f t="shared" si="126"/>
        <v>600000</v>
      </c>
      <c r="W1396">
        <f t="shared" si="127"/>
        <v>18429897</v>
      </c>
      <c r="X1396">
        <f t="shared" si="128"/>
        <v>17829897</v>
      </c>
      <c r="Y1396">
        <f t="shared" si="129"/>
        <v>-26144845.5</v>
      </c>
      <c r="Z1396">
        <f t="shared" si="130"/>
        <v>45174742.5</v>
      </c>
      <c r="AA1396" t="str">
        <f t="shared" si="131"/>
        <v>Normal</v>
      </c>
      <c r="AE1396" s="2"/>
      <c r="AF1396" s="2"/>
    </row>
    <row r="1397" spans="1:32" x14ac:dyDescent="0.35">
      <c r="A1397">
        <v>1396</v>
      </c>
      <c r="B1397" s="1">
        <v>42636</v>
      </c>
      <c r="C1397" s="9" t="s">
        <v>2434</v>
      </c>
      <c r="D1397" s="9" t="s">
        <v>4988</v>
      </c>
      <c r="E1397" s="9" t="s">
        <v>6824</v>
      </c>
      <c r="F1397" s="9" t="s">
        <v>15</v>
      </c>
      <c r="G1397" s="9" t="s">
        <v>2435</v>
      </c>
      <c r="H1397" s="9" t="s">
        <v>86</v>
      </c>
      <c r="I1397" s="11">
        <v>18429897</v>
      </c>
      <c r="J1397" s="11">
        <v>3107054</v>
      </c>
      <c r="K1397" s="11">
        <v>4207843</v>
      </c>
      <c r="L1397" s="3">
        <v>136</v>
      </c>
      <c r="M1397" s="3">
        <v>3717</v>
      </c>
      <c r="N1397" s="3">
        <v>943751</v>
      </c>
      <c r="O1397" s="2">
        <v>1.6E-2</v>
      </c>
      <c r="P1397" s="2">
        <v>0.501</v>
      </c>
      <c r="Q1397" s="2">
        <v>-0.159</v>
      </c>
      <c r="R1397" s="11">
        <v>263648772</v>
      </c>
      <c r="S1397" s="11">
        <v>289911</v>
      </c>
      <c r="T1397">
        <v>2016</v>
      </c>
      <c r="U1397">
        <v>9</v>
      </c>
      <c r="V1397">
        <f t="shared" si="126"/>
        <v>600000</v>
      </c>
      <c r="W1397">
        <f t="shared" si="127"/>
        <v>18429897</v>
      </c>
      <c r="X1397">
        <f t="shared" si="128"/>
        <v>17829897</v>
      </c>
      <c r="Y1397">
        <f t="shared" si="129"/>
        <v>-26144845.5</v>
      </c>
      <c r="Z1397">
        <f t="shared" si="130"/>
        <v>45174742.5</v>
      </c>
      <c r="AA1397" t="str">
        <f t="shared" si="131"/>
        <v>Normal</v>
      </c>
      <c r="AE1397" s="2"/>
      <c r="AF1397" s="2"/>
    </row>
    <row r="1398" spans="1:32" x14ac:dyDescent="0.35">
      <c r="A1398">
        <v>1397</v>
      </c>
      <c r="B1398" s="1">
        <v>42636</v>
      </c>
      <c r="C1398" s="9" t="s">
        <v>2436</v>
      </c>
      <c r="D1398" s="9" t="s">
        <v>4988</v>
      </c>
      <c r="E1398" s="9" t="s">
        <v>6825</v>
      </c>
      <c r="F1398" s="9" t="s">
        <v>31</v>
      </c>
      <c r="G1398" s="9" t="s">
        <v>2437</v>
      </c>
      <c r="H1398" s="9" t="s">
        <v>86</v>
      </c>
      <c r="I1398" s="11">
        <v>18429897</v>
      </c>
      <c r="J1398" s="11">
        <v>3274127</v>
      </c>
      <c r="K1398" s="11">
        <v>2850765</v>
      </c>
      <c r="L1398" s="3">
        <v>23</v>
      </c>
      <c r="M1398" s="3">
        <v>3628</v>
      </c>
      <c r="N1398" s="3">
        <v>152159</v>
      </c>
      <c r="O1398" s="2">
        <v>0.02</v>
      </c>
      <c r="P1398" s="2">
        <v>0.57499999999999996</v>
      </c>
      <c r="Q1398" s="2">
        <v>0.106</v>
      </c>
      <c r="R1398" s="11">
        <v>296584542</v>
      </c>
      <c r="S1398" s="11">
        <v>407566</v>
      </c>
      <c r="T1398">
        <v>2016</v>
      </c>
      <c r="U1398">
        <v>9</v>
      </c>
      <c r="V1398">
        <f t="shared" si="126"/>
        <v>600000</v>
      </c>
      <c r="W1398">
        <f t="shared" si="127"/>
        <v>18429897</v>
      </c>
      <c r="X1398">
        <f t="shared" si="128"/>
        <v>17829897</v>
      </c>
      <c r="Y1398">
        <f t="shared" si="129"/>
        <v>-26144845.5</v>
      </c>
      <c r="Z1398">
        <f t="shared" si="130"/>
        <v>45174742.5</v>
      </c>
      <c r="AA1398" t="str">
        <f t="shared" si="131"/>
        <v>Normal</v>
      </c>
      <c r="AE1398" s="2"/>
      <c r="AF1398" s="2"/>
    </row>
    <row r="1399" spans="1:32" x14ac:dyDescent="0.35">
      <c r="A1399">
        <v>1398</v>
      </c>
      <c r="B1399" s="1">
        <v>42636</v>
      </c>
      <c r="C1399" s="9" t="s">
        <v>2438</v>
      </c>
      <c r="D1399" s="9" t="s">
        <v>4930</v>
      </c>
      <c r="E1399" s="9" t="s">
        <v>6826</v>
      </c>
      <c r="F1399" s="9" t="s">
        <v>63</v>
      </c>
      <c r="G1399" s="9" t="s">
        <v>2439</v>
      </c>
      <c r="H1399" s="9" t="s">
        <v>86</v>
      </c>
      <c r="I1399" s="11">
        <v>18429897</v>
      </c>
      <c r="J1399" s="11">
        <v>144552</v>
      </c>
      <c r="K1399" s="11">
        <v>16544527</v>
      </c>
      <c r="L1399" s="3">
        <v>321</v>
      </c>
      <c r="M1399" s="3">
        <v>2762</v>
      </c>
      <c r="N1399" s="3">
        <v>367844</v>
      </c>
      <c r="O1399" s="2">
        <v>7.9000000000000001E-2</v>
      </c>
      <c r="P1399" s="2">
        <v>1.1359999999999999</v>
      </c>
      <c r="Q1399" s="2">
        <v>0.41099999999999998</v>
      </c>
      <c r="R1399" s="11">
        <v>404926657</v>
      </c>
      <c r="S1399" s="11">
        <v>1676128</v>
      </c>
      <c r="T1399">
        <v>2016</v>
      </c>
      <c r="U1399">
        <v>9</v>
      </c>
      <c r="V1399">
        <f t="shared" si="126"/>
        <v>600000</v>
      </c>
      <c r="W1399">
        <f t="shared" si="127"/>
        <v>18429897</v>
      </c>
      <c r="X1399">
        <f t="shared" si="128"/>
        <v>17829897</v>
      </c>
      <c r="Y1399">
        <f t="shared" si="129"/>
        <v>-26144845.5</v>
      </c>
      <c r="Z1399">
        <f t="shared" si="130"/>
        <v>45174742.5</v>
      </c>
      <c r="AA1399" t="str">
        <f t="shared" si="131"/>
        <v>Normal</v>
      </c>
      <c r="AE1399" s="2"/>
      <c r="AF1399" s="2"/>
    </row>
    <row r="1400" spans="1:32" x14ac:dyDescent="0.35">
      <c r="A1400">
        <v>1399</v>
      </c>
      <c r="B1400" s="1">
        <v>42639</v>
      </c>
      <c r="C1400" s="9" t="s">
        <v>2440</v>
      </c>
      <c r="D1400" s="9" t="s">
        <v>4988</v>
      </c>
      <c r="E1400" s="9" t="s">
        <v>6827</v>
      </c>
      <c r="F1400" s="9" t="s">
        <v>27</v>
      </c>
      <c r="G1400" s="9" t="s">
        <v>2441</v>
      </c>
      <c r="H1400" s="9" t="s">
        <v>86</v>
      </c>
      <c r="I1400" s="11">
        <v>18429897</v>
      </c>
      <c r="J1400" s="11">
        <v>1510928</v>
      </c>
      <c r="K1400" s="11">
        <v>17929589</v>
      </c>
      <c r="L1400" s="3">
        <v>276</v>
      </c>
      <c r="M1400" s="3">
        <v>3814</v>
      </c>
      <c r="N1400" s="3">
        <v>510995</v>
      </c>
      <c r="O1400" s="2">
        <v>0.28399999999999997</v>
      </c>
      <c r="P1400" s="2">
        <v>0.50800000000000001</v>
      </c>
      <c r="Q1400" s="2">
        <v>0.23399999999999999</v>
      </c>
      <c r="R1400" s="11">
        <v>284341203</v>
      </c>
      <c r="S1400" s="11">
        <v>613399</v>
      </c>
      <c r="T1400">
        <v>2016</v>
      </c>
      <c r="U1400">
        <v>9</v>
      </c>
      <c r="V1400">
        <f t="shared" si="126"/>
        <v>600000</v>
      </c>
      <c r="W1400">
        <f t="shared" si="127"/>
        <v>18429897</v>
      </c>
      <c r="X1400">
        <f t="shared" si="128"/>
        <v>17829897</v>
      </c>
      <c r="Y1400">
        <f t="shared" si="129"/>
        <v>-26144845.5</v>
      </c>
      <c r="Z1400">
        <f t="shared" si="130"/>
        <v>45174742.5</v>
      </c>
      <c r="AA1400" t="str">
        <f t="shared" si="131"/>
        <v>Normal</v>
      </c>
      <c r="AE1400" s="2"/>
      <c r="AF1400" s="2"/>
    </row>
    <row r="1401" spans="1:32" x14ac:dyDescent="0.35">
      <c r="A1401">
        <v>1400</v>
      </c>
      <c r="B1401" s="1">
        <v>42639</v>
      </c>
      <c r="C1401" s="9" t="s">
        <v>2442</v>
      </c>
      <c r="D1401" s="9" t="s">
        <v>4988</v>
      </c>
      <c r="E1401" s="9" t="s">
        <v>6828</v>
      </c>
      <c r="F1401" s="9" t="s">
        <v>35</v>
      </c>
      <c r="G1401" s="9" t="s">
        <v>2443</v>
      </c>
      <c r="H1401" s="9" t="s">
        <v>105</v>
      </c>
      <c r="I1401" s="11">
        <v>18429897</v>
      </c>
      <c r="J1401" s="11">
        <v>4275977</v>
      </c>
      <c r="K1401" s="11">
        <v>1945194</v>
      </c>
      <c r="L1401" s="3">
        <v>331</v>
      </c>
      <c r="M1401" s="3">
        <v>709</v>
      </c>
      <c r="N1401" s="3">
        <v>1742748</v>
      </c>
      <c r="O1401" s="2">
        <v>0.10100000000000001</v>
      </c>
      <c r="P1401" s="2">
        <v>0.307</v>
      </c>
      <c r="Q1401" s="2">
        <v>0.16600000000000001</v>
      </c>
      <c r="R1401" s="11">
        <v>351112190</v>
      </c>
      <c r="S1401" s="11">
        <v>978720</v>
      </c>
      <c r="T1401">
        <v>2016</v>
      </c>
      <c r="U1401">
        <v>9</v>
      </c>
      <c r="V1401">
        <f t="shared" si="126"/>
        <v>600000</v>
      </c>
      <c r="W1401">
        <f t="shared" si="127"/>
        <v>18429897</v>
      </c>
      <c r="X1401">
        <f t="shared" si="128"/>
        <v>17829897</v>
      </c>
      <c r="Y1401">
        <f t="shared" si="129"/>
        <v>-26144845.5</v>
      </c>
      <c r="Z1401">
        <f t="shared" si="130"/>
        <v>45174742.5</v>
      </c>
      <c r="AA1401" t="str">
        <f t="shared" si="131"/>
        <v>Normal</v>
      </c>
      <c r="AE1401" s="2"/>
      <c r="AF1401" s="2"/>
    </row>
    <row r="1402" spans="1:32" x14ac:dyDescent="0.35">
      <c r="A1402">
        <v>1401</v>
      </c>
      <c r="B1402" s="1">
        <v>42640</v>
      </c>
      <c r="C1402" s="9" t="s">
        <v>1924</v>
      </c>
      <c r="D1402" s="9" t="s">
        <v>4988</v>
      </c>
      <c r="E1402" s="9" t="s">
        <v>6829</v>
      </c>
      <c r="F1402" s="9" t="s">
        <v>15</v>
      </c>
      <c r="G1402" s="9" t="s">
        <v>2444</v>
      </c>
      <c r="H1402" s="9" t="s">
        <v>105</v>
      </c>
      <c r="I1402" s="11">
        <v>1580000</v>
      </c>
      <c r="J1402" s="11">
        <v>1222032</v>
      </c>
      <c r="K1402" s="11">
        <v>12035727</v>
      </c>
      <c r="L1402" s="3">
        <v>227</v>
      </c>
      <c r="M1402" s="3">
        <v>1209</v>
      </c>
      <c r="N1402" s="3">
        <v>184082</v>
      </c>
      <c r="O1402" s="2">
        <v>-0.26500000000000001</v>
      </c>
      <c r="P1402" s="2">
        <v>0.50800000000000001</v>
      </c>
      <c r="Q1402" s="2">
        <v>-0.22600000000000001</v>
      </c>
      <c r="R1402" s="11">
        <v>392785256</v>
      </c>
      <c r="S1402" s="11">
        <v>1008193.5</v>
      </c>
      <c r="T1402">
        <v>2016</v>
      </c>
      <c r="U1402">
        <v>9</v>
      </c>
      <c r="V1402">
        <f t="shared" si="126"/>
        <v>600000</v>
      </c>
      <c r="W1402">
        <f t="shared" si="127"/>
        <v>18429897</v>
      </c>
      <c r="X1402">
        <f t="shared" si="128"/>
        <v>17829897</v>
      </c>
      <c r="Y1402">
        <f t="shared" si="129"/>
        <v>-26144845.5</v>
      </c>
      <c r="Z1402">
        <f t="shared" si="130"/>
        <v>45174742.5</v>
      </c>
      <c r="AA1402" t="str">
        <f t="shared" si="131"/>
        <v>Normal</v>
      </c>
      <c r="AE1402" s="2"/>
      <c r="AF1402" s="2"/>
    </row>
    <row r="1403" spans="1:32" x14ac:dyDescent="0.35">
      <c r="A1403">
        <v>1402</v>
      </c>
      <c r="B1403" s="1">
        <v>42640</v>
      </c>
      <c r="C1403" s="9" t="s">
        <v>2445</v>
      </c>
      <c r="D1403" s="9" t="s">
        <v>4988</v>
      </c>
      <c r="E1403" s="9" t="s">
        <v>6830</v>
      </c>
      <c r="F1403" s="9" t="s">
        <v>31</v>
      </c>
      <c r="G1403" s="9" t="s">
        <v>2446</v>
      </c>
      <c r="H1403" s="9" t="s">
        <v>86</v>
      </c>
      <c r="I1403" s="11">
        <v>18429897</v>
      </c>
      <c r="J1403" s="11">
        <v>1512484</v>
      </c>
      <c r="K1403" s="11">
        <v>10305174</v>
      </c>
      <c r="L1403" s="3">
        <v>389</v>
      </c>
      <c r="M1403" s="3">
        <v>2742</v>
      </c>
      <c r="N1403" s="3">
        <v>1678017</v>
      </c>
      <c r="O1403" s="2">
        <v>-0.11900000000000001</v>
      </c>
      <c r="P1403" s="2">
        <v>0.99400000000000011</v>
      </c>
      <c r="Q1403" s="2">
        <v>0.36749999999999999</v>
      </c>
      <c r="R1403" s="11">
        <v>250264963</v>
      </c>
      <c r="S1403" s="11">
        <v>934086</v>
      </c>
      <c r="T1403">
        <v>2016</v>
      </c>
      <c r="U1403">
        <v>9</v>
      </c>
      <c r="V1403">
        <f t="shared" si="126"/>
        <v>600000</v>
      </c>
      <c r="W1403">
        <f t="shared" si="127"/>
        <v>18429897</v>
      </c>
      <c r="X1403">
        <f t="shared" si="128"/>
        <v>17829897</v>
      </c>
      <c r="Y1403">
        <f t="shared" si="129"/>
        <v>-26144845.5</v>
      </c>
      <c r="Z1403">
        <f t="shared" si="130"/>
        <v>45174742.5</v>
      </c>
      <c r="AA1403" t="str">
        <f t="shared" si="131"/>
        <v>Normal</v>
      </c>
      <c r="AE1403" s="2"/>
      <c r="AF1403" s="2"/>
    </row>
    <row r="1404" spans="1:32" x14ac:dyDescent="0.35">
      <c r="A1404">
        <v>1403</v>
      </c>
      <c r="B1404" s="1">
        <v>42641</v>
      </c>
      <c r="C1404" s="9" t="s">
        <v>2447</v>
      </c>
      <c r="D1404" s="9" t="s">
        <v>4925</v>
      </c>
      <c r="E1404" s="9" t="s">
        <v>6831</v>
      </c>
      <c r="F1404" s="9" t="s">
        <v>408</v>
      </c>
      <c r="G1404" s="9" t="s">
        <v>329</v>
      </c>
      <c r="H1404" s="9" t="s">
        <v>86</v>
      </c>
      <c r="I1404" s="11">
        <v>500000</v>
      </c>
      <c r="J1404" s="11">
        <v>1626011</v>
      </c>
      <c r="K1404" s="11">
        <v>4480221</v>
      </c>
      <c r="L1404" s="3">
        <v>314</v>
      </c>
      <c r="M1404" s="3">
        <v>3685</v>
      </c>
      <c r="N1404" s="3">
        <v>1011170</v>
      </c>
      <c r="O1404" s="2">
        <v>1.6E-2</v>
      </c>
      <c r="P1404" s="2">
        <v>1.1129999999999999E-2</v>
      </c>
      <c r="Q1404" s="2">
        <v>0.28000000000000003</v>
      </c>
      <c r="R1404" s="11">
        <v>259028373</v>
      </c>
      <c r="S1404" s="11">
        <v>377291</v>
      </c>
      <c r="T1404">
        <v>2016</v>
      </c>
      <c r="U1404">
        <v>9</v>
      </c>
      <c r="V1404">
        <f t="shared" si="126"/>
        <v>600000</v>
      </c>
      <c r="W1404">
        <f t="shared" si="127"/>
        <v>18429897</v>
      </c>
      <c r="X1404">
        <f t="shared" si="128"/>
        <v>17829897</v>
      </c>
      <c r="Y1404">
        <f t="shared" si="129"/>
        <v>-26144845.5</v>
      </c>
      <c r="Z1404">
        <f t="shared" si="130"/>
        <v>45174742.5</v>
      </c>
      <c r="AA1404" t="str">
        <f t="shared" si="131"/>
        <v>Normal</v>
      </c>
      <c r="AE1404" s="2"/>
      <c r="AF1404" s="2"/>
    </row>
    <row r="1405" spans="1:32" x14ac:dyDescent="0.35">
      <c r="A1405">
        <v>1404</v>
      </c>
      <c r="B1405" s="1">
        <v>42641</v>
      </c>
      <c r="C1405" s="9" t="s">
        <v>2448</v>
      </c>
      <c r="D1405" s="9" t="s">
        <v>4988</v>
      </c>
      <c r="E1405" s="9" t="s">
        <v>6832</v>
      </c>
      <c r="F1405" s="9" t="s">
        <v>310</v>
      </c>
      <c r="G1405" s="9" t="s">
        <v>2449</v>
      </c>
      <c r="H1405" s="9" t="s">
        <v>86</v>
      </c>
      <c r="I1405" s="11">
        <v>1000000</v>
      </c>
      <c r="J1405" s="11">
        <v>2531926</v>
      </c>
      <c r="K1405" s="11">
        <v>10459161</v>
      </c>
      <c r="L1405" s="3">
        <v>380</v>
      </c>
      <c r="M1405" s="3">
        <v>2962</v>
      </c>
      <c r="N1405" s="3">
        <v>1130613</v>
      </c>
      <c r="O1405" s="2">
        <v>-1.7000000000000001E-2</v>
      </c>
      <c r="P1405" s="2">
        <v>0.88500000000000001</v>
      </c>
      <c r="Q1405" s="2">
        <v>0.36749999999999999</v>
      </c>
      <c r="R1405" s="11">
        <v>174953393</v>
      </c>
      <c r="S1405" s="11">
        <v>809594</v>
      </c>
      <c r="T1405">
        <v>2016</v>
      </c>
      <c r="U1405">
        <v>9</v>
      </c>
      <c r="V1405">
        <f t="shared" si="126"/>
        <v>600000</v>
      </c>
      <c r="W1405">
        <f t="shared" si="127"/>
        <v>18429897</v>
      </c>
      <c r="X1405">
        <f t="shared" si="128"/>
        <v>17829897</v>
      </c>
      <c r="Y1405">
        <f t="shared" si="129"/>
        <v>-26144845.5</v>
      </c>
      <c r="Z1405">
        <f t="shared" si="130"/>
        <v>45174742.5</v>
      </c>
      <c r="AA1405" t="str">
        <f t="shared" si="131"/>
        <v>Normal</v>
      </c>
      <c r="AE1405" s="2"/>
      <c r="AF1405" s="2"/>
    </row>
    <row r="1406" spans="1:32" x14ac:dyDescent="0.35">
      <c r="A1406">
        <v>1405</v>
      </c>
      <c r="B1406" s="1">
        <v>42641</v>
      </c>
      <c r="C1406" s="9" t="s">
        <v>1682</v>
      </c>
      <c r="D1406" s="9" t="s">
        <v>4988</v>
      </c>
      <c r="E1406" s="9" t="s">
        <v>6833</v>
      </c>
      <c r="F1406" s="9" t="s">
        <v>124</v>
      </c>
      <c r="G1406" s="9" t="s">
        <v>130</v>
      </c>
      <c r="H1406" s="9" t="s">
        <v>86</v>
      </c>
      <c r="I1406" s="11">
        <v>1000000</v>
      </c>
      <c r="J1406" s="11">
        <v>794098</v>
      </c>
      <c r="K1406" s="11">
        <v>13747122</v>
      </c>
      <c r="L1406" s="3">
        <v>366</v>
      </c>
      <c r="M1406" s="3">
        <v>2061</v>
      </c>
      <c r="N1406" s="3">
        <v>1929463</v>
      </c>
      <c r="O1406" s="2">
        <v>0.10199999999999999</v>
      </c>
      <c r="P1406" s="2">
        <v>0.29600000000000004</v>
      </c>
      <c r="Q1406" s="2">
        <v>0.36749999999999999</v>
      </c>
      <c r="R1406" s="11">
        <v>190742326</v>
      </c>
      <c r="S1406" s="11">
        <v>1674683</v>
      </c>
      <c r="T1406">
        <v>2016</v>
      </c>
      <c r="U1406">
        <v>9</v>
      </c>
      <c r="V1406">
        <f t="shared" si="126"/>
        <v>600000</v>
      </c>
      <c r="W1406">
        <f t="shared" si="127"/>
        <v>18429897</v>
      </c>
      <c r="X1406">
        <f t="shared" si="128"/>
        <v>17829897</v>
      </c>
      <c r="Y1406">
        <f t="shared" si="129"/>
        <v>-26144845.5</v>
      </c>
      <c r="Z1406">
        <f t="shared" si="130"/>
        <v>45174742.5</v>
      </c>
      <c r="AA1406" t="str">
        <f t="shared" si="131"/>
        <v>Normal</v>
      </c>
      <c r="AE1406" s="2"/>
      <c r="AF1406" s="2"/>
    </row>
    <row r="1407" spans="1:32" x14ac:dyDescent="0.35">
      <c r="A1407">
        <v>1406</v>
      </c>
      <c r="B1407" s="1">
        <v>42641</v>
      </c>
      <c r="C1407" s="9" t="s">
        <v>2450</v>
      </c>
      <c r="D1407" s="9" t="s">
        <v>4930</v>
      </c>
      <c r="E1407" s="9" t="s">
        <v>6834</v>
      </c>
      <c r="F1407" s="9" t="s">
        <v>41</v>
      </c>
      <c r="G1407" s="9" t="s">
        <v>2451</v>
      </c>
      <c r="H1407" s="9" t="s">
        <v>105</v>
      </c>
      <c r="I1407" s="11">
        <v>51000000</v>
      </c>
      <c r="J1407" s="11">
        <v>1748137</v>
      </c>
      <c r="K1407" s="11">
        <v>11525322</v>
      </c>
      <c r="L1407" s="3">
        <v>250</v>
      </c>
      <c r="M1407" s="3">
        <v>3375</v>
      </c>
      <c r="N1407" s="3">
        <v>1534235</v>
      </c>
      <c r="O1407" s="2">
        <v>0.505</v>
      </c>
      <c r="P1407" s="2">
        <v>0.96499999999999997</v>
      </c>
      <c r="Q1407" s="2">
        <v>9.5000000000000001E-2</v>
      </c>
      <c r="R1407" s="11">
        <v>109112539</v>
      </c>
      <c r="S1407" s="11">
        <v>1080918</v>
      </c>
      <c r="T1407">
        <v>2016</v>
      </c>
      <c r="U1407">
        <v>9</v>
      </c>
      <c r="V1407">
        <f t="shared" si="126"/>
        <v>600000</v>
      </c>
      <c r="W1407">
        <f t="shared" si="127"/>
        <v>18429897</v>
      </c>
      <c r="X1407">
        <f t="shared" si="128"/>
        <v>17829897</v>
      </c>
      <c r="Y1407">
        <f t="shared" si="129"/>
        <v>-26144845.5</v>
      </c>
      <c r="Z1407">
        <f t="shared" si="130"/>
        <v>45174742.5</v>
      </c>
      <c r="AA1407" t="str">
        <f t="shared" si="131"/>
        <v>Outlier</v>
      </c>
      <c r="AE1407" s="2"/>
      <c r="AF1407" s="2"/>
    </row>
    <row r="1408" spans="1:32" x14ac:dyDescent="0.35">
      <c r="A1408">
        <v>1407</v>
      </c>
      <c r="B1408" s="1">
        <v>42642</v>
      </c>
      <c r="C1408" s="9" t="s">
        <v>2452</v>
      </c>
      <c r="D1408" s="9" t="s">
        <v>4925</v>
      </c>
      <c r="E1408" s="9" t="s">
        <v>6835</v>
      </c>
      <c r="F1408" s="9" t="s">
        <v>27</v>
      </c>
      <c r="G1408" s="9" t="s">
        <v>2453</v>
      </c>
      <c r="H1408" s="9" t="s">
        <v>86</v>
      </c>
      <c r="I1408" s="11">
        <v>180000</v>
      </c>
      <c r="J1408" s="11">
        <v>4374085</v>
      </c>
      <c r="K1408" s="11">
        <v>10443176</v>
      </c>
      <c r="L1408" s="3">
        <v>165</v>
      </c>
      <c r="M1408" s="3">
        <v>343</v>
      </c>
      <c r="N1408" s="3">
        <v>1298376</v>
      </c>
      <c r="O1408" s="2">
        <v>0.246</v>
      </c>
      <c r="P1408" s="2">
        <v>0.85599999999999998</v>
      </c>
      <c r="Q1408" s="2">
        <v>-6.0999999999999999E-2</v>
      </c>
      <c r="R1408" s="11">
        <v>369332854</v>
      </c>
      <c r="S1408" s="11">
        <v>1848823</v>
      </c>
      <c r="T1408">
        <v>2016</v>
      </c>
      <c r="U1408">
        <v>9</v>
      </c>
      <c r="V1408">
        <f t="shared" si="126"/>
        <v>600000</v>
      </c>
      <c r="W1408">
        <f t="shared" si="127"/>
        <v>18429897</v>
      </c>
      <c r="X1408">
        <f t="shared" si="128"/>
        <v>17829897</v>
      </c>
      <c r="Y1408">
        <f t="shared" si="129"/>
        <v>-26144845.5</v>
      </c>
      <c r="Z1408">
        <f t="shared" si="130"/>
        <v>45174742.5</v>
      </c>
      <c r="AA1408" t="str">
        <f t="shared" si="131"/>
        <v>Normal</v>
      </c>
      <c r="AE1408" s="2"/>
      <c r="AF1408" s="2"/>
    </row>
    <row r="1409" spans="1:32" x14ac:dyDescent="0.35">
      <c r="A1409">
        <v>1408</v>
      </c>
      <c r="B1409" s="1">
        <v>42642</v>
      </c>
      <c r="C1409" s="9" t="s">
        <v>2454</v>
      </c>
      <c r="D1409" s="9" t="s">
        <v>4925</v>
      </c>
      <c r="E1409" s="9" t="s">
        <v>6836</v>
      </c>
      <c r="F1409" s="9" t="s">
        <v>63</v>
      </c>
      <c r="G1409" s="9" t="s">
        <v>2455</v>
      </c>
      <c r="H1409" s="9" t="s">
        <v>86</v>
      </c>
      <c r="I1409" s="11">
        <v>18429897</v>
      </c>
      <c r="J1409" s="11">
        <v>27644</v>
      </c>
      <c r="K1409" s="11">
        <v>17724437</v>
      </c>
      <c r="L1409" s="3">
        <v>293</v>
      </c>
      <c r="M1409" s="3">
        <v>2565</v>
      </c>
      <c r="N1409" s="3">
        <v>1648542</v>
      </c>
      <c r="O1409" s="2">
        <v>-0.31</v>
      </c>
      <c r="P1409" s="2">
        <v>0.65599999999999992</v>
      </c>
      <c r="Q1409" s="2">
        <v>0.34399999999999997</v>
      </c>
      <c r="R1409" s="11">
        <v>61858222</v>
      </c>
      <c r="S1409" s="11">
        <v>1930008</v>
      </c>
      <c r="T1409">
        <v>2016</v>
      </c>
      <c r="U1409">
        <v>9</v>
      </c>
      <c r="V1409">
        <f t="shared" si="126"/>
        <v>600000</v>
      </c>
      <c r="W1409">
        <f t="shared" si="127"/>
        <v>18429897</v>
      </c>
      <c r="X1409">
        <f t="shared" si="128"/>
        <v>17829897</v>
      </c>
      <c r="Y1409">
        <f t="shared" si="129"/>
        <v>-26144845.5</v>
      </c>
      <c r="Z1409">
        <f t="shared" si="130"/>
        <v>45174742.5</v>
      </c>
      <c r="AA1409" t="str">
        <f t="shared" si="131"/>
        <v>Normal</v>
      </c>
      <c r="AE1409" s="2"/>
      <c r="AF1409" s="2"/>
    </row>
    <row r="1410" spans="1:32" x14ac:dyDescent="0.35">
      <c r="A1410">
        <v>1409</v>
      </c>
      <c r="B1410" s="1">
        <v>42642</v>
      </c>
      <c r="C1410" s="9" t="s">
        <v>2456</v>
      </c>
      <c r="D1410" s="9" t="s">
        <v>4988</v>
      </c>
      <c r="E1410" s="9" t="s">
        <v>6837</v>
      </c>
      <c r="F1410" s="9" t="s">
        <v>15</v>
      </c>
      <c r="G1410" s="9" t="s">
        <v>2457</v>
      </c>
      <c r="H1410" s="9" t="s">
        <v>105</v>
      </c>
      <c r="I1410" s="11">
        <v>1500000</v>
      </c>
      <c r="J1410" s="11">
        <v>1430569</v>
      </c>
      <c r="K1410" s="11">
        <v>4588054</v>
      </c>
      <c r="L1410" s="3">
        <v>320</v>
      </c>
      <c r="M1410" s="3">
        <v>2004</v>
      </c>
      <c r="N1410" s="3">
        <v>922558</v>
      </c>
      <c r="O1410" s="2">
        <v>0.40899999999999997</v>
      </c>
      <c r="P1410" s="2">
        <v>0.96099999999999997</v>
      </c>
      <c r="Q1410" s="2">
        <v>0.47399999999999998</v>
      </c>
      <c r="R1410" s="11">
        <v>57473504</v>
      </c>
      <c r="S1410" s="11">
        <v>830098</v>
      </c>
      <c r="T1410">
        <v>2016</v>
      </c>
      <c r="U1410">
        <v>9</v>
      </c>
      <c r="V1410">
        <f t="shared" ref="V1410:V1473" si="132">_xlfn.PERCENTILE.INC(I1410:I4453,0.25)</f>
        <v>600000</v>
      </c>
      <c r="W1410">
        <f t="shared" ref="W1410:W1473" si="133">_xlfn.PERCENTILE.INC(I1410:I4453,0.75)</f>
        <v>18429897</v>
      </c>
      <c r="X1410">
        <f t="shared" ref="X1410:X1473" si="134">W1410-V1410</f>
        <v>17829897</v>
      </c>
      <c r="Y1410">
        <f t="shared" ref="Y1410:Y1473" si="135">V1410-1.5*X1410</f>
        <v>-26144845.5</v>
      </c>
      <c r="Z1410">
        <f t="shared" ref="Z1410:Z1473" si="136">W1410+1.5*X1410</f>
        <v>45174742.5</v>
      </c>
      <c r="AA1410" t="str">
        <f t="shared" ref="AA1410:AA1473" si="137">IF(OR(I1410&lt;$Y$2, I1410&gt;$Z$2), "Outlier", "Normal")</f>
        <v>Normal</v>
      </c>
      <c r="AE1410" s="2"/>
      <c r="AF1410" s="2"/>
    </row>
    <row r="1411" spans="1:32" x14ac:dyDescent="0.35">
      <c r="A1411">
        <v>1410</v>
      </c>
      <c r="B1411" s="1">
        <v>42643</v>
      </c>
      <c r="C1411" s="9" t="s">
        <v>2458</v>
      </c>
      <c r="D1411" s="9" t="s">
        <v>4988</v>
      </c>
      <c r="E1411" s="9" t="s">
        <v>6838</v>
      </c>
      <c r="F1411" s="9" t="s">
        <v>41</v>
      </c>
      <c r="G1411" s="9" t="s">
        <v>1493</v>
      </c>
      <c r="H1411" s="9" t="s">
        <v>86</v>
      </c>
      <c r="I1411" s="11">
        <v>18429897</v>
      </c>
      <c r="J1411" s="11">
        <v>321922</v>
      </c>
      <c r="K1411" s="11">
        <v>12515887</v>
      </c>
      <c r="L1411" s="3">
        <v>287</v>
      </c>
      <c r="M1411" s="3">
        <v>2515</v>
      </c>
      <c r="N1411" s="3">
        <v>1018455</v>
      </c>
      <c r="O1411" s="2">
        <v>0.15</v>
      </c>
      <c r="P1411" s="2">
        <v>0.72499999999999998</v>
      </c>
      <c r="Q1411" s="2">
        <v>0.36</v>
      </c>
      <c r="R1411" s="11">
        <v>1000000000</v>
      </c>
      <c r="S1411" s="11">
        <v>547894</v>
      </c>
      <c r="T1411">
        <v>2016</v>
      </c>
      <c r="U1411">
        <v>9</v>
      </c>
      <c r="V1411">
        <f t="shared" si="132"/>
        <v>600000</v>
      </c>
      <c r="W1411">
        <f t="shared" si="133"/>
        <v>18429897</v>
      </c>
      <c r="X1411">
        <f t="shared" si="134"/>
        <v>17829897</v>
      </c>
      <c r="Y1411">
        <f t="shared" si="135"/>
        <v>-26144845.5</v>
      </c>
      <c r="Z1411">
        <f t="shared" si="136"/>
        <v>45174742.5</v>
      </c>
      <c r="AA1411" t="str">
        <f t="shared" si="137"/>
        <v>Normal</v>
      </c>
      <c r="AE1411" s="2"/>
      <c r="AF1411" s="2"/>
    </row>
    <row r="1412" spans="1:32" x14ac:dyDescent="0.35">
      <c r="A1412">
        <v>1411</v>
      </c>
      <c r="B1412" s="1">
        <v>42643</v>
      </c>
      <c r="C1412" s="9" t="s">
        <v>1463</v>
      </c>
      <c r="D1412" s="9" t="s">
        <v>4930</v>
      </c>
      <c r="E1412" s="9" t="s">
        <v>6839</v>
      </c>
      <c r="F1412" s="9" t="s">
        <v>31</v>
      </c>
      <c r="G1412" s="9" t="s">
        <v>2459</v>
      </c>
      <c r="H1412" s="9" t="s">
        <v>105</v>
      </c>
      <c r="I1412" s="11">
        <v>19000000</v>
      </c>
      <c r="J1412" s="11">
        <v>2816217</v>
      </c>
      <c r="K1412" s="11">
        <v>6399729</v>
      </c>
      <c r="L1412" s="3">
        <v>254</v>
      </c>
      <c r="M1412" s="3">
        <v>699</v>
      </c>
      <c r="N1412" s="3">
        <v>1585692</v>
      </c>
      <c r="O1412" s="2">
        <v>0.19399999999999998</v>
      </c>
      <c r="P1412" s="2">
        <v>1.1319999999999998E-2</v>
      </c>
      <c r="Q1412" s="2">
        <v>0.66400000000000003</v>
      </c>
      <c r="R1412" s="11">
        <v>250264963</v>
      </c>
      <c r="S1412" s="11">
        <v>433254</v>
      </c>
      <c r="T1412">
        <v>2016</v>
      </c>
      <c r="U1412">
        <v>9</v>
      </c>
      <c r="V1412">
        <f t="shared" si="132"/>
        <v>600000</v>
      </c>
      <c r="W1412">
        <f t="shared" si="133"/>
        <v>18429897</v>
      </c>
      <c r="X1412">
        <f t="shared" si="134"/>
        <v>17829897</v>
      </c>
      <c r="Y1412">
        <f t="shared" si="135"/>
        <v>-26144845.5</v>
      </c>
      <c r="Z1412">
        <f t="shared" si="136"/>
        <v>45174742.5</v>
      </c>
      <c r="AA1412" t="str">
        <f t="shared" si="137"/>
        <v>Normal</v>
      </c>
      <c r="AE1412" s="2"/>
      <c r="AF1412" s="2"/>
    </row>
    <row r="1413" spans="1:32" x14ac:dyDescent="0.35">
      <c r="A1413">
        <v>1412</v>
      </c>
      <c r="B1413" s="1">
        <v>42643</v>
      </c>
      <c r="C1413" s="9" t="s">
        <v>2460</v>
      </c>
      <c r="D1413" s="9" t="s">
        <v>4988</v>
      </c>
      <c r="E1413" s="9" t="s">
        <v>6840</v>
      </c>
      <c r="F1413" s="9" t="s">
        <v>294</v>
      </c>
      <c r="G1413" s="9" t="s">
        <v>2461</v>
      </c>
      <c r="H1413" s="9" t="s">
        <v>86</v>
      </c>
      <c r="I1413" s="11">
        <v>18429897</v>
      </c>
      <c r="J1413" s="11">
        <v>1267996</v>
      </c>
      <c r="K1413" s="11">
        <v>19475311</v>
      </c>
      <c r="L1413" s="3">
        <v>174</v>
      </c>
      <c r="M1413" s="3">
        <v>4521</v>
      </c>
      <c r="N1413" s="3">
        <v>1953997</v>
      </c>
      <c r="O1413" s="2">
        <v>0.18100000000000002</v>
      </c>
      <c r="P1413" s="2">
        <v>1.1319999999999998E-2</v>
      </c>
      <c r="Q1413" s="2">
        <v>0.13300000000000001</v>
      </c>
      <c r="R1413" s="11">
        <v>285934959</v>
      </c>
      <c r="S1413" s="11">
        <v>1239020</v>
      </c>
      <c r="T1413">
        <v>2016</v>
      </c>
      <c r="U1413">
        <v>9</v>
      </c>
      <c r="V1413">
        <f t="shared" si="132"/>
        <v>600000</v>
      </c>
      <c r="W1413">
        <f t="shared" si="133"/>
        <v>18429897</v>
      </c>
      <c r="X1413">
        <f t="shared" si="134"/>
        <v>17829897</v>
      </c>
      <c r="Y1413">
        <f t="shared" si="135"/>
        <v>-26144845.5</v>
      </c>
      <c r="Z1413">
        <f t="shared" si="136"/>
        <v>45174742.5</v>
      </c>
      <c r="AA1413" t="str">
        <f t="shared" si="137"/>
        <v>Normal</v>
      </c>
      <c r="AE1413" s="2"/>
      <c r="AF1413" s="2"/>
    </row>
    <row r="1414" spans="1:32" x14ac:dyDescent="0.35">
      <c r="A1414">
        <v>1413</v>
      </c>
      <c r="B1414" s="1">
        <v>42583</v>
      </c>
      <c r="C1414" s="9" t="s">
        <v>2462</v>
      </c>
      <c r="D1414" s="9" t="s">
        <v>4925</v>
      </c>
      <c r="E1414" s="9" t="s">
        <v>6841</v>
      </c>
      <c r="F1414" s="9" t="s">
        <v>19</v>
      </c>
      <c r="G1414" s="9" t="s">
        <v>2463</v>
      </c>
      <c r="H1414" s="9" t="s">
        <v>105</v>
      </c>
      <c r="I1414" s="11">
        <v>12000000</v>
      </c>
      <c r="J1414" s="11">
        <v>3964032</v>
      </c>
      <c r="K1414" s="11">
        <v>5105783</v>
      </c>
      <c r="L1414" s="3">
        <v>71</v>
      </c>
      <c r="M1414" s="3">
        <v>4275</v>
      </c>
      <c r="N1414" s="3">
        <v>1100717</v>
      </c>
      <c r="O1414" s="2">
        <v>0.30299999999999999</v>
      </c>
      <c r="P1414" s="2">
        <v>0.42499999999999999</v>
      </c>
      <c r="Q1414" s="2">
        <v>-5.5E-2</v>
      </c>
      <c r="R1414" s="11">
        <v>208506553</v>
      </c>
      <c r="S1414" s="11">
        <v>1393098</v>
      </c>
      <c r="T1414">
        <v>2016</v>
      </c>
      <c r="U1414">
        <v>8</v>
      </c>
      <c r="V1414">
        <f t="shared" si="132"/>
        <v>600000</v>
      </c>
      <c r="W1414">
        <f t="shared" si="133"/>
        <v>18429897</v>
      </c>
      <c r="X1414">
        <f t="shared" si="134"/>
        <v>17829897</v>
      </c>
      <c r="Y1414">
        <f t="shared" si="135"/>
        <v>-26144845.5</v>
      </c>
      <c r="Z1414">
        <f t="shared" si="136"/>
        <v>45174742.5</v>
      </c>
      <c r="AA1414" t="str">
        <f t="shared" si="137"/>
        <v>Normal</v>
      </c>
      <c r="AE1414" s="2"/>
      <c r="AF1414" s="2"/>
    </row>
    <row r="1415" spans="1:32" x14ac:dyDescent="0.35">
      <c r="A1415">
        <v>1414</v>
      </c>
      <c r="B1415" s="1">
        <v>42583</v>
      </c>
      <c r="C1415" s="9" t="s">
        <v>1273</v>
      </c>
      <c r="D1415" s="9" t="s">
        <v>4988</v>
      </c>
      <c r="E1415" s="9" t="s">
        <v>6842</v>
      </c>
      <c r="F1415" s="9" t="s">
        <v>15</v>
      </c>
      <c r="G1415" s="9" t="s">
        <v>2464</v>
      </c>
      <c r="H1415" s="9" t="s">
        <v>86</v>
      </c>
      <c r="I1415" s="11">
        <v>200000</v>
      </c>
      <c r="J1415" s="11">
        <v>2531926</v>
      </c>
      <c r="K1415" s="11">
        <v>17439926</v>
      </c>
      <c r="L1415" s="3">
        <v>216</v>
      </c>
      <c r="M1415" s="3">
        <v>4716</v>
      </c>
      <c r="N1415" s="3">
        <v>1285332</v>
      </c>
      <c r="O1415" s="2">
        <v>0.10400000000000001</v>
      </c>
      <c r="P1415" s="2">
        <v>0.6409999999999999</v>
      </c>
      <c r="Q1415" s="2">
        <v>0.16399999999999998</v>
      </c>
      <c r="R1415" s="11">
        <v>408551396</v>
      </c>
      <c r="S1415" s="11">
        <v>1555166</v>
      </c>
      <c r="T1415">
        <v>2016</v>
      </c>
      <c r="U1415">
        <v>8</v>
      </c>
      <c r="V1415">
        <f t="shared" si="132"/>
        <v>600000</v>
      </c>
      <c r="W1415">
        <f t="shared" si="133"/>
        <v>18429897</v>
      </c>
      <c r="X1415">
        <f t="shared" si="134"/>
        <v>17829897</v>
      </c>
      <c r="Y1415">
        <f t="shared" si="135"/>
        <v>-26144845.5</v>
      </c>
      <c r="Z1415">
        <f t="shared" si="136"/>
        <v>45174742.5</v>
      </c>
      <c r="AA1415" t="str">
        <f t="shared" si="137"/>
        <v>Normal</v>
      </c>
      <c r="AE1415" s="2"/>
      <c r="AF1415" s="2"/>
    </row>
    <row r="1416" spans="1:32" x14ac:dyDescent="0.35">
      <c r="A1416">
        <v>1415</v>
      </c>
      <c r="B1416" s="1">
        <v>42583</v>
      </c>
      <c r="C1416" s="9" t="s">
        <v>2465</v>
      </c>
      <c r="D1416" s="9" t="s">
        <v>4988</v>
      </c>
      <c r="E1416" s="9" t="s">
        <v>6843</v>
      </c>
      <c r="F1416" s="9" t="s">
        <v>41</v>
      </c>
      <c r="G1416" s="9" t="s">
        <v>2466</v>
      </c>
      <c r="H1416" s="9" t="s">
        <v>86</v>
      </c>
      <c r="I1416" s="11">
        <v>275000</v>
      </c>
      <c r="J1416" s="11">
        <v>3923444</v>
      </c>
      <c r="K1416" s="11">
        <v>12679341</v>
      </c>
      <c r="L1416" s="3">
        <v>441</v>
      </c>
      <c r="M1416" s="3">
        <v>4209</v>
      </c>
      <c r="N1416" s="3">
        <v>915349</v>
      </c>
      <c r="O1416" s="2">
        <v>-0.17600000000000002</v>
      </c>
      <c r="P1416" s="2">
        <v>0.39899999999999997</v>
      </c>
      <c r="Q1416" s="2">
        <v>0.30099999999999999</v>
      </c>
      <c r="R1416" s="11">
        <v>17698627</v>
      </c>
      <c r="S1416" s="11">
        <v>1008193.5</v>
      </c>
      <c r="T1416">
        <v>2016</v>
      </c>
      <c r="U1416">
        <v>8</v>
      </c>
      <c r="V1416">
        <f t="shared" si="132"/>
        <v>600000</v>
      </c>
      <c r="W1416">
        <f t="shared" si="133"/>
        <v>18429897</v>
      </c>
      <c r="X1416">
        <f t="shared" si="134"/>
        <v>17829897</v>
      </c>
      <c r="Y1416">
        <f t="shared" si="135"/>
        <v>-26144845.5</v>
      </c>
      <c r="Z1416">
        <f t="shared" si="136"/>
        <v>45174742.5</v>
      </c>
      <c r="AA1416" t="str">
        <f t="shared" si="137"/>
        <v>Normal</v>
      </c>
      <c r="AE1416" s="2"/>
      <c r="AF1416" s="2"/>
    </row>
    <row r="1417" spans="1:32" x14ac:dyDescent="0.35">
      <c r="A1417">
        <v>1416</v>
      </c>
      <c r="B1417" s="1">
        <v>42583</v>
      </c>
      <c r="C1417" s="9" t="s">
        <v>1809</v>
      </c>
      <c r="D1417" s="9" t="s">
        <v>4925</v>
      </c>
      <c r="E1417" s="9" t="s">
        <v>6844</v>
      </c>
      <c r="F1417" s="9" t="s">
        <v>15</v>
      </c>
      <c r="G1417" s="9" t="s">
        <v>376</v>
      </c>
      <c r="H1417" s="9" t="s">
        <v>105</v>
      </c>
      <c r="I1417" s="11">
        <v>3000000</v>
      </c>
      <c r="J1417" s="11">
        <v>3181840</v>
      </c>
      <c r="K1417" s="11">
        <v>4373331</v>
      </c>
      <c r="L1417" s="3">
        <v>359</v>
      </c>
      <c r="M1417" s="3">
        <v>3338</v>
      </c>
      <c r="N1417" s="3">
        <v>1850071</v>
      </c>
      <c r="O1417" s="2">
        <v>0.185</v>
      </c>
      <c r="P1417" s="2">
        <v>0.53100000000000003</v>
      </c>
      <c r="Q1417" s="2">
        <v>3.4000000000000002E-2</v>
      </c>
      <c r="R1417" s="11">
        <v>442567225</v>
      </c>
      <c r="S1417" s="11">
        <v>1329806</v>
      </c>
      <c r="T1417">
        <v>2016</v>
      </c>
      <c r="U1417">
        <v>8</v>
      </c>
      <c r="V1417">
        <f t="shared" si="132"/>
        <v>600000</v>
      </c>
      <c r="W1417">
        <f t="shared" si="133"/>
        <v>18429897</v>
      </c>
      <c r="X1417">
        <f t="shared" si="134"/>
        <v>17829897</v>
      </c>
      <c r="Y1417">
        <f t="shared" si="135"/>
        <v>-26144845.5</v>
      </c>
      <c r="Z1417">
        <f t="shared" si="136"/>
        <v>45174742.5</v>
      </c>
      <c r="AA1417" t="str">
        <f t="shared" si="137"/>
        <v>Normal</v>
      </c>
      <c r="AE1417" s="2"/>
      <c r="AF1417" s="2"/>
    </row>
    <row r="1418" spans="1:32" x14ac:dyDescent="0.35">
      <c r="A1418">
        <v>1417</v>
      </c>
      <c r="B1418" s="1">
        <v>42583</v>
      </c>
      <c r="C1418" s="9" t="s">
        <v>2467</v>
      </c>
      <c r="D1418" s="9" t="s">
        <v>4988</v>
      </c>
      <c r="E1418" s="9" t="s">
        <v>6845</v>
      </c>
      <c r="F1418" s="9" t="s">
        <v>41</v>
      </c>
      <c r="G1418" s="9" t="s">
        <v>2468</v>
      </c>
      <c r="H1418" s="9" t="s">
        <v>105</v>
      </c>
      <c r="I1418" s="11">
        <v>2500000</v>
      </c>
      <c r="J1418" s="11">
        <v>2531926</v>
      </c>
      <c r="K1418" s="11">
        <v>15197950</v>
      </c>
      <c r="L1418" s="3">
        <v>378</v>
      </c>
      <c r="M1418" s="3">
        <v>1472</v>
      </c>
      <c r="N1418" s="3">
        <v>1258693</v>
      </c>
      <c r="O1418" s="2">
        <v>-0.156</v>
      </c>
      <c r="P1418" s="2">
        <v>0.42299999999999999</v>
      </c>
      <c r="Q1418" s="2">
        <v>8.8999999999999996E-2</v>
      </c>
      <c r="R1418" s="11">
        <v>167831754</v>
      </c>
      <c r="S1418" s="11">
        <v>1008193.5</v>
      </c>
      <c r="T1418">
        <v>2016</v>
      </c>
      <c r="U1418">
        <v>8</v>
      </c>
      <c r="V1418">
        <f t="shared" si="132"/>
        <v>600000</v>
      </c>
      <c r="W1418">
        <f t="shared" si="133"/>
        <v>18429897</v>
      </c>
      <c r="X1418">
        <f t="shared" si="134"/>
        <v>17829897</v>
      </c>
      <c r="Y1418">
        <f t="shared" si="135"/>
        <v>-26144845.5</v>
      </c>
      <c r="Z1418">
        <f t="shared" si="136"/>
        <v>45174742.5</v>
      </c>
      <c r="AA1418" t="str">
        <f t="shared" si="137"/>
        <v>Normal</v>
      </c>
      <c r="AE1418" s="2"/>
      <c r="AF1418" s="2"/>
    </row>
    <row r="1419" spans="1:32" x14ac:dyDescent="0.35">
      <c r="A1419">
        <v>1418</v>
      </c>
      <c r="B1419" s="1">
        <v>42584</v>
      </c>
      <c r="C1419" s="9" t="s">
        <v>2469</v>
      </c>
      <c r="D1419" s="9" t="s">
        <v>4988</v>
      </c>
      <c r="E1419" s="9" t="s">
        <v>6846</v>
      </c>
      <c r="F1419" s="9" t="s">
        <v>63</v>
      </c>
      <c r="G1419" s="9" t="s">
        <v>2470</v>
      </c>
      <c r="H1419" s="9" t="s">
        <v>105</v>
      </c>
      <c r="I1419" s="11">
        <v>1800000</v>
      </c>
      <c r="J1419" s="11">
        <v>4307615</v>
      </c>
      <c r="K1419" s="11">
        <v>4899547</v>
      </c>
      <c r="L1419" s="3">
        <v>369</v>
      </c>
      <c r="M1419" s="3">
        <v>615</v>
      </c>
      <c r="N1419" s="3">
        <v>317130</v>
      </c>
      <c r="O1419" s="2">
        <v>0.48299999999999998</v>
      </c>
      <c r="P1419" s="2">
        <v>0.71200000000000008</v>
      </c>
      <c r="Q1419" s="2">
        <v>0.153</v>
      </c>
      <c r="R1419" s="11">
        <v>168100237</v>
      </c>
      <c r="S1419" s="11">
        <v>991435</v>
      </c>
      <c r="T1419">
        <v>2016</v>
      </c>
      <c r="U1419">
        <v>8</v>
      </c>
      <c r="V1419">
        <f t="shared" si="132"/>
        <v>600000</v>
      </c>
      <c r="W1419">
        <f t="shared" si="133"/>
        <v>18429897</v>
      </c>
      <c r="X1419">
        <f t="shared" si="134"/>
        <v>17829897</v>
      </c>
      <c r="Y1419">
        <f t="shared" si="135"/>
        <v>-26144845.5</v>
      </c>
      <c r="Z1419">
        <f t="shared" si="136"/>
        <v>45174742.5</v>
      </c>
      <c r="AA1419" t="str">
        <f t="shared" si="137"/>
        <v>Normal</v>
      </c>
      <c r="AE1419" s="2"/>
      <c r="AF1419" s="2"/>
    </row>
    <row r="1420" spans="1:32" x14ac:dyDescent="0.35">
      <c r="A1420">
        <v>1419</v>
      </c>
      <c r="B1420" s="1">
        <v>42584</v>
      </c>
      <c r="C1420" s="9" t="s">
        <v>513</v>
      </c>
      <c r="D1420" s="9" t="s">
        <v>4988</v>
      </c>
      <c r="E1420" s="9" t="s">
        <v>6847</v>
      </c>
      <c r="F1420" s="9" t="s">
        <v>15</v>
      </c>
      <c r="G1420" s="9" t="s">
        <v>2471</v>
      </c>
      <c r="H1420" s="9" t="s">
        <v>86</v>
      </c>
      <c r="I1420" s="11">
        <v>18429897</v>
      </c>
      <c r="J1420" s="11">
        <v>2391761</v>
      </c>
      <c r="K1420" s="11">
        <v>5320108</v>
      </c>
      <c r="L1420" s="3">
        <v>254</v>
      </c>
      <c r="M1420" s="3">
        <v>3079</v>
      </c>
      <c r="N1420" s="3">
        <v>1023650</v>
      </c>
      <c r="O1420" s="2">
        <v>4.8000000000000001E-2</v>
      </c>
      <c r="P1420" s="2">
        <v>0.20100000000000001</v>
      </c>
      <c r="Q1420" s="2">
        <v>0.223</v>
      </c>
      <c r="R1420" s="11">
        <v>441326387</v>
      </c>
      <c r="S1420" s="11">
        <v>1374708</v>
      </c>
      <c r="T1420">
        <v>2016</v>
      </c>
      <c r="U1420">
        <v>8</v>
      </c>
      <c r="V1420">
        <f t="shared" si="132"/>
        <v>600000</v>
      </c>
      <c r="W1420">
        <f t="shared" si="133"/>
        <v>18429897</v>
      </c>
      <c r="X1420">
        <f t="shared" si="134"/>
        <v>17829897</v>
      </c>
      <c r="Y1420">
        <f t="shared" si="135"/>
        <v>-26144845.5</v>
      </c>
      <c r="Z1420">
        <f t="shared" si="136"/>
        <v>45174742.5</v>
      </c>
      <c r="AA1420" t="str">
        <f t="shared" si="137"/>
        <v>Normal</v>
      </c>
      <c r="AE1420" s="2"/>
      <c r="AF1420" s="2"/>
    </row>
    <row r="1421" spans="1:32" x14ac:dyDescent="0.35">
      <c r="A1421">
        <v>1420</v>
      </c>
      <c r="B1421" s="1">
        <v>42584</v>
      </c>
      <c r="C1421" s="9" t="s">
        <v>2472</v>
      </c>
      <c r="D1421" s="9" t="s">
        <v>4939</v>
      </c>
      <c r="E1421" s="9" t="s">
        <v>6848</v>
      </c>
      <c r="F1421" s="9" t="s">
        <v>31</v>
      </c>
      <c r="G1421" s="9" t="s">
        <v>2473</v>
      </c>
      <c r="H1421" s="9" t="s">
        <v>86</v>
      </c>
      <c r="I1421" s="11">
        <v>1000000</v>
      </c>
      <c r="J1421" s="11">
        <v>4750673</v>
      </c>
      <c r="K1421" s="11">
        <v>6961005</v>
      </c>
      <c r="L1421" s="3">
        <v>116</v>
      </c>
      <c r="M1421" s="3">
        <v>4735</v>
      </c>
      <c r="N1421" s="3">
        <v>1018455</v>
      </c>
      <c r="O1421" s="2">
        <v>0.11</v>
      </c>
      <c r="P1421" s="2">
        <v>0.99099999999999999</v>
      </c>
      <c r="Q1421" s="2">
        <v>0.13400000000000001</v>
      </c>
      <c r="R1421" s="11">
        <v>115609969</v>
      </c>
      <c r="S1421" s="11">
        <v>987071</v>
      </c>
      <c r="T1421">
        <v>2016</v>
      </c>
      <c r="U1421">
        <v>8</v>
      </c>
      <c r="V1421">
        <f t="shared" si="132"/>
        <v>600000</v>
      </c>
      <c r="W1421">
        <f t="shared" si="133"/>
        <v>18429897</v>
      </c>
      <c r="X1421">
        <f t="shared" si="134"/>
        <v>17829897</v>
      </c>
      <c r="Y1421">
        <f t="shared" si="135"/>
        <v>-26144845.5</v>
      </c>
      <c r="Z1421">
        <f t="shared" si="136"/>
        <v>45174742.5</v>
      </c>
      <c r="AA1421" t="str">
        <f t="shared" si="137"/>
        <v>Normal</v>
      </c>
      <c r="AE1421" s="2"/>
      <c r="AF1421" s="2"/>
    </row>
    <row r="1422" spans="1:32" x14ac:dyDescent="0.35">
      <c r="A1422">
        <v>1421</v>
      </c>
      <c r="B1422" s="1">
        <v>42585</v>
      </c>
      <c r="C1422" s="9" t="s">
        <v>2474</v>
      </c>
      <c r="D1422" s="9" t="s">
        <v>2539</v>
      </c>
      <c r="E1422" s="9" t="s">
        <v>6849</v>
      </c>
      <c r="F1422" s="9" t="s">
        <v>35</v>
      </c>
      <c r="G1422" s="9" t="s">
        <v>1357</v>
      </c>
      <c r="H1422" s="9" t="s">
        <v>105</v>
      </c>
      <c r="I1422" s="11">
        <v>18429897</v>
      </c>
      <c r="J1422" s="11">
        <v>4973614</v>
      </c>
      <c r="K1422" s="11">
        <v>13666493</v>
      </c>
      <c r="L1422" s="3">
        <v>361</v>
      </c>
      <c r="M1422" s="3">
        <v>1850</v>
      </c>
      <c r="N1422" s="3">
        <v>1018455</v>
      </c>
      <c r="O1422" s="2">
        <v>-1.4999999999999999E-2</v>
      </c>
      <c r="P1422" s="2">
        <v>0.35899999999999999</v>
      </c>
      <c r="Q1422" s="2">
        <v>0.153</v>
      </c>
      <c r="R1422" s="11">
        <v>250264963</v>
      </c>
      <c r="S1422" s="11">
        <v>1601701</v>
      </c>
      <c r="T1422">
        <v>2016</v>
      </c>
      <c r="U1422">
        <v>8</v>
      </c>
      <c r="V1422">
        <f t="shared" si="132"/>
        <v>600000</v>
      </c>
      <c r="W1422">
        <f t="shared" si="133"/>
        <v>18429897</v>
      </c>
      <c r="X1422">
        <f t="shared" si="134"/>
        <v>17829897</v>
      </c>
      <c r="Y1422">
        <f t="shared" si="135"/>
        <v>-26144845.5</v>
      </c>
      <c r="Z1422">
        <f t="shared" si="136"/>
        <v>45174742.5</v>
      </c>
      <c r="AA1422" t="str">
        <f t="shared" si="137"/>
        <v>Normal</v>
      </c>
      <c r="AE1422" s="2"/>
      <c r="AF1422" s="2"/>
    </row>
    <row r="1423" spans="1:32" x14ac:dyDescent="0.35">
      <c r="A1423">
        <v>1422</v>
      </c>
      <c r="B1423" s="1">
        <v>42585</v>
      </c>
      <c r="C1423" s="9" t="s">
        <v>2475</v>
      </c>
      <c r="D1423" s="9" t="s">
        <v>4988</v>
      </c>
      <c r="E1423" s="9" t="s">
        <v>6850</v>
      </c>
      <c r="F1423" s="9" t="s">
        <v>19</v>
      </c>
      <c r="G1423" s="9" t="s">
        <v>522</v>
      </c>
      <c r="H1423" s="9" t="s">
        <v>86</v>
      </c>
      <c r="I1423" s="11">
        <v>225000</v>
      </c>
      <c r="J1423" s="11">
        <v>2953326</v>
      </c>
      <c r="K1423" s="11">
        <v>7891136</v>
      </c>
      <c r="L1423" s="3">
        <v>254</v>
      </c>
      <c r="M1423" s="3">
        <v>4965</v>
      </c>
      <c r="N1423" s="3">
        <v>1398860</v>
      </c>
      <c r="O1423" s="2">
        <v>0.188</v>
      </c>
      <c r="P1423" s="2">
        <v>0.47399999999999998</v>
      </c>
      <c r="Q1423" s="2">
        <v>0.25900000000000001</v>
      </c>
      <c r="R1423" s="11">
        <v>117715143</v>
      </c>
      <c r="S1423" s="11">
        <v>616916</v>
      </c>
      <c r="T1423">
        <v>2016</v>
      </c>
      <c r="U1423">
        <v>8</v>
      </c>
      <c r="V1423">
        <f t="shared" si="132"/>
        <v>600000</v>
      </c>
      <c r="W1423">
        <f t="shared" si="133"/>
        <v>18429897</v>
      </c>
      <c r="X1423">
        <f t="shared" si="134"/>
        <v>17829897</v>
      </c>
      <c r="Y1423">
        <f t="shared" si="135"/>
        <v>-26144845.5</v>
      </c>
      <c r="Z1423">
        <f t="shared" si="136"/>
        <v>45174742.5</v>
      </c>
      <c r="AA1423" t="str">
        <f t="shared" si="137"/>
        <v>Normal</v>
      </c>
      <c r="AE1423" s="2"/>
      <c r="AF1423" s="2"/>
    </row>
    <row r="1424" spans="1:32" x14ac:dyDescent="0.35">
      <c r="A1424">
        <v>1423</v>
      </c>
      <c r="B1424" s="1">
        <v>42585</v>
      </c>
      <c r="C1424" s="9" t="s">
        <v>2476</v>
      </c>
      <c r="D1424" s="9" t="s">
        <v>4988</v>
      </c>
      <c r="E1424" s="9" t="s">
        <v>6851</v>
      </c>
      <c r="F1424" s="9" t="s">
        <v>31</v>
      </c>
      <c r="G1424" s="9" t="s">
        <v>2477</v>
      </c>
      <c r="H1424" s="9" t="s">
        <v>86</v>
      </c>
      <c r="I1424" s="11">
        <v>890000</v>
      </c>
      <c r="J1424" s="11">
        <v>3379495</v>
      </c>
      <c r="K1424" s="11">
        <v>11425838</v>
      </c>
      <c r="L1424" s="3">
        <v>126</v>
      </c>
      <c r="M1424" s="3">
        <v>813</v>
      </c>
      <c r="N1424" s="3">
        <v>1605293</v>
      </c>
      <c r="O1424" s="2">
        <v>0.21100000000000002</v>
      </c>
      <c r="P1424" s="2">
        <v>0.375</v>
      </c>
      <c r="Q1424" s="2">
        <v>0.29199999999999998</v>
      </c>
      <c r="R1424" s="11">
        <v>333379735</v>
      </c>
      <c r="S1424" s="11">
        <v>516125</v>
      </c>
      <c r="T1424">
        <v>2016</v>
      </c>
      <c r="U1424">
        <v>8</v>
      </c>
      <c r="V1424">
        <f t="shared" si="132"/>
        <v>600000</v>
      </c>
      <c r="W1424">
        <f t="shared" si="133"/>
        <v>18429897</v>
      </c>
      <c r="X1424">
        <f t="shared" si="134"/>
        <v>17829897</v>
      </c>
      <c r="Y1424">
        <f t="shared" si="135"/>
        <v>-26144845.5</v>
      </c>
      <c r="Z1424">
        <f t="shared" si="136"/>
        <v>45174742.5</v>
      </c>
      <c r="AA1424" t="str">
        <f t="shared" si="137"/>
        <v>Normal</v>
      </c>
      <c r="AE1424" s="2"/>
      <c r="AF1424" s="2"/>
    </row>
    <row r="1425" spans="1:32" x14ac:dyDescent="0.35">
      <c r="A1425">
        <v>1424</v>
      </c>
      <c r="B1425" s="1">
        <v>42586</v>
      </c>
      <c r="C1425" s="9" t="s">
        <v>2478</v>
      </c>
      <c r="D1425" s="9" t="s">
        <v>4988</v>
      </c>
      <c r="E1425" s="9" t="s">
        <v>5267</v>
      </c>
      <c r="F1425" s="9" t="s">
        <v>15</v>
      </c>
      <c r="G1425" s="9" t="s">
        <v>2479</v>
      </c>
      <c r="H1425" s="9" t="s">
        <v>86</v>
      </c>
      <c r="I1425" s="11">
        <v>500000</v>
      </c>
      <c r="J1425" s="11">
        <v>1293199</v>
      </c>
      <c r="K1425" s="11">
        <v>11104602</v>
      </c>
      <c r="L1425" s="3">
        <v>19</v>
      </c>
      <c r="M1425" s="3">
        <v>1452</v>
      </c>
      <c r="N1425" s="3">
        <v>306898</v>
      </c>
      <c r="O1425" s="2">
        <v>-1.6E-2</v>
      </c>
      <c r="P1425" s="2">
        <v>0.55399999999999994</v>
      </c>
      <c r="Q1425" s="2">
        <v>-2.4E-2</v>
      </c>
      <c r="R1425" s="11">
        <v>250264963</v>
      </c>
      <c r="S1425" s="11">
        <v>1233847</v>
      </c>
      <c r="T1425">
        <v>2016</v>
      </c>
      <c r="U1425">
        <v>8</v>
      </c>
      <c r="V1425">
        <f t="shared" si="132"/>
        <v>600000</v>
      </c>
      <c r="W1425">
        <f t="shared" si="133"/>
        <v>18429897</v>
      </c>
      <c r="X1425">
        <f t="shared" si="134"/>
        <v>17829897</v>
      </c>
      <c r="Y1425">
        <f t="shared" si="135"/>
        <v>-26144845.5</v>
      </c>
      <c r="Z1425">
        <f t="shared" si="136"/>
        <v>45174742.5</v>
      </c>
      <c r="AA1425" t="str">
        <f t="shared" si="137"/>
        <v>Normal</v>
      </c>
      <c r="AE1425" s="2"/>
      <c r="AF1425" s="2"/>
    </row>
    <row r="1426" spans="1:32" x14ac:dyDescent="0.35">
      <c r="A1426">
        <v>1425</v>
      </c>
      <c r="B1426" s="1">
        <v>42586</v>
      </c>
      <c r="C1426" s="9" t="s">
        <v>2480</v>
      </c>
      <c r="D1426" s="9" t="s">
        <v>5000</v>
      </c>
      <c r="E1426" s="9" t="s">
        <v>6852</v>
      </c>
      <c r="F1426" s="9" t="s">
        <v>27</v>
      </c>
      <c r="G1426" s="9" t="s">
        <v>2423</v>
      </c>
      <c r="H1426" s="9" t="s">
        <v>86</v>
      </c>
      <c r="I1426" s="11">
        <v>18429897</v>
      </c>
      <c r="J1426" s="11">
        <v>4076899</v>
      </c>
      <c r="K1426" s="11">
        <v>4012921</v>
      </c>
      <c r="L1426" s="3">
        <v>218</v>
      </c>
      <c r="M1426" s="3">
        <v>3264</v>
      </c>
      <c r="N1426" s="3">
        <v>924890</v>
      </c>
      <c r="O1426" s="2">
        <v>0.21100000000000002</v>
      </c>
      <c r="P1426" s="2">
        <v>0.27699999999999997</v>
      </c>
      <c r="Q1426" s="2">
        <v>-0.35899999999999999</v>
      </c>
      <c r="R1426" s="11">
        <v>276607302</v>
      </c>
      <c r="S1426" s="11">
        <v>648099</v>
      </c>
      <c r="T1426">
        <v>2016</v>
      </c>
      <c r="U1426">
        <v>8</v>
      </c>
      <c r="V1426">
        <f t="shared" si="132"/>
        <v>600000</v>
      </c>
      <c r="W1426">
        <f t="shared" si="133"/>
        <v>18429897</v>
      </c>
      <c r="X1426">
        <f t="shared" si="134"/>
        <v>17829897</v>
      </c>
      <c r="Y1426">
        <f t="shared" si="135"/>
        <v>-26144845.5</v>
      </c>
      <c r="Z1426">
        <f t="shared" si="136"/>
        <v>45174742.5</v>
      </c>
      <c r="AA1426" t="str">
        <f t="shared" si="137"/>
        <v>Normal</v>
      </c>
      <c r="AE1426" s="2"/>
      <c r="AF1426" s="2"/>
    </row>
    <row r="1427" spans="1:32" x14ac:dyDescent="0.35">
      <c r="A1427">
        <v>1426</v>
      </c>
      <c r="B1427" s="1">
        <v>42587</v>
      </c>
      <c r="C1427" s="9" t="s">
        <v>2481</v>
      </c>
      <c r="D1427" s="9" t="s">
        <v>2539</v>
      </c>
      <c r="E1427" s="9" t="s">
        <v>6853</v>
      </c>
      <c r="F1427" s="9" t="s">
        <v>15</v>
      </c>
      <c r="G1427" s="9" t="s">
        <v>2482</v>
      </c>
      <c r="H1427" s="9" t="s">
        <v>105</v>
      </c>
      <c r="I1427" s="11">
        <v>18429897</v>
      </c>
      <c r="J1427" s="11">
        <v>3364529</v>
      </c>
      <c r="K1427" s="11">
        <v>4727001</v>
      </c>
      <c r="L1427" s="3">
        <v>74</v>
      </c>
      <c r="M1427" s="3">
        <v>2489</v>
      </c>
      <c r="N1427" s="3">
        <v>708827</v>
      </c>
      <c r="O1427" s="2">
        <v>0.13400000000000001</v>
      </c>
      <c r="P1427" s="2">
        <v>1.0589999999999999E-2</v>
      </c>
      <c r="Q1427" s="2">
        <v>-0.16</v>
      </c>
      <c r="R1427" s="11">
        <v>227821603</v>
      </c>
      <c r="S1427" s="11">
        <v>1016271</v>
      </c>
      <c r="T1427">
        <v>2016</v>
      </c>
      <c r="U1427">
        <v>8</v>
      </c>
      <c r="V1427">
        <f t="shared" si="132"/>
        <v>600000</v>
      </c>
      <c r="W1427">
        <f t="shared" si="133"/>
        <v>18429897</v>
      </c>
      <c r="X1427">
        <f t="shared" si="134"/>
        <v>17829897</v>
      </c>
      <c r="Y1427">
        <f t="shared" si="135"/>
        <v>-26144845.5</v>
      </c>
      <c r="Z1427">
        <f t="shared" si="136"/>
        <v>45174742.5</v>
      </c>
      <c r="AA1427" t="str">
        <f t="shared" si="137"/>
        <v>Normal</v>
      </c>
      <c r="AE1427" s="2"/>
      <c r="AF1427" s="2"/>
    </row>
    <row r="1428" spans="1:32" x14ac:dyDescent="0.35">
      <c r="A1428">
        <v>1427</v>
      </c>
      <c r="B1428" s="1">
        <v>42588</v>
      </c>
      <c r="C1428" s="9" t="s">
        <v>2483</v>
      </c>
      <c r="D1428" s="9" t="s">
        <v>4930</v>
      </c>
      <c r="E1428" s="9" t="s">
        <v>6854</v>
      </c>
      <c r="F1428" s="9" t="s">
        <v>2484</v>
      </c>
      <c r="G1428" s="9" t="s">
        <v>2485</v>
      </c>
      <c r="H1428" s="9" t="s">
        <v>86</v>
      </c>
      <c r="I1428" s="11">
        <v>27000</v>
      </c>
      <c r="J1428" s="11">
        <v>4514718</v>
      </c>
      <c r="K1428" s="11">
        <v>6205731</v>
      </c>
      <c r="L1428" s="3">
        <v>254</v>
      </c>
      <c r="M1428" s="3">
        <v>3812</v>
      </c>
      <c r="N1428" s="3">
        <v>830100</v>
      </c>
      <c r="O1428" s="2">
        <v>0.10099999999999999</v>
      </c>
      <c r="P1428" s="2">
        <v>0.61499999999999999</v>
      </c>
      <c r="Q1428" s="2">
        <v>0.215</v>
      </c>
      <c r="R1428" s="11">
        <v>415064672</v>
      </c>
      <c r="S1428" s="11">
        <v>511207</v>
      </c>
      <c r="T1428">
        <v>2016</v>
      </c>
      <c r="U1428">
        <v>8</v>
      </c>
      <c r="V1428">
        <f t="shared" si="132"/>
        <v>600000</v>
      </c>
      <c r="W1428">
        <f t="shared" si="133"/>
        <v>18429897</v>
      </c>
      <c r="X1428">
        <f t="shared" si="134"/>
        <v>17829897</v>
      </c>
      <c r="Y1428">
        <f t="shared" si="135"/>
        <v>-26144845.5</v>
      </c>
      <c r="Z1428">
        <f t="shared" si="136"/>
        <v>45174742.5</v>
      </c>
      <c r="AA1428" t="str">
        <f t="shared" si="137"/>
        <v>Normal</v>
      </c>
      <c r="AE1428" s="2"/>
      <c r="AF1428" s="2"/>
    </row>
    <row r="1429" spans="1:32" x14ac:dyDescent="0.35">
      <c r="A1429">
        <v>1428</v>
      </c>
      <c r="B1429" s="1">
        <v>42590</v>
      </c>
      <c r="C1429" s="9" t="s">
        <v>2486</v>
      </c>
      <c r="D1429" s="9" t="s">
        <v>4930</v>
      </c>
      <c r="E1429" s="9" t="s">
        <v>6855</v>
      </c>
      <c r="F1429" s="9" t="s">
        <v>27</v>
      </c>
      <c r="G1429" s="9" t="s">
        <v>2487</v>
      </c>
      <c r="H1429" s="9" t="s">
        <v>105</v>
      </c>
      <c r="I1429" s="11">
        <v>18429897</v>
      </c>
      <c r="J1429" s="11">
        <v>1349701</v>
      </c>
      <c r="K1429" s="11">
        <v>4524669</v>
      </c>
      <c r="L1429" s="3">
        <v>71</v>
      </c>
      <c r="M1429" s="3">
        <v>1757</v>
      </c>
      <c r="N1429" s="3">
        <v>1879416</v>
      </c>
      <c r="O1429" s="2">
        <v>-0.03</v>
      </c>
      <c r="P1429" s="2">
        <v>1.1240000000000001</v>
      </c>
      <c r="Q1429" s="2">
        <v>-8.3000000000000004E-2</v>
      </c>
      <c r="R1429" s="11">
        <v>378273106</v>
      </c>
      <c r="S1429" s="11">
        <v>494816</v>
      </c>
      <c r="T1429">
        <v>2016</v>
      </c>
      <c r="U1429">
        <v>8</v>
      </c>
      <c r="V1429">
        <f t="shared" si="132"/>
        <v>600000</v>
      </c>
      <c r="W1429">
        <f t="shared" si="133"/>
        <v>18429897</v>
      </c>
      <c r="X1429">
        <f t="shared" si="134"/>
        <v>17829897</v>
      </c>
      <c r="Y1429">
        <f t="shared" si="135"/>
        <v>-26144845.5</v>
      </c>
      <c r="Z1429">
        <f t="shared" si="136"/>
        <v>45174742.5</v>
      </c>
      <c r="AA1429" t="str">
        <f t="shared" si="137"/>
        <v>Normal</v>
      </c>
      <c r="AE1429" s="2"/>
      <c r="AF1429" s="2"/>
    </row>
    <row r="1430" spans="1:32" x14ac:dyDescent="0.35">
      <c r="A1430">
        <v>1429</v>
      </c>
      <c r="B1430" s="1">
        <v>42590</v>
      </c>
      <c r="C1430" s="9" t="s">
        <v>2488</v>
      </c>
      <c r="D1430" s="9" t="s">
        <v>5000</v>
      </c>
      <c r="E1430" s="9" t="s">
        <v>6856</v>
      </c>
      <c r="F1430" s="9" t="s">
        <v>31</v>
      </c>
      <c r="G1430" s="9" t="s">
        <v>2489</v>
      </c>
      <c r="H1430" s="9" t="s">
        <v>86</v>
      </c>
      <c r="I1430" s="11">
        <v>40000</v>
      </c>
      <c r="J1430" s="11">
        <v>3942197</v>
      </c>
      <c r="K1430" s="11">
        <v>18382851</v>
      </c>
      <c r="L1430" s="3">
        <v>22</v>
      </c>
      <c r="M1430" s="3">
        <v>3884</v>
      </c>
      <c r="N1430" s="3">
        <v>1117375</v>
      </c>
      <c r="O1430" s="2">
        <v>0.58299999999999996</v>
      </c>
      <c r="P1430" s="2">
        <v>0.247</v>
      </c>
      <c r="Q1430" s="2">
        <v>0.16600000000000001</v>
      </c>
      <c r="R1430" s="11">
        <v>198203498</v>
      </c>
      <c r="S1430" s="11">
        <v>1008193.5</v>
      </c>
      <c r="T1430">
        <v>2016</v>
      </c>
      <c r="U1430">
        <v>8</v>
      </c>
      <c r="V1430">
        <f t="shared" si="132"/>
        <v>600000</v>
      </c>
      <c r="W1430">
        <f t="shared" si="133"/>
        <v>18429897</v>
      </c>
      <c r="X1430">
        <f t="shared" si="134"/>
        <v>17829897</v>
      </c>
      <c r="Y1430">
        <f t="shared" si="135"/>
        <v>-26144845.5</v>
      </c>
      <c r="Z1430">
        <f t="shared" si="136"/>
        <v>45174742.5</v>
      </c>
      <c r="AA1430" t="str">
        <f t="shared" si="137"/>
        <v>Normal</v>
      </c>
      <c r="AE1430" s="2"/>
      <c r="AF1430" s="2"/>
    </row>
    <row r="1431" spans="1:32" x14ac:dyDescent="0.35">
      <c r="A1431">
        <v>1430</v>
      </c>
      <c r="B1431" s="1">
        <v>42590</v>
      </c>
      <c r="C1431" s="9" t="s">
        <v>2490</v>
      </c>
      <c r="D1431" s="9" t="s">
        <v>4925</v>
      </c>
      <c r="E1431" s="9" t="s">
        <v>6857</v>
      </c>
      <c r="F1431" s="9" t="s">
        <v>19</v>
      </c>
      <c r="G1431" s="9" t="s">
        <v>856</v>
      </c>
      <c r="H1431" s="9" t="s">
        <v>86</v>
      </c>
      <c r="I1431" s="11">
        <v>445000</v>
      </c>
      <c r="J1431" s="11">
        <v>2361973</v>
      </c>
      <c r="K1431" s="11">
        <v>7689660</v>
      </c>
      <c r="L1431" s="3">
        <v>241</v>
      </c>
      <c r="M1431" s="3">
        <v>1540</v>
      </c>
      <c r="N1431" s="3">
        <v>886639</v>
      </c>
      <c r="O1431" s="2">
        <v>0.35700000000000004</v>
      </c>
      <c r="P1431" s="2">
        <v>0.373</v>
      </c>
      <c r="Q1431" s="2">
        <v>0.36749999999999999</v>
      </c>
      <c r="R1431" s="11">
        <v>99579693</v>
      </c>
      <c r="S1431" s="11">
        <v>568769</v>
      </c>
      <c r="T1431">
        <v>2016</v>
      </c>
      <c r="U1431">
        <v>8</v>
      </c>
      <c r="V1431">
        <f t="shared" si="132"/>
        <v>600000</v>
      </c>
      <c r="W1431">
        <f t="shared" si="133"/>
        <v>18429897</v>
      </c>
      <c r="X1431">
        <f t="shared" si="134"/>
        <v>17829897</v>
      </c>
      <c r="Y1431">
        <f t="shared" si="135"/>
        <v>-26144845.5</v>
      </c>
      <c r="Z1431">
        <f t="shared" si="136"/>
        <v>45174742.5</v>
      </c>
      <c r="AA1431" t="str">
        <f t="shared" si="137"/>
        <v>Normal</v>
      </c>
      <c r="AE1431" s="2"/>
      <c r="AF1431" s="2"/>
    </row>
    <row r="1432" spans="1:32" x14ac:dyDescent="0.35">
      <c r="A1432">
        <v>1431</v>
      </c>
      <c r="B1432" s="1">
        <v>42590</v>
      </c>
      <c r="C1432" s="9" t="s">
        <v>1545</v>
      </c>
      <c r="D1432" s="9" t="s">
        <v>4988</v>
      </c>
      <c r="E1432" s="9" t="s">
        <v>6858</v>
      </c>
      <c r="F1432" s="9" t="s">
        <v>31</v>
      </c>
      <c r="G1432" s="9" t="s">
        <v>2491</v>
      </c>
      <c r="H1432" s="9" t="s">
        <v>86</v>
      </c>
      <c r="I1432" s="11">
        <v>200000</v>
      </c>
      <c r="J1432" s="11">
        <v>942193</v>
      </c>
      <c r="K1432" s="11">
        <v>8157023</v>
      </c>
      <c r="L1432" s="3">
        <v>208</v>
      </c>
      <c r="M1432" s="3">
        <v>788</v>
      </c>
      <c r="N1432" s="3">
        <v>1809516</v>
      </c>
      <c r="O1432" s="2">
        <v>0.26600000000000001</v>
      </c>
      <c r="P1432" s="2">
        <v>1.036</v>
      </c>
      <c r="Q1432" s="2">
        <v>0.11699999999999999</v>
      </c>
      <c r="R1432" s="11">
        <v>166193870</v>
      </c>
      <c r="S1432" s="11">
        <v>1952287</v>
      </c>
      <c r="T1432">
        <v>2016</v>
      </c>
      <c r="U1432">
        <v>8</v>
      </c>
      <c r="V1432">
        <f t="shared" si="132"/>
        <v>600000</v>
      </c>
      <c r="W1432">
        <f t="shared" si="133"/>
        <v>18429897</v>
      </c>
      <c r="X1432">
        <f t="shared" si="134"/>
        <v>17829897</v>
      </c>
      <c r="Y1432">
        <f t="shared" si="135"/>
        <v>-26144845.5</v>
      </c>
      <c r="Z1432">
        <f t="shared" si="136"/>
        <v>45174742.5</v>
      </c>
      <c r="AA1432" t="str">
        <f t="shared" si="137"/>
        <v>Normal</v>
      </c>
      <c r="AE1432" s="2"/>
      <c r="AF1432" s="2"/>
    </row>
    <row r="1433" spans="1:32" x14ac:dyDescent="0.35">
      <c r="A1433">
        <v>1432</v>
      </c>
      <c r="B1433" s="1">
        <v>42591</v>
      </c>
      <c r="C1433" s="9" t="s">
        <v>1878</v>
      </c>
      <c r="D1433" s="9" t="s">
        <v>2539</v>
      </c>
      <c r="E1433" s="9" t="s">
        <v>6859</v>
      </c>
      <c r="F1433" s="9" t="s">
        <v>15</v>
      </c>
      <c r="G1433" s="9" t="s">
        <v>2492</v>
      </c>
      <c r="H1433" s="9" t="s">
        <v>86</v>
      </c>
      <c r="I1433" s="11">
        <v>18429897</v>
      </c>
      <c r="J1433" s="11">
        <v>872559</v>
      </c>
      <c r="K1433" s="11">
        <v>10153449</v>
      </c>
      <c r="L1433" s="3">
        <v>211</v>
      </c>
      <c r="M1433" s="3">
        <v>2865</v>
      </c>
      <c r="N1433" s="3">
        <v>1063868</v>
      </c>
      <c r="O1433" s="2">
        <v>1.6E-2</v>
      </c>
      <c r="P1433" s="2">
        <v>0.66400000000000003</v>
      </c>
      <c r="Q1433" s="2">
        <v>0.223</v>
      </c>
      <c r="R1433" s="11">
        <v>74770631</v>
      </c>
      <c r="S1433" s="11">
        <v>1631972</v>
      </c>
      <c r="T1433">
        <v>2016</v>
      </c>
      <c r="U1433">
        <v>8</v>
      </c>
      <c r="V1433">
        <f t="shared" si="132"/>
        <v>600000</v>
      </c>
      <c r="W1433">
        <f t="shared" si="133"/>
        <v>18429897</v>
      </c>
      <c r="X1433">
        <f t="shared" si="134"/>
        <v>17829897</v>
      </c>
      <c r="Y1433">
        <f t="shared" si="135"/>
        <v>-26144845.5</v>
      </c>
      <c r="Z1433">
        <f t="shared" si="136"/>
        <v>45174742.5</v>
      </c>
      <c r="AA1433" t="str">
        <f t="shared" si="137"/>
        <v>Normal</v>
      </c>
      <c r="AE1433" s="2"/>
      <c r="AF1433" s="2"/>
    </row>
    <row r="1434" spans="1:32" x14ac:dyDescent="0.35">
      <c r="A1434">
        <v>1433</v>
      </c>
      <c r="B1434" s="1">
        <v>42591</v>
      </c>
      <c r="C1434" s="9" t="s">
        <v>2493</v>
      </c>
      <c r="D1434" s="9" t="s">
        <v>4930</v>
      </c>
      <c r="E1434" s="9" t="s">
        <v>6860</v>
      </c>
      <c r="F1434" s="9" t="s">
        <v>27</v>
      </c>
      <c r="G1434" s="9" t="s">
        <v>2492</v>
      </c>
      <c r="H1434" s="9" t="s">
        <v>86</v>
      </c>
      <c r="I1434" s="11">
        <v>18429897</v>
      </c>
      <c r="J1434" s="11">
        <v>2819610</v>
      </c>
      <c r="K1434" s="11">
        <v>10153449</v>
      </c>
      <c r="L1434" s="3">
        <v>254</v>
      </c>
      <c r="M1434" s="3">
        <v>2587</v>
      </c>
      <c r="N1434" s="3">
        <v>846022</v>
      </c>
      <c r="O1434" s="2">
        <v>0.18</v>
      </c>
      <c r="P1434" s="2">
        <v>0.25900000000000001</v>
      </c>
      <c r="Q1434" s="2">
        <v>0.39700000000000002</v>
      </c>
      <c r="R1434" s="11">
        <v>283598659</v>
      </c>
      <c r="S1434" s="11">
        <v>845708</v>
      </c>
      <c r="T1434">
        <v>2016</v>
      </c>
      <c r="U1434">
        <v>8</v>
      </c>
      <c r="V1434">
        <f t="shared" si="132"/>
        <v>600000</v>
      </c>
      <c r="W1434">
        <f t="shared" si="133"/>
        <v>18429897</v>
      </c>
      <c r="X1434">
        <f t="shared" si="134"/>
        <v>17829897</v>
      </c>
      <c r="Y1434">
        <f t="shared" si="135"/>
        <v>-26144845.5</v>
      </c>
      <c r="Z1434">
        <f t="shared" si="136"/>
        <v>45174742.5</v>
      </c>
      <c r="AA1434" t="str">
        <f t="shared" si="137"/>
        <v>Normal</v>
      </c>
      <c r="AE1434" s="2"/>
      <c r="AF1434" s="2"/>
    </row>
    <row r="1435" spans="1:32" x14ac:dyDescent="0.35">
      <c r="A1435">
        <v>1434</v>
      </c>
      <c r="B1435" s="1">
        <v>42592</v>
      </c>
      <c r="C1435" s="9" t="s">
        <v>1854</v>
      </c>
      <c r="D1435" s="9" t="s">
        <v>4988</v>
      </c>
      <c r="E1435" s="9" t="s">
        <v>6861</v>
      </c>
      <c r="F1435" s="9" t="s">
        <v>15</v>
      </c>
      <c r="G1435" s="9" t="s">
        <v>2494</v>
      </c>
      <c r="H1435" s="9" t="s">
        <v>86</v>
      </c>
      <c r="I1435" s="11">
        <v>500000</v>
      </c>
      <c r="J1435" s="11">
        <v>1610858</v>
      </c>
      <c r="K1435" s="11">
        <v>13793699</v>
      </c>
      <c r="L1435" s="3">
        <v>207</v>
      </c>
      <c r="M1435" s="3">
        <v>2856</v>
      </c>
      <c r="N1435" s="3">
        <v>1080581</v>
      </c>
      <c r="O1435" s="2">
        <v>0.05</v>
      </c>
      <c r="P1435" s="2">
        <v>0.247</v>
      </c>
      <c r="Q1435" s="2">
        <v>9.6000000000000002E-2</v>
      </c>
      <c r="R1435" s="11">
        <v>448640970</v>
      </c>
      <c r="S1435" s="11">
        <v>493120</v>
      </c>
      <c r="T1435">
        <v>2016</v>
      </c>
      <c r="U1435">
        <v>8</v>
      </c>
      <c r="V1435">
        <f t="shared" si="132"/>
        <v>600000</v>
      </c>
      <c r="W1435">
        <f t="shared" si="133"/>
        <v>18429897</v>
      </c>
      <c r="X1435">
        <f t="shared" si="134"/>
        <v>17829897</v>
      </c>
      <c r="Y1435">
        <f t="shared" si="135"/>
        <v>-26144845.5</v>
      </c>
      <c r="Z1435">
        <f t="shared" si="136"/>
        <v>45174742.5</v>
      </c>
      <c r="AA1435" t="str">
        <f t="shared" si="137"/>
        <v>Normal</v>
      </c>
      <c r="AE1435" s="2"/>
      <c r="AF1435" s="2"/>
    </row>
    <row r="1436" spans="1:32" x14ac:dyDescent="0.35">
      <c r="A1436">
        <v>1435</v>
      </c>
      <c r="B1436" s="1">
        <v>42592</v>
      </c>
      <c r="C1436" s="9" t="s">
        <v>1264</v>
      </c>
      <c r="D1436" s="9" t="s">
        <v>4925</v>
      </c>
      <c r="E1436" s="9" t="s">
        <v>6223</v>
      </c>
      <c r="F1436" s="9" t="s">
        <v>27</v>
      </c>
      <c r="G1436" s="9" t="s">
        <v>2495</v>
      </c>
      <c r="H1436" s="9" t="s">
        <v>86</v>
      </c>
      <c r="I1436" s="11">
        <v>600000</v>
      </c>
      <c r="J1436" s="11">
        <v>527432</v>
      </c>
      <c r="K1436" s="11">
        <v>11068432</v>
      </c>
      <c r="L1436" s="3">
        <v>6</v>
      </c>
      <c r="M1436" s="3">
        <v>168</v>
      </c>
      <c r="N1436" s="3">
        <v>1695514</v>
      </c>
      <c r="O1436" s="2">
        <v>-0.40899999999999997</v>
      </c>
      <c r="P1436" s="2">
        <v>1.095</v>
      </c>
      <c r="Q1436" s="2">
        <v>-0.161</v>
      </c>
      <c r="R1436" s="11">
        <v>330136139</v>
      </c>
      <c r="S1436" s="11">
        <v>679970</v>
      </c>
      <c r="T1436">
        <v>2016</v>
      </c>
      <c r="U1436">
        <v>8</v>
      </c>
      <c r="V1436">
        <f t="shared" si="132"/>
        <v>600000</v>
      </c>
      <c r="W1436">
        <f t="shared" si="133"/>
        <v>18429897</v>
      </c>
      <c r="X1436">
        <f t="shared" si="134"/>
        <v>17829897</v>
      </c>
      <c r="Y1436">
        <f t="shared" si="135"/>
        <v>-26144845.5</v>
      </c>
      <c r="Z1436">
        <f t="shared" si="136"/>
        <v>45174742.5</v>
      </c>
      <c r="AA1436" t="str">
        <f t="shared" si="137"/>
        <v>Normal</v>
      </c>
      <c r="AE1436" s="2"/>
      <c r="AF1436" s="2"/>
    </row>
    <row r="1437" spans="1:32" x14ac:dyDescent="0.35">
      <c r="A1437">
        <v>1436</v>
      </c>
      <c r="B1437" s="1">
        <v>42593</v>
      </c>
      <c r="C1437" s="9" t="s">
        <v>2496</v>
      </c>
      <c r="D1437" s="9" t="s">
        <v>4988</v>
      </c>
      <c r="E1437" s="9" t="s">
        <v>6862</v>
      </c>
      <c r="F1437" s="9" t="s">
        <v>15</v>
      </c>
      <c r="G1437" s="9" t="s">
        <v>2497</v>
      </c>
      <c r="H1437" s="9" t="s">
        <v>105</v>
      </c>
      <c r="I1437" s="11">
        <v>7000000</v>
      </c>
      <c r="J1437" s="11">
        <v>2147188</v>
      </c>
      <c r="K1437" s="11">
        <v>19524723</v>
      </c>
      <c r="L1437" s="3">
        <v>241</v>
      </c>
      <c r="M1437" s="3">
        <v>2085</v>
      </c>
      <c r="N1437" s="3">
        <v>905641</v>
      </c>
      <c r="O1437" s="2">
        <v>-0.124</v>
      </c>
      <c r="P1437" s="2">
        <v>0.46200000000000002</v>
      </c>
      <c r="Q1437" s="2">
        <v>0.17799999999999999</v>
      </c>
      <c r="R1437" s="11">
        <v>401581996</v>
      </c>
      <c r="S1437" s="11">
        <v>899182</v>
      </c>
      <c r="T1437">
        <v>2016</v>
      </c>
      <c r="U1437">
        <v>8</v>
      </c>
      <c r="V1437">
        <f t="shared" si="132"/>
        <v>600000</v>
      </c>
      <c r="W1437">
        <f t="shared" si="133"/>
        <v>18429897</v>
      </c>
      <c r="X1437">
        <f t="shared" si="134"/>
        <v>17829897</v>
      </c>
      <c r="Y1437">
        <f t="shared" si="135"/>
        <v>-26144845.5</v>
      </c>
      <c r="Z1437">
        <f t="shared" si="136"/>
        <v>45174742.5</v>
      </c>
      <c r="AA1437" t="str">
        <f t="shared" si="137"/>
        <v>Normal</v>
      </c>
      <c r="AE1437" s="2"/>
      <c r="AF1437" s="2"/>
    </row>
    <row r="1438" spans="1:32" x14ac:dyDescent="0.35">
      <c r="A1438">
        <v>1437</v>
      </c>
      <c r="B1438" s="1">
        <v>42593</v>
      </c>
      <c r="C1438" s="9" t="s">
        <v>1171</v>
      </c>
      <c r="D1438" s="9" t="s">
        <v>4988</v>
      </c>
      <c r="E1438" s="9" t="s">
        <v>6863</v>
      </c>
      <c r="F1438" s="9" t="s">
        <v>31</v>
      </c>
      <c r="G1438" s="9" t="s">
        <v>2498</v>
      </c>
      <c r="H1438" s="9" t="s">
        <v>105</v>
      </c>
      <c r="I1438" s="11">
        <v>18429897</v>
      </c>
      <c r="J1438" s="11">
        <v>3271552</v>
      </c>
      <c r="K1438" s="11">
        <v>18006831</v>
      </c>
      <c r="L1438" s="3">
        <v>424</v>
      </c>
      <c r="M1438" s="3">
        <v>496</v>
      </c>
      <c r="N1438" s="3">
        <v>1234364</v>
      </c>
      <c r="O1438" s="2">
        <v>0.55299999999999994</v>
      </c>
      <c r="P1438" s="2">
        <v>0.61099999999999999</v>
      </c>
      <c r="Q1438" s="2">
        <v>0.36749999999999999</v>
      </c>
      <c r="R1438" s="11">
        <v>167525337</v>
      </c>
      <c r="S1438" s="11">
        <v>1164331</v>
      </c>
      <c r="T1438">
        <v>2016</v>
      </c>
      <c r="U1438">
        <v>8</v>
      </c>
      <c r="V1438">
        <f t="shared" si="132"/>
        <v>600000</v>
      </c>
      <c r="W1438">
        <f t="shared" si="133"/>
        <v>18429897</v>
      </c>
      <c r="X1438">
        <f t="shared" si="134"/>
        <v>17829897</v>
      </c>
      <c r="Y1438">
        <f t="shared" si="135"/>
        <v>-26144845.5</v>
      </c>
      <c r="Z1438">
        <f t="shared" si="136"/>
        <v>45174742.5</v>
      </c>
      <c r="AA1438" t="str">
        <f t="shared" si="137"/>
        <v>Normal</v>
      </c>
      <c r="AE1438" s="2"/>
      <c r="AF1438" s="2"/>
    </row>
    <row r="1439" spans="1:32" x14ac:dyDescent="0.35">
      <c r="A1439">
        <v>1438</v>
      </c>
      <c r="B1439" s="1">
        <v>42593</v>
      </c>
      <c r="C1439" s="9" t="s">
        <v>2499</v>
      </c>
      <c r="D1439" s="9" t="s">
        <v>4988</v>
      </c>
      <c r="E1439" s="9" t="s">
        <v>6864</v>
      </c>
      <c r="F1439" s="9" t="s">
        <v>31</v>
      </c>
      <c r="G1439" s="9" t="s">
        <v>2500</v>
      </c>
      <c r="H1439" s="9" t="s">
        <v>86</v>
      </c>
      <c r="I1439" s="11">
        <v>209000</v>
      </c>
      <c r="J1439" s="11">
        <v>1608366</v>
      </c>
      <c r="K1439" s="11">
        <v>10153449</v>
      </c>
      <c r="L1439" s="3">
        <v>254</v>
      </c>
      <c r="M1439" s="3">
        <v>4033</v>
      </c>
      <c r="N1439" s="3">
        <v>357556</v>
      </c>
      <c r="O1439" s="2">
        <v>0.35199999999999998</v>
      </c>
      <c r="P1439" s="2">
        <v>1.097</v>
      </c>
      <c r="Q1439" s="2">
        <v>-0.46299999999999997</v>
      </c>
      <c r="R1439" s="11">
        <v>471893872</v>
      </c>
      <c r="S1439" s="11">
        <v>723211</v>
      </c>
      <c r="T1439">
        <v>2016</v>
      </c>
      <c r="U1439">
        <v>8</v>
      </c>
      <c r="V1439">
        <f t="shared" si="132"/>
        <v>600000</v>
      </c>
      <c r="W1439">
        <f t="shared" si="133"/>
        <v>18429897</v>
      </c>
      <c r="X1439">
        <f t="shared" si="134"/>
        <v>17829897</v>
      </c>
      <c r="Y1439">
        <f t="shared" si="135"/>
        <v>-26144845.5</v>
      </c>
      <c r="Z1439">
        <f t="shared" si="136"/>
        <v>45174742.5</v>
      </c>
      <c r="AA1439" t="str">
        <f t="shared" si="137"/>
        <v>Normal</v>
      </c>
      <c r="AE1439" s="2"/>
      <c r="AF1439" s="2"/>
    </row>
    <row r="1440" spans="1:32" x14ac:dyDescent="0.35">
      <c r="A1440">
        <v>1439</v>
      </c>
      <c r="B1440" s="1">
        <v>42593</v>
      </c>
      <c r="C1440" s="9" t="s">
        <v>247</v>
      </c>
      <c r="D1440" s="9" t="s">
        <v>4930</v>
      </c>
      <c r="E1440" s="9" t="s">
        <v>6865</v>
      </c>
      <c r="F1440" s="9" t="s">
        <v>124</v>
      </c>
      <c r="G1440" s="9" t="s">
        <v>2501</v>
      </c>
      <c r="H1440" s="9" t="s">
        <v>105</v>
      </c>
      <c r="I1440" s="11">
        <v>15000000</v>
      </c>
      <c r="J1440" s="11">
        <v>4777640</v>
      </c>
      <c r="K1440" s="11">
        <v>1000000000</v>
      </c>
      <c r="L1440" s="3">
        <v>76</v>
      </c>
      <c r="M1440" s="3">
        <v>451</v>
      </c>
      <c r="N1440" s="3">
        <v>24893</v>
      </c>
      <c r="O1440" s="2">
        <v>0.16</v>
      </c>
      <c r="P1440" s="2">
        <v>0.86799999999999999</v>
      </c>
      <c r="Q1440" s="2">
        <v>-8.1000000000000003E-2</v>
      </c>
      <c r="R1440" s="11">
        <v>127224379</v>
      </c>
      <c r="S1440" s="11">
        <v>713594</v>
      </c>
      <c r="T1440">
        <v>2016</v>
      </c>
      <c r="U1440">
        <v>8</v>
      </c>
      <c r="V1440">
        <f t="shared" si="132"/>
        <v>600000</v>
      </c>
      <c r="W1440">
        <f t="shared" si="133"/>
        <v>18429897</v>
      </c>
      <c r="X1440">
        <f t="shared" si="134"/>
        <v>17829897</v>
      </c>
      <c r="Y1440">
        <f t="shared" si="135"/>
        <v>-26144845.5</v>
      </c>
      <c r="Z1440">
        <f t="shared" si="136"/>
        <v>45174742.5</v>
      </c>
      <c r="AA1440" t="str">
        <f t="shared" si="137"/>
        <v>Normal</v>
      </c>
      <c r="AE1440" s="2"/>
      <c r="AF1440" s="2"/>
    </row>
    <row r="1441" spans="1:32" x14ac:dyDescent="0.35">
      <c r="A1441">
        <v>1440</v>
      </c>
      <c r="B1441" s="1">
        <v>42594</v>
      </c>
      <c r="C1441" s="9" t="s">
        <v>1234</v>
      </c>
      <c r="D1441" s="9" t="s">
        <v>4930</v>
      </c>
      <c r="E1441" s="9" t="s">
        <v>6866</v>
      </c>
      <c r="F1441" s="9" t="s">
        <v>19</v>
      </c>
      <c r="G1441" s="9" t="s">
        <v>2502</v>
      </c>
      <c r="H1441" s="9" t="s">
        <v>105</v>
      </c>
      <c r="I1441" s="11">
        <v>1500000</v>
      </c>
      <c r="J1441" s="11">
        <v>3902146</v>
      </c>
      <c r="K1441" s="11">
        <v>7917897</v>
      </c>
      <c r="L1441" s="3">
        <v>391</v>
      </c>
      <c r="M1441" s="3">
        <v>4661</v>
      </c>
      <c r="N1441" s="3">
        <v>134734</v>
      </c>
      <c r="O1441" s="2">
        <v>-0.19600000000000001</v>
      </c>
      <c r="P1441" s="2">
        <v>0.97</v>
      </c>
      <c r="Q1441" s="2">
        <v>0.107</v>
      </c>
      <c r="R1441" s="11">
        <v>288835713</v>
      </c>
      <c r="S1441" s="11">
        <v>996791</v>
      </c>
      <c r="T1441">
        <v>2016</v>
      </c>
      <c r="U1441">
        <v>8</v>
      </c>
      <c r="V1441">
        <f t="shared" si="132"/>
        <v>600000</v>
      </c>
      <c r="W1441">
        <f t="shared" si="133"/>
        <v>18429897</v>
      </c>
      <c r="X1441">
        <f t="shared" si="134"/>
        <v>17829897</v>
      </c>
      <c r="Y1441">
        <f t="shared" si="135"/>
        <v>-26144845.5</v>
      </c>
      <c r="Z1441">
        <f t="shared" si="136"/>
        <v>45174742.5</v>
      </c>
      <c r="AA1441" t="str">
        <f t="shared" si="137"/>
        <v>Normal</v>
      </c>
      <c r="AE1441" s="2"/>
      <c r="AF1441" s="2"/>
    </row>
    <row r="1442" spans="1:32" x14ac:dyDescent="0.35">
      <c r="A1442">
        <v>1441</v>
      </c>
      <c r="B1442" s="1">
        <v>42594</v>
      </c>
      <c r="C1442" s="9" t="s">
        <v>2503</v>
      </c>
      <c r="D1442" s="9" t="s">
        <v>4988</v>
      </c>
      <c r="E1442" s="9" t="s">
        <v>2504</v>
      </c>
      <c r="F1442" s="9" t="s">
        <v>19</v>
      </c>
      <c r="G1442" s="9" t="s">
        <v>522</v>
      </c>
      <c r="H1442" s="9" t="s">
        <v>105</v>
      </c>
      <c r="I1442" s="11">
        <v>1500000</v>
      </c>
      <c r="J1442" s="11">
        <v>2573405</v>
      </c>
      <c r="K1442" s="11">
        <v>16723908</v>
      </c>
      <c r="L1442" s="3">
        <v>252</v>
      </c>
      <c r="M1442" s="3">
        <v>333</v>
      </c>
      <c r="N1442" s="3">
        <v>952457</v>
      </c>
      <c r="O1442" s="2">
        <v>0.247</v>
      </c>
      <c r="P1442" s="2">
        <v>0.67200000000000004</v>
      </c>
      <c r="Q1442" s="2">
        <v>-0.02</v>
      </c>
      <c r="R1442" s="11">
        <v>483367520</v>
      </c>
      <c r="S1442" s="11">
        <v>232552</v>
      </c>
      <c r="T1442">
        <v>2016</v>
      </c>
      <c r="U1442">
        <v>8</v>
      </c>
      <c r="V1442">
        <f t="shared" si="132"/>
        <v>600000</v>
      </c>
      <c r="W1442">
        <f t="shared" si="133"/>
        <v>18429897</v>
      </c>
      <c r="X1442">
        <f t="shared" si="134"/>
        <v>17829897</v>
      </c>
      <c r="Y1442">
        <f t="shared" si="135"/>
        <v>-26144845.5</v>
      </c>
      <c r="Z1442">
        <f t="shared" si="136"/>
        <v>45174742.5</v>
      </c>
      <c r="AA1442" t="str">
        <f t="shared" si="137"/>
        <v>Normal</v>
      </c>
      <c r="AE1442" s="2"/>
      <c r="AF1442" s="2"/>
    </row>
    <row r="1443" spans="1:32" x14ac:dyDescent="0.35">
      <c r="A1443">
        <v>1442</v>
      </c>
      <c r="B1443" s="1">
        <v>42594</v>
      </c>
      <c r="C1443" s="9" t="s">
        <v>2505</v>
      </c>
      <c r="D1443" s="9" t="s">
        <v>4930</v>
      </c>
      <c r="E1443" s="9" t="s">
        <v>6867</v>
      </c>
      <c r="F1443" s="9" t="s">
        <v>63</v>
      </c>
      <c r="G1443" s="9" t="s">
        <v>2506</v>
      </c>
      <c r="H1443" s="9" t="s">
        <v>105</v>
      </c>
      <c r="I1443" s="11">
        <v>15600000</v>
      </c>
      <c r="J1443" s="11">
        <v>4674575</v>
      </c>
      <c r="K1443" s="11">
        <v>19297082</v>
      </c>
      <c r="L1443" s="3">
        <v>132</v>
      </c>
      <c r="M1443" s="3">
        <v>3072</v>
      </c>
      <c r="N1443" s="3">
        <v>1436920</v>
      </c>
      <c r="O1443" s="2">
        <v>6.4000000000000001E-2</v>
      </c>
      <c r="P1443" s="2">
        <v>0.89500000000000002</v>
      </c>
      <c r="Q1443" s="2">
        <v>0.13400000000000001</v>
      </c>
      <c r="R1443" s="11">
        <v>6863606</v>
      </c>
      <c r="S1443" s="11">
        <v>84716</v>
      </c>
      <c r="T1443">
        <v>2016</v>
      </c>
      <c r="U1443">
        <v>8</v>
      </c>
      <c r="V1443">
        <f t="shared" si="132"/>
        <v>600000</v>
      </c>
      <c r="W1443">
        <f t="shared" si="133"/>
        <v>18429897</v>
      </c>
      <c r="X1443">
        <f t="shared" si="134"/>
        <v>17829897</v>
      </c>
      <c r="Y1443">
        <f t="shared" si="135"/>
        <v>-26144845.5</v>
      </c>
      <c r="Z1443">
        <f t="shared" si="136"/>
        <v>45174742.5</v>
      </c>
      <c r="AA1443" t="str">
        <f t="shared" si="137"/>
        <v>Normal</v>
      </c>
      <c r="AE1443" s="2"/>
      <c r="AF1443" s="2"/>
    </row>
    <row r="1444" spans="1:32" x14ac:dyDescent="0.35">
      <c r="A1444">
        <v>1443</v>
      </c>
      <c r="B1444" s="1">
        <v>42594</v>
      </c>
      <c r="C1444" s="9" t="s">
        <v>2507</v>
      </c>
      <c r="D1444" s="9" t="s">
        <v>4930</v>
      </c>
      <c r="E1444" s="9" t="s">
        <v>6868</v>
      </c>
      <c r="F1444" s="9" t="s">
        <v>19</v>
      </c>
      <c r="G1444" s="9" t="s">
        <v>856</v>
      </c>
      <c r="H1444" s="9" t="s">
        <v>86</v>
      </c>
      <c r="I1444" s="11">
        <v>500000</v>
      </c>
      <c r="J1444" s="11">
        <v>2176203</v>
      </c>
      <c r="K1444" s="11">
        <v>14082270</v>
      </c>
      <c r="L1444" s="3">
        <v>393</v>
      </c>
      <c r="M1444" s="3">
        <v>1702</v>
      </c>
      <c r="N1444" s="3">
        <v>421149</v>
      </c>
      <c r="O1444" s="2">
        <v>0.26</v>
      </c>
      <c r="P1444" s="2">
        <v>0.78400000000000003</v>
      </c>
      <c r="Q1444" s="2">
        <v>-5.5999999999999994E-2</v>
      </c>
      <c r="R1444" s="11">
        <v>354051006</v>
      </c>
      <c r="S1444" s="11">
        <v>995135</v>
      </c>
      <c r="T1444">
        <v>2016</v>
      </c>
      <c r="U1444">
        <v>8</v>
      </c>
      <c r="V1444">
        <f t="shared" si="132"/>
        <v>600000</v>
      </c>
      <c r="W1444">
        <f t="shared" si="133"/>
        <v>18429897</v>
      </c>
      <c r="X1444">
        <f t="shared" si="134"/>
        <v>17829897</v>
      </c>
      <c r="Y1444">
        <f t="shared" si="135"/>
        <v>-26144845.5</v>
      </c>
      <c r="Z1444">
        <f t="shared" si="136"/>
        <v>45174742.5</v>
      </c>
      <c r="AA1444" t="str">
        <f t="shared" si="137"/>
        <v>Normal</v>
      </c>
      <c r="AE1444" s="2"/>
      <c r="AF1444" s="2"/>
    </row>
    <row r="1445" spans="1:32" x14ac:dyDescent="0.35">
      <c r="A1445">
        <v>1444</v>
      </c>
      <c r="B1445" s="1">
        <v>42594</v>
      </c>
      <c r="C1445" s="9" t="s">
        <v>2508</v>
      </c>
      <c r="D1445" s="9" t="s">
        <v>4988</v>
      </c>
      <c r="E1445" s="9" t="s">
        <v>6869</v>
      </c>
      <c r="F1445" s="9" t="s">
        <v>27</v>
      </c>
      <c r="G1445" s="9" t="s">
        <v>2509</v>
      </c>
      <c r="H1445" s="9" t="s">
        <v>86</v>
      </c>
      <c r="I1445" s="11">
        <v>18429897</v>
      </c>
      <c r="J1445" s="11">
        <v>715549</v>
      </c>
      <c r="K1445" s="11">
        <v>13831173</v>
      </c>
      <c r="L1445" s="3">
        <v>165</v>
      </c>
      <c r="M1445" s="3">
        <v>597</v>
      </c>
      <c r="N1445" s="3">
        <v>1886046</v>
      </c>
      <c r="O1445" s="2">
        <v>-0.10199999999999999</v>
      </c>
      <c r="P1445" s="2">
        <v>0.37</v>
      </c>
      <c r="Q1445" s="2">
        <v>0.33399999999999996</v>
      </c>
      <c r="R1445" s="11">
        <v>244343093</v>
      </c>
      <c r="S1445" s="11">
        <v>1436423</v>
      </c>
      <c r="T1445">
        <v>2016</v>
      </c>
      <c r="U1445">
        <v>8</v>
      </c>
      <c r="V1445">
        <f t="shared" si="132"/>
        <v>600000</v>
      </c>
      <c r="W1445">
        <f t="shared" si="133"/>
        <v>18429897</v>
      </c>
      <c r="X1445">
        <f t="shared" si="134"/>
        <v>17829897</v>
      </c>
      <c r="Y1445">
        <f t="shared" si="135"/>
        <v>-26144845.5</v>
      </c>
      <c r="Z1445">
        <f t="shared" si="136"/>
        <v>45174742.5</v>
      </c>
      <c r="AA1445" t="str">
        <f t="shared" si="137"/>
        <v>Normal</v>
      </c>
      <c r="AE1445" s="2"/>
      <c r="AF1445" s="2"/>
    </row>
    <row r="1446" spans="1:32" x14ac:dyDescent="0.35">
      <c r="A1446">
        <v>1445</v>
      </c>
      <c r="B1446" s="1">
        <v>42597</v>
      </c>
      <c r="C1446" s="9" t="s">
        <v>2510</v>
      </c>
      <c r="D1446" s="9" t="s">
        <v>4925</v>
      </c>
      <c r="E1446" s="9" t="s">
        <v>6870</v>
      </c>
      <c r="F1446" s="9" t="s">
        <v>15</v>
      </c>
      <c r="G1446" s="9" t="s">
        <v>2511</v>
      </c>
      <c r="H1446" s="9" t="s">
        <v>86</v>
      </c>
      <c r="I1446" s="11">
        <v>18429897</v>
      </c>
      <c r="J1446" s="11">
        <v>198496</v>
      </c>
      <c r="K1446" s="11">
        <v>4750562</v>
      </c>
      <c r="L1446" s="3">
        <v>304</v>
      </c>
      <c r="M1446" s="3">
        <v>1820</v>
      </c>
      <c r="N1446" s="3">
        <v>300817</v>
      </c>
      <c r="O1446" s="2">
        <v>2.2000000000000002E-2</v>
      </c>
      <c r="P1446" s="2">
        <v>0.77300000000000002</v>
      </c>
      <c r="Q1446" s="2">
        <v>0.113</v>
      </c>
      <c r="R1446" s="11">
        <v>306732474</v>
      </c>
      <c r="S1446" s="11">
        <v>1176176</v>
      </c>
      <c r="T1446">
        <v>2016</v>
      </c>
      <c r="U1446">
        <v>8</v>
      </c>
      <c r="V1446">
        <f t="shared" si="132"/>
        <v>600000</v>
      </c>
      <c r="W1446">
        <f t="shared" si="133"/>
        <v>18429897</v>
      </c>
      <c r="X1446">
        <f t="shared" si="134"/>
        <v>17829897</v>
      </c>
      <c r="Y1446">
        <f t="shared" si="135"/>
        <v>-26144845.5</v>
      </c>
      <c r="Z1446">
        <f t="shared" si="136"/>
        <v>45174742.5</v>
      </c>
      <c r="AA1446" t="str">
        <f t="shared" si="137"/>
        <v>Normal</v>
      </c>
      <c r="AE1446" s="2"/>
      <c r="AF1446" s="2"/>
    </row>
    <row r="1447" spans="1:32" x14ac:dyDescent="0.35">
      <c r="A1447">
        <v>1446</v>
      </c>
      <c r="B1447" s="1">
        <v>42598</v>
      </c>
      <c r="C1447" s="9" t="s">
        <v>694</v>
      </c>
      <c r="D1447" s="9" t="s">
        <v>4925</v>
      </c>
      <c r="E1447" s="9" t="s">
        <v>6871</v>
      </c>
      <c r="F1447" s="9" t="s">
        <v>19</v>
      </c>
      <c r="G1447" s="9" t="s">
        <v>2512</v>
      </c>
      <c r="H1447" s="9" t="s">
        <v>86</v>
      </c>
      <c r="I1447" s="11">
        <v>18429897</v>
      </c>
      <c r="J1447" s="11">
        <v>2531926</v>
      </c>
      <c r="K1447" s="11">
        <v>11886342</v>
      </c>
      <c r="L1447" s="3">
        <v>254</v>
      </c>
      <c r="M1447" s="3">
        <v>2505.5</v>
      </c>
      <c r="N1447" s="3">
        <v>1392652</v>
      </c>
      <c r="O1447" s="2">
        <v>0.29699999999999999</v>
      </c>
      <c r="P1447" s="2">
        <v>1.1259999999999999E-2</v>
      </c>
      <c r="Q1447" s="2">
        <v>-0.35</v>
      </c>
      <c r="R1447" s="11">
        <v>413168923</v>
      </c>
      <c r="S1447" s="11">
        <v>161691</v>
      </c>
      <c r="T1447">
        <v>2016</v>
      </c>
      <c r="U1447">
        <v>8</v>
      </c>
      <c r="V1447">
        <f t="shared" si="132"/>
        <v>600000</v>
      </c>
      <c r="W1447">
        <f t="shared" si="133"/>
        <v>18429897</v>
      </c>
      <c r="X1447">
        <f t="shared" si="134"/>
        <v>17829897</v>
      </c>
      <c r="Y1447">
        <f t="shared" si="135"/>
        <v>-26144845.5</v>
      </c>
      <c r="Z1447">
        <f t="shared" si="136"/>
        <v>45174742.5</v>
      </c>
      <c r="AA1447" t="str">
        <f t="shared" si="137"/>
        <v>Normal</v>
      </c>
      <c r="AE1447" s="2"/>
      <c r="AF1447" s="2"/>
    </row>
    <row r="1448" spans="1:32" x14ac:dyDescent="0.35">
      <c r="A1448">
        <v>1447</v>
      </c>
      <c r="B1448" s="1">
        <v>42598</v>
      </c>
      <c r="C1448" s="9" t="s">
        <v>291</v>
      </c>
      <c r="D1448" s="9" t="s">
        <v>4988</v>
      </c>
      <c r="E1448" s="9" t="s">
        <v>5100</v>
      </c>
      <c r="F1448" s="9" t="s">
        <v>27</v>
      </c>
      <c r="G1448" s="9" t="s">
        <v>1538</v>
      </c>
      <c r="H1448" s="9" t="s">
        <v>105</v>
      </c>
      <c r="I1448" s="11">
        <v>62000000</v>
      </c>
      <c r="J1448" s="11">
        <v>4799677</v>
      </c>
      <c r="K1448" s="11">
        <v>3767970</v>
      </c>
      <c r="L1448" s="3">
        <v>88</v>
      </c>
      <c r="M1448" s="3">
        <v>3504</v>
      </c>
      <c r="N1448" s="3">
        <v>468952</v>
      </c>
      <c r="O1448" s="2">
        <v>0.50600000000000001</v>
      </c>
      <c r="P1448" s="2">
        <v>0.54500000000000004</v>
      </c>
      <c r="Q1448" s="2">
        <v>0.28299999999999997</v>
      </c>
      <c r="R1448" s="11">
        <v>142754665</v>
      </c>
      <c r="S1448" s="11">
        <v>870511</v>
      </c>
      <c r="T1448">
        <v>2016</v>
      </c>
      <c r="U1448">
        <v>8</v>
      </c>
      <c r="V1448">
        <f t="shared" si="132"/>
        <v>600000</v>
      </c>
      <c r="W1448">
        <f t="shared" si="133"/>
        <v>18429897</v>
      </c>
      <c r="X1448">
        <f t="shared" si="134"/>
        <v>17829897</v>
      </c>
      <c r="Y1448">
        <f t="shared" si="135"/>
        <v>-26144845.5</v>
      </c>
      <c r="Z1448">
        <f t="shared" si="136"/>
        <v>45174742.5</v>
      </c>
      <c r="AA1448" t="str">
        <f t="shared" si="137"/>
        <v>Outlier</v>
      </c>
      <c r="AE1448" s="2"/>
      <c r="AF1448" s="2"/>
    </row>
    <row r="1449" spans="1:32" x14ac:dyDescent="0.35">
      <c r="A1449">
        <v>1448</v>
      </c>
      <c r="B1449" s="1">
        <v>42598</v>
      </c>
      <c r="C1449" s="9" t="s">
        <v>2513</v>
      </c>
      <c r="D1449" s="9" t="s">
        <v>4988</v>
      </c>
      <c r="E1449" s="9" t="s">
        <v>6872</v>
      </c>
      <c r="F1449" s="9" t="s">
        <v>27</v>
      </c>
      <c r="G1449" s="9" t="s">
        <v>2514</v>
      </c>
      <c r="H1449" s="9" t="s">
        <v>105</v>
      </c>
      <c r="I1449" s="11">
        <v>175000000</v>
      </c>
      <c r="J1449" s="11">
        <v>3701466</v>
      </c>
      <c r="K1449" s="11">
        <v>10838956</v>
      </c>
      <c r="L1449" s="3">
        <v>378</v>
      </c>
      <c r="M1449" s="3">
        <v>4361</v>
      </c>
      <c r="N1449" s="3">
        <v>118330</v>
      </c>
      <c r="O1449" s="2">
        <v>-1.2E-2</v>
      </c>
      <c r="P1449" s="2">
        <v>0.69400000000000006</v>
      </c>
      <c r="Q1449" s="2">
        <v>0.29899999999999999</v>
      </c>
      <c r="R1449" s="11">
        <v>486966354</v>
      </c>
      <c r="S1449" s="11">
        <v>1093235</v>
      </c>
      <c r="T1449">
        <v>2016</v>
      </c>
      <c r="U1449">
        <v>8</v>
      </c>
      <c r="V1449">
        <f t="shared" si="132"/>
        <v>600000</v>
      </c>
      <c r="W1449">
        <f t="shared" si="133"/>
        <v>18429897</v>
      </c>
      <c r="X1449">
        <f t="shared" si="134"/>
        <v>17829897</v>
      </c>
      <c r="Y1449">
        <f t="shared" si="135"/>
        <v>-26144845.5</v>
      </c>
      <c r="Z1449">
        <f t="shared" si="136"/>
        <v>45174742.5</v>
      </c>
      <c r="AA1449" t="str">
        <f t="shared" si="137"/>
        <v>Outlier</v>
      </c>
      <c r="AE1449" s="2"/>
      <c r="AF1449" s="2"/>
    </row>
    <row r="1450" spans="1:32" x14ac:dyDescent="0.35">
      <c r="A1450">
        <v>1449</v>
      </c>
      <c r="B1450" s="1">
        <v>42598</v>
      </c>
      <c r="C1450" s="9" t="s">
        <v>2515</v>
      </c>
      <c r="D1450" s="9" t="s">
        <v>4925</v>
      </c>
      <c r="E1450" s="9" t="s">
        <v>5456</v>
      </c>
      <c r="F1450" s="9" t="s">
        <v>31</v>
      </c>
      <c r="G1450" s="9" t="s">
        <v>2516</v>
      </c>
      <c r="H1450" s="9" t="s">
        <v>105</v>
      </c>
      <c r="I1450" s="11">
        <v>500000</v>
      </c>
      <c r="J1450" s="11">
        <v>532953</v>
      </c>
      <c r="K1450" s="11">
        <v>3955625</v>
      </c>
      <c r="L1450" s="3">
        <v>254</v>
      </c>
      <c r="M1450" s="3">
        <v>1682</v>
      </c>
      <c r="N1450" s="3">
        <v>1424867</v>
      </c>
      <c r="O1450" s="2">
        <v>-0.08</v>
      </c>
      <c r="P1450" s="2">
        <v>0.61599999999999999</v>
      </c>
      <c r="Q1450" s="2">
        <v>0.36749999999999999</v>
      </c>
      <c r="R1450" s="11">
        <v>460795150</v>
      </c>
      <c r="S1450" s="11">
        <v>1531787</v>
      </c>
      <c r="T1450">
        <v>2016</v>
      </c>
      <c r="U1450">
        <v>8</v>
      </c>
      <c r="V1450">
        <f t="shared" si="132"/>
        <v>600000</v>
      </c>
      <c r="W1450">
        <f t="shared" si="133"/>
        <v>18429897</v>
      </c>
      <c r="X1450">
        <f t="shared" si="134"/>
        <v>17829897</v>
      </c>
      <c r="Y1450">
        <f t="shared" si="135"/>
        <v>-26144845.5</v>
      </c>
      <c r="Z1450">
        <f t="shared" si="136"/>
        <v>45174742.5</v>
      </c>
      <c r="AA1450" t="str">
        <f t="shared" si="137"/>
        <v>Normal</v>
      </c>
      <c r="AE1450" s="2"/>
      <c r="AF1450" s="2"/>
    </row>
    <row r="1451" spans="1:32" x14ac:dyDescent="0.35">
      <c r="A1451">
        <v>1450</v>
      </c>
      <c r="B1451" s="1">
        <v>42598</v>
      </c>
      <c r="C1451" s="9" t="s">
        <v>2517</v>
      </c>
      <c r="D1451" s="9" t="s">
        <v>4925</v>
      </c>
      <c r="E1451" s="9" t="s">
        <v>6873</v>
      </c>
      <c r="F1451" s="9" t="s">
        <v>408</v>
      </c>
      <c r="G1451" s="9" t="s">
        <v>522</v>
      </c>
      <c r="H1451" s="9" t="s">
        <v>105</v>
      </c>
      <c r="I1451" s="11">
        <v>1500000</v>
      </c>
      <c r="J1451" s="11">
        <v>1482379</v>
      </c>
      <c r="K1451" s="11">
        <v>1602656</v>
      </c>
      <c r="L1451" s="3">
        <v>254</v>
      </c>
      <c r="M1451" s="3">
        <v>2223</v>
      </c>
      <c r="N1451" s="3">
        <v>1036198</v>
      </c>
      <c r="O1451" s="2">
        <v>0.32500000000000001</v>
      </c>
      <c r="P1451" s="2">
        <v>0.88900000000000001</v>
      </c>
      <c r="Q1451" s="2">
        <v>-0.36</v>
      </c>
      <c r="R1451" s="11">
        <v>262526935</v>
      </c>
      <c r="S1451" s="11">
        <v>1349481</v>
      </c>
      <c r="T1451">
        <v>2016</v>
      </c>
      <c r="U1451">
        <v>8</v>
      </c>
      <c r="V1451">
        <f t="shared" si="132"/>
        <v>600000</v>
      </c>
      <c r="W1451">
        <f t="shared" si="133"/>
        <v>18429897</v>
      </c>
      <c r="X1451">
        <f t="shared" si="134"/>
        <v>17829897</v>
      </c>
      <c r="Y1451">
        <f t="shared" si="135"/>
        <v>-26144845.5</v>
      </c>
      <c r="Z1451">
        <f t="shared" si="136"/>
        <v>45174742.5</v>
      </c>
      <c r="AA1451" t="str">
        <f t="shared" si="137"/>
        <v>Normal</v>
      </c>
      <c r="AE1451" s="2"/>
      <c r="AF1451" s="2"/>
    </row>
    <row r="1452" spans="1:32" x14ac:dyDescent="0.35">
      <c r="A1452">
        <v>1451</v>
      </c>
      <c r="B1452" s="1">
        <v>42598</v>
      </c>
      <c r="C1452" s="9" t="s">
        <v>2518</v>
      </c>
      <c r="D1452" s="9" t="s">
        <v>4930</v>
      </c>
      <c r="E1452" s="9" t="s">
        <v>6874</v>
      </c>
      <c r="F1452" s="9" t="s">
        <v>41</v>
      </c>
      <c r="G1452" s="9" t="s">
        <v>2519</v>
      </c>
      <c r="H1452" s="9" t="s">
        <v>86</v>
      </c>
      <c r="I1452" s="11">
        <v>250000</v>
      </c>
      <c r="J1452" s="11">
        <v>224573</v>
      </c>
      <c r="K1452" s="11">
        <v>19349098</v>
      </c>
      <c r="L1452" s="3">
        <v>380</v>
      </c>
      <c r="M1452" s="3">
        <v>744</v>
      </c>
      <c r="N1452" s="3">
        <v>1254802</v>
      </c>
      <c r="O1452" s="2">
        <v>-0.13200000000000001</v>
      </c>
      <c r="P1452" s="2">
        <v>0.82699999999999996</v>
      </c>
      <c r="Q1452" s="2">
        <v>0.32500000000000001</v>
      </c>
      <c r="R1452" s="11">
        <v>264580683</v>
      </c>
      <c r="S1452" s="11">
        <v>1358788</v>
      </c>
      <c r="T1452">
        <v>2016</v>
      </c>
      <c r="U1452">
        <v>8</v>
      </c>
      <c r="V1452">
        <f t="shared" si="132"/>
        <v>600000</v>
      </c>
      <c r="W1452">
        <f t="shared" si="133"/>
        <v>18429897</v>
      </c>
      <c r="X1452">
        <f t="shared" si="134"/>
        <v>17829897</v>
      </c>
      <c r="Y1452">
        <f t="shared" si="135"/>
        <v>-26144845.5</v>
      </c>
      <c r="Z1452">
        <f t="shared" si="136"/>
        <v>45174742.5</v>
      </c>
      <c r="AA1452" t="str">
        <f t="shared" si="137"/>
        <v>Normal</v>
      </c>
      <c r="AE1452" s="2"/>
      <c r="AF1452" s="2"/>
    </row>
    <row r="1453" spans="1:32" x14ac:dyDescent="0.35">
      <c r="A1453">
        <v>1452</v>
      </c>
      <c r="B1453" s="1">
        <v>42598</v>
      </c>
      <c r="C1453" s="9" t="s">
        <v>2520</v>
      </c>
      <c r="D1453" s="9" t="s">
        <v>4988</v>
      </c>
      <c r="E1453" s="9" t="s">
        <v>6875</v>
      </c>
      <c r="F1453" s="9" t="s">
        <v>31</v>
      </c>
      <c r="G1453" s="9" t="s">
        <v>2521</v>
      </c>
      <c r="H1453" s="9" t="s">
        <v>86</v>
      </c>
      <c r="I1453" s="11">
        <v>18429897</v>
      </c>
      <c r="J1453" s="11">
        <v>275217</v>
      </c>
      <c r="K1453" s="11">
        <v>17878138</v>
      </c>
      <c r="L1453" s="3">
        <v>312</v>
      </c>
      <c r="M1453" s="3">
        <v>2436</v>
      </c>
      <c r="N1453" s="3">
        <v>1882909</v>
      </c>
      <c r="O1453" s="2">
        <v>-0.11800000000000001</v>
      </c>
      <c r="P1453" s="2">
        <v>0.67700000000000005</v>
      </c>
      <c r="Q1453" s="2">
        <v>-0.156</v>
      </c>
      <c r="R1453" s="11">
        <v>371618954</v>
      </c>
      <c r="S1453" s="11">
        <v>20387</v>
      </c>
      <c r="T1453">
        <v>2016</v>
      </c>
      <c r="U1453">
        <v>8</v>
      </c>
      <c r="V1453">
        <f t="shared" si="132"/>
        <v>600000</v>
      </c>
      <c r="W1453">
        <f t="shared" si="133"/>
        <v>18429897</v>
      </c>
      <c r="X1453">
        <f t="shared" si="134"/>
        <v>17829897</v>
      </c>
      <c r="Y1453">
        <f t="shared" si="135"/>
        <v>-26144845.5</v>
      </c>
      <c r="Z1453">
        <f t="shared" si="136"/>
        <v>45174742.5</v>
      </c>
      <c r="AA1453" t="str">
        <f t="shared" si="137"/>
        <v>Normal</v>
      </c>
      <c r="AE1453" s="2"/>
      <c r="AF1453" s="2"/>
    </row>
    <row r="1454" spans="1:32" x14ac:dyDescent="0.35">
      <c r="A1454">
        <v>1453</v>
      </c>
      <c r="B1454" s="1">
        <v>42599</v>
      </c>
      <c r="C1454" s="9" t="s">
        <v>2522</v>
      </c>
      <c r="D1454" s="9" t="s">
        <v>4928</v>
      </c>
      <c r="E1454" s="9" t="s">
        <v>6876</v>
      </c>
      <c r="F1454" s="9" t="s">
        <v>310</v>
      </c>
      <c r="G1454" s="9" t="s">
        <v>2523</v>
      </c>
      <c r="H1454" s="9" t="s">
        <v>86</v>
      </c>
      <c r="I1454" s="11">
        <v>375000</v>
      </c>
      <c r="J1454" s="11">
        <v>1245411</v>
      </c>
      <c r="K1454" s="11">
        <v>13737914</v>
      </c>
      <c r="L1454" s="3">
        <v>428</v>
      </c>
      <c r="M1454" s="3">
        <v>4737</v>
      </c>
      <c r="N1454" s="3">
        <v>1073752</v>
      </c>
      <c r="O1454" s="2">
        <v>0.17299999999999999</v>
      </c>
      <c r="P1454" s="2">
        <v>0.247</v>
      </c>
      <c r="Q1454" s="2">
        <v>1</v>
      </c>
      <c r="R1454" s="11">
        <v>135391452</v>
      </c>
      <c r="S1454" s="11">
        <v>924516</v>
      </c>
      <c r="T1454">
        <v>2016</v>
      </c>
      <c r="U1454">
        <v>8</v>
      </c>
      <c r="V1454">
        <f t="shared" si="132"/>
        <v>600000</v>
      </c>
      <c r="W1454">
        <f t="shared" si="133"/>
        <v>18429897</v>
      </c>
      <c r="X1454">
        <f t="shared" si="134"/>
        <v>17829897</v>
      </c>
      <c r="Y1454">
        <f t="shared" si="135"/>
        <v>-26144845.5</v>
      </c>
      <c r="Z1454">
        <f t="shared" si="136"/>
        <v>45174742.5</v>
      </c>
      <c r="AA1454" t="str">
        <f t="shared" si="137"/>
        <v>Normal</v>
      </c>
      <c r="AE1454" s="2"/>
      <c r="AF1454" s="2"/>
    </row>
    <row r="1455" spans="1:32" x14ac:dyDescent="0.35">
      <c r="A1455">
        <v>1454</v>
      </c>
      <c r="B1455" s="1">
        <v>42599</v>
      </c>
      <c r="C1455" s="9" t="s">
        <v>2524</v>
      </c>
      <c r="D1455" s="9" t="s">
        <v>4930</v>
      </c>
      <c r="E1455" s="9" t="s">
        <v>6877</v>
      </c>
      <c r="F1455" s="9" t="s">
        <v>15</v>
      </c>
      <c r="G1455" s="9" t="s">
        <v>2525</v>
      </c>
      <c r="H1455" s="9" t="s">
        <v>86</v>
      </c>
      <c r="I1455" s="11">
        <v>18429897</v>
      </c>
      <c r="J1455" s="11">
        <v>2869265</v>
      </c>
      <c r="K1455" s="11">
        <v>12547553</v>
      </c>
      <c r="L1455" s="3">
        <v>410</v>
      </c>
      <c r="M1455" s="3">
        <v>2714</v>
      </c>
      <c r="N1455" s="3">
        <v>1682672</v>
      </c>
      <c r="O1455" s="2">
        <v>0.53700000000000003</v>
      </c>
      <c r="P1455" s="2">
        <v>0.46500000000000002</v>
      </c>
      <c r="Q1455" s="2">
        <v>-4.4000000000000004E-2</v>
      </c>
      <c r="R1455" s="11">
        <v>172129424</v>
      </c>
      <c r="S1455" s="11">
        <v>1850842</v>
      </c>
      <c r="T1455">
        <v>2016</v>
      </c>
      <c r="U1455">
        <v>8</v>
      </c>
      <c r="V1455">
        <f t="shared" si="132"/>
        <v>600000</v>
      </c>
      <c r="W1455">
        <f t="shared" si="133"/>
        <v>18429897</v>
      </c>
      <c r="X1455">
        <f t="shared" si="134"/>
        <v>17829897</v>
      </c>
      <c r="Y1455">
        <f t="shared" si="135"/>
        <v>-26144845.5</v>
      </c>
      <c r="Z1455">
        <f t="shared" si="136"/>
        <v>45174742.5</v>
      </c>
      <c r="AA1455" t="str">
        <f t="shared" si="137"/>
        <v>Normal</v>
      </c>
      <c r="AE1455" s="2"/>
      <c r="AF1455" s="2"/>
    </row>
    <row r="1456" spans="1:32" x14ac:dyDescent="0.35">
      <c r="A1456">
        <v>1455</v>
      </c>
      <c r="B1456" s="1">
        <v>42599</v>
      </c>
      <c r="C1456" s="9" t="s">
        <v>2526</v>
      </c>
      <c r="D1456" s="9" t="s">
        <v>4930</v>
      </c>
      <c r="E1456" s="9" t="s">
        <v>6878</v>
      </c>
      <c r="F1456" s="9" t="s">
        <v>15</v>
      </c>
      <c r="G1456" s="9" t="s">
        <v>2527</v>
      </c>
      <c r="H1456" s="9" t="s">
        <v>105</v>
      </c>
      <c r="I1456" s="11">
        <v>675000</v>
      </c>
      <c r="J1456" s="11">
        <v>346341</v>
      </c>
      <c r="K1456" s="11">
        <v>10153449</v>
      </c>
      <c r="L1456" s="3">
        <v>162</v>
      </c>
      <c r="M1456" s="3">
        <v>4383</v>
      </c>
      <c r="N1456" s="3">
        <v>990587</v>
      </c>
      <c r="O1456" s="2">
        <v>-0.05</v>
      </c>
      <c r="P1456" s="2">
        <v>0.51500000000000001</v>
      </c>
      <c r="Q1456" s="2">
        <v>-0.26</v>
      </c>
      <c r="R1456" s="11">
        <v>181059711</v>
      </c>
      <c r="S1456" s="11">
        <v>1899250</v>
      </c>
      <c r="T1456">
        <v>2016</v>
      </c>
      <c r="U1456">
        <v>8</v>
      </c>
      <c r="V1456">
        <f t="shared" si="132"/>
        <v>600000</v>
      </c>
      <c r="W1456">
        <f t="shared" si="133"/>
        <v>18429897</v>
      </c>
      <c r="X1456">
        <f t="shared" si="134"/>
        <v>17829897</v>
      </c>
      <c r="Y1456">
        <f t="shared" si="135"/>
        <v>-26144845.5</v>
      </c>
      <c r="Z1456">
        <f t="shared" si="136"/>
        <v>45174742.5</v>
      </c>
      <c r="AA1456" t="str">
        <f t="shared" si="137"/>
        <v>Normal</v>
      </c>
      <c r="AE1456" s="2"/>
      <c r="AF1456" s="2"/>
    </row>
    <row r="1457" spans="1:32" x14ac:dyDescent="0.35">
      <c r="A1457">
        <v>1456</v>
      </c>
      <c r="B1457" s="1">
        <v>42599</v>
      </c>
      <c r="C1457" s="9" t="s">
        <v>2344</v>
      </c>
      <c r="D1457" s="9" t="s">
        <v>4928</v>
      </c>
      <c r="E1457" s="9" t="s">
        <v>6879</v>
      </c>
      <c r="F1457" s="9" t="s">
        <v>15</v>
      </c>
      <c r="G1457" s="9" t="s">
        <v>1315</v>
      </c>
      <c r="H1457" s="9" t="s">
        <v>86</v>
      </c>
      <c r="I1457" s="11">
        <v>18429897</v>
      </c>
      <c r="J1457" s="11">
        <v>4923313</v>
      </c>
      <c r="K1457" s="11">
        <v>11476181</v>
      </c>
      <c r="L1457" s="3">
        <v>468</v>
      </c>
      <c r="M1457" s="3">
        <v>3911</v>
      </c>
      <c r="N1457" s="3">
        <v>698169</v>
      </c>
      <c r="O1457" s="2">
        <v>4.5999999999999999E-2</v>
      </c>
      <c r="P1457" s="2">
        <v>0.93200000000000005</v>
      </c>
      <c r="Q1457" s="2">
        <v>0.10199999999999999</v>
      </c>
      <c r="R1457" s="11">
        <v>44747947</v>
      </c>
      <c r="S1457" s="11">
        <v>1545451</v>
      </c>
      <c r="T1457">
        <v>2016</v>
      </c>
      <c r="U1457">
        <v>8</v>
      </c>
      <c r="V1457">
        <f t="shared" si="132"/>
        <v>600000</v>
      </c>
      <c r="W1457">
        <f t="shared" si="133"/>
        <v>18429897</v>
      </c>
      <c r="X1457">
        <f t="shared" si="134"/>
        <v>17829897</v>
      </c>
      <c r="Y1457">
        <f t="shared" si="135"/>
        <v>-26144845.5</v>
      </c>
      <c r="Z1457">
        <f t="shared" si="136"/>
        <v>45174742.5</v>
      </c>
      <c r="AA1457" t="str">
        <f t="shared" si="137"/>
        <v>Normal</v>
      </c>
      <c r="AE1457" s="2"/>
      <c r="AF1457" s="2"/>
    </row>
    <row r="1458" spans="1:32" x14ac:dyDescent="0.35">
      <c r="A1458">
        <v>1457</v>
      </c>
      <c r="B1458" s="1">
        <v>42600</v>
      </c>
      <c r="C1458" s="9" t="s">
        <v>148</v>
      </c>
      <c r="D1458" s="9" t="s">
        <v>4925</v>
      </c>
      <c r="E1458" s="9" t="s">
        <v>6880</v>
      </c>
      <c r="F1458" s="9" t="s">
        <v>15</v>
      </c>
      <c r="G1458" s="9" t="s">
        <v>2528</v>
      </c>
      <c r="H1458" s="9" t="s">
        <v>86</v>
      </c>
      <c r="I1458" s="11">
        <v>18429897</v>
      </c>
      <c r="J1458" s="11">
        <v>2286486</v>
      </c>
      <c r="K1458" s="11">
        <v>14986911</v>
      </c>
      <c r="L1458" s="3">
        <v>21</v>
      </c>
      <c r="M1458" s="3">
        <v>664</v>
      </c>
      <c r="N1458" s="3">
        <v>778417</v>
      </c>
      <c r="O1458" s="2">
        <v>0.14199999999999999</v>
      </c>
      <c r="P1458" s="2">
        <v>0.59599999999999997</v>
      </c>
      <c r="Q1458" s="2">
        <v>0.151</v>
      </c>
      <c r="R1458" s="11">
        <v>186411871</v>
      </c>
      <c r="S1458" s="11">
        <v>1178015</v>
      </c>
      <c r="T1458">
        <v>2016</v>
      </c>
      <c r="U1458">
        <v>8</v>
      </c>
      <c r="V1458">
        <f t="shared" si="132"/>
        <v>600000</v>
      </c>
      <c r="W1458">
        <f t="shared" si="133"/>
        <v>18429897</v>
      </c>
      <c r="X1458">
        <f t="shared" si="134"/>
        <v>17829897</v>
      </c>
      <c r="Y1458">
        <f t="shared" si="135"/>
        <v>-26144845.5</v>
      </c>
      <c r="Z1458">
        <f t="shared" si="136"/>
        <v>45174742.5</v>
      </c>
      <c r="AA1458" t="str">
        <f t="shared" si="137"/>
        <v>Normal</v>
      </c>
      <c r="AE1458" s="2"/>
      <c r="AF1458" s="2"/>
    </row>
    <row r="1459" spans="1:32" x14ac:dyDescent="0.35">
      <c r="A1459">
        <v>1458</v>
      </c>
      <c r="B1459" s="1">
        <v>42600</v>
      </c>
      <c r="C1459" s="9" t="s">
        <v>2529</v>
      </c>
      <c r="D1459" s="9" t="s">
        <v>4930</v>
      </c>
      <c r="E1459" s="9" t="s">
        <v>6881</v>
      </c>
      <c r="F1459" s="9" t="s">
        <v>2530</v>
      </c>
      <c r="G1459" s="9" t="s">
        <v>2531</v>
      </c>
      <c r="H1459" s="9" t="s">
        <v>105</v>
      </c>
      <c r="I1459" s="11">
        <v>18429897</v>
      </c>
      <c r="J1459" s="11">
        <v>1333950</v>
      </c>
      <c r="K1459" s="11">
        <v>10836056</v>
      </c>
      <c r="L1459" s="3">
        <v>170</v>
      </c>
      <c r="M1459" s="3">
        <v>311</v>
      </c>
      <c r="N1459" s="3">
        <v>689671</v>
      </c>
      <c r="O1459" s="2">
        <v>2.5000000000000001E-2</v>
      </c>
      <c r="P1459" s="2">
        <v>0.57799999999999996</v>
      </c>
      <c r="Q1459" s="2">
        <v>0.128</v>
      </c>
      <c r="R1459" s="11">
        <v>485070011</v>
      </c>
      <c r="S1459" s="11">
        <v>1644180</v>
      </c>
      <c r="T1459">
        <v>2016</v>
      </c>
      <c r="U1459">
        <v>8</v>
      </c>
      <c r="V1459">
        <f t="shared" si="132"/>
        <v>600000</v>
      </c>
      <c r="W1459">
        <f t="shared" si="133"/>
        <v>18429897</v>
      </c>
      <c r="X1459">
        <f t="shared" si="134"/>
        <v>17829897</v>
      </c>
      <c r="Y1459">
        <f t="shared" si="135"/>
        <v>-26144845.5</v>
      </c>
      <c r="Z1459">
        <f t="shared" si="136"/>
        <v>45174742.5</v>
      </c>
      <c r="AA1459" t="str">
        <f t="shared" si="137"/>
        <v>Normal</v>
      </c>
      <c r="AE1459" s="2"/>
      <c r="AF1459" s="2"/>
    </row>
    <row r="1460" spans="1:32" x14ac:dyDescent="0.35">
      <c r="A1460">
        <v>1459</v>
      </c>
      <c r="B1460" s="1">
        <v>42601</v>
      </c>
      <c r="C1460" s="9" t="s">
        <v>2532</v>
      </c>
      <c r="D1460" s="9" t="s">
        <v>4988</v>
      </c>
      <c r="E1460" s="9" t="s">
        <v>6882</v>
      </c>
      <c r="F1460" s="9" t="s">
        <v>31</v>
      </c>
      <c r="G1460" s="9" t="s">
        <v>522</v>
      </c>
      <c r="H1460" s="9" t="s">
        <v>105</v>
      </c>
      <c r="I1460" s="11">
        <v>20000000</v>
      </c>
      <c r="J1460" s="11">
        <v>2590117</v>
      </c>
      <c r="K1460" s="11">
        <v>5710579</v>
      </c>
      <c r="L1460" s="3">
        <v>254</v>
      </c>
      <c r="M1460" s="3">
        <v>2505.5</v>
      </c>
      <c r="N1460" s="3">
        <v>1773147</v>
      </c>
      <c r="O1460" s="2">
        <v>-0.23300000000000001</v>
      </c>
      <c r="P1460" s="2">
        <v>0.64599999999999991</v>
      </c>
      <c r="Q1460" s="2">
        <v>4.8000000000000001E-2</v>
      </c>
      <c r="R1460" s="11">
        <v>17553166</v>
      </c>
      <c r="S1460" s="11">
        <v>726417</v>
      </c>
      <c r="T1460">
        <v>2016</v>
      </c>
      <c r="U1460">
        <v>8</v>
      </c>
      <c r="V1460">
        <f t="shared" si="132"/>
        <v>600000</v>
      </c>
      <c r="W1460">
        <f t="shared" si="133"/>
        <v>18429897</v>
      </c>
      <c r="X1460">
        <f t="shared" si="134"/>
        <v>17829897</v>
      </c>
      <c r="Y1460">
        <f t="shared" si="135"/>
        <v>-26144845.5</v>
      </c>
      <c r="Z1460">
        <f t="shared" si="136"/>
        <v>45174742.5</v>
      </c>
      <c r="AA1460" t="str">
        <f t="shared" si="137"/>
        <v>Normal</v>
      </c>
      <c r="AE1460" s="2"/>
      <c r="AF1460" s="2"/>
    </row>
    <row r="1461" spans="1:32" x14ac:dyDescent="0.35">
      <c r="A1461">
        <v>1460</v>
      </c>
      <c r="B1461" s="1">
        <v>42601</v>
      </c>
      <c r="C1461" s="9" t="s">
        <v>2533</v>
      </c>
      <c r="D1461" s="9" t="s">
        <v>4930</v>
      </c>
      <c r="E1461" s="9" t="s">
        <v>6883</v>
      </c>
      <c r="F1461" s="9" t="s">
        <v>15</v>
      </c>
      <c r="G1461" s="9" t="s">
        <v>1487</v>
      </c>
      <c r="H1461" s="9" t="s">
        <v>105</v>
      </c>
      <c r="I1461" s="11">
        <v>375000</v>
      </c>
      <c r="J1461" s="11">
        <v>3954973</v>
      </c>
      <c r="K1461" s="11">
        <v>7899092</v>
      </c>
      <c r="L1461" s="3">
        <v>269</v>
      </c>
      <c r="M1461" s="3">
        <v>4703</v>
      </c>
      <c r="N1461" s="3">
        <v>1022731</v>
      </c>
      <c r="O1461" s="2">
        <v>0.28000000000000003</v>
      </c>
      <c r="P1461" s="2">
        <v>0.63200000000000001</v>
      </c>
      <c r="Q1461" s="2">
        <v>-8.5999999999999993E-2</v>
      </c>
      <c r="R1461" s="11">
        <v>417140556</v>
      </c>
      <c r="S1461" s="11">
        <v>907127</v>
      </c>
      <c r="T1461">
        <v>2016</v>
      </c>
      <c r="U1461">
        <v>8</v>
      </c>
      <c r="V1461">
        <f t="shared" si="132"/>
        <v>600000</v>
      </c>
      <c r="W1461">
        <f t="shared" si="133"/>
        <v>18429897</v>
      </c>
      <c r="X1461">
        <f t="shared" si="134"/>
        <v>17829897</v>
      </c>
      <c r="Y1461">
        <f t="shared" si="135"/>
        <v>-26144845.5</v>
      </c>
      <c r="Z1461">
        <f t="shared" si="136"/>
        <v>45174742.5</v>
      </c>
      <c r="AA1461" t="str">
        <f t="shared" si="137"/>
        <v>Normal</v>
      </c>
      <c r="AE1461" s="2"/>
      <c r="AF1461" s="2"/>
    </row>
    <row r="1462" spans="1:32" x14ac:dyDescent="0.35">
      <c r="A1462">
        <v>1461</v>
      </c>
      <c r="B1462" s="1">
        <v>42601</v>
      </c>
      <c r="C1462" s="9" t="s">
        <v>2534</v>
      </c>
      <c r="D1462" s="9" t="s">
        <v>4930</v>
      </c>
      <c r="E1462" s="9" t="s">
        <v>6884</v>
      </c>
      <c r="F1462" s="9" t="s">
        <v>35</v>
      </c>
      <c r="G1462" s="9" t="s">
        <v>2535</v>
      </c>
      <c r="H1462" s="9" t="s">
        <v>105</v>
      </c>
      <c r="I1462" s="11">
        <v>18429897</v>
      </c>
      <c r="J1462" s="11">
        <v>1576598</v>
      </c>
      <c r="K1462" s="11">
        <v>16835274</v>
      </c>
      <c r="L1462" s="3">
        <v>116</v>
      </c>
      <c r="M1462" s="3">
        <v>882</v>
      </c>
      <c r="N1462" s="3">
        <v>1864915</v>
      </c>
      <c r="O1462" s="2">
        <v>0.157</v>
      </c>
      <c r="P1462" s="2">
        <v>0.91799999999999993</v>
      </c>
      <c r="Q1462" s="2">
        <v>0.46700000000000003</v>
      </c>
      <c r="R1462" s="11">
        <v>204817764</v>
      </c>
      <c r="S1462" s="11">
        <v>756288</v>
      </c>
      <c r="T1462">
        <v>2016</v>
      </c>
      <c r="U1462">
        <v>8</v>
      </c>
      <c r="V1462">
        <f t="shared" si="132"/>
        <v>600000</v>
      </c>
      <c r="W1462">
        <f t="shared" si="133"/>
        <v>18429897</v>
      </c>
      <c r="X1462">
        <f t="shared" si="134"/>
        <v>17829897</v>
      </c>
      <c r="Y1462">
        <f t="shared" si="135"/>
        <v>-26144845.5</v>
      </c>
      <c r="Z1462">
        <f t="shared" si="136"/>
        <v>45174742.5</v>
      </c>
      <c r="AA1462" t="str">
        <f t="shared" si="137"/>
        <v>Normal</v>
      </c>
      <c r="AE1462" s="2"/>
      <c r="AF1462" s="2"/>
    </row>
    <row r="1463" spans="1:32" x14ac:dyDescent="0.35">
      <c r="A1463">
        <v>1462</v>
      </c>
      <c r="B1463" s="1">
        <v>42604</v>
      </c>
      <c r="C1463" s="9" t="s">
        <v>2536</v>
      </c>
      <c r="D1463" s="9" t="s">
        <v>4988</v>
      </c>
      <c r="E1463" s="9" t="s">
        <v>5267</v>
      </c>
      <c r="F1463" s="9" t="s">
        <v>15</v>
      </c>
      <c r="G1463" s="9" t="s">
        <v>2537</v>
      </c>
      <c r="H1463" s="9" t="s">
        <v>86</v>
      </c>
      <c r="I1463" s="11">
        <v>18429897</v>
      </c>
      <c r="J1463" s="11">
        <v>256618</v>
      </c>
      <c r="K1463" s="11">
        <v>5167827</v>
      </c>
      <c r="L1463" s="3">
        <v>103</v>
      </c>
      <c r="M1463" s="3">
        <v>270</v>
      </c>
      <c r="N1463" s="3">
        <v>502576</v>
      </c>
      <c r="O1463" s="2">
        <v>0.193</v>
      </c>
      <c r="P1463" s="2">
        <v>0.87</v>
      </c>
      <c r="Q1463" s="2">
        <v>0.14599999999999999</v>
      </c>
      <c r="R1463" s="11">
        <v>165730332</v>
      </c>
      <c r="S1463" s="11">
        <v>209404</v>
      </c>
      <c r="T1463">
        <v>2016</v>
      </c>
      <c r="U1463">
        <v>8</v>
      </c>
      <c r="V1463">
        <f t="shared" si="132"/>
        <v>600000</v>
      </c>
      <c r="W1463">
        <f t="shared" si="133"/>
        <v>18429897</v>
      </c>
      <c r="X1463">
        <f t="shared" si="134"/>
        <v>17829897</v>
      </c>
      <c r="Y1463">
        <f t="shared" si="135"/>
        <v>-26144845.5</v>
      </c>
      <c r="Z1463">
        <f t="shared" si="136"/>
        <v>45174742.5</v>
      </c>
      <c r="AA1463" t="str">
        <f t="shared" si="137"/>
        <v>Normal</v>
      </c>
      <c r="AE1463" s="2"/>
      <c r="AF1463" s="2"/>
    </row>
    <row r="1464" spans="1:32" x14ac:dyDescent="0.35">
      <c r="A1464">
        <v>1463</v>
      </c>
      <c r="B1464" s="1">
        <v>42604</v>
      </c>
      <c r="C1464" s="9" t="s">
        <v>2538</v>
      </c>
      <c r="D1464" s="9" t="s">
        <v>2539</v>
      </c>
      <c r="E1464" s="9" t="s">
        <v>6885</v>
      </c>
      <c r="F1464" s="9" t="s">
        <v>31</v>
      </c>
      <c r="G1464" s="9" t="s">
        <v>2540</v>
      </c>
      <c r="H1464" s="9" t="s">
        <v>105</v>
      </c>
      <c r="I1464" s="11">
        <v>37000000</v>
      </c>
      <c r="J1464" s="11">
        <v>273783</v>
      </c>
      <c r="K1464" s="11">
        <v>19231893</v>
      </c>
      <c r="L1464" s="3">
        <v>391</v>
      </c>
      <c r="M1464" s="3">
        <v>4797</v>
      </c>
      <c r="N1464" s="3">
        <v>1528899</v>
      </c>
      <c r="O1464" s="2">
        <v>9.1999999999999998E-2</v>
      </c>
      <c r="P1464" s="2">
        <v>0.96299999999999997</v>
      </c>
      <c r="Q1464" s="2">
        <v>-0.13400000000000001</v>
      </c>
      <c r="R1464" s="11">
        <v>130731193</v>
      </c>
      <c r="S1464" s="11">
        <v>53414</v>
      </c>
      <c r="T1464">
        <v>2016</v>
      </c>
      <c r="U1464">
        <v>8</v>
      </c>
      <c r="V1464">
        <f t="shared" si="132"/>
        <v>600000</v>
      </c>
      <c r="W1464">
        <f t="shared" si="133"/>
        <v>18429897</v>
      </c>
      <c r="X1464">
        <f t="shared" si="134"/>
        <v>17829897</v>
      </c>
      <c r="Y1464">
        <f t="shared" si="135"/>
        <v>-26144845.5</v>
      </c>
      <c r="Z1464">
        <f t="shared" si="136"/>
        <v>45174742.5</v>
      </c>
      <c r="AA1464" t="str">
        <f t="shared" si="137"/>
        <v>Normal</v>
      </c>
      <c r="AE1464" s="2"/>
      <c r="AF1464" s="2"/>
    </row>
    <row r="1465" spans="1:32" x14ac:dyDescent="0.35">
      <c r="A1465">
        <v>1464</v>
      </c>
      <c r="B1465" s="1">
        <v>42604</v>
      </c>
      <c r="C1465" s="9" t="s">
        <v>598</v>
      </c>
      <c r="D1465" s="9" t="s">
        <v>4988</v>
      </c>
      <c r="E1465" s="9" t="s">
        <v>6886</v>
      </c>
      <c r="F1465" s="9" t="s">
        <v>31</v>
      </c>
      <c r="G1465" s="9" t="s">
        <v>2541</v>
      </c>
      <c r="H1465" s="9" t="s">
        <v>105</v>
      </c>
      <c r="I1465" s="11">
        <v>18429897</v>
      </c>
      <c r="J1465" s="11">
        <v>4262889</v>
      </c>
      <c r="K1465" s="11">
        <v>15130907</v>
      </c>
      <c r="L1465" s="3">
        <v>438</v>
      </c>
      <c r="M1465" s="3">
        <v>1029</v>
      </c>
      <c r="N1465" s="3">
        <v>231003</v>
      </c>
      <c r="O1465" s="2">
        <v>0.42299999999999999</v>
      </c>
      <c r="P1465" s="2">
        <v>0.40700000000000003</v>
      </c>
      <c r="Q1465" s="2">
        <v>0.21</v>
      </c>
      <c r="R1465" s="11">
        <v>104579670</v>
      </c>
      <c r="S1465" s="11">
        <v>1008193.5</v>
      </c>
      <c r="T1465">
        <v>2016</v>
      </c>
      <c r="U1465">
        <v>8</v>
      </c>
      <c r="V1465">
        <f t="shared" si="132"/>
        <v>600000</v>
      </c>
      <c r="W1465">
        <f t="shared" si="133"/>
        <v>18429897</v>
      </c>
      <c r="X1465">
        <f t="shared" si="134"/>
        <v>17829897</v>
      </c>
      <c r="Y1465">
        <f t="shared" si="135"/>
        <v>-26144845.5</v>
      </c>
      <c r="Z1465">
        <f t="shared" si="136"/>
        <v>45174742.5</v>
      </c>
      <c r="AA1465" t="str">
        <f t="shared" si="137"/>
        <v>Normal</v>
      </c>
      <c r="AE1465" s="2"/>
      <c r="AF1465" s="2"/>
    </row>
    <row r="1466" spans="1:32" x14ac:dyDescent="0.35">
      <c r="A1466">
        <v>1465</v>
      </c>
      <c r="B1466" s="1">
        <v>42605</v>
      </c>
      <c r="C1466" s="9" t="s">
        <v>2542</v>
      </c>
      <c r="D1466" s="9" t="s">
        <v>4930</v>
      </c>
      <c r="E1466" s="9" t="s">
        <v>6887</v>
      </c>
      <c r="F1466" s="9" t="s">
        <v>27</v>
      </c>
      <c r="G1466" s="9" t="s">
        <v>2543</v>
      </c>
      <c r="H1466" s="9" t="s">
        <v>86</v>
      </c>
      <c r="I1466" s="11">
        <v>18429897</v>
      </c>
      <c r="J1466" s="11">
        <v>575769</v>
      </c>
      <c r="K1466" s="11">
        <v>17815733</v>
      </c>
      <c r="L1466" s="3">
        <v>341</v>
      </c>
      <c r="M1466" s="3">
        <v>1812</v>
      </c>
      <c r="N1466" s="3">
        <v>576520</v>
      </c>
      <c r="O1466" s="2">
        <v>1.9E-2</v>
      </c>
      <c r="P1466" s="2">
        <v>0.94099999999999995</v>
      </c>
      <c r="Q1466" s="2">
        <v>0.191</v>
      </c>
      <c r="R1466" s="11">
        <v>226417459</v>
      </c>
      <c r="S1466" s="11">
        <v>1008193.5</v>
      </c>
      <c r="T1466">
        <v>2016</v>
      </c>
      <c r="U1466">
        <v>8</v>
      </c>
      <c r="V1466">
        <f t="shared" si="132"/>
        <v>600000</v>
      </c>
      <c r="W1466">
        <f t="shared" si="133"/>
        <v>18429897</v>
      </c>
      <c r="X1466">
        <f t="shared" si="134"/>
        <v>17829897</v>
      </c>
      <c r="Y1466">
        <f t="shared" si="135"/>
        <v>-26144845.5</v>
      </c>
      <c r="Z1466">
        <f t="shared" si="136"/>
        <v>45174742.5</v>
      </c>
      <c r="AA1466" t="str">
        <f t="shared" si="137"/>
        <v>Normal</v>
      </c>
      <c r="AE1466" s="2"/>
      <c r="AF1466" s="2"/>
    </row>
    <row r="1467" spans="1:32" x14ac:dyDescent="0.35">
      <c r="A1467">
        <v>1466</v>
      </c>
      <c r="B1467" s="1">
        <v>42605</v>
      </c>
      <c r="C1467" s="9" t="s">
        <v>2544</v>
      </c>
      <c r="D1467" s="9" t="s">
        <v>4988</v>
      </c>
      <c r="E1467" s="9" t="s">
        <v>6888</v>
      </c>
      <c r="F1467" s="9" t="s">
        <v>27</v>
      </c>
      <c r="G1467" s="9" t="s">
        <v>2545</v>
      </c>
      <c r="H1467" s="9" t="s">
        <v>86</v>
      </c>
      <c r="I1467" s="11">
        <v>100000</v>
      </c>
      <c r="J1467" s="11">
        <v>3185105</v>
      </c>
      <c r="K1467" s="11">
        <v>10153449</v>
      </c>
      <c r="L1467" s="3">
        <v>267</v>
      </c>
      <c r="M1467" s="3">
        <v>3911</v>
      </c>
      <c r="N1467" s="3">
        <v>66840</v>
      </c>
      <c r="O1467" s="2">
        <v>-9.5000000000000001E-2</v>
      </c>
      <c r="P1467" s="2">
        <v>0.496</v>
      </c>
      <c r="Q1467" s="2">
        <v>0.254</v>
      </c>
      <c r="R1467" s="11">
        <v>129328541</v>
      </c>
      <c r="S1467" s="11">
        <v>1435540</v>
      </c>
      <c r="T1467">
        <v>2016</v>
      </c>
      <c r="U1467">
        <v>8</v>
      </c>
      <c r="V1467">
        <f t="shared" si="132"/>
        <v>600000</v>
      </c>
      <c r="W1467">
        <f t="shared" si="133"/>
        <v>18429897</v>
      </c>
      <c r="X1467">
        <f t="shared" si="134"/>
        <v>17829897</v>
      </c>
      <c r="Y1467">
        <f t="shared" si="135"/>
        <v>-26144845.5</v>
      </c>
      <c r="Z1467">
        <f t="shared" si="136"/>
        <v>45174742.5</v>
      </c>
      <c r="AA1467" t="str">
        <f t="shared" si="137"/>
        <v>Normal</v>
      </c>
      <c r="AE1467" s="2"/>
      <c r="AF1467" s="2"/>
    </row>
    <row r="1468" spans="1:32" x14ac:dyDescent="0.35">
      <c r="A1468">
        <v>1467</v>
      </c>
      <c r="B1468" s="1">
        <v>42605</v>
      </c>
      <c r="C1468" s="9" t="s">
        <v>2546</v>
      </c>
      <c r="D1468" s="9" t="s">
        <v>4988</v>
      </c>
      <c r="E1468" s="9" t="s">
        <v>6889</v>
      </c>
      <c r="F1468" s="9" t="s">
        <v>31</v>
      </c>
      <c r="G1468" s="9" t="s">
        <v>2547</v>
      </c>
      <c r="H1468" s="9" t="s">
        <v>86</v>
      </c>
      <c r="I1468" s="11">
        <v>18429897</v>
      </c>
      <c r="J1468" s="11">
        <v>1934831</v>
      </c>
      <c r="K1468" s="11">
        <v>4552379</v>
      </c>
      <c r="L1468" s="3">
        <v>387</v>
      </c>
      <c r="M1468" s="3">
        <v>535</v>
      </c>
      <c r="N1468" s="3">
        <v>1827736</v>
      </c>
      <c r="O1468" s="2">
        <v>0.45299999999999996</v>
      </c>
      <c r="P1468" s="2">
        <v>0.2</v>
      </c>
      <c r="Q1468" s="2">
        <v>9.1999999999999998E-2</v>
      </c>
      <c r="R1468" s="11">
        <v>280545059</v>
      </c>
      <c r="S1468" s="11">
        <v>1492695</v>
      </c>
      <c r="T1468">
        <v>2016</v>
      </c>
      <c r="U1468">
        <v>8</v>
      </c>
      <c r="V1468">
        <f t="shared" si="132"/>
        <v>600000</v>
      </c>
      <c r="W1468">
        <f t="shared" si="133"/>
        <v>18429897</v>
      </c>
      <c r="X1468">
        <f t="shared" si="134"/>
        <v>17829897</v>
      </c>
      <c r="Y1468">
        <f t="shared" si="135"/>
        <v>-26144845.5</v>
      </c>
      <c r="Z1468">
        <f t="shared" si="136"/>
        <v>45174742.5</v>
      </c>
      <c r="AA1468" t="str">
        <f t="shared" si="137"/>
        <v>Normal</v>
      </c>
      <c r="AE1468" s="2"/>
      <c r="AF1468" s="2"/>
    </row>
    <row r="1469" spans="1:32" x14ac:dyDescent="0.35">
      <c r="A1469">
        <v>1468</v>
      </c>
      <c r="B1469" s="1">
        <v>42605</v>
      </c>
      <c r="C1469" s="9" t="s">
        <v>2548</v>
      </c>
      <c r="D1469" s="9" t="s">
        <v>4930</v>
      </c>
      <c r="E1469" s="9" t="s">
        <v>6890</v>
      </c>
      <c r="F1469" s="9" t="s">
        <v>27</v>
      </c>
      <c r="G1469" s="9" t="s">
        <v>2549</v>
      </c>
      <c r="H1469" s="9" t="s">
        <v>86</v>
      </c>
      <c r="I1469" s="11">
        <v>200000</v>
      </c>
      <c r="J1469" s="11">
        <v>3892035</v>
      </c>
      <c r="K1469" s="11">
        <v>775396</v>
      </c>
      <c r="L1469" s="3">
        <v>123</v>
      </c>
      <c r="M1469" s="3">
        <v>896</v>
      </c>
      <c r="N1469" s="3">
        <v>1018455</v>
      </c>
      <c r="O1469" s="2">
        <v>-0.32</v>
      </c>
      <c r="P1469" s="2">
        <v>0.84</v>
      </c>
      <c r="Q1469" s="2">
        <v>-5.5999999999999994E-2</v>
      </c>
      <c r="R1469" s="11">
        <v>382160059</v>
      </c>
      <c r="S1469" s="11">
        <v>1126808</v>
      </c>
      <c r="T1469">
        <v>2016</v>
      </c>
      <c r="U1469">
        <v>8</v>
      </c>
      <c r="V1469">
        <f t="shared" si="132"/>
        <v>600000</v>
      </c>
      <c r="W1469">
        <f t="shared" si="133"/>
        <v>18429897</v>
      </c>
      <c r="X1469">
        <f t="shared" si="134"/>
        <v>17829897</v>
      </c>
      <c r="Y1469">
        <f t="shared" si="135"/>
        <v>-26144845.5</v>
      </c>
      <c r="Z1469">
        <f t="shared" si="136"/>
        <v>45174742.5</v>
      </c>
      <c r="AA1469" t="str">
        <f t="shared" si="137"/>
        <v>Normal</v>
      </c>
      <c r="AE1469" s="2"/>
      <c r="AF1469" s="2"/>
    </row>
    <row r="1470" spans="1:32" x14ac:dyDescent="0.35">
      <c r="A1470">
        <v>1469</v>
      </c>
      <c r="B1470" s="1">
        <v>42606</v>
      </c>
      <c r="C1470" s="9" t="s">
        <v>2550</v>
      </c>
      <c r="D1470" s="9" t="s">
        <v>4988</v>
      </c>
      <c r="E1470" s="9" t="s">
        <v>6891</v>
      </c>
      <c r="F1470" s="9" t="s">
        <v>27</v>
      </c>
      <c r="G1470" s="9" t="s">
        <v>2551</v>
      </c>
      <c r="H1470" s="9" t="s">
        <v>86</v>
      </c>
      <c r="I1470" s="11">
        <v>18429897</v>
      </c>
      <c r="J1470" s="11">
        <v>321431</v>
      </c>
      <c r="K1470" s="11">
        <v>10744924</v>
      </c>
      <c r="L1470" s="3">
        <v>483</v>
      </c>
      <c r="M1470" s="3">
        <v>3647</v>
      </c>
      <c r="N1470" s="3">
        <v>1638288</v>
      </c>
      <c r="O1470" s="2">
        <v>8.900000000000001E-2</v>
      </c>
      <c r="P1470" s="2">
        <v>0.21199999999999999</v>
      </c>
      <c r="Q1470" s="2">
        <v>-0.24199999999999999</v>
      </c>
      <c r="R1470" s="11">
        <v>168150992</v>
      </c>
      <c r="S1470" s="11">
        <v>453806</v>
      </c>
      <c r="T1470">
        <v>2016</v>
      </c>
      <c r="U1470">
        <v>8</v>
      </c>
      <c r="V1470">
        <f t="shared" si="132"/>
        <v>600000</v>
      </c>
      <c r="W1470">
        <f t="shared" si="133"/>
        <v>18429897</v>
      </c>
      <c r="X1470">
        <f t="shared" si="134"/>
        <v>17829897</v>
      </c>
      <c r="Y1470">
        <f t="shared" si="135"/>
        <v>-26144845.5</v>
      </c>
      <c r="Z1470">
        <f t="shared" si="136"/>
        <v>45174742.5</v>
      </c>
      <c r="AA1470" t="str">
        <f t="shared" si="137"/>
        <v>Normal</v>
      </c>
      <c r="AE1470" s="2"/>
      <c r="AF1470" s="2"/>
    </row>
    <row r="1471" spans="1:32" x14ac:dyDescent="0.35">
      <c r="A1471">
        <v>1470</v>
      </c>
      <c r="B1471" s="1">
        <v>42606</v>
      </c>
      <c r="C1471" s="9" t="s">
        <v>2552</v>
      </c>
      <c r="D1471" s="9" t="s">
        <v>4988</v>
      </c>
      <c r="E1471" s="9" t="s">
        <v>6892</v>
      </c>
      <c r="F1471" s="9" t="s">
        <v>15</v>
      </c>
      <c r="G1471" s="9" t="s">
        <v>4855</v>
      </c>
      <c r="H1471" s="9" t="s">
        <v>105</v>
      </c>
      <c r="I1471" s="11">
        <v>1000000</v>
      </c>
      <c r="J1471" s="11">
        <v>4491005</v>
      </c>
      <c r="K1471" s="11">
        <v>8041980</v>
      </c>
      <c r="L1471" s="3">
        <v>66</v>
      </c>
      <c r="M1471" s="3">
        <v>82</v>
      </c>
      <c r="N1471" s="3">
        <v>851304</v>
      </c>
      <c r="O1471" s="2">
        <v>0.105</v>
      </c>
      <c r="P1471" s="2">
        <v>0.29799999999999999</v>
      </c>
      <c r="Q1471" s="2">
        <v>-3.3000000000000002E-2</v>
      </c>
      <c r="R1471" s="11">
        <v>438549375</v>
      </c>
      <c r="S1471" s="11">
        <v>1695415</v>
      </c>
      <c r="T1471">
        <v>2016</v>
      </c>
      <c r="U1471">
        <v>8</v>
      </c>
      <c r="V1471">
        <f t="shared" si="132"/>
        <v>600000</v>
      </c>
      <c r="W1471">
        <f t="shared" si="133"/>
        <v>18429897</v>
      </c>
      <c r="X1471">
        <f t="shared" si="134"/>
        <v>17829897</v>
      </c>
      <c r="Y1471">
        <f t="shared" si="135"/>
        <v>-26144845.5</v>
      </c>
      <c r="Z1471">
        <f t="shared" si="136"/>
        <v>45174742.5</v>
      </c>
      <c r="AA1471" t="str">
        <f t="shared" si="137"/>
        <v>Normal</v>
      </c>
      <c r="AE1471" s="2"/>
      <c r="AF1471" s="2"/>
    </row>
    <row r="1472" spans="1:32" x14ac:dyDescent="0.35">
      <c r="A1472">
        <v>1471</v>
      </c>
      <c r="B1472" s="1">
        <v>42606</v>
      </c>
      <c r="C1472" s="9" t="s">
        <v>2553</v>
      </c>
      <c r="D1472" s="9" t="s">
        <v>4930</v>
      </c>
      <c r="E1472" s="9" t="s">
        <v>6893</v>
      </c>
      <c r="F1472" s="9" t="s">
        <v>526</v>
      </c>
      <c r="G1472" s="9" t="s">
        <v>2031</v>
      </c>
      <c r="H1472" s="9" t="s">
        <v>86</v>
      </c>
      <c r="I1472" s="11">
        <v>100000</v>
      </c>
      <c r="J1472" s="11">
        <v>3496984</v>
      </c>
      <c r="K1472" s="11">
        <v>2362259</v>
      </c>
      <c r="L1472" s="3">
        <v>294</v>
      </c>
      <c r="M1472" s="3">
        <v>3573</v>
      </c>
      <c r="N1472" s="3">
        <v>248140</v>
      </c>
      <c r="O1472" s="2">
        <v>9.6999999999999989E-2</v>
      </c>
      <c r="P1472" s="2">
        <v>0.24099999999999999</v>
      </c>
      <c r="Q1472" s="2">
        <v>-0.314</v>
      </c>
      <c r="R1472" s="11">
        <v>15749230</v>
      </c>
      <c r="S1472" s="11">
        <v>1538984</v>
      </c>
      <c r="T1472">
        <v>2016</v>
      </c>
      <c r="U1472">
        <v>8</v>
      </c>
      <c r="V1472">
        <f t="shared" si="132"/>
        <v>600000</v>
      </c>
      <c r="W1472">
        <f t="shared" si="133"/>
        <v>18429897</v>
      </c>
      <c r="X1472">
        <f t="shared" si="134"/>
        <v>17829897</v>
      </c>
      <c r="Y1472">
        <f t="shared" si="135"/>
        <v>-26144845.5</v>
      </c>
      <c r="Z1472">
        <f t="shared" si="136"/>
        <v>45174742.5</v>
      </c>
      <c r="AA1472" t="str">
        <f t="shared" si="137"/>
        <v>Normal</v>
      </c>
      <c r="AE1472" s="2"/>
      <c r="AF1472" s="2"/>
    </row>
    <row r="1473" spans="1:32" x14ac:dyDescent="0.35">
      <c r="A1473">
        <v>1472</v>
      </c>
      <c r="B1473" s="1">
        <v>42606</v>
      </c>
      <c r="C1473" s="9" t="s">
        <v>2554</v>
      </c>
      <c r="D1473" s="9" t="s">
        <v>4925</v>
      </c>
      <c r="E1473" s="9" t="s">
        <v>6894</v>
      </c>
      <c r="F1473" s="9" t="s">
        <v>15</v>
      </c>
      <c r="G1473" s="9" t="s">
        <v>2031</v>
      </c>
      <c r="H1473" s="9" t="s">
        <v>86</v>
      </c>
      <c r="I1473" s="11">
        <v>500000</v>
      </c>
      <c r="J1473" s="11">
        <v>2257403</v>
      </c>
      <c r="K1473" s="11">
        <v>18579212</v>
      </c>
      <c r="L1473" s="3">
        <v>173</v>
      </c>
      <c r="M1473" s="3">
        <v>2734</v>
      </c>
      <c r="N1473" s="3">
        <v>687492</v>
      </c>
      <c r="O1473" s="2">
        <v>-0.19</v>
      </c>
      <c r="P1473" s="2">
        <v>0.80599999999999994</v>
      </c>
      <c r="Q1473" s="2">
        <v>0.17499999999999999</v>
      </c>
      <c r="R1473" s="11">
        <v>70206880</v>
      </c>
      <c r="S1473" s="11">
        <v>409525</v>
      </c>
      <c r="T1473">
        <v>2016</v>
      </c>
      <c r="U1473">
        <v>8</v>
      </c>
      <c r="V1473">
        <f t="shared" si="132"/>
        <v>600000</v>
      </c>
      <c r="W1473">
        <f t="shared" si="133"/>
        <v>18429897</v>
      </c>
      <c r="X1473">
        <f t="shared" si="134"/>
        <v>17829897</v>
      </c>
      <c r="Y1473">
        <f t="shared" si="135"/>
        <v>-26144845.5</v>
      </c>
      <c r="Z1473">
        <f t="shared" si="136"/>
        <v>45174742.5</v>
      </c>
      <c r="AA1473" t="str">
        <f t="shared" si="137"/>
        <v>Normal</v>
      </c>
      <c r="AE1473" s="2"/>
      <c r="AF1473" s="2"/>
    </row>
    <row r="1474" spans="1:32" x14ac:dyDescent="0.35">
      <c r="A1474">
        <v>1473</v>
      </c>
      <c r="B1474" s="1">
        <v>42606</v>
      </c>
      <c r="C1474" s="9" t="s">
        <v>2555</v>
      </c>
      <c r="D1474" s="9" t="s">
        <v>4930</v>
      </c>
      <c r="E1474" s="9" t="s">
        <v>6895</v>
      </c>
      <c r="F1474" s="9" t="s">
        <v>19</v>
      </c>
      <c r="G1474" s="9" t="s">
        <v>2556</v>
      </c>
      <c r="H1474" s="9" t="s">
        <v>86</v>
      </c>
      <c r="I1474" s="11">
        <v>18429897</v>
      </c>
      <c r="J1474" s="11">
        <v>1050962</v>
      </c>
      <c r="K1474" s="11">
        <v>19408287</v>
      </c>
      <c r="L1474" s="3">
        <v>452</v>
      </c>
      <c r="M1474" s="3">
        <v>1243</v>
      </c>
      <c r="N1474" s="3">
        <v>683420</v>
      </c>
      <c r="O1474" s="2">
        <v>-0.11699999999999999</v>
      </c>
      <c r="P1474" s="2">
        <v>0.40799999999999997</v>
      </c>
      <c r="Q1474" s="2">
        <v>-0.30199999999999999</v>
      </c>
      <c r="R1474" s="11">
        <v>419441415</v>
      </c>
      <c r="S1474" s="11">
        <v>1358318</v>
      </c>
      <c r="T1474">
        <v>2016</v>
      </c>
      <c r="U1474">
        <v>8</v>
      </c>
      <c r="V1474">
        <f t="shared" ref="V1474:V1537" si="138">_xlfn.PERCENTILE.INC(I1474:I4517,0.25)</f>
        <v>600000</v>
      </c>
      <c r="W1474">
        <f t="shared" ref="W1474:W1537" si="139">_xlfn.PERCENTILE.INC(I1474:I4517,0.75)</f>
        <v>18429897</v>
      </c>
      <c r="X1474">
        <f t="shared" ref="X1474:X1537" si="140">W1474-V1474</f>
        <v>17829897</v>
      </c>
      <c r="Y1474">
        <f t="shared" ref="Y1474:Y1537" si="141">V1474-1.5*X1474</f>
        <v>-26144845.5</v>
      </c>
      <c r="Z1474">
        <f t="shared" ref="Z1474:Z1537" si="142">W1474+1.5*X1474</f>
        <v>45174742.5</v>
      </c>
      <c r="AA1474" t="str">
        <f t="shared" ref="AA1474:AA1537" si="143">IF(OR(I1474&lt;$Y$2, I1474&gt;$Z$2), "Outlier", "Normal")</f>
        <v>Normal</v>
      </c>
      <c r="AE1474" s="2"/>
      <c r="AF1474" s="2"/>
    </row>
    <row r="1475" spans="1:32" x14ac:dyDescent="0.35">
      <c r="A1475">
        <v>1474</v>
      </c>
      <c r="B1475" s="1">
        <v>42606</v>
      </c>
      <c r="C1475" s="9" t="s">
        <v>2557</v>
      </c>
      <c r="D1475" s="9" t="s">
        <v>4925</v>
      </c>
      <c r="E1475" s="9" t="s">
        <v>6896</v>
      </c>
      <c r="F1475" s="9" t="s">
        <v>31</v>
      </c>
      <c r="G1475" s="9" t="s">
        <v>2558</v>
      </c>
      <c r="H1475" s="9" t="s">
        <v>86</v>
      </c>
      <c r="I1475" s="11">
        <v>500000</v>
      </c>
      <c r="J1475" s="11">
        <v>4886166</v>
      </c>
      <c r="K1475" s="11">
        <v>7540501</v>
      </c>
      <c r="L1475" s="3">
        <v>126</v>
      </c>
      <c r="M1475" s="3">
        <v>3087</v>
      </c>
      <c r="N1475" s="3">
        <v>1017892</v>
      </c>
      <c r="O1475" s="2">
        <v>0.312</v>
      </c>
      <c r="P1475" s="2">
        <v>0.50800000000000001</v>
      </c>
      <c r="Q1475" s="2">
        <v>1.1000000000000001E-2</v>
      </c>
      <c r="R1475" s="11">
        <v>59230043</v>
      </c>
      <c r="S1475" s="11">
        <v>473172</v>
      </c>
      <c r="T1475">
        <v>2016</v>
      </c>
      <c r="U1475">
        <v>8</v>
      </c>
      <c r="V1475">
        <f t="shared" si="138"/>
        <v>600000</v>
      </c>
      <c r="W1475">
        <f t="shared" si="139"/>
        <v>18429897</v>
      </c>
      <c r="X1475">
        <f t="shared" si="140"/>
        <v>17829897</v>
      </c>
      <c r="Y1475">
        <f t="shared" si="141"/>
        <v>-26144845.5</v>
      </c>
      <c r="Z1475">
        <f t="shared" si="142"/>
        <v>45174742.5</v>
      </c>
      <c r="AA1475" t="str">
        <f t="shared" si="143"/>
        <v>Normal</v>
      </c>
      <c r="AE1475" s="2"/>
      <c r="AF1475" s="2"/>
    </row>
    <row r="1476" spans="1:32" x14ac:dyDescent="0.35">
      <c r="A1476">
        <v>1475</v>
      </c>
      <c r="B1476" s="1">
        <v>42606</v>
      </c>
      <c r="C1476" s="9" t="s">
        <v>2559</v>
      </c>
      <c r="D1476" s="9" t="s">
        <v>4938</v>
      </c>
      <c r="E1476" s="9" t="s">
        <v>6897</v>
      </c>
      <c r="F1476" s="9" t="s">
        <v>63</v>
      </c>
      <c r="G1476" s="9" t="s">
        <v>2560</v>
      </c>
      <c r="H1476" s="9" t="s">
        <v>105</v>
      </c>
      <c r="I1476" s="11">
        <v>900000</v>
      </c>
      <c r="J1476" s="11">
        <v>1524316</v>
      </c>
      <c r="K1476" s="11">
        <v>13394153</v>
      </c>
      <c r="L1476" s="3">
        <v>322</v>
      </c>
      <c r="M1476" s="3">
        <v>1641</v>
      </c>
      <c r="N1476" s="3">
        <v>655279</v>
      </c>
      <c r="O1476" s="2">
        <v>0.39700000000000002</v>
      </c>
      <c r="P1476" s="2">
        <v>0.55600000000000005</v>
      </c>
      <c r="Q1476" s="2">
        <v>0.28199999999999997</v>
      </c>
      <c r="R1476" s="11">
        <v>210026830</v>
      </c>
      <c r="S1476" s="11">
        <v>118506</v>
      </c>
      <c r="T1476">
        <v>2016</v>
      </c>
      <c r="U1476">
        <v>8</v>
      </c>
      <c r="V1476">
        <f t="shared" si="138"/>
        <v>600000</v>
      </c>
      <c r="W1476">
        <f t="shared" si="139"/>
        <v>18429897</v>
      </c>
      <c r="X1476">
        <f t="shared" si="140"/>
        <v>17829897</v>
      </c>
      <c r="Y1476">
        <f t="shared" si="141"/>
        <v>-26144845.5</v>
      </c>
      <c r="Z1476">
        <f t="shared" si="142"/>
        <v>45174742.5</v>
      </c>
      <c r="AA1476" t="str">
        <f t="shared" si="143"/>
        <v>Normal</v>
      </c>
      <c r="AE1476" s="2"/>
      <c r="AF1476" s="2"/>
    </row>
    <row r="1477" spans="1:32" x14ac:dyDescent="0.35">
      <c r="A1477">
        <v>1476</v>
      </c>
      <c r="B1477" s="1">
        <v>42606</v>
      </c>
      <c r="C1477" s="9" t="s">
        <v>2561</v>
      </c>
      <c r="D1477" s="9" t="s">
        <v>4925</v>
      </c>
      <c r="E1477" s="9" t="s">
        <v>5945</v>
      </c>
      <c r="F1477" s="9" t="s">
        <v>31</v>
      </c>
      <c r="G1477" s="9" t="s">
        <v>683</v>
      </c>
      <c r="H1477" s="9" t="s">
        <v>105</v>
      </c>
      <c r="I1477" s="11">
        <v>3000000</v>
      </c>
      <c r="J1477" s="11">
        <v>2462750</v>
      </c>
      <c r="K1477" s="11">
        <v>8323336</v>
      </c>
      <c r="L1477" s="3">
        <v>82</v>
      </c>
      <c r="M1477" s="3">
        <v>4747</v>
      </c>
      <c r="N1477" s="3">
        <v>1352427</v>
      </c>
      <c r="O1477" s="2">
        <v>3.7000000000000005E-2</v>
      </c>
      <c r="P1477" s="2">
        <v>0.53500000000000003</v>
      </c>
      <c r="Q1477" s="2">
        <v>3.9E-2</v>
      </c>
      <c r="R1477" s="11">
        <v>175638609</v>
      </c>
      <c r="S1477" s="11">
        <v>120412</v>
      </c>
      <c r="T1477">
        <v>2016</v>
      </c>
      <c r="U1477">
        <v>8</v>
      </c>
      <c r="V1477">
        <f t="shared" si="138"/>
        <v>600000</v>
      </c>
      <c r="W1477">
        <f t="shared" si="139"/>
        <v>18429897</v>
      </c>
      <c r="X1477">
        <f t="shared" si="140"/>
        <v>17829897</v>
      </c>
      <c r="Y1477">
        <f t="shared" si="141"/>
        <v>-26144845.5</v>
      </c>
      <c r="Z1477">
        <f t="shared" si="142"/>
        <v>45174742.5</v>
      </c>
      <c r="AA1477" t="str">
        <f t="shared" si="143"/>
        <v>Normal</v>
      </c>
      <c r="AE1477" s="2"/>
      <c r="AF1477" s="2"/>
    </row>
    <row r="1478" spans="1:32" x14ac:dyDescent="0.35">
      <c r="A1478">
        <v>1477</v>
      </c>
      <c r="B1478" s="1">
        <v>42606</v>
      </c>
      <c r="C1478" s="9" t="s">
        <v>2562</v>
      </c>
      <c r="D1478" s="9" t="s">
        <v>4988</v>
      </c>
      <c r="E1478" s="9" t="s">
        <v>6898</v>
      </c>
      <c r="F1478" s="9" t="s">
        <v>15</v>
      </c>
      <c r="G1478" s="9" t="s">
        <v>2563</v>
      </c>
      <c r="H1478" s="9" t="s">
        <v>86</v>
      </c>
      <c r="I1478" s="11">
        <v>18429897</v>
      </c>
      <c r="J1478" s="11">
        <v>1982746</v>
      </c>
      <c r="K1478" s="11">
        <v>9986510</v>
      </c>
      <c r="L1478" s="3">
        <v>94</v>
      </c>
      <c r="M1478" s="3">
        <v>2104</v>
      </c>
      <c r="N1478" s="3">
        <v>1460120</v>
      </c>
      <c r="O1478" s="2">
        <v>-6.6000000000000003E-2</v>
      </c>
      <c r="P1478" s="2">
        <v>0.71499999999999997</v>
      </c>
      <c r="Q1478" s="2">
        <v>8.5000000000000006E-2</v>
      </c>
      <c r="R1478" s="11">
        <v>51738578</v>
      </c>
      <c r="S1478" s="11">
        <v>538714</v>
      </c>
      <c r="T1478">
        <v>2016</v>
      </c>
      <c r="U1478">
        <v>8</v>
      </c>
      <c r="V1478">
        <f t="shared" si="138"/>
        <v>600000</v>
      </c>
      <c r="W1478">
        <f t="shared" si="139"/>
        <v>18429897</v>
      </c>
      <c r="X1478">
        <f t="shared" si="140"/>
        <v>17829897</v>
      </c>
      <c r="Y1478">
        <f t="shared" si="141"/>
        <v>-26144845.5</v>
      </c>
      <c r="Z1478">
        <f t="shared" si="142"/>
        <v>45174742.5</v>
      </c>
      <c r="AA1478" t="str">
        <f t="shared" si="143"/>
        <v>Normal</v>
      </c>
      <c r="AE1478" s="2"/>
      <c r="AF1478" s="2"/>
    </row>
    <row r="1479" spans="1:32" x14ac:dyDescent="0.35">
      <c r="A1479">
        <v>1478</v>
      </c>
      <c r="B1479" s="1">
        <v>42607</v>
      </c>
      <c r="C1479" s="9" t="s">
        <v>2564</v>
      </c>
      <c r="D1479" s="9" t="s">
        <v>4930</v>
      </c>
      <c r="E1479" s="9" t="s">
        <v>6899</v>
      </c>
      <c r="F1479" s="9" t="s">
        <v>310</v>
      </c>
      <c r="G1479" s="9" t="s">
        <v>2565</v>
      </c>
      <c r="H1479" s="9" t="s">
        <v>86</v>
      </c>
      <c r="I1479" s="11">
        <v>18429897</v>
      </c>
      <c r="J1479" s="11">
        <v>1168140</v>
      </c>
      <c r="K1479" s="11">
        <v>12516826</v>
      </c>
      <c r="L1479" s="3">
        <v>211</v>
      </c>
      <c r="M1479" s="3">
        <v>3754</v>
      </c>
      <c r="N1479" s="3">
        <v>310824</v>
      </c>
      <c r="O1479" s="2">
        <v>-0.23699999999999999</v>
      </c>
      <c r="P1479" s="2">
        <v>0.97499999999999998</v>
      </c>
      <c r="Q1479" s="2">
        <v>0.21099999999999999</v>
      </c>
      <c r="R1479" s="11">
        <v>363748849</v>
      </c>
      <c r="S1479" s="11">
        <v>450239</v>
      </c>
      <c r="T1479">
        <v>2016</v>
      </c>
      <c r="U1479">
        <v>8</v>
      </c>
      <c r="V1479">
        <f t="shared" si="138"/>
        <v>600000</v>
      </c>
      <c r="W1479">
        <f t="shared" si="139"/>
        <v>18429897</v>
      </c>
      <c r="X1479">
        <f t="shared" si="140"/>
        <v>17829897</v>
      </c>
      <c r="Y1479">
        <f t="shared" si="141"/>
        <v>-26144845.5</v>
      </c>
      <c r="Z1479">
        <f t="shared" si="142"/>
        <v>45174742.5</v>
      </c>
      <c r="AA1479" t="str">
        <f t="shared" si="143"/>
        <v>Normal</v>
      </c>
      <c r="AE1479" s="2"/>
      <c r="AF1479" s="2"/>
    </row>
    <row r="1480" spans="1:32" x14ac:dyDescent="0.35">
      <c r="A1480">
        <v>1479</v>
      </c>
      <c r="B1480" s="1">
        <v>42607</v>
      </c>
      <c r="C1480" s="9" t="s">
        <v>2566</v>
      </c>
      <c r="D1480" s="9" t="s">
        <v>2539</v>
      </c>
      <c r="E1480" s="9" t="s">
        <v>6900</v>
      </c>
      <c r="F1480" s="9" t="s">
        <v>15</v>
      </c>
      <c r="G1480" s="9" t="s">
        <v>2567</v>
      </c>
      <c r="H1480" s="9" t="s">
        <v>105</v>
      </c>
      <c r="I1480" s="11">
        <v>3000000</v>
      </c>
      <c r="J1480" s="11">
        <v>2531926</v>
      </c>
      <c r="K1480" s="11">
        <v>8386972</v>
      </c>
      <c r="L1480" s="3">
        <v>400</v>
      </c>
      <c r="M1480" s="3">
        <v>1375</v>
      </c>
      <c r="N1480" s="3">
        <v>1047844</v>
      </c>
      <c r="O1480" s="2">
        <v>0.308</v>
      </c>
      <c r="P1480" s="2">
        <v>0.89599999999999991</v>
      </c>
      <c r="Q1480" s="2">
        <v>0.22800000000000001</v>
      </c>
      <c r="R1480" s="11">
        <v>216689401</v>
      </c>
      <c r="S1480" s="11">
        <v>1999899</v>
      </c>
      <c r="T1480">
        <v>2016</v>
      </c>
      <c r="U1480">
        <v>8</v>
      </c>
      <c r="V1480">
        <f t="shared" si="138"/>
        <v>600000</v>
      </c>
      <c r="W1480">
        <f t="shared" si="139"/>
        <v>18429897</v>
      </c>
      <c r="X1480">
        <f t="shared" si="140"/>
        <v>17829897</v>
      </c>
      <c r="Y1480">
        <f t="shared" si="141"/>
        <v>-26144845.5</v>
      </c>
      <c r="Z1480">
        <f t="shared" si="142"/>
        <v>45174742.5</v>
      </c>
      <c r="AA1480" t="str">
        <f t="shared" si="143"/>
        <v>Normal</v>
      </c>
      <c r="AE1480" s="2"/>
      <c r="AF1480" s="2"/>
    </row>
    <row r="1481" spans="1:32" x14ac:dyDescent="0.35">
      <c r="A1481">
        <v>1480</v>
      </c>
      <c r="B1481" s="1">
        <v>42607</v>
      </c>
      <c r="C1481" s="9" t="s">
        <v>2568</v>
      </c>
      <c r="D1481" s="9" t="s">
        <v>4930</v>
      </c>
      <c r="E1481" s="9" t="s">
        <v>6901</v>
      </c>
      <c r="F1481" s="9" t="s">
        <v>15</v>
      </c>
      <c r="G1481" s="9" t="s">
        <v>2569</v>
      </c>
      <c r="H1481" s="9" t="s">
        <v>86</v>
      </c>
      <c r="I1481" s="11">
        <v>18429897</v>
      </c>
      <c r="J1481" s="11">
        <v>774393</v>
      </c>
      <c r="K1481" s="11">
        <v>16053328</v>
      </c>
      <c r="L1481" s="3">
        <v>142</v>
      </c>
      <c r="M1481" s="3">
        <v>4175</v>
      </c>
      <c r="N1481" s="3">
        <v>1157458</v>
      </c>
      <c r="O1481" s="2">
        <v>0.32</v>
      </c>
      <c r="P1481" s="2">
        <v>0.40700000000000003</v>
      </c>
      <c r="Q1481" s="2">
        <v>0.35899999999999999</v>
      </c>
      <c r="R1481" s="11">
        <v>439767378</v>
      </c>
      <c r="S1481" s="11">
        <v>1905121</v>
      </c>
      <c r="T1481">
        <v>2016</v>
      </c>
      <c r="U1481">
        <v>8</v>
      </c>
      <c r="V1481">
        <f t="shared" si="138"/>
        <v>600000</v>
      </c>
      <c r="W1481">
        <f t="shared" si="139"/>
        <v>18429897</v>
      </c>
      <c r="X1481">
        <f t="shared" si="140"/>
        <v>17829897</v>
      </c>
      <c r="Y1481">
        <f t="shared" si="141"/>
        <v>-26144845.5</v>
      </c>
      <c r="Z1481">
        <f t="shared" si="142"/>
        <v>45174742.5</v>
      </c>
      <c r="AA1481" t="str">
        <f t="shared" si="143"/>
        <v>Normal</v>
      </c>
      <c r="AE1481" s="2"/>
      <c r="AF1481" s="2"/>
    </row>
    <row r="1482" spans="1:32" x14ac:dyDescent="0.35">
      <c r="A1482">
        <v>1481</v>
      </c>
      <c r="B1482" s="1">
        <v>42607</v>
      </c>
      <c r="C1482" s="9" t="s">
        <v>2570</v>
      </c>
      <c r="D1482" s="9" t="s">
        <v>4988</v>
      </c>
      <c r="E1482" s="9" t="s">
        <v>6902</v>
      </c>
      <c r="F1482" s="9" t="s">
        <v>31</v>
      </c>
      <c r="G1482" s="9" t="s">
        <v>4856</v>
      </c>
      <c r="H1482" s="9" t="s">
        <v>86</v>
      </c>
      <c r="I1482" s="11">
        <v>18429897</v>
      </c>
      <c r="J1482" s="11">
        <v>28270</v>
      </c>
      <c r="K1482" s="11">
        <v>3867981</v>
      </c>
      <c r="L1482" s="3">
        <v>348</v>
      </c>
      <c r="M1482" s="3">
        <v>1479</v>
      </c>
      <c r="N1482" s="3">
        <v>533842</v>
      </c>
      <c r="O1482" s="2">
        <v>-0.442</v>
      </c>
      <c r="P1482" s="2">
        <v>0.96399999999999997</v>
      </c>
      <c r="Q1482" s="2">
        <v>0.24099999999999999</v>
      </c>
      <c r="R1482" s="11">
        <v>175534653</v>
      </c>
      <c r="S1482" s="11">
        <v>25833</v>
      </c>
      <c r="T1482">
        <v>2016</v>
      </c>
      <c r="U1482">
        <v>8</v>
      </c>
      <c r="V1482">
        <f t="shared" si="138"/>
        <v>600000</v>
      </c>
      <c r="W1482">
        <f t="shared" si="139"/>
        <v>18429897</v>
      </c>
      <c r="X1482">
        <f t="shared" si="140"/>
        <v>17829897</v>
      </c>
      <c r="Y1482">
        <f t="shared" si="141"/>
        <v>-26144845.5</v>
      </c>
      <c r="Z1482">
        <f t="shared" si="142"/>
        <v>45174742.5</v>
      </c>
      <c r="AA1482" t="str">
        <f t="shared" si="143"/>
        <v>Normal</v>
      </c>
      <c r="AE1482" s="2"/>
      <c r="AF1482" s="2"/>
    </row>
    <row r="1483" spans="1:32" x14ac:dyDescent="0.35">
      <c r="A1483">
        <v>1482</v>
      </c>
      <c r="B1483" s="1">
        <v>42607</v>
      </c>
      <c r="C1483" s="9" t="s">
        <v>2073</v>
      </c>
      <c r="D1483" s="9" t="s">
        <v>4988</v>
      </c>
      <c r="E1483" s="9" t="s">
        <v>6903</v>
      </c>
      <c r="F1483" s="9" t="s">
        <v>15</v>
      </c>
      <c r="G1483" s="9" t="s">
        <v>2571</v>
      </c>
      <c r="H1483" s="9" t="s">
        <v>105</v>
      </c>
      <c r="I1483" s="11">
        <v>24000000</v>
      </c>
      <c r="J1483" s="11">
        <v>1464164</v>
      </c>
      <c r="K1483" s="11">
        <v>10153449</v>
      </c>
      <c r="L1483" s="3">
        <v>287</v>
      </c>
      <c r="M1483" s="3">
        <v>2564</v>
      </c>
      <c r="N1483" s="3">
        <v>1543531</v>
      </c>
      <c r="O1483" s="2">
        <v>-0.36499999999999999</v>
      </c>
      <c r="P1483" s="2">
        <v>0.70699999999999996</v>
      </c>
      <c r="Q1483" s="2">
        <v>0.18899999999999997</v>
      </c>
      <c r="R1483" s="11">
        <v>323257651</v>
      </c>
      <c r="S1483" s="11">
        <v>1976983</v>
      </c>
      <c r="T1483">
        <v>2016</v>
      </c>
      <c r="U1483">
        <v>8</v>
      </c>
      <c r="V1483">
        <f t="shared" si="138"/>
        <v>600000</v>
      </c>
      <c r="W1483">
        <f t="shared" si="139"/>
        <v>18429897</v>
      </c>
      <c r="X1483">
        <f t="shared" si="140"/>
        <v>17829897</v>
      </c>
      <c r="Y1483">
        <f t="shared" si="141"/>
        <v>-26144845.5</v>
      </c>
      <c r="Z1483">
        <f t="shared" si="142"/>
        <v>45174742.5</v>
      </c>
      <c r="AA1483" t="str">
        <f t="shared" si="143"/>
        <v>Normal</v>
      </c>
      <c r="AE1483" s="2"/>
      <c r="AF1483" s="2"/>
    </row>
    <row r="1484" spans="1:32" x14ac:dyDescent="0.35">
      <c r="A1484">
        <v>1483</v>
      </c>
      <c r="B1484" s="1">
        <v>42608</v>
      </c>
      <c r="C1484" s="9" t="s">
        <v>2572</v>
      </c>
      <c r="D1484" s="9" t="s">
        <v>4988</v>
      </c>
      <c r="E1484" s="9" t="s">
        <v>6904</v>
      </c>
      <c r="F1484" s="9" t="s">
        <v>19</v>
      </c>
      <c r="G1484" s="9" t="s">
        <v>2573</v>
      </c>
      <c r="H1484" s="9" t="s">
        <v>86</v>
      </c>
      <c r="I1484" s="11">
        <v>500000</v>
      </c>
      <c r="J1484" s="11">
        <v>578110</v>
      </c>
      <c r="K1484" s="11">
        <v>19664266</v>
      </c>
      <c r="L1484" s="3">
        <v>489</v>
      </c>
      <c r="M1484" s="3">
        <v>4017</v>
      </c>
      <c r="N1484" s="3">
        <v>461666</v>
      </c>
      <c r="O1484" s="2">
        <v>0.14699999999999999</v>
      </c>
      <c r="P1484" s="2">
        <v>1.1870000000000001</v>
      </c>
      <c r="Q1484" s="2">
        <v>0.36749999999999999</v>
      </c>
      <c r="R1484" s="11">
        <v>120575348</v>
      </c>
      <c r="S1484" s="11">
        <v>1841304</v>
      </c>
      <c r="T1484">
        <v>2016</v>
      </c>
      <c r="U1484">
        <v>8</v>
      </c>
      <c r="V1484">
        <f t="shared" si="138"/>
        <v>600000</v>
      </c>
      <c r="W1484">
        <f t="shared" si="139"/>
        <v>18429897</v>
      </c>
      <c r="X1484">
        <f t="shared" si="140"/>
        <v>17829897</v>
      </c>
      <c r="Y1484">
        <f t="shared" si="141"/>
        <v>-26144845.5</v>
      </c>
      <c r="Z1484">
        <f t="shared" si="142"/>
        <v>45174742.5</v>
      </c>
      <c r="AA1484" t="str">
        <f t="shared" si="143"/>
        <v>Normal</v>
      </c>
      <c r="AE1484" s="2"/>
      <c r="AF1484" s="2"/>
    </row>
    <row r="1485" spans="1:32" x14ac:dyDescent="0.35">
      <c r="A1485">
        <v>1484</v>
      </c>
      <c r="B1485" s="1">
        <v>42608</v>
      </c>
      <c r="C1485" s="9" t="s">
        <v>2574</v>
      </c>
      <c r="D1485" s="9" t="s">
        <v>4988</v>
      </c>
      <c r="E1485" s="9" t="s">
        <v>6905</v>
      </c>
      <c r="F1485" s="9" t="s">
        <v>19</v>
      </c>
      <c r="G1485" s="9" t="s">
        <v>2575</v>
      </c>
      <c r="H1485" s="9" t="s">
        <v>105</v>
      </c>
      <c r="I1485" s="11">
        <v>40000000</v>
      </c>
      <c r="J1485" s="11">
        <v>2085598</v>
      </c>
      <c r="K1485" s="11">
        <v>10153449</v>
      </c>
      <c r="L1485" s="3">
        <v>153</v>
      </c>
      <c r="M1485" s="3">
        <v>4634</v>
      </c>
      <c r="N1485" s="3">
        <v>1743018</v>
      </c>
      <c r="O1485" s="2">
        <v>0.17299999999999999</v>
      </c>
      <c r="P1485" s="2">
        <v>0.71699999999999997</v>
      </c>
      <c r="Q1485" s="2">
        <v>0.16</v>
      </c>
      <c r="R1485" s="11">
        <v>199934510</v>
      </c>
      <c r="S1485" s="11">
        <v>1909037</v>
      </c>
      <c r="T1485">
        <v>2016</v>
      </c>
      <c r="U1485">
        <v>8</v>
      </c>
      <c r="V1485">
        <f t="shared" si="138"/>
        <v>600000</v>
      </c>
      <c r="W1485">
        <f t="shared" si="139"/>
        <v>18429897</v>
      </c>
      <c r="X1485">
        <f t="shared" si="140"/>
        <v>17829897</v>
      </c>
      <c r="Y1485">
        <f t="shared" si="141"/>
        <v>-26144845.5</v>
      </c>
      <c r="Z1485">
        <f t="shared" si="142"/>
        <v>45174742.5</v>
      </c>
      <c r="AA1485" t="str">
        <f t="shared" si="143"/>
        <v>Normal</v>
      </c>
      <c r="AE1485" s="2"/>
      <c r="AF1485" s="2"/>
    </row>
    <row r="1486" spans="1:32" x14ac:dyDescent="0.35">
      <c r="A1486">
        <v>1485</v>
      </c>
      <c r="B1486" s="1">
        <v>42608</v>
      </c>
      <c r="C1486" s="9" t="s">
        <v>2576</v>
      </c>
      <c r="D1486" s="9" t="s">
        <v>4988</v>
      </c>
      <c r="E1486" s="9" t="s">
        <v>6906</v>
      </c>
      <c r="F1486" s="9" t="s">
        <v>31</v>
      </c>
      <c r="G1486" s="9" t="s">
        <v>2577</v>
      </c>
      <c r="H1486" s="9" t="s">
        <v>86</v>
      </c>
      <c r="I1486" s="11">
        <v>550000</v>
      </c>
      <c r="J1486" s="11">
        <v>4316567</v>
      </c>
      <c r="K1486" s="11">
        <v>1009841</v>
      </c>
      <c r="L1486" s="3">
        <v>125</v>
      </c>
      <c r="M1486" s="3">
        <v>3771</v>
      </c>
      <c r="N1486" s="3">
        <v>915064</v>
      </c>
      <c r="O1486" s="2">
        <v>2.5000000000000001E-2</v>
      </c>
      <c r="P1486" s="2">
        <v>0.48599999999999999</v>
      </c>
      <c r="Q1486" s="2">
        <v>0.51500000000000001</v>
      </c>
      <c r="R1486" s="11">
        <v>331907162</v>
      </c>
      <c r="S1486" s="11">
        <v>1636440</v>
      </c>
      <c r="T1486">
        <v>2016</v>
      </c>
      <c r="U1486">
        <v>8</v>
      </c>
      <c r="V1486">
        <f t="shared" si="138"/>
        <v>600000</v>
      </c>
      <c r="W1486">
        <f t="shared" si="139"/>
        <v>18429897</v>
      </c>
      <c r="X1486">
        <f t="shared" si="140"/>
        <v>17829897</v>
      </c>
      <c r="Y1486">
        <f t="shared" si="141"/>
        <v>-26144845.5</v>
      </c>
      <c r="Z1486">
        <f t="shared" si="142"/>
        <v>45174742.5</v>
      </c>
      <c r="AA1486" t="str">
        <f t="shared" si="143"/>
        <v>Normal</v>
      </c>
      <c r="AE1486" s="2"/>
      <c r="AF1486" s="2"/>
    </row>
    <row r="1487" spans="1:32" x14ac:dyDescent="0.35">
      <c r="A1487">
        <v>1486</v>
      </c>
      <c r="B1487" s="1">
        <v>42608</v>
      </c>
      <c r="C1487" s="9" t="s">
        <v>2578</v>
      </c>
      <c r="D1487" s="9" t="s">
        <v>4988</v>
      </c>
      <c r="E1487" s="9" t="s">
        <v>6907</v>
      </c>
      <c r="F1487" s="9" t="s">
        <v>19</v>
      </c>
      <c r="G1487" s="9" t="s">
        <v>2579</v>
      </c>
      <c r="H1487" s="9" t="s">
        <v>86</v>
      </c>
      <c r="I1487" s="11">
        <v>18429897</v>
      </c>
      <c r="J1487" s="11">
        <v>829594</v>
      </c>
      <c r="K1487" s="11">
        <v>2368014</v>
      </c>
      <c r="L1487" s="3">
        <v>451</v>
      </c>
      <c r="M1487" s="3">
        <v>3354</v>
      </c>
      <c r="N1487" s="3">
        <v>732064</v>
      </c>
      <c r="O1487" s="2">
        <v>0.113</v>
      </c>
      <c r="P1487" s="2">
        <v>0.96099999999999997</v>
      </c>
      <c r="Q1487" s="2">
        <v>0.26200000000000001</v>
      </c>
      <c r="R1487" s="11">
        <v>343650097</v>
      </c>
      <c r="S1487" s="11">
        <v>247515</v>
      </c>
      <c r="T1487">
        <v>2016</v>
      </c>
      <c r="U1487">
        <v>8</v>
      </c>
      <c r="V1487">
        <f t="shared" si="138"/>
        <v>600000</v>
      </c>
      <c r="W1487">
        <f t="shared" si="139"/>
        <v>18429897</v>
      </c>
      <c r="X1487">
        <f t="shared" si="140"/>
        <v>17829897</v>
      </c>
      <c r="Y1487">
        <f t="shared" si="141"/>
        <v>-26144845.5</v>
      </c>
      <c r="Z1487">
        <f t="shared" si="142"/>
        <v>45174742.5</v>
      </c>
      <c r="AA1487" t="str">
        <f t="shared" si="143"/>
        <v>Normal</v>
      </c>
      <c r="AE1487" s="2"/>
      <c r="AF1487" s="2"/>
    </row>
    <row r="1488" spans="1:32" x14ac:dyDescent="0.35">
      <c r="A1488">
        <v>1487</v>
      </c>
      <c r="B1488" s="1">
        <v>42611</v>
      </c>
      <c r="C1488" s="9" t="s">
        <v>1441</v>
      </c>
      <c r="D1488" s="9" t="s">
        <v>4988</v>
      </c>
      <c r="E1488" s="9" t="s">
        <v>6307</v>
      </c>
      <c r="F1488" s="9" t="s">
        <v>31</v>
      </c>
      <c r="G1488" s="9" t="s">
        <v>2580</v>
      </c>
      <c r="H1488" s="9" t="s">
        <v>105</v>
      </c>
      <c r="I1488" s="11">
        <v>3000000</v>
      </c>
      <c r="J1488" s="11">
        <v>2531926</v>
      </c>
      <c r="K1488" s="11">
        <v>10153449</v>
      </c>
      <c r="L1488" s="3">
        <v>169</v>
      </c>
      <c r="M1488" s="3">
        <v>2505.5</v>
      </c>
      <c r="N1488" s="3">
        <v>1331947</v>
      </c>
      <c r="O1488" s="2">
        <v>7.0999999999999994E-2</v>
      </c>
      <c r="P1488" s="2">
        <v>0.50800000000000001</v>
      </c>
      <c r="Q1488" s="2">
        <v>0.36749999999999999</v>
      </c>
      <c r="R1488" s="11">
        <v>201515848</v>
      </c>
      <c r="S1488" s="11">
        <v>1457831</v>
      </c>
      <c r="T1488">
        <v>2016</v>
      </c>
      <c r="U1488">
        <v>8</v>
      </c>
      <c r="V1488">
        <f t="shared" si="138"/>
        <v>600000</v>
      </c>
      <c r="W1488">
        <f t="shared" si="139"/>
        <v>18429897</v>
      </c>
      <c r="X1488">
        <f t="shared" si="140"/>
        <v>17829897</v>
      </c>
      <c r="Y1488">
        <f t="shared" si="141"/>
        <v>-26144845.5</v>
      </c>
      <c r="Z1488">
        <f t="shared" si="142"/>
        <v>45174742.5</v>
      </c>
      <c r="AA1488" t="str">
        <f t="shared" si="143"/>
        <v>Normal</v>
      </c>
      <c r="AE1488" s="2"/>
      <c r="AF1488" s="2"/>
    </row>
    <row r="1489" spans="1:32" x14ac:dyDescent="0.35">
      <c r="A1489">
        <v>1488</v>
      </c>
      <c r="B1489" s="1">
        <v>42611</v>
      </c>
      <c r="C1489" s="9" t="s">
        <v>2581</v>
      </c>
      <c r="D1489" s="9" t="s">
        <v>4988</v>
      </c>
      <c r="E1489" s="9" t="s">
        <v>6908</v>
      </c>
      <c r="F1489" s="9" t="s">
        <v>15</v>
      </c>
      <c r="G1489" s="9" t="s">
        <v>1912</v>
      </c>
      <c r="H1489" s="9" t="s">
        <v>105</v>
      </c>
      <c r="I1489" s="11">
        <v>7000000</v>
      </c>
      <c r="J1489" s="11">
        <v>2531926</v>
      </c>
      <c r="K1489" s="11">
        <v>18499391</v>
      </c>
      <c r="L1489" s="3">
        <v>111</v>
      </c>
      <c r="M1489" s="3">
        <v>2060</v>
      </c>
      <c r="N1489" s="3">
        <v>1239409</v>
      </c>
      <c r="O1489" s="2">
        <v>0.125</v>
      </c>
      <c r="P1489" s="2">
        <v>0.92500000000000004</v>
      </c>
      <c r="Q1489" s="2">
        <v>-6.9000000000000006E-2</v>
      </c>
      <c r="R1489" s="11">
        <v>38646007</v>
      </c>
      <c r="S1489" s="11">
        <v>1515737</v>
      </c>
      <c r="T1489">
        <v>2016</v>
      </c>
      <c r="U1489">
        <v>8</v>
      </c>
      <c r="V1489">
        <f t="shared" si="138"/>
        <v>600000</v>
      </c>
      <c r="W1489">
        <f t="shared" si="139"/>
        <v>18429897</v>
      </c>
      <c r="X1489">
        <f t="shared" si="140"/>
        <v>17829897</v>
      </c>
      <c r="Y1489">
        <f t="shared" si="141"/>
        <v>-26144845.5</v>
      </c>
      <c r="Z1489">
        <f t="shared" si="142"/>
        <v>45174742.5</v>
      </c>
      <c r="AA1489" t="str">
        <f t="shared" si="143"/>
        <v>Normal</v>
      </c>
      <c r="AE1489" s="2"/>
      <c r="AF1489" s="2"/>
    </row>
    <row r="1490" spans="1:32" x14ac:dyDescent="0.35">
      <c r="A1490">
        <v>1489</v>
      </c>
      <c r="B1490" s="1">
        <v>42611</v>
      </c>
      <c r="C1490" s="9" t="s">
        <v>2582</v>
      </c>
      <c r="D1490" s="9" t="s">
        <v>4988</v>
      </c>
      <c r="E1490" s="9" t="s">
        <v>2583</v>
      </c>
      <c r="F1490" s="9" t="s">
        <v>63</v>
      </c>
      <c r="G1490" s="9" t="s">
        <v>2584</v>
      </c>
      <c r="H1490" s="9" t="s">
        <v>105</v>
      </c>
      <c r="I1490" s="11">
        <v>18429897</v>
      </c>
      <c r="J1490" s="11">
        <v>2550673</v>
      </c>
      <c r="K1490" s="11">
        <v>16896105</v>
      </c>
      <c r="L1490" s="3">
        <v>411</v>
      </c>
      <c r="M1490" s="3">
        <v>3449</v>
      </c>
      <c r="N1490" s="3">
        <v>1017500</v>
      </c>
      <c r="O1490" s="2">
        <v>-0.06</v>
      </c>
      <c r="P1490" s="2">
        <v>0.74299999999999999</v>
      </c>
      <c r="Q1490" s="2">
        <v>8.3000000000000004E-2</v>
      </c>
      <c r="R1490" s="11">
        <v>372526612</v>
      </c>
      <c r="S1490" s="11">
        <v>1117597</v>
      </c>
      <c r="T1490">
        <v>2016</v>
      </c>
      <c r="U1490">
        <v>8</v>
      </c>
      <c r="V1490">
        <f t="shared" si="138"/>
        <v>600000</v>
      </c>
      <c r="W1490">
        <f t="shared" si="139"/>
        <v>18429897</v>
      </c>
      <c r="X1490">
        <f t="shared" si="140"/>
        <v>17829897</v>
      </c>
      <c r="Y1490">
        <f t="shared" si="141"/>
        <v>-26144845.5</v>
      </c>
      <c r="Z1490">
        <f t="shared" si="142"/>
        <v>45174742.5</v>
      </c>
      <c r="AA1490" t="str">
        <f t="shared" si="143"/>
        <v>Normal</v>
      </c>
      <c r="AE1490" s="2"/>
      <c r="AF1490" s="2"/>
    </row>
    <row r="1491" spans="1:32" x14ac:dyDescent="0.35">
      <c r="A1491">
        <v>1490</v>
      </c>
      <c r="B1491" s="1">
        <v>42611</v>
      </c>
      <c r="C1491" s="9" t="s">
        <v>2585</v>
      </c>
      <c r="D1491" s="9" t="s">
        <v>4988</v>
      </c>
      <c r="E1491" s="9" t="s">
        <v>6909</v>
      </c>
      <c r="F1491" s="9" t="s">
        <v>35</v>
      </c>
      <c r="G1491" s="9" t="s">
        <v>2586</v>
      </c>
      <c r="H1491" s="9" t="s">
        <v>105</v>
      </c>
      <c r="I1491" s="11">
        <v>1000000</v>
      </c>
      <c r="J1491" s="11">
        <v>1388694</v>
      </c>
      <c r="K1491" s="11">
        <v>18088046</v>
      </c>
      <c r="L1491" s="3">
        <v>407</v>
      </c>
      <c r="M1491" s="3">
        <v>2505.5</v>
      </c>
      <c r="N1491" s="3">
        <v>1373355</v>
      </c>
      <c r="O1491" s="2">
        <v>0.11800000000000001</v>
      </c>
      <c r="P1491" s="2">
        <v>0.376</v>
      </c>
      <c r="Q1491" s="2">
        <v>0.24100000000000002</v>
      </c>
      <c r="R1491" s="11">
        <v>347210568</v>
      </c>
      <c r="S1491" s="11">
        <v>212777</v>
      </c>
      <c r="T1491">
        <v>2016</v>
      </c>
      <c r="U1491">
        <v>8</v>
      </c>
      <c r="V1491">
        <f t="shared" si="138"/>
        <v>600000</v>
      </c>
      <c r="W1491">
        <f t="shared" si="139"/>
        <v>18429897</v>
      </c>
      <c r="X1491">
        <f t="shared" si="140"/>
        <v>17829897</v>
      </c>
      <c r="Y1491">
        <f t="shared" si="141"/>
        <v>-26144845.5</v>
      </c>
      <c r="Z1491">
        <f t="shared" si="142"/>
        <v>45174742.5</v>
      </c>
      <c r="AA1491" t="str">
        <f t="shared" si="143"/>
        <v>Normal</v>
      </c>
      <c r="AE1491" s="2"/>
      <c r="AF1491" s="2"/>
    </row>
    <row r="1492" spans="1:32" x14ac:dyDescent="0.35">
      <c r="A1492">
        <v>1491</v>
      </c>
      <c r="B1492" s="1">
        <v>42611</v>
      </c>
      <c r="C1492" s="9" t="s">
        <v>2587</v>
      </c>
      <c r="D1492" s="9" t="s">
        <v>4988</v>
      </c>
      <c r="E1492" s="9" t="s">
        <v>6910</v>
      </c>
      <c r="F1492" s="9" t="s">
        <v>15</v>
      </c>
      <c r="G1492" s="9" t="s">
        <v>2588</v>
      </c>
      <c r="H1492" s="9" t="s">
        <v>105</v>
      </c>
      <c r="I1492" s="11">
        <v>15000000</v>
      </c>
      <c r="J1492" s="11">
        <v>2457719</v>
      </c>
      <c r="K1492" s="11">
        <v>3079513</v>
      </c>
      <c r="L1492" s="3">
        <v>36</v>
      </c>
      <c r="M1492" s="3">
        <v>2633</v>
      </c>
      <c r="N1492" s="3">
        <v>522140</v>
      </c>
      <c r="O1492" s="2">
        <v>-1.4999999999999999E-2</v>
      </c>
      <c r="P1492" s="2">
        <v>0.50800000000000001</v>
      </c>
      <c r="Q1492" s="2">
        <v>0.36749999999999999</v>
      </c>
      <c r="R1492" s="11">
        <v>198034406</v>
      </c>
      <c r="S1492" s="11">
        <v>515149</v>
      </c>
      <c r="T1492">
        <v>2016</v>
      </c>
      <c r="U1492">
        <v>8</v>
      </c>
      <c r="V1492">
        <f t="shared" si="138"/>
        <v>600000</v>
      </c>
      <c r="W1492">
        <f t="shared" si="139"/>
        <v>18429897</v>
      </c>
      <c r="X1492">
        <f t="shared" si="140"/>
        <v>17829897</v>
      </c>
      <c r="Y1492">
        <f t="shared" si="141"/>
        <v>-26144845.5</v>
      </c>
      <c r="Z1492">
        <f t="shared" si="142"/>
        <v>45174742.5</v>
      </c>
      <c r="AA1492" t="str">
        <f t="shared" si="143"/>
        <v>Normal</v>
      </c>
      <c r="AE1492" s="2"/>
      <c r="AF1492" s="2"/>
    </row>
    <row r="1493" spans="1:32" x14ac:dyDescent="0.35">
      <c r="A1493">
        <v>1492</v>
      </c>
      <c r="B1493" s="1">
        <v>42612</v>
      </c>
      <c r="C1493" s="9" t="s">
        <v>2589</v>
      </c>
      <c r="D1493" s="9" t="s">
        <v>4930</v>
      </c>
      <c r="E1493" s="9" t="s">
        <v>6911</v>
      </c>
      <c r="F1493" s="9" t="s">
        <v>19</v>
      </c>
      <c r="G1493" s="9" t="s">
        <v>2590</v>
      </c>
      <c r="H1493" s="9" t="s">
        <v>86</v>
      </c>
      <c r="I1493" s="11">
        <v>149000</v>
      </c>
      <c r="J1493" s="11">
        <v>165654</v>
      </c>
      <c r="K1493" s="11">
        <v>10431056</v>
      </c>
      <c r="L1493" s="3">
        <v>428</v>
      </c>
      <c r="M1493" s="3">
        <v>2505.5</v>
      </c>
      <c r="N1493" s="3">
        <v>1617662</v>
      </c>
      <c r="O1493" s="2">
        <v>-3.2000000000000001E-2</v>
      </c>
      <c r="P1493" s="2">
        <v>0.247</v>
      </c>
      <c r="Q1493" s="2">
        <v>0.29799999999999999</v>
      </c>
      <c r="R1493" s="11">
        <v>407932971</v>
      </c>
      <c r="S1493" s="11">
        <v>1038868</v>
      </c>
      <c r="T1493">
        <v>2016</v>
      </c>
      <c r="U1493">
        <v>8</v>
      </c>
      <c r="V1493">
        <f t="shared" si="138"/>
        <v>600000</v>
      </c>
      <c r="W1493">
        <f t="shared" si="139"/>
        <v>18429897</v>
      </c>
      <c r="X1493">
        <f t="shared" si="140"/>
        <v>17829897</v>
      </c>
      <c r="Y1493">
        <f t="shared" si="141"/>
        <v>-26144845.5</v>
      </c>
      <c r="Z1493">
        <f t="shared" si="142"/>
        <v>45174742.5</v>
      </c>
      <c r="AA1493" t="str">
        <f t="shared" si="143"/>
        <v>Normal</v>
      </c>
      <c r="AE1493" s="2"/>
      <c r="AF1493" s="2"/>
    </row>
    <row r="1494" spans="1:32" x14ac:dyDescent="0.35">
      <c r="A1494">
        <v>1493</v>
      </c>
      <c r="B1494" s="1">
        <v>42612</v>
      </c>
      <c r="C1494" s="9" t="s">
        <v>2591</v>
      </c>
      <c r="D1494" s="9" t="s">
        <v>4988</v>
      </c>
      <c r="E1494" s="9" t="s">
        <v>6912</v>
      </c>
      <c r="F1494" s="9" t="s">
        <v>27</v>
      </c>
      <c r="G1494" s="9" t="s">
        <v>2592</v>
      </c>
      <c r="H1494" s="9" t="s">
        <v>86</v>
      </c>
      <c r="I1494" s="11">
        <v>104000</v>
      </c>
      <c r="J1494" s="11">
        <v>1678808</v>
      </c>
      <c r="K1494" s="11">
        <v>10153449</v>
      </c>
      <c r="L1494" s="3">
        <v>318</v>
      </c>
      <c r="M1494" s="3">
        <v>1787</v>
      </c>
      <c r="N1494" s="3">
        <v>1240008</v>
      </c>
      <c r="O1494" s="2">
        <v>-0.253</v>
      </c>
      <c r="P1494" s="2">
        <v>0.28199999999999997</v>
      </c>
      <c r="Q1494" s="2">
        <v>-0.184</v>
      </c>
      <c r="R1494" s="11">
        <v>44356445</v>
      </c>
      <c r="S1494" s="11">
        <v>335488</v>
      </c>
      <c r="T1494">
        <v>2016</v>
      </c>
      <c r="U1494">
        <v>8</v>
      </c>
      <c r="V1494">
        <f t="shared" si="138"/>
        <v>600000</v>
      </c>
      <c r="W1494">
        <f t="shared" si="139"/>
        <v>18429897</v>
      </c>
      <c r="X1494">
        <f t="shared" si="140"/>
        <v>17829897</v>
      </c>
      <c r="Y1494">
        <f t="shared" si="141"/>
        <v>-26144845.5</v>
      </c>
      <c r="Z1494">
        <f t="shared" si="142"/>
        <v>45174742.5</v>
      </c>
      <c r="AA1494" t="str">
        <f t="shared" si="143"/>
        <v>Normal</v>
      </c>
      <c r="AE1494" s="2"/>
      <c r="AF1494" s="2"/>
    </row>
    <row r="1495" spans="1:32" x14ac:dyDescent="0.35">
      <c r="A1495">
        <v>1494</v>
      </c>
      <c r="B1495" s="1">
        <v>42612</v>
      </c>
      <c r="C1495" s="9" t="s">
        <v>106</v>
      </c>
      <c r="D1495" s="9" t="s">
        <v>4925</v>
      </c>
      <c r="E1495" s="9" t="s">
        <v>6353</v>
      </c>
      <c r="F1495" s="9" t="s">
        <v>15</v>
      </c>
      <c r="G1495" s="9" t="s">
        <v>2593</v>
      </c>
      <c r="H1495" s="9" t="s">
        <v>105</v>
      </c>
      <c r="I1495" s="11">
        <v>60000000</v>
      </c>
      <c r="J1495" s="11">
        <v>2531926</v>
      </c>
      <c r="K1495" s="11">
        <v>12532370</v>
      </c>
      <c r="L1495" s="3">
        <v>143</v>
      </c>
      <c r="M1495" s="3">
        <v>661</v>
      </c>
      <c r="N1495" s="3">
        <v>426035</v>
      </c>
      <c r="O1495" s="2">
        <v>8.5000000000000006E-2</v>
      </c>
      <c r="P1495" s="2">
        <v>0.68799999999999994</v>
      </c>
      <c r="Q1495" s="2">
        <v>-9.8000000000000004E-2</v>
      </c>
      <c r="R1495" s="11">
        <v>250264963</v>
      </c>
      <c r="S1495" s="11">
        <v>1944257</v>
      </c>
      <c r="T1495">
        <v>2016</v>
      </c>
      <c r="U1495">
        <v>8</v>
      </c>
      <c r="V1495">
        <f t="shared" si="138"/>
        <v>600000</v>
      </c>
      <c r="W1495">
        <f t="shared" si="139"/>
        <v>18429897</v>
      </c>
      <c r="X1495">
        <f t="shared" si="140"/>
        <v>17829897</v>
      </c>
      <c r="Y1495">
        <f t="shared" si="141"/>
        <v>-26144845.5</v>
      </c>
      <c r="Z1495">
        <f t="shared" si="142"/>
        <v>45174742.5</v>
      </c>
      <c r="AA1495" t="str">
        <f t="shared" si="143"/>
        <v>Outlier</v>
      </c>
      <c r="AE1495" s="2"/>
      <c r="AF1495" s="2"/>
    </row>
    <row r="1496" spans="1:32" x14ac:dyDescent="0.35">
      <c r="A1496">
        <v>1495</v>
      </c>
      <c r="B1496" s="1">
        <v>42612</v>
      </c>
      <c r="C1496" s="9" t="s">
        <v>1184</v>
      </c>
      <c r="D1496" s="9" t="s">
        <v>4930</v>
      </c>
      <c r="E1496" s="9" t="s">
        <v>6913</v>
      </c>
      <c r="F1496" s="9" t="s">
        <v>15</v>
      </c>
      <c r="G1496" s="9" t="s">
        <v>2594</v>
      </c>
      <c r="H1496" s="9" t="s">
        <v>105</v>
      </c>
      <c r="I1496" s="11">
        <v>2000000</v>
      </c>
      <c r="J1496" s="11">
        <v>2168008</v>
      </c>
      <c r="K1496" s="11">
        <v>15562833</v>
      </c>
      <c r="L1496" s="3">
        <v>270</v>
      </c>
      <c r="M1496" s="3">
        <v>3616</v>
      </c>
      <c r="N1496" s="3">
        <v>1997824</v>
      </c>
      <c r="O1496" s="2">
        <v>0.28100000000000003</v>
      </c>
      <c r="P1496" s="2">
        <v>0.90800000000000003</v>
      </c>
      <c r="Q1496" s="2">
        <v>-0.223</v>
      </c>
      <c r="R1496" s="11">
        <v>263578710</v>
      </c>
      <c r="S1496" s="11">
        <v>123807</v>
      </c>
      <c r="T1496">
        <v>2016</v>
      </c>
      <c r="U1496">
        <v>8</v>
      </c>
      <c r="V1496">
        <f t="shared" si="138"/>
        <v>600000</v>
      </c>
      <c r="W1496">
        <f t="shared" si="139"/>
        <v>18429897</v>
      </c>
      <c r="X1496">
        <f t="shared" si="140"/>
        <v>17829897</v>
      </c>
      <c r="Y1496">
        <f t="shared" si="141"/>
        <v>-26144845.5</v>
      </c>
      <c r="Z1496">
        <f t="shared" si="142"/>
        <v>45174742.5</v>
      </c>
      <c r="AA1496" t="str">
        <f t="shared" si="143"/>
        <v>Normal</v>
      </c>
      <c r="AE1496" s="2"/>
      <c r="AF1496" s="2"/>
    </row>
    <row r="1497" spans="1:32" x14ac:dyDescent="0.35">
      <c r="A1497">
        <v>1496</v>
      </c>
      <c r="B1497" s="1">
        <v>42612</v>
      </c>
      <c r="C1497" s="9" t="s">
        <v>1108</v>
      </c>
      <c r="D1497" s="9" t="s">
        <v>4988</v>
      </c>
      <c r="E1497" s="9" t="s">
        <v>6914</v>
      </c>
      <c r="F1497" s="9" t="s">
        <v>15</v>
      </c>
      <c r="G1497" s="9" t="s">
        <v>436</v>
      </c>
      <c r="H1497" s="9" t="s">
        <v>105</v>
      </c>
      <c r="I1497" s="11">
        <v>3000000</v>
      </c>
      <c r="J1497" s="11">
        <v>2764768</v>
      </c>
      <c r="K1497" s="11">
        <v>10153449</v>
      </c>
      <c r="L1497" s="3">
        <v>123</v>
      </c>
      <c r="M1497" s="3">
        <v>2505.5</v>
      </c>
      <c r="N1497" s="3">
        <v>1730875</v>
      </c>
      <c r="O1497" s="2">
        <v>5.5E-2</v>
      </c>
      <c r="P1497" s="2">
        <v>0.33399999999999996</v>
      </c>
      <c r="Q1497" s="2">
        <v>0.16500000000000001</v>
      </c>
      <c r="R1497" s="11">
        <v>47644821</v>
      </c>
      <c r="S1497" s="11">
        <v>1076110</v>
      </c>
      <c r="T1497">
        <v>2016</v>
      </c>
      <c r="U1497">
        <v>8</v>
      </c>
      <c r="V1497">
        <f t="shared" si="138"/>
        <v>600000</v>
      </c>
      <c r="W1497">
        <f t="shared" si="139"/>
        <v>18429897</v>
      </c>
      <c r="X1497">
        <f t="shared" si="140"/>
        <v>17829897</v>
      </c>
      <c r="Y1497">
        <f t="shared" si="141"/>
        <v>-26144845.5</v>
      </c>
      <c r="Z1497">
        <f t="shared" si="142"/>
        <v>45174742.5</v>
      </c>
      <c r="AA1497" t="str">
        <f t="shared" si="143"/>
        <v>Normal</v>
      </c>
      <c r="AE1497" s="2"/>
      <c r="AF1497" s="2"/>
    </row>
    <row r="1498" spans="1:32" x14ac:dyDescent="0.35">
      <c r="A1498">
        <v>1497</v>
      </c>
      <c r="B1498" s="1">
        <v>42612</v>
      </c>
      <c r="C1498" s="9" t="s">
        <v>2595</v>
      </c>
      <c r="D1498" s="9" t="s">
        <v>4930</v>
      </c>
      <c r="E1498" s="9" t="s">
        <v>6915</v>
      </c>
      <c r="F1498" s="9" t="s">
        <v>31</v>
      </c>
      <c r="G1498" s="9" t="s">
        <v>2596</v>
      </c>
      <c r="H1498" s="9" t="s">
        <v>105</v>
      </c>
      <c r="I1498" s="11">
        <v>18429897</v>
      </c>
      <c r="J1498" s="11">
        <v>3907294</v>
      </c>
      <c r="K1498" s="11">
        <v>9195373</v>
      </c>
      <c r="L1498" s="3">
        <v>88</v>
      </c>
      <c r="M1498" s="3">
        <v>2505.5</v>
      </c>
      <c r="N1498" s="3">
        <v>353419</v>
      </c>
      <c r="O1498" s="2">
        <v>4.9000000000000002E-2</v>
      </c>
      <c r="P1498" s="2">
        <v>0.35899999999999999</v>
      </c>
      <c r="Q1498" s="2">
        <v>5.2999999999999999E-2</v>
      </c>
      <c r="R1498" s="11">
        <v>21598768</v>
      </c>
      <c r="S1498" s="11">
        <v>1127436</v>
      </c>
      <c r="T1498">
        <v>2016</v>
      </c>
      <c r="U1498">
        <v>8</v>
      </c>
      <c r="V1498">
        <f t="shared" si="138"/>
        <v>600000</v>
      </c>
      <c r="W1498">
        <f t="shared" si="139"/>
        <v>18429897</v>
      </c>
      <c r="X1498">
        <f t="shared" si="140"/>
        <v>17829897</v>
      </c>
      <c r="Y1498">
        <f t="shared" si="141"/>
        <v>-26144845.5</v>
      </c>
      <c r="Z1498">
        <f t="shared" si="142"/>
        <v>45174742.5</v>
      </c>
      <c r="AA1498" t="str">
        <f t="shared" si="143"/>
        <v>Normal</v>
      </c>
      <c r="AE1498" s="2"/>
      <c r="AF1498" s="2"/>
    </row>
    <row r="1499" spans="1:32" x14ac:dyDescent="0.35">
      <c r="A1499">
        <v>1498</v>
      </c>
      <c r="B1499" s="1">
        <v>42613</v>
      </c>
      <c r="C1499" s="9" t="s">
        <v>2597</v>
      </c>
      <c r="D1499" s="9" t="s">
        <v>4925</v>
      </c>
      <c r="E1499" s="9" t="s">
        <v>6916</v>
      </c>
      <c r="F1499" s="9" t="s">
        <v>31</v>
      </c>
      <c r="G1499" s="9" t="s">
        <v>2598</v>
      </c>
      <c r="H1499" s="9" t="s">
        <v>105</v>
      </c>
      <c r="I1499" s="11">
        <v>5300000</v>
      </c>
      <c r="J1499" s="11">
        <v>2346805</v>
      </c>
      <c r="K1499" s="11">
        <v>9014154</v>
      </c>
      <c r="L1499" s="3">
        <v>70</v>
      </c>
      <c r="M1499" s="3">
        <v>1500</v>
      </c>
      <c r="N1499" s="3">
        <v>1569080</v>
      </c>
      <c r="O1499" s="2">
        <v>0.371</v>
      </c>
      <c r="P1499" s="2">
        <v>1.014</v>
      </c>
      <c r="Q1499" s="2">
        <v>5.0999999999999997E-2</v>
      </c>
      <c r="R1499" s="11">
        <v>493821177</v>
      </c>
      <c r="S1499" s="11">
        <v>936857</v>
      </c>
      <c r="T1499">
        <v>2016</v>
      </c>
      <c r="U1499">
        <v>8</v>
      </c>
      <c r="V1499">
        <f t="shared" si="138"/>
        <v>600000</v>
      </c>
      <c r="W1499">
        <f t="shared" si="139"/>
        <v>18429897</v>
      </c>
      <c r="X1499">
        <f t="shared" si="140"/>
        <v>17829897</v>
      </c>
      <c r="Y1499">
        <f t="shared" si="141"/>
        <v>-26144845.5</v>
      </c>
      <c r="Z1499">
        <f t="shared" si="142"/>
        <v>45174742.5</v>
      </c>
      <c r="AA1499" t="str">
        <f t="shared" si="143"/>
        <v>Normal</v>
      </c>
      <c r="AE1499" s="2"/>
      <c r="AF1499" s="2"/>
    </row>
    <row r="1500" spans="1:32" x14ac:dyDescent="0.35">
      <c r="A1500">
        <v>1499</v>
      </c>
      <c r="B1500" s="1">
        <v>42613</v>
      </c>
      <c r="C1500" s="9" t="s">
        <v>1191</v>
      </c>
      <c r="D1500" s="9" t="s">
        <v>4988</v>
      </c>
      <c r="E1500" s="9" t="s">
        <v>6917</v>
      </c>
      <c r="F1500" s="9" t="s">
        <v>31</v>
      </c>
      <c r="G1500" s="9" t="s">
        <v>2599</v>
      </c>
      <c r="H1500" s="9" t="s">
        <v>86</v>
      </c>
      <c r="I1500" s="11">
        <v>18429897</v>
      </c>
      <c r="J1500" s="11">
        <v>4209194</v>
      </c>
      <c r="K1500" s="11">
        <v>18803582</v>
      </c>
      <c r="L1500" s="3">
        <v>86</v>
      </c>
      <c r="M1500" s="3">
        <v>748</v>
      </c>
      <c r="N1500" s="3">
        <v>1056846</v>
      </c>
      <c r="O1500" s="2">
        <v>0.32500000000000001</v>
      </c>
      <c r="P1500" s="2">
        <v>0.42799999999999999</v>
      </c>
      <c r="Q1500" s="2">
        <v>-7.0000000000000007E-2</v>
      </c>
      <c r="R1500" s="11">
        <v>311872856</v>
      </c>
      <c r="S1500" s="11">
        <v>1762002</v>
      </c>
      <c r="T1500">
        <v>2016</v>
      </c>
      <c r="U1500">
        <v>8</v>
      </c>
      <c r="V1500">
        <f t="shared" si="138"/>
        <v>600000</v>
      </c>
      <c r="W1500">
        <f t="shared" si="139"/>
        <v>18429897</v>
      </c>
      <c r="X1500">
        <f t="shared" si="140"/>
        <v>17829897</v>
      </c>
      <c r="Y1500">
        <f t="shared" si="141"/>
        <v>-26144845.5</v>
      </c>
      <c r="Z1500">
        <f t="shared" si="142"/>
        <v>45174742.5</v>
      </c>
      <c r="AA1500" t="str">
        <f t="shared" si="143"/>
        <v>Normal</v>
      </c>
      <c r="AE1500" s="2"/>
      <c r="AF1500" s="2"/>
    </row>
    <row r="1501" spans="1:32" x14ac:dyDescent="0.35">
      <c r="A1501">
        <v>1500</v>
      </c>
      <c r="B1501" s="1">
        <v>42552</v>
      </c>
      <c r="C1501" s="9" t="s">
        <v>814</v>
      </c>
      <c r="D1501" s="9" t="s">
        <v>4988</v>
      </c>
      <c r="E1501" s="9" t="s">
        <v>5244</v>
      </c>
      <c r="F1501" s="9" t="s">
        <v>15</v>
      </c>
      <c r="G1501" s="9" t="s">
        <v>2600</v>
      </c>
      <c r="H1501" s="9" t="s">
        <v>105</v>
      </c>
      <c r="I1501" s="11">
        <v>18429897</v>
      </c>
      <c r="J1501" s="11">
        <v>2531926</v>
      </c>
      <c r="K1501" s="11">
        <v>4133796</v>
      </c>
      <c r="L1501" s="3">
        <v>293</v>
      </c>
      <c r="M1501" s="3">
        <v>3760</v>
      </c>
      <c r="N1501" s="3">
        <v>1539159</v>
      </c>
      <c r="O1501" s="2">
        <v>0.46700000000000003</v>
      </c>
      <c r="P1501" s="2">
        <v>1.028</v>
      </c>
      <c r="Q1501" s="2">
        <v>-0.111</v>
      </c>
      <c r="R1501" s="11">
        <v>424301783</v>
      </c>
      <c r="S1501" s="11">
        <v>240610</v>
      </c>
      <c r="T1501">
        <v>2016</v>
      </c>
      <c r="U1501">
        <v>7</v>
      </c>
      <c r="V1501">
        <f t="shared" si="138"/>
        <v>600000</v>
      </c>
      <c r="W1501">
        <f t="shared" si="139"/>
        <v>18429897</v>
      </c>
      <c r="X1501">
        <f t="shared" si="140"/>
        <v>17829897</v>
      </c>
      <c r="Y1501">
        <f t="shared" si="141"/>
        <v>-26144845.5</v>
      </c>
      <c r="Z1501">
        <f t="shared" si="142"/>
        <v>45174742.5</v>
      </c>
      <c r="AA1501" t="str">
        <f t="shared" si="143"/>
        <v>Normal</v>
      </c>
      <c r="AE1501" s="2"/>
      <c r="AF1501" s="2"/>
    </row>
    <row r="1502" spans="1:32" x14ac:dyDescent="0.35">
      <c r="A1502">
        <v>1501</v>
      </c>
      <c r="B1502" s="1">
        <v>42552</v>
      </c>
      <c r="C1502" s="9" t="s">
        <v>1424</v>
      </c>
      <c r="D1502" s="9" t="s">
        <v>4930</v>
      </c>
      <c r="E1502" s="9" t="s">
        <v>6918</v>
      </c>
      <c r="F1502" s="9" t="s">
        <v>124</v>
      </c>
      <c r="G1502" s="9" t="s">
        <v>2601</v>
      </c>
      <c r="H1502" s="9" t="s">
        <v>86</v>
      </c>
      <c r="I1502" s="11">
        <v>18429897</v>
      </c>
      <c r="J1502" s="11">
        <v>1316535</v>
      </c>
      <c r="K1502" s="11">
        <v>6594784</v>
      </c>
      <c r="L1502" s="3">
        <v>406</v>
      </c>
      <c r="M1502" s="3">
        <v>675</v>
      </c>
      <c r="N1502" s="3">
        <v>751374</v>
      </c>
      <c r="O1502" s="2">
        <v>0.57100000000000006</v>
      </c>
      <c r="P1502" s="2">
        <v>0.29499999999999998</v>
      </c>
      <c r="Q1502" s="2">
        <v>0.1</v>
      </c>
      <c r="R1502" s="11">
        <v>159008024</v>
      </c>
      <c r="S1502" s="11">
        <v>313410</v>
      </c>
      <c r="T1502">
        <v>2016</v>
      </c>
      <c r="U1502">
        <v>7</v>
      </c>
      <c r="V1502">
        <f t="shared" si="138"/>
        <v>600000</v>
      </c>
      <c r="W1502">
        <f t="shared" si="139"/>
        <v>18429897</v>
      </c>
      <c r="X1502">
        <f t="shared" si="140"/>
        <v>17829897</v>
      </c>
      <c r="Y1502">
        <f t="shared" si="141"/>
        <v>-26144845.5</v>
      </c>
      <c r="Z1502">
        <f t="shared" si="142"/>
        <v>45174742.5</v>
      </c>
      <c r="AA1502" t="str">
        <f t="shared" si="143"/>
        <v>Normal</v>
      </c>
      <c r="AE1502" s="2"/>
      <c r="AF1502" s="2"/>
    </row>
    <row r="1503" spans="1:32" x14ac:dyDescent="0.35">
      <c r="A1503">
        <v>1502</v>
      </c>
      <c r="B1503" s="1">
        <v>42552</v>
      </c>
      <c r="C1503" s="9" t="s">
        <v>329</v>
      </c>
      <c r="D1503" s="9" t="s">
        <v>4988</v>
      </c>
      <c r="E1503" s="9" t="s">
        <v>6919</v>
      </c>
      <c r="F1503" s="9" t="s">
        <v>31</v>
      </c>
      <c r="G1503" s="9" t="s">
        <v>2602</v>
      </c>
      <c r="H1503" s="9" t="s">
        <v>86</v>
      </c>
      <c r="I1503" s="11">
        <v>500000</v>
      </c>
      <c r="J1503" s="11">
        <v>1160510</v>
      </c>
      <c r="K1503" s="11">
        <v>1000000000</v>
      </c>
      <c r="L1503" s="3">
        <v>245</v>
      </c>
      <c r="M1503" s="3">
        <v>2309</v>
      </c>
      <c r="N1503" s="3">
        <v>488874</v>
      </c>
      <c r="O1503" s="2">
        <v>0.13200000000000001</v>
      </c>
      <c r="P1503" s="2">
        <v>1.0369999999999999</v>
      </c>
      <c r="Q1503" s="2">
        <v>0.377</v>
      </c>
      <c r="R1503" s="11">
        <v>258705421</v>
      </c>
      <c r="S1503" s="11">
        <v>139376</v>
      </c>
      <c r="T1503">
        <v>2016</v>
      </c>
      <c r="U1503">
        <v>7</v>
      </c>
      <c r="V1503">
        <f t="shared" si="138"/>
        <v>600000</v>
      </c>
      <c r="W1503">
        <f t="shared" si="139"/>
        <v>18429897</v>
      </c>
      <c r="X1503">
        <f t="shared" si="140"/>
        <v>17829897</v>
      </c>
      <c r="Y1503">
        <f t="shared" si="141"/>
        <v>-26144845.5</v>
      </c>
      <c r="Z1503">
        <f t="shared" si="142"/>
        <v>45174742.5</v>
      </c>
      <c r="AA1503" t="str">
        <f t="shared" si="143"/>
        <v>Normal</v>
      </c>
      <c r="AE1503" s="2"/>
      <c r="AF1503" s="2"/>
    </row>
    <row r="1504" spans="1:32" x14ac:dyDescent="0.35">
      <c r="A1504">
        <v>1503</v>
      </c>
      <c r="B1504" s="1">
        <v>42552</v>
      </c>
      <c r="C1504" s="9" t="s">
        <v>2603</v>
      </c>
      <c r="D1504" s="9" t="s">
        <v>4988</v>
      </c>
      <c r="E1504" s="9" t="s">
        <v>6242</v>
      </c>
      <c r="F1504" s="9" t="s">
        <v>27</v>
      </c>
      <c r="G1504" s="9" t="s">
        <v>2604</v>
      </c>
      <c r="H1504" s="9" t="s">
        <v>105</v>
      </c>
      <c r="I1504" s="11">
        <v>18429897</v>
      </c>
      <c r="J1504" s="11">
        <v>1626002</v>
      </c>
      <c r="K1504" s="11">
        <v>3119843</v>
      </c>
      <c r="L1504" s="3">
        <v>254</v>
      </c>
      <c r="M1504" s="3">
        <v>3676</v>
      </c>
      <c r="N1504" s="3">
        <v>436909</v>
      </c>
      <c r="O1504" s="2">
        <v>-0.111</v>
      </c>
      <c r="P1504" s="2">
        <v>0.93300000000000005</v>
      </c>
      <c r="Q1504" s="2">
        <v>0.49200000000000005</v>
      </c>
      <c r="R1504" s="11">
        <v>441130095</v>
      </c>
      <c r="S1504" s="11">
        <v>487293</v>
      </c>
      <c r="T1504">
        <v>2016</v>
      </c>
      <c r="U1504">
        <v>7</v>
      </c>
      <c r="V1504">
        <f t="shared" si="138"/>
        <v>600000</v>
      </c>
      <c r="W1504">
        <f t="shared" si="139"/>
        <v>18429897</v>
      </c>
      <c r="X1504">
        <f t="shared" si="140"/>
        <v>17829897</v>
      </c>
      <c r="Y1504">
        <f t="shared" si="141"/>
        <v>-26144845.5</v>
      </c>
      <c r="Z1504">
        <f t="shared" si="142"/>
        <v>45174742.5</v>
      </c>
      <c r="AA1504" t="str">
        <f t="shared" si="143"/>
        <v>Normal</v>
      </c>
      <c r="AE1504" s="2"/>
      <c r="AF1504" s="2"/>
    </row>
    <row r="1505" spans="1:32" x14ac:dyDescent="0.35">
      <c r="A1505">
        <v>1504</v>
      </c>
      <c r="B1505" s="1">
        <v>42553</v>
      </c>
      <c r="C1505" s="9" t="s">
        <v>2605</v>
      </c>
      <c r="D1505" s="9" t="s">
        <v>4988</v>
      </c>
      <c r="E1505" s="9" t="s">
        <v>6920</v>
      </c>
      <c r="F1505" s="9" t="s">
        <v>15</v>
      </c>
      <c r="G1505" s="9" t="s">
        <v>120</v>
      </c>
      <c r="H1505" s="9" t="s">
        <v>105</v>
      </c>
      <c r="I1505" s="11">
        <v>700000</v>
      </c>
      <c r="J1505" s="11">
        <v>2995370</v>
      </c>
      <c r="K1505" s="11">
        <v>19619971</v>
      </c>
      <c r="L1505" s="3">
        <v>217</v>
      </c>
      <c r="M1505" s="3">
        <v>2965</v>
      </c>
      <c r="N1505" s="3">
        <v>132113</v>
      </c>
      <c r="O1505" s="2">
        <v>1.6E-2</v>
      </c>
      <c r="P1505" s="2">
        <v>0.34799999999999998</v>
      </c>
      <c r="Q1505" s="2">
        <v>0.49299999999999999</v>
      </c>
      <c r="R1505" s="11">
        <v>218868783</v>
      </c>
      <c r="S1505" s="11">
        <v>79056</v>
      </c>
      <c r="T1505">
        <v>2016</v>
      </c>
      <c r="U1505">
        <v>7</v>
      </c>
      <c r="V1505">
        <f t="shared" si="138"/>
        <v>600000</v>
      </c>
      <c r="W1505">
        <f t="shared" si="139"/>
        <v>18429897</v>
      </c>
      <c r="X1505">
        <f t="shared" si="140"/>
        <v>17829897</v>
      </c>
      <c r="Y1505">
        <f t="shared" si="141"/>
        <v>-26144845.5</v>
      </c>
      <c r="Z1505">
        <f t="shared" si="142"/>
        <v>45174742.5</v>
      </c>
      <c r="AA1505" t="str">
        <f t="shared" si="143"/>
        <v>Normal</v>
      </c>
      <c r="AE1505" s="2"/>
      <c r="AF1505" s="2"/>
    </row>
    <row r="1506" spans="1:32" x14ac:dyDescent="0.35">
      <c r="A1506">
        <v>1505</v>
      </c>
      <c r="B1506" s="1">
        <v>42555</v>
      </c>
      <c r="C1506" s="9" t="s">
        <v>2606</v>
      </c>
      <c r="D1506" s="9" t="s">
        <v>4988</v>
      </c>
      <c r="E1506" s="9" t="s">
        <v>6921</v>
      </c>
      <c r="F1506" s="9" t="s">
        <v>31</v>
      </c>
      <c r="G1506" s="9" t="s">
        <v>2135</v>
      </c>
      <c r="H1506" s="9" t="s">
        <v>86</v>
      </c>
      <c r="I1506" s="11">
        <v>18429897</v>
      </c>
      <c r="J1506" s="11">
        <v>2531926</v>
      </c>
      <c r="K1506" s="11">
        <v>16968855</v>
      </c>
      <c r="L1506" s="3">
        <v>374</v>
      </c>
      <c r="M1506" s="3">
        <v>2978</v>
      </c>
      <c r="N1506" s="3">
        <v>1750996</v>
      </c>
      <c r="O1506" s="2">
        <v>0.23499999999999999</v>
      </c>
      <c r="P1506" s="2">
        <v>0.50800000000000001</v>
      </c>
      <c r="Q1506" s="2">
        <v>-1.7000000000000001E-2</v>
      </c>
      <c r="R1506" s="11">
        <v>250697865</v>
      </c>
      <c r="S1506" s="11">
        <v>306505</v>
      </c>
      <c r="T1506">
        <v>2016</v>
      </c>
      <c r="U1506">
        <v>7</v>
      </c>
      <c r="V1506">
        <f t="shared" si="138"/>
        <v>600000</v>
      </c>
      <c r="W1506">
        <f t="shared" si="139"/>
        <v>18429897</v>
      </c>
      <c r="X1506">
        <f t="shared" si="140"/>
        <v>17829897</v>
      </c>
      <c r="Y1506">
        <f t="shared" si="141"/>
        <v>-26144845.5</v>
      </c>
      <c r="Z1506">
        <f t="shared" si="142"/>
        <v>45174742.5</v>
      </c>
      <c r="AA1506" t="str">
        <f t="shared" si="143"/>
        <v>Normal</v>
      </c>
      <c r="AE1506" s="2"/>
      <c r="AF1506" s="2"/>
    </row>
    <row r="1507" spans="1:32" x14ac:dyDescent="0.35">
      <c r="A1507">
        <v>1506</v>
      </c>
      <c r="B1507" s="1">
        <v>42555</v>
      </c>
      <c r="C1507" s="9" t="s">
        <v>857</v>
      </c>
      <c r="D1507" s="9" t="s">
        <v>4988</v>
      </c>
      <c r="E1507" s="9" t="s">
        <v>6922</v>
      </c>
      <c r="F1507" s="9" t="s">
        <v>15</v>
      </c>
      <c r="G1507" s="9" t="s">
        <v>2607</v>
      </c>
      <c r="H1507" s="9" t="s">
        <v>105</v>
      </c>
      <c r="I1507" s="11">
        <v>15000000</v>
      </c>
      <c r="J1507" s="11">
        <v>4572584</v>
      </c>
      <c r="K1507" s="11">
        <v>5257015</v>
      </c>
      <c r="L1507" s="3">
        <v>418</v>
      </c>
      <c r="M1507" s="3">
        <v>1753</v>
      </c>
      <c r="N1507" s="3">
        <v>625230</v>
      </c>
      <c r="O1507" s="2">
        <v>0.40799999999999997</v>
      </c>
      <c r="P1507" s="2">
        <v>0.50800000000000001</v>
      </c>
      <c r="Q1507" s="2">
        <v>-0.19600000000000001</v>
      </c>
      <c r="R1507" s="11">
        <v>17498518</v>
      </c>
      <c r="S1507" s="11">
        <v>1235944</v>
      </c>
      <c r="T1507">
        <v>2016</v>
      </c>
      <c r="U1507">
        <v>7</v>
      </c>
      <c r="V1507">
        <f t="shared" si="138"/>
        <v>600000</v>
      </c>
      <c r="W1507">
        <f t="shared" si="139"/>
        <v>18429897</v>
      </c>
      <c r="X1507">
        <f t="shared" si="140"/>
        <v>17829897</v>
      </c>
      <c r="Y1507">
        <f t="shared" si="141"/>
        <v>-26144845.5</v>
      </c>
      <c r="Z1507">
        <f t="shared" si="142"/>
        <v>45174742.5</v>
      </c>
      <c r="AA1507" t="str">
        <f t="shared" si="143"/>
        <v>Normal</v>
      </c>
      <c r="AE1507" s="2"/>
      <c r="AF1507" s="2"/>
    </row>
    <row r="1508" spans="1:32" x14ac:dyDescent="0.35">
      <c r="A1508">
        <v>1507</v>
      </c>
      <c r="B1508" s="1">
        <v>42555</v>
      </c>
      <c r="C1508" s="9" t="s">
        <v>2608</v>
      </c>
      <c r="D1508" s="9" t="s">
        <v>4925</v>
      </c>
      <c r="E1508" s="9" t="s">
        <v>6923</v>
      </c>
      <c r="F1508" s="9" t="s">
        <v>31</v>
      </c>
      <c r="G1508" s="9" t="s">
        <v>2609</v>
      </c>
      <c r="H1508" s="9" t="s">
        <v>86</v>
      </c>
      <c r="I1508" s="11">
        <v>200000</v>
      </c>
      <c r="J1508" s="11">
        <v>2409719</v>
      </c>
      <c r="K1508" s="11">
        <v>14071168</v>
      </c>
      <c r="L1508" s="3">
        <v>367</v>
      </c>
      <c r="M1508" s="3">
        <v>2505.5</v>
      </c>
      <c r="N1508" s="3">
        <v>1915545</v>
      </c>
      <c r="O1508" s="2">
        <v>-0.09</v>
      </c>
      <c r="P1508" s="2">
        <v>0.33400000000000002</v>
      </c>
      <c r="Q1508" s="2">
        <v>0.32100000000000001</v>
      </c>
      <c r="R1508" s="11">
        <v>275707850</v>
      </c>
      <c r="S1508" s="11">
        <v>1249600</v>
      </c>
      <c r="T1508">
        <v>2016</v>
      </c>
      <c r="U1508">
        <v>7</v>
      </c>
      <c r="V1508">
        <f t="shared" si="138"/>
        <v>600000</v>
      </c>
      <c r="W1508">
        <f t="shared" si="139"/>
        <v>18429897</v>
      </c>
      <c r="X1508">
        <f t="shared" si="140"/>
        <v>17829897</v>
      </c>
      <c r="Y1508">
        <f t="shared" si="141"/>
        <v>-26144845.5</v>
      </c>
      <c r="Z1508">
        <f t="shared" si="142"/>
        <v>45174742.5</v>
      </c>
      <c r="AA1508" t="str">
        <f t="shared" si="143"/>
        <v>Normal</v>
      </c>
      <c r="AE1508" s="2"/>
      <c r="AF1508" s="2"/>
    </row>
    <row r="1509" spans="1:32" x14ac:dyDescent="0.35">
      <c r="A1509">
        <v>1508</v>
      </c>
      <c r="B1509" s="1">
        <v>42555</v>
      </c>
      <c r="C1509" s="9" t="s">
        <v>2610</v>
      </c>
      <c r="D1509" s="9" t="s">
        <v>4928</v>
      </c>
      <c r="E1509" s="9" t="s">
        <v>2611</v>
      </c>
      <c r="F1509" s="9" t="s">
        <v>31</v>
      </c>
      <c r="G1509" s="9" t="s">
        <v>2612</v>
      </c>
      <c r="H1509" s="9" t="s">
        <v>105</v>
      </c>
      <c r="I1509" s="11">
        <v>2000000</v>
      </c>
      <c r="J1509" s="11">
        <v>4319098</v>
      </c>
      <c r="K1509" s="11">
        <v>11902855</v>
      </c>
      <c r="L1509" s="3">
        <v>187</v>
      </c>
      <c r="M1509" s="3">
        <v>2505.5</v>
      </c>
      <c r="N1509" s="3">
        <v>451746</v>
      </c>
      <c r="O1509" s="2">
        <v>0.17100000000000001</v>
      </c>
      <c r="P1509" s="2">
        <v>0.57700000000000007</v>
      </c>
      <c r="Q1509" s="2">
        <v>0.41899999999999998</v>
      </c>
      <c r="R1509" s="11">
        <v>319438875</v>
      </c>
      <c r="S1509" s="11">
        <v>1484864</v>
      </c>
      <c r="T1509">
        <v>2016</v>
      </c>
      <c r="U1509">
        <v>7</v>
      </c>
      <c r="V1509">
        <f t="shared" si="138"/>
        <v>600000</v>
      </c>
      <c r="W1509">
        <f t="shared" si="139"/>
        <v>18429897</v>
      </c>
      <c r="X1509">
        <f t="shared" si="140"/>
        <v>17829897</v>
      </c>
      <c r="Y1509">
        <f t="shared" si="141"/>
        <v>-26144845.5</v>
      </c>
      <c r="Z1509">
        <f t="shared" si="142"/>
        <v>45174742.5</v>
      </c>
      <c r="AA1509" t="str">
        <f t="shared" si="143"/>
        <v>Normal</v>
      </c>
      <c r="AE1509" s="2"/>
      <c r="AF1509" s="2"/>
    </row>
    <row r="1510" spans="1:32" x14ac:dyDescent="0.35">
      <c r="A1510">
        <v>1509</v>
      </c>
      <c r="B1510" s="1">
        <v>42555</v>
      </c>
      <c r="C1510" s="9" t="s">
        <v>2613</v>
      </c>
      <c r="D1510" s="9" t="s">
        <v>4988</v>
      </c>
      <c r="E1510" s="9" t="s">
        <v>6924</v>
      </c>
      <c r="F1510" s="9" t="s">
        <v>4908</v>
      </c>
      <c r="G1510" s="9" t="s">
        <v>2283</v>
      </c>
      <c r="H1510" s="9" t="s">
        <v>86</v>
      </c>
      <c r="I1510" s="11">
        <v>18429897</v>
      </c>
      <c r="J1510" s="11">
        <v>3422626</v>
      </c>
      <c r="K1510" s="11">
        <v>18140914</v>
      </c>
      <c r="L1510" s="3">
        <v>326</v>
      </c>
      <c r="M1510" s="3">
        <v>2407</v>
      </c>
      <c r="N1510" s="3">
        <v>700456</v>
      </c>
      <c r="O1510" s="2">
        <v>-3.9E-2</v>
      </c>
      <c r="P1510" s="2">
        <v>0.878</v>
      </c>
      <c r="Q1510" s="2">
        <v>0.20399999999999999</v>
      </c>
      <c r="R1510" s="11">
        <v>427923326</v>
      </c>
      <c r="S1510" s="11">
        <v>1527416</v>
      </c>
      <c r="T1510">
        <v>2016</v>
      </c>
      <c r="U1510">
        <v>7</v>
      </c>
      <c r="V1510">
        <f t="shared" si="138"/>
        <v>600000</v>
      </c>
      <c r="W1510">
        <f t="shared" si="139"/>
        <v>18429897</v>
      </c>
      <c r="X1510">
        <f t="shared" si="140"/>
        <v>17829897</v>
      </c>
      <c r="Y1510">
        <f t="shared" si="141"/>
        <v>-26144845.5</v>
      </c>
      <c r="Z1510">
        <f t="shared" si="142"/>
        <v>45174742.5</v>
      </c>
      <c r="AA1510" t="str">
        <f t="shared" si="143"/>
        <v>Normal</v>
      </c>
      <c r="AE1510" s="2"/>
      <c r="AF1510" s="2"/>
    </row>
    <row r="1511" spans="1:32" x14ac:dyDescent="0.35">
      <c r="A1511">
        <v>1510</v>
      </c>
      <c r="B1511" s="1">
        <v>42555</v>
      </c>
      <c r="C1511" s="9" t="s">
        <v>2614</v>
      </c>
      <c r="D1511" s="9" t="s">
        <v>4933</v>
      </c>
      <c r="E1511" s="9" t="s">
        <v>6144</v>
      </c>
      <c r="F1511" s="9" t="s">
        <v>31</v>
      </c>
      <c r="G1511" s="9" t="s">
        <v>2615</v>
      </c>
      <c r="H1511" s="9" t="s">
        <v>105</v>
      </c>
      <c r="I1511" s="11">
        <v>16000000</v>
      </c>
      <c r="J1511" s="11">
        <v>2531926</v>
      </c>
      <c r="K1511" s="11">
        <v>6074982</v>
      </c>
      <c r="L1511" s="3">
        <v>38</v>
      </c>
      <c r="M1511" s="3">
        <v>3514</v>
      </c>
      <c r="N1511" s="3">
        <v>1758009</v>
      </c>
      <c r="O1511" s="2">
        <v>9.0999999999999998E-2</v>
      </c>
      <c r="P1511" s="2">
        <v>0.93099999999999994</v>
      </c>
      <c r="Q1511" s="2">
        <v>9.4E-2</v>
      </c>
      <c r="R1511" s="11">
        <v>415634391</v>
      </c>
      <c r="S1511" s="11">
        <v>1532136</v>
      </c>
      <c r="T1511">
        <v>2016</v>
      </c>
      <c r="U1511">
        <v>7</v>
      </c>
      <c r="V1511">
        <f t="shared" si="138"/>
        <v>600000</v>
      </c>
      <c r="W1511">
        <f t="shared" si="139"/>
        <v>18429897</v>
      </c>
      <c r="X1511">
        <f t="shared" si="140"/>
        <v>17829897</v>
      </c>
      <c r="Y1511">
        <f t="shared" si="141"/>
        <v>-26144845.5</v>
      </c>
      <c r="Z1511">
        <f t="shared" si="142"/>
        <v>45174742.5</v>
      </c>
      <c r="AA1511" t="str">
        <f t="shared" si="143"/>
        <v>Normal</v>
      </c>
      <c r="AE1511" s="2"/>
      <c r="AF1511" s="2"/>
    </row>
    <row r="1512" spans="1:32" x14ac:dyDescent="0.35">
      <c r="A1512">
        <v>1511</v>
      </c>
      <c r="B1512" s="1">
        <v>42556</v>
      </c>
      <c r="C1512" s="9" t="s">
        <v>2616</v>
      </c>
      <c r="D1512" s="9" t="s">
        <v>4988</v>
      </c>
      <c r="E1512" s="9" t="s">
        <v>6925</v>
      </c>
      <c r="F1512" s="9" t="s">
        <v>19</v>
      </c>
      <c r="G1512" s="9" t="s">
        <v>1106</v>
      </c>
      <c r="H1512" s="9" t="s">
        <v>105</v>
      </c>
      <c r="I1512" s="11">
        <v>1000000</v>
      </c>
      <c r="J1512" s="11">
        <v>1156699</v>
      </c>
      <c r="K1512" s="11">
        <v>19887575</v>
      </c>
      <c r="L1512" s="3">
        <v>207</v>
      </c>
      <c r="M1512" s="3">
        <v>4146</v>
      </c>
      <c r="N1512" s="3">
        <v>694646</v>
      </c>
      <c r="O1512" s="2">
        <v>8.8000000000000009E-2</v>
      </c>
      <c r="P1512" s="2">
        <v>0.40300000000000002</v>
      </c>
      <c r="Q1512" s="2">
        <v>-5.7000000000000002E-2</v>
      </c>
      <c r="R1512" s="11">
        <v>85869853</v>
      </c>
      <c r="S1512" s="11">
        <v>1683550</v>
      </c>
      <c r="T1512">
        <v>2016</v>
      </c>
      <c r="U1512">
        <v>7</v>
      </c>
      <c r="V1512">
        <f t="shared" si="138"/>
        <v>600000</v>
      </c>
      <c r="W1512">
        <f t="shared" si="139"/>
        <v>18429897</v>
      </c>
      <c r="X1512">
        <f t="shared" si="140"/>
        <v>17829897</v>
      </c>
      <c r="Y1512">
        <f t="shared" si="141"/>
        <v>-26144845.5</v>
      </c>
      <c r="Z1512">
        <f t="shared" si="142"/>
        <v>45174742.5</v>
      </c>
      <c r="AA1512" t="str">
        <f t="shared" si="143"/>
        <v>Normal</v>
      </c>
      <c r="AE1512" s="2"/>
      <c r="AF1512" s="2"/>
    </row>
    <row r="1513" spans="1:32" x14ac:dyDescent="0.35">
      <c r="A1513">
        <v>1512</v>
      </c>
      <c r="B1513" s="1">
        <v>42556</v>
      </c>
      <c r="C1513" s="9" t="s">
        <v>2617</v>
      </c>
      <c r="D1513" s="9" t="s">
        <v>4988</v>
      </c>
      <c r="E1513" s="9" t="s">
        <v>6926</v>
      </c>
      <c r="F1513" s="9" t="s">
        <v>31</v>
      </c>
      <c r="G1513" s="9" t="s">
        <v>2618</v>
      </c>
      <c r="H1513" s="9" t="s">
        <v>105</v>
      </c>
      <c r="I1513" s="11">
        <v>82000000</v>
      </c>
      <c r="J1513" s="11">
        <v>3724841</v>
      </c>
      <c r="K1513" s="11">
        <v>7475370</v>
      </c>
      <c r="L1513" s="3">
        <v>270</v>
      </c>
      <c r="M1513" s="3">
        <v>1262</v>
      </c>
      <c r="N1513" s="3">
        <v>1516932</v>
      </c>
      <c r="O1513" s="2">
        <v>0.19600000000000001</v>
      </c>
      <c r="P1513" s="2">
        <v>0.92200000000000004</v>
      </c>
      <c r="Q1513" s="2">
        <v>0.251</v>
      </c>
      <c r="R1513" s="11">
        <v>22914972</v>
      </c>
      <c r="S1513" s="11">
        <v>1518675</v>
      </c>
      <c r="T1513">
        <v>2016</v>
      </c>
      <c r="U1513">
        <v>7</v>
      </c>
      <c r="V1513">
        <f t="shared" si="138"/>
        <v>600000</v>
      </c>
      <c r="W1513">
        <f t="shared" si="139"/>
        <v>18429897</v>
      </c>
      <c r="X1513">
        <f t="shared" si="140"/>
        <v>17829897</v>
      </c>
      <c r="Y1513">
        <f t="shared" si="141"/>
        <v>-26144845.5</v>
      </c>
      <c r="Z1513">
        <f t="shared" si="142"/>
        <v>45174742.5</v>
      </c>
      <c r="AA1513" t="str">
        <f t="shared" si="143"/>
        <v>Outlier</v>
      </c>
      <c r="AE1513" s="2"/>
      <c r="AF1513" s="2"/>
    </row>
    <row r="1514" spans="1:32" x14ac:dyDescent="0.35">
      <c r="A1514">
        <v>1513</v>
      </c>
      <c r="B1514" s="1">
        <v>42556</v>
      </c>
      <c r="C1514" s="9" t="s">
        <v>2597</v>
      </c>
      <c r="D1514" s="9" t="s">
        <v>4925</v>
      </c>
      <c r="E1514" s="9" t="s">
        <v>6916</v>
      </c>
      <c r="F1514" s="9" t="s">
        <v>31</v>
      </c>
      <c r="G1514" s="9" t="s">
        <v>4857</v>
      </c>
      <c r="H1514" s="9" t="s">
        <v>86</v>
      </c>
      <c r="I1514" s="11">
        <v>1700000</v>
      </c>
      <c r="J1514" s="11">
        <v>1667063</v>
      </c>
      <c r="K1514" s="11">
        <v>14365482</v>
      </c>
      <c r="L1514" s="3">
        <v>19</v>
      </c>
      <c r="M1514" s="3">
        <v>652</v>
      </c>
      <c r="N1514" s="3">
        <v>183614</v>
      </c>
      <c r="O1514" s="2">
        <v>0.52600000000000002</v>
      </c>
      <c r="P1514" s="2">
        <v>0.50800000000000001</v>
      </c>
      <c r="Q1514" s="2">
        <v>0.24399999999999999</v>
      </c>
      <c r="R1514" s="11">
        <v>99170692</v>
      </c>
      <c r="S1514" s="11">
        <v>480950</v>
      </c>
      <c r="T1514">
        <v>2016</v>
      </c>
      <c r="U1514">
        <v>7</v>
      </c>
      <c r="V1514">
        <f t="shared" si="138"/>
        <v>600000</v>
      </c>
      <c r="W1514">
        <f t="shared" si="139"/>
        <v>18429897</v>
      </c>
      <c r="X1514">
        <f t="shared" si="140"/>
        <v>17829897</v>
      </c>
      <c r="Y1514">
        <f t="shared" si="141"/>
        <v>-26144845.5</v>
      </c>
      <c r="Z1514">
        <f t="shared" si="142"/>
        <v>45174742.5</v>
      </c>
      <c r="AA1514" t="str">
        <f t="shared" si="143"/>
        <v>Normal</v>
      </c>
      <c r="AE1514" s="2"/>
      <c r="AF1514" s="2"/>
    </row>
    <row r="1515" spans="1:32" x14ac:dyDescent="0.35">
      <c r="A1515">
        <v>1514</v>
      </c>
      <c r="B1515" s="1">
        <v>42557</v>
      </c>
      <c r="C1515" s="9" t="s">
        <v>2619</v>
      </c>
      <c r="D1515" s="9" t="s">
        <v>4925</v>
      </c>
      <c r="E1515" s="9" t="s">
        <v>6927</v>
      </c>
      <c r="F1515" s="9" t="s">
        <v>27</v>
      </c>
      <c r="G1515" s="9" t="s">
        <v>436</v>
      </c>
      <c r="H1515" s="9" t="s">
        <v>105</v>
      </c>
      <c r="I1515" s="11">
        <v>740000</v>
      </c>
      <c r="J1515" s="11">
        <v>1249401</v>
      </c>
      <c r="K1515" s="11">
        <v>8015455</v>
      </c>
      <c r="L1515" s="3">
        <v>12</v>
      </c>
      <c r="M1515" s="3">
        <v>2343</v>
      </c>
      <c r="N1515" s="3">
        <v>1908313</v>
      </c>
      <c r="O1515" s="2">
        <v>0.215</v>
      </c>
      <c r="P1515" s="2">
        <v>0.24299999999999999</v>
      </c>
      <c r="Q1515" s="2">
        <v>0.17100000000000001</v>
      </c>
      <c r="R1515" s="11">
        <v>372579734</v>
      </c>
      <c r="S1515" s="11">
        <v>1984042</v>
      </c>
      <c r="T1515">
        <v>2016</v>
      </c>
      <c r="U1515">
        <v>7</v>
      </c>
      <c r="V1515">
        <f t="shared" si="138"/>
        <v>600000</v>
      </c>
      <c r="W1515">
        <f t="shared" si="139"/>
        <v>18429897</v>
      </c>
      <c r="X1515">
        <f t="shared" si="140"/>
        <v>17829897</v>
      </c>
      <c r="Y1515">
        <f t="shared" si="141"/>
        <v>-26144845.5</v>
      </c>
      <c r="Z1515">
        <f t="shared" si="142"/>
        <v>45174742.5</v>
      </c>
      <c r="AA1515" t="str">
        <f t="shared" si="143"/>
        <v>Normal</v>
      </c>
      <c r="AE1515" s="2"/>
      <c r="AF1515" s="2"/>
    </row>
    <row r="1516" spans="1:32" x14ac:dyDescent="0.35">
      <c r="A1516">
        <v>1515</v>
      </c>
      <c r="B1516" s="1">
        <v>42557</v>
      </c>
      <c r="C1516" s="9" t="s">
        <v>2620</v>
      </c>
      <c r="D1516" s="9" t="s">
        <v>4930</v>
      </c>
      <c r="E1516" s="9" t="s">
        <v>6928</v>
      </c>
      <c r="F1516" s="9" t="s">
        <v>408</v>
      </c>
      <c r="G1516" s="9" t="s">
        <v>2621</v>
      </c>
      <c r="H1516" s="9" t="s">
        <v>86</v>
      </c>
      <c r="I1516" s="11">
        <v>250000</v>
      </c>
      <c r="J1516" s="11">
        <v>4653315</v>
      </c>
      <c r="K1516" s="11">
        <v>13463513</v>
      </c>
      <c r="L1516" s="3">
        <v>401</v>
      </c>
      <c r="M1516" s="3">
        <v>1947</v>
      </c>
      <c r="N1516" s="3">
        <v>1235544</v>
      </c>
      <c r="O1516" s="2">
        <v>3.4000000000000002E-2</v>
      </c>
      <c r="P1516" s="2">
        <v>0.39500000000000002</v>
      </c>
      <c r="Q1516" s="2">
        <v>-0.17699999999999999</v>
      </c>
      <c r="R1516" s="11">
        <v>114410538</v>
      </c>
      <c r="S1516" s="11">
        <v>1404240</v>
      </c>
      <c r="T1516">
        <v>2016</v>
      </c>
      <c r="U1516">
        <v>7</v>
      </c>
      <c r="V1516">
        <f t="shared" si="138"/>
        <v>600000</v>
      </c>
      <c r="W1516">
        <f t="shared" si="139"/>
        <v>18429897</v>
      </c>
      <c r="X1516">
        <f t="shared" si="140"/>
        <v>17829897</v>
      </c>
      <c r="Y1516">
        <f t="shared" si="141"/>
        <v>-26144845.5</v>
      </c>
      <c r="Z1516">
        <f t="shared" si="142"/>
        <v>45174742.5</v>
      </c>
      <c r="AA1516" t="str">
        <f t="shared" si="143"/>
        <v>Normal</v>
      </c>
      <c r="AE1516" s="2"/>
      <c r="AF1516" s="2"/>
    </row>
    <row r="1517" spans="1:32" x14ac:dyDescent="0.35">
      <c r="A1517">
        <v>1516</v>
      </c>
      <c r="B1517" s="1">
        <v>42557</v>
      </c>
      <c r="C1517" s="9" t="s">
        <v>2622</v>
      </c>
      <c r="D1517" s="9" t="s">
        <v>4988</v>
      </c>
      <c r="E1517" s="9" t="s">
        <v>6929</v>
      </c>
      <c r="F1517" s="9" t="s">
        <v>35</v>
      </c>
      <c r="G1517" s="9" t="s">
        <v>2623</v>
      </c>
      <c r="H1517" s="9" t="s">
        <v>86</v>
      </c>
      <c r="I1517" s="11">
        <v>297000</v>
      </c>
      <c r="J1517" s="11">
        <v>2423496</v>
      </c>
      <c r="K1517" s="11">
        <v>6767429</v>
      </c>
      <c r="L1517" s="3">
        <v>114</v>
      </c>
      <c r="M1517" s="3">
        <v>791</v>
      </c>
      <c r="N1517" s="3">
        <v>1500604</v>
      </c>
      <c r="O1517" s="2">
        <v>0.1</v>
      </c>
      <c r="P1517" s="2">
        <v>0.54200000000000004</v>
      </c>
      <c r="Q1517" s="2">
        <v>0.36749999999999999</v>
      </c>
      <c r="R1517" s="11">
        <v>380873795</v>
      </c>
      <c r="S1517" s="11">
        <v>240086</v>
      </c>
      <c r="T1517">
        <v>2016</v>
      </c>
      <c r="U1517">
        <v>7</v>
      </c>
      <c r="V1517">
        <f t="shared" si="138"/>
        <v>600000</v>
      </c>
      <c r="W1517">
        <f t="shared" si="139"/>
        <v>18429897</v>
      </c>
      <c r="X1517">
        <f t="shared" si="140"/>
        <v>17829897</v>
      </c>
      <c r="Y1517">
        <f t="shared" si="141"/>
        <v>-26144845.5</v>
      </c>
      <c r="Z1517">
        <f t="shared" si="142"/>
        <v>45174742.5</v>
      </c>
      <c r="AA1517" t="str">
        <f t="shared" si="143"/>
        <v>Normal</v>
      </c>
      <c r="AE1517" s="2"/>
      <c r="AF1517" s="2"/>
    </row>
    <row r="1518" spans="1:32" x14ac:dyDescent="0.35">
      <c r="A1518">
        <v>1517</v>
      </c>
      <c r="B1518" s="1">
        <v>42558</v>
      </c>
      <c r="C1518" s="9" t="s">
        <v>2624</v>
      </c>
      <c r="D1518" s="9" t="s">
        <v>4930</v>
      </c>
      <c r="E1518" s="9" t="s">
        <v>6930</v>
      </c>
      <c r="F1518" s="9" t="s">
        <v>31</v>
      </c>
      <c r="G1518" s="9" t="s">
        <v>2625</v>
      </c>
      <c r="H1518" s="9" t="s">
        <v>105</v>
      </c>
      <c r="I1518" s="11">
        <v>2000000</v>
      </c>
      <c r="J1518" s="11">
        <v>261875</v>
      </c>
      <c r="K1518" s="11">
        <v>16881570</v>
      </c>
      <c r="L1518" s="3">
        <v>67</v>
      </c>
      <c r="M1518" s="3">
        <v>3812</v>
      </c>
      <c r="N1518" s="3">
        <v>53188</v>
      </c>
      <c r="O1518" s="2">
        <v>8.199999999999999E-2</v>
      </c>
      <c r="P1518" s="2">
        <v>0.23599999999999999</v>
      </c>
      <c r="Q1518" s="2">
        <v>7.6999999999999999E-2</v>
      </c>
      <c r="R1518" s="11">
        <v>468891118</v>
      </c>
      <c r="S1518" s="11">
        <v>906028</v>
      </c>
      <c r="T1518">
        <v>2016</v>
      </c>
      <c r="U1518">
        <v>7</v>
      </c>
      <c r="V1518">
        <f t="shared" si="138"/>
        <v>600000</v>
      </c>
      <c r="W1518">
        <f t="shared" si="139"/>
        <v>18429897</v>
      </c>
      <c r="X1518">
        <f t="shared" si="140"/>
        <v>17829897</v>
      </c>
      <c r="Y1518">
        <f t="shared" si="141"/>
        <v>-26144845.5</v>
      </c>
      <c r="Z1518">
        <f t="shared" si="142"/>
        <v>45174742.5</v>
      </c>
      <c r="AA1518" t="str">
        <f t="shared" si="143"/>
        <v>Normal</v>
      </c>
      <c r="AE1518" s="2"/>
      <c r="AF1518" s="2"/>
    </row>
    <row r="1519" spans="1:32" x14ac:dyDescent="0.35">
      <c r="A1519">
        <v>1518</v>
      </c>
      <c r="B1519" s="1">
        <v>42558</v>
      </c>
      <c r="C1519" s="9" t="s">
        <v>2626</v>
      </c>
      <c r="D1519" s="9" t="s">
        <v>4988</v>
      </c>
      <c r="E1519" s="9" t="s">
        <v>6931</v>
      </c>
      <c r="F1519" s="9" t="s">
        <v>27</v>
      </c>
      <c r="G1519" s="9" t="s">
        <v>1315</v>
      </c>
      <c r="H1519" s="9" t="s">
        <v>105</v>
      </c>
      <c r="I1519" s="11">
        <v>1000000</v>
      </c>
      <c r="J1519" s="11">
        <v>2531926</v>
      </c>
      <c r="K1519" s="11">
        <v>12784255</v>
      </c>
      <c r="L1519" s="3">
        <v>298</v>
      </c>
      <c r="M1519" s="3">
        <v>3138</v>
      </c>
      <c r="N1519" s="3">
        <v>1929189</v>
      </c>
      <c r="O1519" s="2">
        <v>-5.4000000000000006E-2</v>
      </c>
      <c r="P1519" s="2">
        <v>0.29499999999999998</v>
      </c>
      <c r="Q1519" s="2">
        <v>0.36</v>
      </c>
      <c r="R1519" s="11">
        <v>340457631</v>
      </c>
      <c r="S1519" s="11">
        <v>1820716</v>
      </c>
      <c r="T1519">
        <v>2016</v>
      </c>
      <c r="U1519">
        <v>7</v>
      </c>
      <c r="V1519">
        <f t="shared" si="138"/>
        <v>600000</v>
      </c>
      <c r="W1519">
        <f t="shared" si="139"/>
        <v>18429897</v>
      </c>
      <c r="X1519">
        <f t="shared" si="140"/>
        <v>17829897</v>
      </c>
      <c r="Y1519">
        <f t="shared" si="141"/>
        <v>-26144845.5</v>
      </c>
      <c r="Z1519">
        <f t="shared" si="142"/>
        <v>45174742.5</v>
      </c>
      <c r="AA1519" t="str">
        <f t="shared" si="143"/>
        <v>Normal</v>
      </c>
      <c r="AE1519" s="2"/>
      <c r="AF1519" s="2"/>
    </row>
    <row r="1520" spans="1:32" x14ac:dyDescent="0.35">
      <c r="A1520">
        <v>1519</v>
      </c>
      <c r="B1520" s="1">
        <v>42558</v>
      </c>
      <c r="C1520" s="9" t="s">
        <v>2627</v>
      </c>
      <c r="D1520" s="9" t="s">
        <v>4928</v>
      </c>
      <c r="E1520" s="9" t="s">
        <v>6932</v>
      </c>
      <c r="F1520" s="9" t="s">
        <v>19</v>
      </c>
      <c r="G1520" s="9" t="s">
        <v>2628</v>
      </c>
      <c r="H1520" s="9" t="s">
        <v>105</v>
      </c>
      <c r="I1520" s="11">
        <v>18429897</v>
      </c>
      <c r="J1520" s="11">
        <v>2314632</v>
      </c>
      <c r="K1520" s="11">
        <v>5846590</v>
      </c>
      <c r="L1520" s="3">
        <v>143</v>
      </c>
      <c r="M1520" s="3">
        <v>3306</v>
      </c>
      <c r="N1520" s="3">
        <v>992471</v>
      </c>
      <c r="O1520" s="2">
        <v>0.14799999999999999</v>
      </c>
      <c r="P1520" s="2">
        <v>0.55600000000000005</v>
      </c>
      <c r="Q1520" s="2">
        <v>0.32700000000000001</v>
      </c>
      <c r="R1520" s="11">
        <v>61197310</v>
      </c>
      <c r="S1520" s="11">
        <v>1979088</v>
      </c>
      <c r="T1520">
        <v>2016</v>
      </c>
      <c r="U1520">
        <v>7</v>
      </c>
      <c r="V1520">
        <f t="shared" si="138"/>
        <v>600000</v>
      </c>
      <c r="W1520">
        <f t="shared" si="139"/>
        <v>18429897</v>
      </c>
      <c r="X1520">
        <f t="shared" si="140"/>
        <v>17829897</v>
      </c>
      <c r="Y1520">
        <f t="shared" si="141"/>
        <v>-26144845.5</v>
      </c>
      <c r="Z1520">
        <f t="shared" si="142"/>
        <v>45174742.5</v>
      </c>
      <c r="AA1520" t="str">
        <f t="shared" si="143"/>
        <v>Normal</v>
      </c>
      <c r="AE1520" s="2"/>
      <c r="AF1520" s="2"/>
    </row>
    <row r="1521" spans="1:32" x14ac:dyDescent="0.35">
      <c r="A1521">
        <v>1520</v>
      </c>
      <c r="B1521" s="1">
        <v>42558</v>
      </c>
      <c r="C1521" s="9" t="s">
        <v>2629</v>
      </c>
      <c r="D1521" s="9" t="s">
        <v>4930</v>
      </c>
      <c r="E1521" s="9" t="s">
        <v>6933</v>
      </c>
      <c r="F1521" s="9" t="s">
        <v>31</v>
      </c>
      <c r="G1521" s="9" t="s">
        <v>2630</v>
      </c>
      <c r="H1521" s="9" t="s">
        <v>86</v>
      </c>
      <c r="I1521" s="11">
        <v>18429897</v>
      </c>
      <c r="J1521" s="11">
        <v>4322563</v>
      </c>
      <c r="K1521" s="11">
        <v>19222631</v>
      </c>
      <c r="L1521" s="3">
        <v>489</v>
      </c>
      <c r="M1521" s="3">
        <v>3560</v>
      </c>
      <c r="N1521" s="3">
        <v>423705</v>
      </c>
      <c r="O1521" s="2">
        <v>1.6E-2</v>
      </c>
      <c r="P1521" s="2">
        <v>1.125E-2</v>
      </c>
      <c r="Q1521" s="2">
        <v>0</v>
      </c>
      <c r="R1521" s="11">
        <v>245309386</v>
      </c>
      <c r="S1521" s="11">
        <v>1934632</v>
      </c>
      <c r="T1521">
        <v>2016</v>
      </c>
      <c r="U1521">
        <v>7</v>
      </c>
      <c r="V1521">
        <f t="shared" si="138"/>
        <v>600000</v>
      </c>
      <c r="W1521">
        <f t="shared" si="139"/>
        <v>18429897</v>
      </c>
      <c r="X1521">
        <f t="shared" si="140"/>
        <v>17829897</v>
      </c>
      <c r="Y1521">
        <f t="shared" si="141"/>
        <v>-26144845.5</v>
      </c>
      <c r="Z1521">
        <f t="shared" si="142"/>
        <v>45174742.5</v>
      </c>
      <c r="AA1521" t="str">
        <f t="shared" si="143"/>
        <v>Normal</v>
      </c>
      <c r="AE1521" s="2"/>
      <c r="AF1521" s="2"/>
    </row>
    <row r="1522" spans="1:32" x14ac:dyDescent="0.35">
      <c r="A1522">
        <v>1521</v>
      </c>
      <c r="B1522" s="1">
        <v>42559</v>
      </c>
      <c r="C1522" s="9" t="s">
        <v>1199</v>
      </c>
      <c r="D1522" s="9" t="s">
        <v>4988</v>
      </c>
      <c r="E1522" s="9" t="s">
        <v>6934</v>
      </c>
      <c r="F1522" s="9" t="s">
        <v>15</v>
      </c>
      <c r="G1522" s="9" t="s">
        <v>2631</v>
      </c>
      <c r="H1522" s="9" t="s">
        <v>86</v>
      </c>
      <c r="I1522" s="11">
        <v>18429897</v>
      </c>
      <c r="J1522" s="11">
        <v>3563559</v>
      </c>
      <c r="K1522" s="11">
        <v>14212627</v>
      </c>
      <c r="L1522" s="3">
        <v>473</v>
      </c>
      <c r="M1522" s="3">
        <v>2203</v>
      </c>
      <c r="N1522" s="3">
        <v>305713</v>
      </c>
      <c r="O1522" s="2">
        <v>7.8E-2</v>
      </c>
      <c r="P1522" s="2">
        <v>0.83599999999999997</v>
      </c>
      <c r="Q1522" s="2">
        <v>-0.35699999999999998</v>
      </c>
      <c r="R1522" s="11">
        <v>138023327</v>
      </c>
      <c r="S1522" s="11">
        <v>1408594</v>
      </c>
      <c r="T1522">
        <v>2016</v>
      </c>
      <c r="U1522">
        <v>7</v>
      </c>
      <c r="V1522">
        <f t="shared" si="138"/>
        <v>600000</v>
      </c>
      <c r="W1522">
        <f t="shared" si="139"/>
        <v>18429897</v>
      </c>
      <c r="X1522">
        <f t="shared" si="140"/>
        <v>17829897</v>
      </c>
      <c r="Y1522">
        <f t="shared" si="141"/>
        <v>-26144845.5</v>
      </c>
      <c r="Z1522">
        <f t="shared" si="142"/>
        <v>45174742.5</v>
      </c>
      <c r="AA1522" t="str">
        <f t="shared" si="143"/>
        <v>Normal</v>
      </c>
      <c r="AE1522" s="2"/>
      <c r="AF1522" s="2"/>
    </row>
    <row r="1523" spans="1:32" x14ac:dyDescent="0.35">
      <c r="A1523">
        <v>1522</v>
      </c>
      <c r="B1523" s="1">
        <v>42559</v>
      </c>
      <c r="C1523" s="9" t="s">
        <v>746</v>
      </c>
      <c r="D1523" s="9" t="s">
        <v>4988</v>
      </c>
      <c r="E1523" s="9" t="s">
        <v>5016</v>
      </c>
      <c r="F1523" s="9" t="s">
        <v>31</v>
      </c>
      <c r="G1523" s="9" t="s">
        <v>2632</v>
      </c>
      <c r="H1523" s="9" t="s">
        <v>105</v>
      </c>
      <c r="I1523" s="11">
        <v>1950000</v>
      </c>
      <c r="J1523" s="11">
        <v>972959</v>
      </c>
      <c r="K1523" s="11">
        <v>8629829</v>
      </c>
      <c r="L1523" s="3">
        <v>412</v>
      </c>
      <c r="M1523" s="3">
        <v>2575</v>
      </c>
      <c r="N1523" s="3">
        <v>174323</v>
      </c>
      <c r="O1523" s="2">
        <v>9.4E-2</v>
      </c>
      <c r="P1523" s="2">
        <v>1.1339999999999999E-2</v>
      </c>
      <c r="Q1523" s="2">
        <v>0.434</v>
      </c>
      <c r="R1523" s="11">
        <v>323897120</v>
      </c>
      <c r="S1523" s="11">
        <v>1161177</v>
      </c>
      <c r="T1523">
        <v>2016</v>
      </c>
      <c r="U1523">
        <v>7</v>
      </c>
      <c r="V1523">
        <f t="shared" si="138"/>
        <v>600000</v>
      </c>
      <c r="W1523">
        <f t="shared" si="139"/>
        <v>18429897</v>
      </c>
      <c r="X1523">
        <f t="shared" si="140"/>
        <v>17829897</v>
      </c>
      <c r="Y1523">
        <f t="shared" si="141"/>
        <v>-26144845.5</v>
      </c>
      <c r="Z1523">
        <f t="shared" si="142"/>
        <v>45174742.5</v>
      </c>
      <c r="AA1523" t="str">
        <f t="shared" si="143"/>
        <v>Normal</v>
      </c>
      <c r="AE1523" s="2"/>
      <c r="AF1523" s="2"/>
    </row>
    <row r="1524" spans="1:32" x14ac:dyDescent="0.35">
      <c r="A1524">
        <v>1523</v>
      </c>
      <c r="B1524" s="1">
        <v>42562</v>
      </c>
      <c r="C1524" s="9" t="s">
        <v>907</v>
      </c>
      <c r="D1524" s="9" t="s">
        <v>4925</v>
      </c>
      <c r="E1524" s="9" t="s">
        <v>6935</v>
      </c>
      <c r="F1524" s="9" t="s">
        <v>31</v>
      </c>
      <c r="G1524" s="9" t="s">
        <v>2633</v>
      </c>
      <c r="H1524" s="9" t="s">
        <v>105</v>
      </c>
      <c r="I1524" s="11">
        <v>6000000</v>
      </c>
      <c r="J1524" s="11">
        <v>769260</v>
      </c>
      <c r="K1524" s="11">
        <v>2804116</v>
      </c>
      <c r="L1524" s="3">
        <v>154</v>
      </c>
      <c r="M1524" s="3">
        <v>1160</v>
      </c>
      <c r="N1524" s="3">
        <v>1344669</v>
      </c>
      <c r="O1524" s="2">
        <v>-0.112</v>
      </c>
      <c r="P1524" s="2">
        <v>0.23699999999999999</v>
      </c>
      <c r="Q1524" s="2">
        <v>0.41</v>
      </c>
      <c r="R1524" s="11">
        <v>219221568</v>
      </c>
      <c r="S1524" s="11">
        <v>214264</v>
      </c>
      <c r="T1524">
        <v>2016</v>
      </c>
      <c r="U1524">
        <v>7</v>
      </c>
      <c r="V1524">
        <f t="shared" si="138"/>
        <v>600000</v>
      </c>
      <c r="W1524">
        <f t="shared" si="139"/>
        <v>18429897</v>
      </c>
      <c r="X1524">
        <f t="shared" si="140"/>
        <v>17829897</v>
      </c>
      <c r="Y1524">
        <f t="shared" si="141"/>
        <v>-26144845.5</v>
      </c>
      <c r="Z1524">
        <f t="shared" si="142"/>
        <v>45174742.5</v>
      </c>
      <c r="AA1524" t="str">
        <f t="shared" si="143"/>
        <v>Normal</v>
      </c>
      <c r="AE1524" s="2"/>
      <c r="AF1524" s="2"/>
    </row>
    <row r="1525" spans="1:32" x14ac:dyDescent="0.35">
      <c r="A1525">
        <v>1524</v>
      </c>
      <c r="B1525" s="1">
        <v>42562</v>
      </c>
      <c r="C1525" s="9" t="s">
        <v>2634</v>
      </c>
      <c r="D1525" s="9" t="s">
        <v>4930</v>
      </c>
      <c r="E1525" s="9" t="s">
        <v>6936</v>
      </c>
      <c r="F1525" s="9" t="s">
        <v>19</v>
      </c>
      <c r="G1525" s="9" t="s">
        <v>2635</v>
      </c>
      <c r="H1525" s="9" t="s">
        <v>105</v>
      </c>
      <c r="I1525" s="11">
        <v>3500000</v>
      </c>
      <c r="J1525" s="11">
        <v>3025900</v>
      </c>
      <c r="K1525" s="11">
        <v>19469201</v>
      </c>
      <c r="L1525" s="3">
        <v>438</v>
      </c>
      <c r="M1525" s="3">
        <v>3670</v>
      </c>
      <c r="N1525" s="3">
        <v>425836</v>
      </c>
      <c r="O1525" s="2">
        <v>4.4000000000000004E-2</v>
      </c>
      <c r="P1525" s="2">
        <v>1.0680000000000001</v>
      </c>
      <c r="Q1525" s="2">
        <v>0.36749999999999999</v>
      </c>
      <c r="R1525" s="11">
        <v>245049371</v>
      </c>
      <c r="S1525" s="11">
        <v>1175231</v>
      </c>
      <c r="T1525">
        <v>2016</v>
      </c>
      <c r="U1525">
        <v>7</v>
      </c>
      <c r="V1525">
        <f t="shared" si="138"/>
        <v>600000</v>
      </c>
      <c r="W1525">
        <f t="shared" si="139"/>
        <v>18429897</v>
      </c>
      <c r="X1525">
        <f t="shared" si="140"/>
        <v>17829897</v>
      </c>
      <c r="Y1525">
        <f t="shared" si="141"/>
        <v>-26144845.5</v>
      </c>
      <c r="Z1525">
        <f t="shared" si="142"/>
        <v>45174742.5</v>
      </c>
      <c r="AA1525" t="str">
        <f t="shared" si="143"/>
        <v>Normal</v>
      </c>
      <c r="AE1525" s="2"/>
      <c r="AF1525" s="2"/>
    </row>
    <row r="1526" spans="1:32" x14ac:dyDescent="0.35">
      <c r="A1526">
        <v>1525</v>
      </c>
      <c r="B1526" s="1">
        <v>42562</v>
      </c>
      <c r="C1526" s="9" t="s">
        <v>2636</v>
      </c>
      <c r="D1526" s="9" t="s">
        <v>4925</v>
      </c>
      <c r="E1526" s="9" t="s">
        <v>6937</v>
      </c>
      <c r="F1526" s="9" t="s">
        <v>19</v>
      </c>
      <c r="G1526" s="9" t="s">
        <v>2637</v>
      </c>
      <c r="H1526" s="9" t="s">
        <v>105</v>
      </c>
      <c r="I1526" s="11">
        <v>3000000</v>
      </c>
      <c r="J1526" s="11">
        <v>255922</v>
      </c>
      <c r="K1526" s="11">
        <v>15124370</v>
      </c>
      <c r="L1526" s="3">
        <v>131</v>
      </c>
      <c r="M1526" s="3">
        <v>4734</v>
      </c>
      <c r="N1526" s="3">
        <v>1857827</v>
      </c>
      <c r="O1526" s="2">
        <v>0.34399999999999997</v>
      </c>
      <c r="P1526" s="2">
        <v>0.33600000000000002</v>
      </c>
      <c r="Q1526" s="2">
        <v>-0.7</v>
      </c>
      <c r="R1526" s="11">
        <v>303579112</v>
      </c>
      <c r="S1526" s="11">
        <v>615553</v>
      </c>
      <c r="T1526">
        <v>2016</v>
      </c>
      <c r="U1526">
        <v>7</v>
      </c>
      <c r="V1526">
        <f t="shared" si="138"/>
        <v>600000</v>
      </c>
      <c r="W1526">
        <f t="shared" si="139"/>
        <v>18429897</v>
      </c>
      <c r="X1526">
        <f t="shared" si="140"/>
        <v>17829897</v>
      </c>
      <c r="Y1526">
        <f t="shared" si="141"/>
        <v>-26144845.5</v>
      </c>
      <c r="Z1526">
        <f t="shared" si="142"/>
        <v>45174742.5</v>
      </c>
      <c r="AA1526" t="str">
        <f t="shared" si="143"/>
        <v>Normal</v>
      </c>
      <c r="AE1526" s="2"/>
      <c r="AF1526" s="2"/>
    </row>
    <row r="1527" spans="1:32" x14ac:dyDescent="0.35">
      <c r="A1527">
        <v>1526</v>
      </c>
      <c r="B1527" s="1">
        <v>42563</v>
      </c>
      <c r="C1527" s="9" t="s">
        <v>2638</v>
      </c>
      <c r="D1527" s="9" t="s">
        <v>4930</v>
      </c>
      <c r="E1527" s="9" t="s">
        <v>6938</v>
      </c>
      <c r="F1527" s="9" t="s">
        <v>19</v>
      </c>
      <c r="G1527" s="9" t="s">
        <v>673</v>
      </c>
      <c r="H1527" s="9" t="s">
        <v>105</v>
      </c>
      <c r="I1527" s="11">
        <v>12250000</v>
      </c>
      <c r="J1527" s="11">
        <v>1608699</v>
      </c>
      <c r="K1527" s="11">
        <v>13389165</v>
      </c>
      <c r="L1527" s="3">
        <v>123</v>
      </c>
      <c r="M1527" s="3">
        <v>4375</v>
      </c>
      <c r="N1527" s="3">
        <v>455501</v>
      </c>
      <c r="O1527" s="2">
        <v>0.35799999999999998</v>
      </c>
      <c r="P1527" s="2">
        <v>0.43700000000000006</v>
      </c>
      <c r="Q1527" s="2">
        <v>2.3E-2</v>
      </c>
      <c r="R1527" s="11">
        <v>188467156</v>
      </c>
      <c r="S1527" s="11">
        <v>550917</v>
      </c>
      <c r="T1527">
        <v>2016</v>
      </c>
      <c r="U1527">
        <v>7</v>
      </c>
      <c r="V1527">
        <f t="shared" si="138"/>
        <v>600000</v>
      </c>
      <c r="W1527">
        <f t="shared" si="139"/>
        <v>18429897</v>
      </c>
      <c r="X1527">
        <f t="shared" si="140"/>
        <v>17829897</v>
      </c>
      <c r="Y1527">
        <f t="shared" si="141"/>
        <v>-26144845.5</v>
      </c>
      <c r="Z1527">
        <f t="shared" si="142"/>
        <v>45174742.5</v>
      </c>
      <c r="AA1527" t="str">
        <f t="shared" si="143"/>
        <v>Normal</v>
      </c>
      <c r="AE1527" s="2"/>
      <c r="AF1527" s="2"/>
    </row>
    <row r="1528" spans="1:32" x14ac:dyDescent="0.35">
      <c r="A1528">
        <v>1527</v>
      </c>
      <c r="B1528" s="1">
        <v>42563</v>
      </c>
      <c r="C1528" s="9" t="s">
        <v>1376</v>
      </c>
      <c r="D1528" s="9" t="s">
        <v>4988</v>
      </c>
      <c r="E1528" s="9" t="s">
        <v>6939</v>
      </c>
      <c r="F1528" s="9" t="s">
        <v>27</v>
      </c>
      <c r="G1528" s="9" t="s">
        <v>2639</v>
      </c>
      <c r="H1528" s="9" t="s">
        <v>86</v>
      </c>
      <c r="I1528" s="11">
        <v>18429897</v>
      </c>
      <c r="J1528" s="11">
        <v>708262</v>
      </c>
      <c r="K1528" s="11">
        <v>16678929</v>
      </c>
      <c r="L1528" s="3">
        <v>486</v>
      </c>
      <c r="M1528" s="3">
        <v>2069</v>
      </c>
      <c r="N1528" s="3">
        <v>177656</v>
      </c>
      <c r="O1528" s="2">
        <v>1.3000000000000001E-2</v>
      </c>
      <c r="P1528" s="2">
        <v>0.3</v>
      </c>
      <c r="Q1528" s="2">
        <v>0.33300000000000002</v>
      </c>
      <c r="R1528" s="11">
        <v>470813220</v>
      </c>
      <c r="S1528" s="11">
        <v>1357896</v>
      </c>
      <c r="T1528">
        <v>2016</v>
      </c>
      <c r="U1528">
        <v>7</v>
      </c>
      <c r="V1528">
        <f t="shared" si="138"/>
        <v>600000</v>
      </c>
      <c r="W1528">
        <f t="shared" si="139"/>
        <v>18429897</v>
      </c>
      <c r="X1528">
        <f t="shared" si="140"/>
        <v>17829897</v>
      </c>
      <c r="Y1528">
        <f t="shared" si="141"/>
        <v>-26144845.5</v>
      </c>
      <c r="Z1528">
        <f t="shared" si="142"/>
        <v>45174742.5</v>
      </c>
      <c r="AA1528" t="str">
        <f t="shared" si="143"/>
        <v>Normal</v>
      </c>
      <c r="AE1528" s="2"/>
      <c r="AF1528" s="2"/>
    </row>
    <row r="1529" spans="1:32" x14ac:dyDescent="0.35">
      <c r="A1529">
        <v>1528</v>
      </c>
      <c r="B1529" s="1">
        <v>42563</v>
      </c>
      <c r="C1529" s="9" t="s">
        <v>2640</v>
      </c>
      <c r="D1529" s="9" t="s">
        <v>4988</v>
      </c>
      <c r="E1529" s="9" t="s">
        <v>6940</v>
      </c>
      <c r="F1529" s="9" t="s">
        <v>15</v>
      </c>
      <c r="G1529" s="9" t="s">
        <v>4858</v>
      </c>
      <c r="H1529" s="9" t="s">
        <v>105</v>
      </c>
      <c r="I1529" s="11">
        <v>18429897</v>
      </c>
      <c r="J1529" s="11">
        <v>122398</v>
      </c>
      <c r="K1529" s="11">
        <v>12182010</v>
      </c>
      <c r="L1529" s="3">
        <v>338</v>
      </c>
      <c r="M1529" s="3">
        <v>297</v>
      </c>
      <c r="N1529" s="3">
        <v>1705472</v>
      </c>
      <c r="O1529" s="2">
        <v>0.22500000000000001</v>
      </c>
      <c r="P1529" s="2">
        <v>0.61099999999999999</v>
      </c>
      <c r="Q1529" s="2">
        <v>0.23399999999999999</v>
      </c>
      <c r="R1529" s="11">
        <v>25324164</v>
      </c>
      <c r="S1529" s="11">
        <v>477821</v>
      </c>
      <c r="T1529">
        <v>2016</v>
      </c>
      <c r="U1529">
        <v>7</v>
      </c>
      <c r="V1529">
        <f t="shared" si="138"/>
        <v>600000</v>
      </c>
      <c r="W1529">
        <f t="shared" si="139"/>
        <v>18429897</v>
      </c>
      <c r="X1529">
        <f t="shared" si="140"/>
        <v>17829897</v>
      </c>
      <c r="Y1529">
        <f t="shared" si="141"/>
        <v>-26144845.5</v>
      </c>
      <c r="Z1529">
        <f t="shared" si="142"/>
        <v>45174742.5</v>
      </c>
      <c r="AA1529" t="str">
        <f t="shared" si="143"/>
        <v>Normal</v>
      </c>
      <c r="AE1529" s="2"/>
      <c r="AF1529" s="2"/>
    </row>
    <row r="1530" spans="1:32" x14ac:dyDescent="0.35">
      <c r="A1530">
        <v>1529</v>
      </c>
      <c r="B1530" s="1">
        <v>42563</v>
      </c>
      <c r="C1530" s="9" t="s">
        <v>2641</v>
      </c>
      <c r="D1530" s="9" t="s">
        <v>4988</v>
      </c>
      <c r="E1530" s="9" t="s">
        <v>6941</v>
      </c>
      <c r="F1530" s="9" t="s">
        <v>526</v>
      </c>
      <c r="G1530" s="9" t="s">
        <v>2642</v>
      </c>
      <c r="H1530" s="9" t="s">
        <v>86</v>
      </c>
      <c r="I1530" s="11">
        <v>18429897</v>
      </c>
      <c r="J1530" s="11">
        <v>4595739</v>
      </c>
      <c r="K1530" s="11">
        <v>4716902</v>
      </c>
      <c r="L1530" s="3">
        <v>47</v>
      </c>
      <c r="M1530" s="3">
        <v>4395</v>
      </c>
      <c r="N1530" s="3">
        <v>1555503</v>
      </c>
      <c r="O1530" s="2">
        <v>-0.18</v>
      </c>
      <c r="P1530" s="2">
        <v>0.40200000000000002</v>
      </c>
      <c r="Q1530" s="2">
        <v>-0.7</v>
      </c>
      <c r="R1530" s="11">
        <v>362943299</v>
      </c>
      <c r="S1530" s="11">
        <v>1399590</v>
      </c>
      <c r="T1530">
        <v>2016</v>
      </c>
      <c r="U1530">
        <v>7</v>
      </c>
      <c r="V1530">
        <f t="shared" si="138"/>
        <v>600000</v>
      </c>
      <c r="W1530">
        <f t="shared" si="139"/>
        <v>18429897</v>
      </c>
      <c r="X1530">
        <f t="shared" si="140"/>
        <v>17829897</v>
      </c>
      <c r="Y1530">
        <f t="shared" si="141"/>
        <v>-26144845.5</v>
      </c>
      <c r="Z1530">
        <f t="shared" si="142"/>
        <v>45174742.5</v>
      </c>
      <c r="AA1530" t="str">
        <f t="shared" si="143"/>
        <v>Normal</v>
      </c>
      <c r="AE1530" s="2"/>
      <c r="AF1530" s="2"/>
    </row>
    <row r="1531" spans="1:32" x14ac:dyDescent="0.35">
      <c r="A1531">
        <v>1530</v>
      </c>
      <c r="B1531" s="1">
        <v>42563</v>
      </c>
      <c r="C1531" s="9" t="s">
        <v>2643</v>
      </c>
      <c r="D1531" s="9" t="s">
        <v>4988</v>
      </c>
      <c r="E1531" s="9" t="s">
        <v>6942</v>
      </c>
      <c r="F1531" s="9" t="s">
        <v>27</v>
      </c>
      <c r="G1531" s="9" t="s">
        <v>2644</v>
      </c>
      <c r="H1531" s="9" t="s">
        <v>86</v>
      </c>
      <c r="I1531" s="11">
        <v>18429897</v>
      </c>
      <c r="J1531" s="11">
        <v>467307</v>
      </c>
      <c r="K1531" s="11">
        <v>4818366</v>
      </c>
      <c r="L1531" s="3">
        <v>254</v>
      </c>
      <c r="M1531" s="3">
        <v>2895</v>
      </c>
      <c r="N1531" s="3">
        <v>1037815</v>
      </c>
      <c r="O1531" s="2">
        <v>6.0999999999999999E-2</v>
      </c>
      <c r="P1531" s="2">
        <v>0.93899999999999995</v>
      </c>
      <c r="Q1531" s="2">
        <v>0.65</v>
      </c>
      <c r="R1531" s="11">
        <v>248401999</v>
      </c>
      <c r="S1531" s="11">
        <v>870148</v>
      </c>
      <c r="T1531">
        <v>2016</v>
      </c>
      <c r="U1531">
        <v>7</v>
      </c>
      <c r="V1531">
        <f t="shared" si="138"/>
        <v>600000</v>
      </c>
      <c r="W1531">
        <f t="shared" si="139"/>
        <v>18429897</v>
      </c>
      <c r="X1531">
        <f t="shared" si="140"/>
        <v>17829897</v>
      </c>
      <c r="Y1531">
        <f t="shared" si="141"/>
        <v>-26144845.5</v>
      </c>
      <c r="Z1531">
        <f t="shared" si="142"/>
        <v>45174742.5</v>
      </c>
      <c r="AA1531" t="str">
        <f t="shared" si="143"/>
        <v>Normal</v>
      </c>
      <c r="AE1531" s="2"/>
      <c r="AF1531" s="2"/>
    </row>
    <row r="1532" spans="1:32" x14ac:dyDescent="0.35">
      <c r="A1532">
        <v>1531</v>
      </c>
      <c r="B1532" s="1">
        <v>42564</v>
      </c>
      <c r="C1532" s="9" t="s">
        <v>2645</v>
      </c>
      <c r="D1532" s="9" t="s">
        <v>4988</v>
      </c>
      <c r="E1532" s="9" t="s">
        <v>6943</v>
      </c>
      <c r="F1532" s="9" t="s">
        <v>27</v>
      </c>
      <c r="G1532" s="9" t="s">
        <v>2646</v>
      </c>
      <c r="H1532" s="9" t="s">
        <v>105</v>
      </c>
      <c r="I1532" s="11">
        <v>5000000</v>
      </c>
      <c r="J1532" s="11">
        <v>66113</v>
      </c>
      <c r="K1532" s="11">
        <v>1673593</v>
      </c>
      <c r="L1532" s="3">
        <v>84</v>
      </c>
      <c r="M1532" s="3">
        <v>3900</v>
      </c>
      <c r="N1532" s="3">
        <v>1661153</v>
      </c>
      <c r="O1532" s="2">
        <v>0.16600000000000001</v>
      </c>
      <c r="P1532" s="2">
        <v>0.95499999999999996</v>
      </c>
      <c r="Q1532" s="2">
        <v>-0.28199999999999997</v>
      </c>
      <c r="R1532" s="11">
        <v>346483330</v>
      </c>
      <c r="S1532" s="11">
        <v>790273</v>
      </c>
      <c r="T1532">
        <v>2016</v>
      </c>
      <c r="U1532">
        <v>7</v>
      </c>
      <c r="V1532">
        <f t="shared" si="138"/>
        <v>600000</v>
      </c>
      <c r="W1532">
        <f t="shared" si="139"/>
        <v>18429897</v>
      </c>
      <c r="X1532">
        <f t="shared" si="140"/>
        <v>17829897</v>
      </c>
      <c r="Y1532">
        <f t="shared" si="141"/>
        <v>-26144845.5</v>
      </c>
      <c r="Z1532">
        <f t="shared" si="142"/>
        <v>45174742.5</v>
      </c>
      <c r="AA1532" t="str">
        <f t="shared" si="143"/>
        <v>Normal</v>
      </c>
      <c r="AE1532" s="2"/>
      <c r="AF1532" s="2"/>
    </row>
    <row r="1533" spans="1:32" x14ac:dyDescent="0.35">
      <c r="A1533">
        <v>1532</v>
      </c>
      <c r="B1533" s="1">
        <v>42564</v>
      </c>
      <c r="C1533" s="9" t="s">
        <v>2647</v>
      </c>
      <c r="D1533" s="9" t="s">
        <v>4988</v>
      </c>
      <c r="E1533" s="9" t="s">
        <v>6944</v>
      </c>
      <c r="F1533" s="9" t="s">
        <v>35</v>
      </c>
      <c r="G1533" s="9" t="s">
        <v>2648</v>
      </c>
      <c r="H1533" s="9" t="s">
        <v>86</v>
      </c>
      <c r="I1533" s="11">
        <v>18429897</v>
      </c>
      <c r="J1533" s="11">
        <v>2531926</v>
      </c>
      <c r="K1533" s="11">
        <v>1352122</v>
      </c>
      <c r="L1533" s="3">
        <v>342</v>
      </c>
      <c r="M1533" s="3">
        <v>1540</v>
      </c>
      <c r="N1533" s="3">
        <v>1451961</v>
      </c>
      <c r="O1533" s="2">
        <v>0.42499999999999999</v>
      </c>
      <c r="P1533" s="2">
        <v>0.49</v>
      </c>
      <c r="Q1533" s="2">
        <v>-0.05</v>
      </c>
      <c r="R1533" s="11">
        <v>391615896</v>
      </c>
      <c r="S1533" s="11">
        <v>1008193.5</v>
      </c>
      <c r="T1533">
        <v>2016</v>
      </c>
      <c r="U1533">
        <v>7</v>
      </c>
      <c r="V1533">
        <f t="shared" si="138"/>
        <v>600000</v>
      </c>
      <c r="W1533">
        <f t="shared" si="139"/>
        <v>18429897</v>
      </c>
      <c r="X1533">
        <f t="shared" si="140"/>
        <v>17829897</v>
      </c>
      <c r="Y1533">
        <f t="shared" si="141"/>
        <v>-26144845.5</v>
      </c>
      <c r="Z1533">
        <f t="shared" si="142"/>
        <v>45174742.5</v>
      </c>
      <c r="AA1533" t="str">
        <f t="shared" si="143"/>
        <v>Normal</v>
      </c>
      <c r="AE1533" s="2"/>
      <c r="AF1533" s="2"/>
    </row>
    <row r="1534" spans="1:32" x14ac:dyDescent="0.35">
      <c r="A1534">
        <v>1533</v>
      </c>
      <c r="B1534" s="1">
        <v>42564</v>
      </c>
      <c r="C1534" s="9" t="s">
        <v>2649</v>
      </c>
      <c r="D1534" s="9" t="s">
        <v>4988</v>
      </c>
      <c r="E1534" s="9" t="s">
        <v>6945</v>
      </c>
      <c r="F1534" s="9" t="s">
        <v>19</v>
      </c>
      <c r="G1534" s="9" t="s">
        <v>2650</v>
      </c>
      <c r="H1534" s="9" t="s">
        <v>86</v>
      </c>
      <c r="I1534" s="11">
        <v>600000</v>
      </c>
      <c r="J1534" s="11">
        <v>957843</v>
      </c>
      <c r="K1534" s="11">
        <v>14600683</v>
      </c>
      <c r="L1534" s="3">
        <v>221</v>
      </c>
      <c r="M1534" s="3">
        <v>4314</v>
      </c>
      <c r="N1534" s="3">
        <v>352494</v>
      </c>
      <c r="O1534" s="2">
        <v>0.35899999999999999</v>
      </c>
      <c r="P1534" s="2">
        <v>1</v>
      </c>
      <c r="Q1534" s="2">
        <v>-4.4999999999999998E-2</v>
      </c>
      <c r="R1534" s="11">
        <v>432821906</v>
      </c>
      <c r="S1534" s="11">
        <v>602110</v>
      </c>
      <c r="T1534">
        <v>2016</v>
      </c>
      <c r="U1534">
        <v>7</v>
      </c>
      <c r="V1534">
        <f t="shared" si="138"/>
        <v>600000</v>
      </c>
      <c r="W1534">
        <f t="shared" si="139"/>
        <v>18429897</v>
      </c>
      <c r="X1534">
        <f t="shared" si="140"/>
        <v>17829897</v>
      </c>
      <c r="Y1534">
        <f t="shared" si="141"/>
        <v>-26144845.5</v>
      </c>
      <c r="Z1534">
        <f t="shared" si="142"/>
        <v>45174742.5</v>
      </c>
      <c r="AA1534" t="str">
        <f t="shared" si="143"/>
        <v>Normal</v>
      </c>
      <c r="AE1534" s="2"/>
      <c r="AF1534" s="2"/>
    </row>
    <row r="1535" spans="1:32" x14ac:dyDescent="0.35">
      <c r="A1535">
        <v>1534</v>
      </c>
      <c r="B1535" s="1">
        <v>42564</v>
      </c>
      <c r="C1535" s="9" t="s">
        <v>822</v>
      </c>
      <c r="D1535" s="9" t="s">
        <v>4988</v>
      </c>
      <c r="E1535" s="9" t="s">
        <v>6946</v>
      </c>
      <c r="F1535" s="9" t="s">
        <v>15</v>
      </c>
      <c r="G1535" s="9" t="s">
        <v>2651</v>
      </c>
      <c r="H1535" s="9" t="s">
        <v>105</v>
      </c>
      <c r="I1535" s="11">
        <v>1350000</v>
      </c>
      <c r="J1535" s="11">
        <v>4086457</v>
      </c>
      <c r="K1535" s="11">
        <v>17053501</v>
      </c>
      <c r="L1535" s="3">
        <v>254</v>
      </c>
      <c r="M1535" s="3">
        <v>4199</v>
      </c>
      <c r="N1535" s="3">
        <v>831636</v>
      </c>
      <c r="O1535" s="2">
        <v>0.16200000000000001</v>
      </c>
      <c r="P1535" s="2">
        <v>0.36399999999999999</v>
      </c>
      <c r="Q1535" s="2">
        <v>0.127</v>
      </c>
      <c r="R1535" s="11">
        <v>25933378</v>
      </c>
      <c r="S1535" s="11">
        <v>1582784</v>
      </c>
      <c r="T1535">
        <v>2016</v>
      </c>
      <c r="U1535">
        <v>7</v>
      </c>
      <c r="V1535">
        <f t="shared" si="138"/>
        <v>600000</v>
      </c>
      <c r="W1535">
        <f t="shared" si="139"/>
        <v>18429897</v>
      </c>
      <c r="X1535">
        <f t="shared" si="140"/>
        <v>17829897</v>
      </c>
      <c r="Y1535">
        <f t="shared" si="141"/>
        <v>-26144845.5</v>
      </c>
      <c r="Z1535">
        <f t="shared" si="142"/>
        <v>45174742.5</v>
      </c>
      <c r="AA1535" t="str">
        <f t="shared" si="143"/>
        <v>Normal</v>
      </c>
      <c r="AE1535" s="2"/>
      <c r="AF1535" s="2"/>
    </row>
    <row r="1536" spans="1:32" x14ac:dyDescent="0.35">
      <c r="A1536">
        <v>1535</v>
      </c>
      <c r="B1536" s="1">
        <v>42564</v>
      </c>
      <c r="C1536" s="9" t="s">
        <v>2652</v>
      </c>
      <c r="D1536" s="9" t="s">
        <v>4988</v>
      </c>
      <c r="E1536" s="9" t="s">
        <v>6947</v>
      </c>
      <c r="F1536" s="9" t="s">
        <v>15</v>
      </c>
      <c r="G1536" s="9" t="s">
        <v>791</v>
      </c>
      <c r="H1536" s="9" t="s">
        <v>105</v>
      </c>
      <c r="I1536" s="11">
        <v>18429897</v>
      </c>
      <c r="J1536" s="11">
        <v>175791</v>
      </c>
      <c r="K1536" s="11">
        <v>3362008</v>
      </c>
      <c r="L1536" s="3">
        <v>394</v>
      </c>
      <c r="M1536" s="3">
        <v>133</v>
      </c>
      <c r="N1536" s="3">
        <v>1845292</v>
      </c>
      <c r="O1536" s="2">
        <v>-6.2E-2</v>
      </c>
      <c r="P1536" s="2">
        <v>0.24</v>
      </c>
      <c r="Q1536" s="2">
        <v>0.38299999999999995</v>
      </c>
      <c r="R1536" s="11">
        <v>184801717</v>
      </c>
      <c r="S1536" s="11">
        <v>518936</v>
      </c>
      <c r="T1536">
        <v>2016</v>
      </c>
      <c r="U1536">
        <v>7</v>
      </c>
      <c r="V1536">
        <f t="shared" si="138"/>
        <v>600000</v>
      </c>
      <c r="W1536">
        <f t="shared" si="139"/>
        <v>18429897</v>
      </c>
      <c r="X1536">
        <f t="shared" si="140"/>
        <v>17829897</v>
      </c>
      <c r="Y1536">
        <f t="shared" si="141"/>
        <v>-26144845.5</v>
      </c>
      <c r="Z1536">
        <f t="shared" si="142"/>
        <v>45174742.5</v>
      </c>
      <c r="AA1536" t="str">
        <f t="shared" si="143"/>
        <v>Normal</v>
      </c>
      <c r="AE1536" s="2"/>
      <c r="AF1536" s="2"/>
    </row>
    <row r="1537" spans="1:32" x14ac:dyDescent="0.35">
      <c r="A1537">
        <v>1536</v>
      </c>
      <c r="B1537" s="1">
        <v>42564</v>
      </c>
      <c r="C1537" s="9" t="s">
        <v>2653</v>
      </c>
      <c r="D1537" s="9" t="s">
        <v>4988</v>
      </c>
      <c r="E1537" s="9" t="s">
        <v>6948</v>
      </c>
      <c r="F1537" s="9" t="s">
        <v>15</v>
      </c>
      <c r="G1537" s="9" t="s">
        <v>2654</v>
      </c>
      <c r="H1537" s="9" t="s">
        <v>105</v>
      </c>
      <c r="I1537" s="11">
        <v>5000000</v>
      </c>
      <c r="J1537" s="11">
        <v>784709</v>
      </c>
      <c r="K1537" s="11">
        <v>11522223</v>
      </c>
      <c r="L1537" s="3">
        <v>344</v>
      </c>
      <c r="M1537" s="3">
        <v>2845</v>
      </c>
      <c r="N1537" s="3">
        <v>1356065</v>
      </c>
      <c r="O1537" s="2">
        <v>0.39200000000000002</v>
      </c>
      <c r="P1537" s="2">
        <v>0.36499999999999999</v>
      </c>
      <c r="Q1537" s="2">
        <v>0.307</v>
      </c>
      <c r="R1537" s="11">
        <v>19103526</v>
      </c>
      <c r="S1537" s="11">
        <v>1289223</v>
      </c>
      <c r="T1537">
        <v>2016</v>
      </c>
      <c r="U1537">
        <v>7</v>
      </c>
      <c r="V1537">
        <f t="shared" si="138"/>
        <v>600000</v>
      </c>
      <c r="W1537">
        <f t="shared" si="139"/>
        <v>18429897</v>
      </c>
      <c r="X1537">
        <f t="shared" si="140"/>
        <v>17829897</v>
      </c>
      <c r="Y1537">
        <f t="shared" si="141"/>
        <v>-26144845.5</v>
      </c>
      <c r="Z1537">
        <f t="shared" si="142"/>
        <v>45174742.5</v>
      </c>
      <c r="AA1537" t="str">
        <f t="shared" si="143"/>
        <v>Normal</v>
      </c>
      <c r="AE1537" s="2"/>
      <c r="AF1537" s="2"/>
    </row>
    <row r="1538" spans="1:32" x14ac:dyDescent="0.35">
      <c r="A1538">
        <v>1537</v>
      </c>
      <c r="B1538" s="1">
        <v>42564</v>
      </c>
      <c r="C1538" s="9" t="s">
        <v>2655</v>
      </c>
      <c r="D1538" s="9" t="s">
        <v>4988</v>
      </c>
      <c r="E1538" s="9" t="s">
        <v>6948</v>
      </c>
      <c r="F1538" s="9" t="s">
        <v>19</v>
      </c>
      <c r="G1538" s="9" t="s">
        <v>522</v>
      </c>
      <c r="H1538" s="9" t="s">
        <v>86</v>
      </c>
      <c r="I1538" s="11">
        <v>18429897</v>
      </c>
      <c r="J1538" s="11">
        <v>570934</v>
      </c>
      <c r="K1538" s="11">
        <v>2565835</v>
      </c>
      <c r="L1538" s="3">
        <v>442</v>
      </c>
      <c r="M1538" s="3">
        <v>2413</v>
      </c>
      <c r="N1538" s="3">
        <v>1241873</v>
      </c>
      <c r="O1538" s="2">
        <v>5.2000000000000005E-2</v>
      </c>
      <c r="P1538" s="2">
        <v>0.44600000000000001</v>
      </c>
      <c r="Q1538" s="2">
        <v>0.13200000000000001</v>
      </c>
      <c r="R1538" s="11">
        <v>250264963</v>
      </c>
      <c r="S1538" s="11">
        <v>653192</v>
      </c>
      <c r="T1538">
        <v>2016</v>
      </c>
      <c r="U1538">
        <v>7</v>
      </c>
      <c r="V1538">
        <f t="shared" ref="V1538:V1601" si="144">_xlfn.PERCENTILE.INC(I1538:I4581,0.25)</f>
        <v>598750</v>
      </c>
      <c r="W1538">
        <f t="shared" ref="W1538:W1601" si="145">_xlfn.PERCENTILE.INC(I1538:I4581,0.75)</f>
        <v>18429897</v>
      </c>
      <c r="X1538">
        <f t="shared" ref="X1538:X1601" si="146">W1538-V1538</f>
        <v>17831147</v>
      </c>
      <c r="Y1538">
        <f t="shared" ref="Y1538:Y1601" si="147">V1538-1.5*X1538</f>
        <v>-26147970.5</v>
      </c>
      <c r="Z1538">
        <f t="shared" ref="Z1538:Z1601" si="148">W1538+1.5*X1538</f>
        <v>45176617.5</v>
      </c>
      <c r="AA1538" t="str">
        <f t="shared" ref="AA1538:AA1601" si="149">IF(OR(I1538&lt;$Y$2, I1538&gt;$Z$2), "Outlier", "Normal")</f>
        <v>Normal</v>
      </c>
      <c r="AE1538" s="2"/>
      <c r="AF1538" s="2"/>
    </row>
    <row r="1539" spans="1:32" x14ac:dyDescent="0.35">
      <c r="A1539">
        <v>1538</v>
      </c>
      <c r="B1539" s="1">
        <v>42564</v>
      </c>
      <c r="C1539" s="9" t="s">
        <v>2656</v>
      </c>
      <c r="D1539" s="9" t="s">
        <v>2539</v>
      </c>
      <c r="E1539" s="9" t="s">
        <v>6949</v>
      </c>
      <c r="F1539" s="9" t="s">
        <v>31</v>
      </c>
      <c r="G1539" s="9" t="s">
        <v>2657</v>
      </c>
      <c r="H1539" s="9" t="s">
        <v>86</v>
      </c>
      <c r="I1539" s="11">
        <v>18429897</v>
      </c>
      <c r="J1539" s="11">
        <v>3537188</v>
      </c>
      <c r="K1539" s="11">
        <v>8346835</v>
      </c>
      <c r="L1539" s="3">
        <v>307</v>
      </c>
      <c r="M1539" s="3">
        <v>3306</v>
      </c>
      <c r="N1539" s="3">
        <v>354606</v>
      </c>
      <c r="O1539" s="2">
        <v>0.21</v>
      </c>
      <c r="P1539" s="2">
        <v>0.25</v>
      </c>
      <c r="Q1539" s="2">
        <v>-0.23199999999999998</v>
      </c>
      <c r="R1539" s="11">
        <v>85086269</v>
      </c>
      <c r="S1539" s="11">
        <v>1368352</v>
      </c>
      <c r="T1539">
        <v>2016</v>
      </c>
      <c r="U1539">
        <v>7</v>
      </c>
      <c r="V1539">
        <f t="shared" si="144"/>
        <v>597500</v>
      </c>
      <c r="W1539">
        <f t="shared" si="145"/>
        <v>18429897</v>
      </c>
      <c r="X1539">
        <f t="shared" si="146"/>
        <v>17832397</v>
      </c>
      <c r="Y1539">
        <f t="shared" si="147"/>
        <v>-26151095.5</v>
      </c>
      <c r="Z1539">
        <f t="shared" si="148"/>
        <v>45178492.5</v>
      </c>
      <c r="AA1539" t="str">
        <f t="shared" si="149"/>
        <v>Normal</v>
      </c>
      <c r="AE1539" s="2"/>
      <c r="AF1539" s="2"/>
    </row>
    <row r="1540" spans="1:32" x14ac:dyDescent="0.35">
      <c r="A1540">
        <v>1539</v>
      </c>
      <c r="B1540" s="1">
        <v>42565</v>
      </c>
      <c r="C1540" s="9" t="s">
        <v>2658</v>
      </c>
      <c r="D1540" s="9" t="s">
        <v>4925</v>
      </c>
      <c r="E1540" s="9" t="s">
        <v>6950</v>
      </c>
      <c r="F1540" s="9" t="s">
        <v>601</v>
      </c>
      <c r="G1540" s="9" t="s">
        <v>1204</v>
      </c>
      <c r="H1540" s="9" t="s">
        <v>86</v>
      </c>
      <c r="I1540" s="11">
        <v>450000</v>
      </c>
      <c r="J1540" s="11">
        <v>3108343</v>
      </c>
      <c r="K1540" s="11">
        <v>15835623</v>
      </c>
      <c r="L1540" s="3">
        <v>379</v>
      </c>
      <c r="M1540" s="3">
        <v>1334</v>
      </c>
      <c r="N1540" s="3">
        <v>1069920</v>
      </c>
      <c r="O1540" s="2">
        <v>9.5000000000000001E-2</v>
      </c>
      <c r="P1540" s="2">
        <v>0.31</v>
      </c>
      <c r="Q1540" s="2">
        <v>0.33899999999999997</v>
      </c>
      <c r="R1540" s="11">
        <v>328222865</v>
      </c>
      <c r="S1540" s="11">
        <v>1008193.5</v>
      </c>
      <c r="T1540">
        <v>2016</v>
      </c>
      <c r="U1540">
        <v>7</v>
      </c>
      <c r="V1540">
        <f t="shared" si="144"/>
        <v>596250</v>
      </c>
      <c r="W1540">
        <f t="shared" si="145"/>
        <v>18429897</v>
      </c>
      <c r="X1540">
        <f t="shared" si="146"/>
        <v>17833647</v>
      </c>
      <c r="Y1540">
        <f t="shared" si="147"/>
        <v>-26154220.5</v>
      </c>
      <c r="Z1540">
        <f t="shared" si="148"/>
        <v>45180367.5</v>
      </c>
      <c r="AA1540" t="str">
        <f t="shared" si="149"/>
        <v>Normal</v>
      </c>
      <c r="AE1540" s="2"/>
      <c r="AF1540" s="2"/>
    </row>
    <row r="1541" spans="1:32" x14ac:dyDescent="0.35">
      <c r="A1541">
        <v>1540</v>
      </c>
      <c r="B1541" s="1">
        <v>42565</v>
      </c>
      <c r="C1541" s="9" t="s">
        <v>2659</v>
      </c>
      <c r="D1541" s="9" t="s">
        <v>4930</v>
      </c>
      <c r="E1541" s="9" t="s">
        <v>6951</v>
      </c>
      <c r="F1541" s="9" t="s">
        <v>41</v>
      </c>
      <c r="G1541" s="9" t="s">
        <v>2660</v>
      </c>
      <c r="H1541" s="9" t="s">
        <v>105</v>
      </c>
      <c r="I1541" s="11">
        <v>1070000</v>
      </c>
      <c r="J1541" s="11">
        <v>2388000</v>
      </c>
      <c r="K1541" s="11">
        <v>16258149</v>
      </c>
      <c r="L1541" s="3">
        <v>453</v>
      </c>
      <c r="M1541" s="3">
        <v>534</v>
      </c>
      <c r="N1541" s="3">
        <v>331672</v>
      </c>
      <c r="O1541" s="2">
        <v>0.51800000000000002</v>
      </c>
      <c r="P1541" s="2">
        <v>0.503</v>
      </c>
      <c r="Q1541" s="2">
        <v>-0.184</v>
      </c>
      <c r="R1541" s="11">
        <v>147932950</v>
      </c>
      <c r="S1541" s="11">
        <v>1842583</v>
      </c>
      <c r="T1541">
        <v>2016</v>
      </c>
      <c r="U1541">
        <v>7</v>
      </c>
      <c r="V1541">
        <f t="shared" si="144"/>
        <v>600000</v>
      </c>
      <c r="W1541">
        <f t="shared" si="145"/>
        <v>18429897</v>
      </c>
      <c r="X1541">
        <f t="shared" si="146"/>
        <v>17829897</v>
      </c>
      <c r="Y1541">
        <f t="shared" si="147"/>
        <v>-26144845.5</v>
      </c>
      <c r="Z1541">
        <f t="shared" si="148"/>
        <v>45174742.5</v>
      </c>
      <c r="AA1541" t="str">
        <f t="shared" si="149"/>
        <v>Normal</v>
      </c>
      <c r="AE1541" s="2"/>
      <c r="AF1541" s="2"/>
    </row>
    <row r="1542" spans="1:32" x14ac:dyDescent="0.35">
      <c r="A1542">
        <v>1541</v>
      </c>
      <c r="B1542" s="1">
        <v>42565</v>
      </c>
      <c r="C1542" s="9" t="s">
        <v>2661</v>
      </c>
      <c r="D1542" s="9" t="s">
        <v>4988</v>
      </c>
      <c r="E1542" s="9" t="s">
        <v>6952</v>
      </c>
      <c r="F1542" s="9" t="s">
        <v>27</v>
      </c>
      <c r="G1542" s="9" t="s">
        <v>2662</v>
      </c>
      <c r="H1542" s="9" t="s">
        <v>105</v>
      </c>
      <c r="I1542" s="11">
        <v>18429897</v>
      </c>
      <c r="J1542" s="11">
        <v>1223361</v>
      </c>
      <c r="K1542" s="11">
        <v>18980179</v>
      </c>
      <c r="L1542" s="3">
        <v>488</v>
      </c>
      <c r="M1542" s="3">
        <v>1406</v>
      </c>
      <c r="N1542" s="3">
        <v>1342857</v>
      </c>
      <c r="O1542" s="2">
        <v>-0.2</v>
      </c>
      <c r="P1542" s="2">
        <v>1.052</v>
      </c>
      <c r="Q1542" s="2">
        <v>0</v>
      </c>
      <c r="R1542" s="11">
        <v>242702639</v>
      </c>
      <c r="S1542" s="11">
        <v>735571</v>
      </c>
      <c r="T1542">
        <v>2016</v>
      </c>
      <c r="U1542">
        <v>7</v>
      </c>
      <c r="V1542">
        <f t="shared" si="144"/>
        <v>598750</v>
      </c>
      <c r="W1542">
        <f t="shared" si="145"/>
        <v>18429897</v>
      </c>
      <c r="X1542">
        <f t="shared" si="146"/>
        <v>17831147</v>
      </c>
      <c r="Y1542">
        <f t="shared" si="147"/>
        <v>-26147970.5</v>
      </c>
      <c r="Z1542">
        <f t="shared" si="148"/>
        <v>45176617.5</v>
      </c>
      <c r="AA1542" t="str">
        <f t="shared" si="149"/>
        <v>Normal</v>
      </c>
      <c r="AE1542" s="2"/>
      <c r="AF1542" s="2"/>
    </row>
    <row r="1543" spans="1:32" x14ac:dyDescent="0.35">
      <c r="A1543">
        <v>1542</v>
      </c>
      <c r="B1543" s="1">
        <v>42566</v>
      </c>
      <c r="C1543" s="9" t="s">
        <v>2663</v>
      </c>
      <c r="D1543" s="9" t="s">
        <v>4930</v>
      </c>
      <c r="E1543" s="9" t="s">
        <v>6953</v>
      </c>
      <c r="F1543" s="9" t="s">
        <v>41</v>
      </c>
      <c r="G1543" s="9" t="s">
        <v>1842</v>
      </c>
      <c r="H1543" s="9" t="s">
        <v>86</v>
      </c>
      <c r="I1543" s="11">
        <v>1000000</v>
      </c>
      <c r="J1543" s="11">
        <v>462522</v>
      </c>
      <c r="K1543" s="11">
        <v>6280549</v>
      </c>
      <c r="L1543" s="3">
        <v>282</v>
      </c>
      <c r="M1543" s="3">
        <v>2650</v>
      </c>
      <c r="N1543" s="3">
        <v>444408</v>
      </c>
      <c r="O1543" s="2">
        <v>0.30299999999999999</v>
      </c>
      <c r="P1543" s="2">
        <v>1.0549999999999999E-2</v>
      </c>
      <c r="Q1543" s="2">
        <v>8.1000000000000003E-2</v>
      </c>
      <c r="R1543" s="11">
        <v>250264963</v>
      </c>
      <c r="S1543" s="11">
        <v>356005</v>
      </c>
      <c r="T1543">
        <v>2016</v>
      </c>
      <c r="U1543">
        <v>7</v>
      </c>
      <c r="V1543">
        <f t="shared" si="144"/>
        <v>597500</v>
      </c>
      <c r="W1543">
        <f t="shared" si="145"/>
        <v>18429897</v>
      </c>
      <c r="X1543">
        <f t="shared" si="146"/>
        <v>17832397</v>
      </c>
      <c r="Y1543">
        <f t="shared" si="147"/>
        <v>-26151095.5</v>
      </c>
      <c r="Z1543">
        <f t="shared" si="148"/>
        <v>45178492.5</v>
      </c>
      <c r="AA1543" t="str">
        <f t="shared" si="149"/>
        <v>Normal</v>
      </c>
      <c r="AE1543" s="2"/>
      <c r="AF1543" s="2"/>
    </row>
    <row r="1544" spans="1:32" x14ac:dyDescent="0.35">
      <c r="A1544">
        <v>1543</v>
      </c>
      <c r="B1544" s="1">
        <v>42566</v>
      </c>
      <c r="C1544" s="9" t="s">
        <v>2664</v>
      </c>
      <c r="D1544" s="9" t="s">
        <v>4988</v>
      </c>
      <c r="E1544" s="9" t="s">
        <v>6954</v>
      </c>
      <c r="F1544" s="9" t="s">
        <v>15</v>
      </c>
      <c r="G1544" s="9" t="s">
        <v>856</v>
      </c>
      <c r="H1544" s="9" t="s">
        <v>105</v>
      </c>
      <c r="I1544" s="11">
        <v>2000000</v>
      </c>
      <c r="J1544" s="11">
        <v>2854676</v>
      </c>
      <c r="K1544" s="11">
        <v>18979806</v>
      </c>
      <c r="L1544" s="3">
        <v>13</v>
      </c>
      <c r="M1544" s="3">
        <v>1385</v>
      </c>
      <c r="N1544" s="3">
        <v>576289</v>
      </c>
      <c r="O1544" s="2">
        <v>0.10300000000000001</v>
      </c>
      <c r="P1544" s="2">
        <v>1.194</v>
      </c>
      <c r="Q1544" s="2">
        <v>-0.10199999999999999</v>
      </c>
      <c r="R1544" s="11">
        <v>39188883</v>
      </c>
      <c r="S1544" s="11">
        <v>334111</v>
      </c>
      <c r="T1544">
        <v>2016</v>
      </c>
      <c r="U1544">
        <v>7</v>
      </c>
      <c r="V1544">
        <f t="shared" si="144"/>
        <v>596250</v>
      </c>
      <c r="W1544">
        <f t="shared" si="145"/>
        <v>18429897</v>
      </c>
      <c r="X1544">
        <f t="shared" si="146"/>
        <v>17833647</v>
      </c>
      <c r="Y1544">
        <f t="shared" si="147"/>
        <v>-26154220.5</v>
      </c>
      <c r="Z1544">
        <f t="shared" si="148"/>
        <v>45180367.5</v>
      </c>
      <c r="AA1544" t="str">
        <f t="shared" si="149"/>
        <v>Normal</v>
      </c>
      <c r="AE1544" s="2"/>
      <c r="AF1544" s="2"/>
    </row>
    <row r="1545" spans="1:32" x14ac:dyDescent="0.35">
      <c r="A1545">
        <v>1544</v>
      </c>
      <c r="B1545" s="1">
        <v>42566</v>
      </c>
      <c r="C1545" s="9" t="s">
        <v>2665</v>
      </c>
      <c r="D1545" s="9" t="s">
        <v>4925</v>
      </c>
      <c r="E1545" s="9" t="s">
        <v>6955</v>
      </c>
      <c r="F1545" s="9" t="s">
        <v>27</v>
      </c>
      <c r="G1545" s="9" t="s">
        <v>2666</v>
      </c>
      <c r="H1545" s="9" t="s">
        <v>86</v>
      </c>
      <c r="I1545" s="11">
        <v>18429897</v>
      </c>
      <c r="J1545" s="11">
        <v>1168957</v>
      </c>
      <c r="K1545" s="11">
        <v>15693983</v>
      </c>
      <c r="L1545" s="3">
        <v>176</v>
      </c>
      <c r="M1545" s="3">
        <v>2347</v>
      </c>
      <c r="N1545" s="3">
        <v>1147252</v>
      </c>
      <c r="O1545" s="2">
        <v>0.23399999999999999</v>
      </c>
      <c r="P1545" s="2">
        <v>0.29799999999999999</v>
      </c>
      <c r="Q1545" s="2">
        <v>-0.107</v>
      </c>
      <c r="R1545" s="11">
        <v>233465761</v>
      </c>
      <c r="S1545" s="11">
        <v>1494887</v>
      </c>
      <c r="T1545">
        <v>2016</v>
      </c>
      <c r="U1545">
        <v>7</v>
      </c>
      <c r="V1545">
        <f t="shared" si="144"/>
        <v>595000</v>
      </c>
      <c r="W1545">
        <f t="shared" si="145"/>
        <v>18429897</v>
      </c>
      <c r="X1545">
        <f t="shared" si="146"/>
        <v>17834897</v>
      </c>
      <c r="Y1545">
        <f t="shared" si="147"/>
        <v>-26157345.5</v>
      </c>
      <c r="Z1545">
        <f t="shared" si="148"/>
        <v>45182242.5</v>
      </c>
      <c r="AA1545" t="str">
        <f t="shared" si="149"/>
        <v>Normal</v>
      </c>
      <c r="AE1545" s="2"/>
      <c r="AF1545" s="2"/>
    </row>
    <row r="1546" spans="1:32" x14ac:dyDescent="0.35">
      <c r="A1546">
        <v>1545</v>
      </c>
      <c r="B1546" s="1">
        <v>42566</v>
      </c>
      <c r="C1546" s="9" t="s">
        <v>2067</v>
      </c>
      <c r="D1546" s="9" t="s">
        <v>4925</v>
      </c>
      <c r="E1546" s="9" t="s">
        <v>6956</v>
      </c>
      <c r="F1546" s="9" t="s">
        <v>27</v>
      </c>
      <c r="G1546" s="9" t="s">
        <v>2667</v>
      </c>
      <c r="H1546" s="9" t="s">
        <v>86</v>
      </c>
      <c r="I1546" s="11">
        <v>250000</v>
      </c>
      <c r="J1546" s="11">
        <v>2959173</v>
      </c>
      <c r="K1546" s="11">
        <v>6838641</v>
      </c>
      <c r="L1546" s="3">
        <v>311</v>
      </c>
      <c r="M1546" s="3">
        <v>1977</v>
      </c>
      <c r="N1546" s="3">
        <v>50919</v>
      </c>
      <c r="O1546" s="2">
        <v>0.44400000000000001</v>
      </c>
      <c r="P1546" s="2">
        <v>0.20199999999999999</v>
      </c>
      <c r="Q1546" s="2">
        <v>0.32200000000000001</v>
      </c>
      <c r="R1546" s="11">
        <v>15314968</v>
      </c>
      <c r="S1546" s="11">
        <v>448560</v>
      </c>
      <c r="T1546">
        <v>2016</v>
      </c>
      <c r="U1546">
        <v>7</v>
      </c>
      <c r="V1546">
        <f t="shared" si="144"/>
        <v>595000</v>
      </c>
      <c r="W1546">
        <f t="shared" si="145"/>
        <v>18429897</v>
      </c>
      <c r="X1546">
        <f t="shared" si="146"/>
        <v>17834897</v>
      </c>
      <c r="Y1546">
        <f t="shared" si="147"/>
        <v>-26157345.5</v>
      </c>
      <c r="Z1546">
        <f t="shared" si="148"/>
        <v>45182242.5</v>
      </c>
      <c r="AA1546" t="str">
        <f t="shared" si="149"/>
        <v>Normal</v>
      </c>
      <c r="AE1546" s="2"/>
      <c r="AF1546" s="2"/>
    </row>
    <row r="1547" spans="1:32" x14ac:dyDescent="0.35">
      <c r="A1547">
        <v>1546</v>
      </c>
      <c r="B1547" s="1">
        <v>42566</v>
      </c>
      <c r="C1547" s="9" t="s">
        <v>2668</v>
      </c>
      <c r="D1547" s="9" t="s">
        <v>4925</v>
      </c>
      <c r="E1547" s="9" t="s">
        <v>6957</v>
      </c>
      <c r="F1547" s="9" t="s">
        <v>27</v>
      </c>
      <c r="G1547" s="9" t="s">
        <v>2669</v>
      </c>
      <c r="H1547" s="9" t="s">
        <v>86</v>
      </c>
      <c r="I1547" s="11">
        <v>18429897</v>
      </c>
      <c r="J1547" s="11">
        <v>3443590</v>
      </c>
      <c r="K1547" s="11">
        <v>6626480</v>
      </c>
      <c r="L1547" s="3">
        <v>59</v>
      </c>
      <c r="M1547" s="3">
        <v>3485</v>
      </c>
      <c r="N1547" s="3">
        <v>1399108</v>
      </c>
      <c r="O1547" s="2">
        <v>-0.28100000000000003</v>
      </c>
      <c r="P1547" s="2">
        <v>0.76600000000000001</v>
      </c>
      <c r="Q1547" s="2">
        <v>0.46399999999999997</v>
      </c>
      <c r="R1547" s="11">
        <v>50592367</v>
      </c>
      <c r="S1547" s="11">
        <v>558759</v>
      </c>
      <c r="T1547">
        <v>2016</v>
      </c>
      <c r="U1547">
        <v>7</v>
      </c>
      <c r="V1547">
        <f t="shared" si="144"/>
        <v>597500</v>
      </c>
      <c r="W1547">
        <f t="shared" si="145"/>
        <v>18429897</v>
      </c>
      <c r="X1547">
        <f t="shared" si="146"/>
        <v>17832397</v>
      </c>
      <c r="Y1547">
        <f t="shared" si="147"/>
        <v>-26151095.5</v>
      </c>
      <c r="Z1547">
        <f t="shared" si="148"/>
        <v>45178492.5</v>
      </c>
      <c r="AA1547" t="str">
        <f t="shared" si="149"/>
        <v>Normal</v>
      </c>
      <c r="AE1547" s="2"/>
      <c r="AF1547" s="2"/>
    </row>
    <row r="1548" spans="1:32" x14ac:dyDescent="0.35">
      <c r="A1548">
        <v>1547</v>
      </c>
      <c r="B1548" s="1">
        <v>42566</v>
      </c>
      <c r="C1548" s="9" t="s">
        <v>2670</v>
      </c>
      <c r="D1548" s="9" t="s">
        <v>4988</v>
      </c>
      <c r="E1548" s="9" t="s">
        <v>6958</v>
      </c>
      <c r="F1548" s="9" t="s">
        <v>31</v>
      </c>
      <c r="G1548" s="9" t="s">
        <v>2671</v>
      </c>
      <c r="H1548" s="9" t="s">
        <v>105</v>
      </c>
      <c r="I1548" s="11">
        <v>6000000</v>
      </c>
      <c r="J1548" s="11">
        <v>4250187</v>
      </c>
      <c r="K1548" s="11">
        <v>2240495</v>
      </c>
      <c r="L1548" s="3">
        <v>62</v>
      </c>
      <c r="M1548" s="3">
        <v>2082</v>
      </c>
      <c r="N1548" s="3">
        <v>884158</v>
      </c>
      <c r="O1548" s="2">
        <v>0.107</v>
      </c>
      <c r="P1548" s="2">
        <v>0.80299999999999994</v>
      </c>
      <c r="Q1548" s="2">
        <v>8.2000000000000003E-2</v>
      </c>
      <c r="R1548" s="11">
        <v>391051892</v>
      </c>
      <c r="S1548" s="11">
        <v>469241</v>
      </c>
      <c r="T1548">
        <v>2016</v>
      </c>
      <c r="U1548">
        <v>7</v>
      </c>
      <c r="V1548">
        <f t="shared" si="144"/>
        <v>596250</v>
      </c>
      <c r="W1548">
        <f t="shared" si="145"/>
        <v>18429897</v>
      </c>
      <c r="X1548">
        <f t="shared" si="146"/>
        <v>17833647</v>
      </c>
      <c r="Y1548">
        <f t="shared" si="147"/>
        <v>-26154220.5</v>
      </c>
      <c r="Z1548">
        <f t="shared" si="148"/>
        <v>45180367.5</v>
      </c>
      <c r="AA1548" t="str">
        <f t="shared" si="149"/>
        <v>Normal</v>
      </c>
      <c r="AE1548" s="2"/>
      <c r="AF1548" s="2"/>
    </row>
    <row r="1549" spans="1:32" x14ac:dyDescent="0.35">
      <c r="A1549">
        <v>1548</v>
      </c>
      <c r="B1549" s="1">
        <v>42569</v>
      </c>
      <c r="C1549" s="9" t="s">
        <v>2672</v>
      </c>
      <c r="D1549" s="9" t="s">
        <v>4988</v>
      </c>
      <c r="E1549" s="9" t="s">
        <v>5512</v>
      </c>
      <c r="F1549" s="9" t="s">
        <v>41</v>
      </c>
      <c r="G1549" s="9" t="s">
        <v>1842</v>
      </c>
      <c r="H1549" s="9" t="s">
        <v>86</v>
      </c>
      <c r="I1549" s="11">
        <v>650000</v>
      </c>
      <c r="J1549" s="11">
        <v>2480045</v>
      </c>
      <c r="K1549" s="11">
        <v>18425535</v>
      </c>
      <c r="L1549" s="3">
        <v>200</v>
      </c>
      <c r="M1549" s="3">
        <v>765</v>
      </c>
      <c r="N1549" s="3">
        <v>1024585</v>
      </c>
      <c r="O1549" s="2">
        <v>-5.9000000000000004E-2</v>
      </c>
      <c r="P1549" s="2">
        <v>0.436</v>
      </c>
      <c r="Q1549" s="2">
        <v>-0.34499999999999997</v>
      </c>
      <c r="R1549" s="11">
        <v>468408105</v>
      </c>
      <c r="S1549" s="11">
        <v>613271</v>
      </c>
      <c r="T1549">
        <v>2016</v>
      </c>
      <c r="U1549">
        <v>7</v>
      </c>
      <c r="V1549">
        <f t="shared" si="144"/>
        <v>595000</v>
      </c>
      <c r="W1549">
        <f t="shared" si="145"/>
        <v>18429897</v>
      </c>
      <c r="X1549">
        <f t="shared" si="146"/>
        <v>17834897</v>
      </c>
      <c r="Y1549">
        <f t="shared" si="147"/>
        <v>-26157345.5</v>
      </c>
      <c r="Z1549">
        <f t="shared" si="148"/>
        <v>45182242.5</v>
      </c>
      <c r="AA1549" t="str">
        <f t="shared" si="149"/>
        <v>Normal</v>
      </c>
      <c r="AE1549" s="2"/>
      <c r="AF1549" s="2"/>
    </row>
    <row r="1550" spans="1:32" x14ac:dyDescent="0.35">
      <c r="A1550">
        <v>1549</v>
      </c>
      <c r="B1550" s="1">
        <v>42569</v>
      </c>
      <c r="C1550" s="9" t="s">
        <v>2673</v>
      </c>
      <c r="D1550" s="9" t="s">
        <v>4988</v>
      </c>
      <c r="E1550" s="9" t="s">
        <v>6718</v>
      </c>
      <c r="F1550" s="9" t="s">
        <v>27</v>
      </c>
      <c r="G1550" s="9" t="s">
        <v>1842</v>
      </c>
      <c r="H1550" s="9" t="s">
        <v>86</v>
      </c>
      <c r="I1550" s="11">
        <v>650000</v>
      </c>
      <c r="J1550" s="11">
        <v>43612</v>
      </c>
      <c r="K1550" s="11">
        <v>4145770</v>
      </c>
      <c r="L1550" s="3">
        <v>455</v>
      </c>
      <c r="M1550" s="3">
        <v>3188</v>
      </c>
      <c r="N1550" s="3">
        <v>1486718</v>
      </c>
      <c r="O1550" s="2">
        <v>0.20899999999999999</v>
      </c>
      <c r="P1550" s="2">
        <v>0.50800000000000001</v>
      </c>
      <c r="Q1550" s="2">
        <v>0.17</v>
      </c>
      <c r="R1550" s="11">
        <v>357354817</v>
      </c>
      <c r="S1550" s="11">
        <v>352775</v>
      </c>
      <c r="T1550">
        <v>2016</v>
      </c>
      <c r="U1550">
        <v>7</v>
      </c>
      <c r="V1550">
        <f t="shared" si="144"/>
        <v>595000</v>
      </c>
      <c r="W1550">
        <f t="shared" si="145"/>
        <v>18429897</v>
      </c>
      <c r="X1550">
        <f t="shared" si="146"/>
        <v>17834897</v>
      </c>
      <c r="Y1550">
        <f t="shared" si="147"/>
        <v>-26157345.5</v>
      </c>
      <c r="Z1550">
        <f t="shared" si="148"/>
        <v>45182242.5</v>
      </c>
      <c r="AA1550" t="str">
        <f t="shared" si="149"/>
        <v>Normal</v>
      </c>
      <c r="AE1550" s="2"/>
      <c r="AF1550" s="2"/>
    </row>
    <row r="1551" spans="1:32" x14ac:dyDescent="0.35">
      <c r="A1551">
        <v>1550</v>
      </c>
      <c r="B1551" s="1">
        <v>42569</v>
      </c>
      <c r="C1551" s="9" t="s">
        <v>2674</v>
      </c>
      <c r="D1551" s="9" t="s">
        <v>4925</v>
      </c>
      <c r="E1551" s="9" t="s">
        <v>6959</v>
      </c>
      <c r="F1551" s="9" t="s">
        <v>31</v>
      </c>
      <c r="G1551" s="9" t="s">
        <v>2675</v>
      </c>
      <c r="H1551" s="9" t="s">
        <v>105</v>
      </c>
      <c r="I1551" s="11">
        <v>30000000</v>
      </c>
      <c r="J1551" s="11">
        <v>1417720</v>
      </c>
      <c r="K1551" s="11">
        <v>5432540</v>
      </c>
      <c r="L1551" s="3">
        <v>164</v>
      </c>
      <c r="M1551" s="3">
        <v>1102</v>
      </c>
      <c r="N1551" s="3">
        <v>1540809</v>
      </c>
      <c r="O1551" s="2">
        <v>0.25800000000000001</v>
      </c>
      <c r="P1551" s="2">
        <v>1.1559999999999999</v>
      </c>
      <c r="Q1551" s="2">
        <v>-7.400000000000001E-2</v>
      </c>
      <c r="R1551" s="11">
        <v>147953873</v>
      </c>
      <c r="S1551" s="11">
        <v>1172071</v>
      </c>
      <c r="T1551">
        <v>2016</v>
      </c>
      <c r="U1551">
        <v>7</v>
      </c>
      <c r="V1551">
        <f t="shared" si="144"/>
        <v>595000</v>
      </c>
      <c r="W1551">
        <f t="shared" si="145"/>
        <v>18429897</v>
      </c>
      <c r="X1551">
        <f t="shared" si="146"/>
        <v>17834897</v>
      </c>
      <c r="Y1551">
        <f t="shared" si="147"/>
        <v>-26157345.5</v>
      </c>
      <c r="Z1551">
        <f t="shared" si="148"/>
        <v>45182242.5</v>
      </c>
      <c r="AA1551" t="str">
        <f t="shared" si="149"/>
        <v>Normal</v>
      </c>
      <c r="AE1551" s="2"/>
      <c r="AF1551" s="2"/>
    </row>
    <row r="1552" spans="1:32" x14ac:dyDescent="0.35">
      <c r="A1552">
        <v>1551</v>
      </c>
      <c r="B1552" s="1">
        <v>42569</v>
      </c>
      <c r="C1552" s="9" t="s">
        <v>2676</v>
      </c>
      <c r="D1552" s="9" t="s">
        <v>4930</v>
      </c>
      <c r="E1552" s="9" t="s">
        <v>6960</v>
      </c>
      <c r="F1552" s="9" t="s">
        <v>31</v>
      </c>
      <c r="G1552" s="9" t="s">
        <v>2677</v>
      </c>
      <c r="H1552" s="9" t="s">
        <v>105</v>
      </c>
      <c r="I1552" s="11">
        <v>18429897</v>
      </c>
      <c r="J1552" s="11">
        <v>4269779</v>
      </c>
      <c r="K1552" s="11">
        <v>8317148</v>
      </c>
      <c r="L1552" s="3">
        <v>467</v>
      </c>
      <c r="M1552" s="3">
        <v>1536</v>
      </c>
      <c r="N1552" s="3">
        <v>1837308</v>
      </c>
      <c r="O1552" s="2">
        <v>2.6000000000000002E-2</v>
      </c>
      <c r="P1552" s="2">
        <v>0.53200000000000003</v>
      </c>
      <c r="Q1552" s="2">
        <v>0.19</v>
      </c>
      <c r="R1552" s="11">
        <v>249867210</v>
      </c>
      <c r="S1552" s="11">
        <v>1010213</v>
      </c>
      <c r="T1552">
        <v>2016</v>
      </c>
      <c r="U1552">
        <v>7</v>
      </c>
      <c r="V1552">
        <f t="shared" si="144"/>
        <v>595000</v>
      </c>
      <c r="W1552">
        <f t="shared" si="145"/>
        <v>18429897</v>
      </c>
      <c r="X1552">
        <f t="shared" si="146"/>
        <v>17834897</v>
      </c>
      <c r="Y1552">
        <f t="shared" si="147"/>
        <v>-26157345.5</v>
      </c>
      <c r="Z1552">
        <f t="shared" si="148"/>
        <v>45182242.5</v>
      </c>
      <c r="AA1552" t="str">
        <f t="shared" si="149"/>
        <v>Normal</v>
      </c>
      <c r="AE1552" s="2"/>
      <c r="AF1552" s="2"/>
    </row>
    <row r="1553" spans="1:32" x14ac:dyDescent="0.35">
      <c r="A1553">
        <v>1552</v>
      </c>
      <c r="B1553" s="1">
        <v>42569</v>
      </c>
      <c r="C1553" s="9" t="s">
        <v>2678</v>
      </c>
      <c r="D1553" s="9" t="s">
        <v>4930</v>
      </c>
      <c r="E1553" s="9" t="s">
        <v>6961</v>
      </c>
      <c r="F1553" s="9" t="s">
        <v>41</v>
      </c>
      <c r="G1553" s="9" t="s">
        <v>2679</v>
      </c>
      <c r="H1553" s="9" t="s">
        <v>86</v>
      </c>
      <c r="I1553" s="11">
        <v>18429897</v>
      </c>
      <c r="J1553" s="11">
        <v>2675589</v>
      </c>
      <c r="K1553" s="11">
        <v>2837326</v>
      </c>
      <c r="L1553" s="3">
        <v>402</v>
      </c>
      <c r="M1553" s="3">
        <v>3548</v>
      </c>
      <c r="N1553" s="3">
        <v>359735</v>
      </c>
      <c r="O1553" s="2">
        <v>1.6E-2</v>
      </c>
      <c r="P1553" s="2">
        <v>1.1459999999999999</v>
      </c>
      <c r="Q1553" s="2">
        <v>0.17399999999999999</v>
      </c>
      <c r="R1553" s="11">
        <v>137754114</v>
      </c>
      <c r="S1553" s="11">
        <v>183881</v>
      </c>
      <c r="T1553">
        <v>2016</v>
      </c>
      <c r="U1553">
        <v>7</v>
      </c>
      <c r="V1553">
        <f t="shared" si="144"/>
        <v>595000</v>
      </c>
      <c r="W1553">
        <f t="shared" si="145"/>
        <v>18429897</v>
      </c>
      <c r="X1553">
        <f t="shared" si="146"/>
        <v>17834897</v>
      </c>
      <c r="Y1553">
        <f t="shared" si="147"/>
        <v>-26157345.5</v>
      </c>
      <c r="Z1553">
        <f t="shared" si="148"/>
        <v>45182242.5</v>
      </c>
      <c r="AA1553" t="str">
        <f t="shared" si="149"/>
        <v>Normal</v>
      </c>
      <c r="AE1553" s="2"/>
      <c r="AF1553" s="2"/>
    </row>
    <row r="1554" spans="1:32" x14ac:dyDescent="0.35">
      <c r="A1554">
        <v>1553</v>
      </c>
      <c r="B1554" s="1">
        <v>42570</v>
      </c>
      <c r="C1554" s="9" t="s">
        <v>2680</v>
      </c>
      <c r="D1554" s="9" t="s">
        <v>4930</v>
      </c>
      <c r="E1554" s="9" t="s">
        <v>6962</v>
      </c>
      <c r="F1554" s="9" t="s">
        <v>27</v>
      </c>
      <c r="G1554" s="9" t="s">
        <v>2681</v>
      </c>
      <c r="H1554" s="9" t="s">
        <v>105</v>
      </c>
      <c r="I1554" s="11">
        <v>10000000</v>
      </c>
      <c r="J1554" s="11">
        <v>2531926</v>
      </c>
      <c r="K1554" s="11">
        <v>16138887</v>
      </c>
      <c r="L1554" s="3">
        <v>154</v>
      </c>
      <c r="M1554" s="3">
        <v>1400</v>
      </c>
      <c r="N1554" s="3">
        <v>860264</v>
      </c>
      <c r="O1554" s="2">
        <v>0.161</v>
      </c>
      <c r="P1554" s="2">
        <v>0.30399999999999999</v>
      </c>
      <c r="Q1554" s="2">
        <v>-0.37</v>
      </c>
      <c r="R1554" s="11">
        <v>96581431</v>
      </c>
      <c r="S1554" s="11">
        <v>1329250</v>
      </c>
      <c r="T1554">
        <v>2016</v>
      </c>
      <c r="U1554">
        <v>7</v>
      </c>
      <c r="V1554">
        <f t="shared" si="144"/>
        <v>583750</v>
      </c>
      <c r="W1554">
        <f t="shared" si="145"/>
        <v>18429897</v>
      </c>
      <c r="X1554">
        <f t="shared" si="146"/>
        <v>17846147</v>
      </c>
      <c r="Y1554">
        <f t="shared" si="147"/>
        <v>-26185470.5</v>
      </c>
      <c r="Z1554">
        <f t="shared" si="148"/>
        <v>45199117.5</v>
      </c>
      <c r="AA1554" t="str">
        <f t="shared" si="149"/>
        <v>Normal</v>
      </c>
      <c r="AE1554" s="2"/>
      <c r="AF1554" s="2"/>
    </row>
    <row r="1555" spans="1:32" x14ac:dyDescent="0.35">
      <c r="A1555">
        <v>1554</v>
      </c>
      <c r="B1555" s="1">
        <v>42570</v>
      </c>
      <c r="C1555" s="9" t="s">
        <v>2682</v>
      </c>
      <c r="D1555" s="9" t="s">
        <v>4988</v>
      </c>
      <c r="E1555" s="9" t="s">
        <v>6963</v>
      </c>
      <c r="F1555" s="9" t="s">
        <v>63</v>
      </c>
      <c r="G1555" s="9" t="s">
        <v>2683</v>
      </c>
      <c r="H1555" s="9" t="s">
        <v>105</v>
      </c>
      <c r="I1555" s="11">
        <v>15000000</v>
      </c>
      <c r="J1555" s="11">
        <v>2299960</v>
      </c>
      <c r="K1555" s="11">
        <v>13992124</v>
      </c>
      <c r="L1555" s="3">
        <v>119</v>
      </c>
      <c r="M1555" s="3">
        <v>356</v>
      </c>
      <c r="N1555" s="3">
        <v>190863</v>
      </c>
      <c r="O1555" s="2">
        <v>-0.13500000000000001</v>
      </c>
      <c r="P1555" s="2">
        <v>0.67600000000000005</v>
      </c>
      <c r="Q1555" s="2">
        <v>0.2</v>
      </c>
      <c r="R1555" s="11">
        <v>432581329</v>
      </c>
      <c r="S1555" s="11">
        <v>1841963</v>
      </c>
      <c r="T1555">
        <v>2016</v>
      </c>
      <c r="U1555">
        <v>7</v>
      </c>
      <c r="V1555">
        <f t="shared" si="144"/>
        <v>572500</v>
      </c>
      <c r="W1555">
        <f t="shared" si="145"/>
        <v>18429897</v>
      </c>
      <c r="X1555">
        <f t="shared" si="146"/>
        <v>17857397</v>
      </c>
      <c r="Y1555">
        <f t="shared" si="147"/>
        <v>-26213595.5</v>
      </c>
      <c r="Z1555">
        <f t="shared" si="148"/>
        <v>45215992.5</v>
      </c>
      <c r="AA1555" t="str">
        <f t="shared" si="149"/>
        <v>Normal</v>
      </c>
      <c r="AE1555" s="2"/>
      <c r="AF1555" s="2"/>
    </row>
    <row r="1556" spans="1:32" x14ac:dyDescent="0.35">
      <c r="A1556">
        <v>1555</v>
      </c>
      <c r="B1556" s="1">
        <v>42570</v>
      </c>
      <c r="C1556" s="9" t="s">
        <v>2684</v>
      </c>
      <c r="D1556" s="9" t="s">
        <v>4930</v>
      </c>
      <c r="E1556" s="9" t="s">
        <v>6964</v>
      </c>
      <c r="F1556" s="9" t="s">
        <v>15</v>
      </c>
      <c r="G1556" s="9" t="s">
        <v>2685</v>
      </c>
      <c r="H1556" s="9" t="s">
        <v>105</v>
      </c>
      <c r="I1556" s="11">
        <v>1000000</v>
      </c>
      <c r="J1556" s="11">
        <v>830462</v>
      </c>
      <c r="K1556" s="11">
        <v>3216864</v>
      </c>
      <c r="L1556" s="3">
        <v>414</v>
      </c>
      <c r="M1556" s="3">
        <v>1835</v>
      </c>
      <c r="N1556" s="3">
        <v>527369</v>
      </c>
      <c r="O1556" s="2">
        <v>0.187</v>
      </c>
      <c r="P1556" s="2">
        <v>0.39700000000000002</v>
      </c>
      <c r="Q1556" s="2">
        <v>0.254</v>
      </c>
      <c r="R1556" s="11">
        <v>42977145</v>
      </c>
      <c r="S1556" s="11">
        <v>1741378</v>
      </c>
      <c r="T1556">
        <v>2016</v>
      </c>
      <c r="U1556">
        <v>7</v>
      </c>
      <c r="V1556">
        <f t="shared" si="144"/>
        <v>561250</v>
      </c>
      <c r="W1556">
        <f t="shared" si="145"/>
        <v>18429897</v>
      </c>
      <c r="X1556">
        <f t="shared" si="146"/>
        <v>17868647</v>
      </c>
      <c r="Y1556">
        <f t="shared" si="147"/>
        <v>-26241720.5</v>
      </c>
      <c r="Z1556">
        <f t="shared" si="148"/>
        <v>45232867.5</v>
      </c>
      <c r="AA1556" t="str">
        <f t="shared" si="149"/>
        <v>Normal</v>
      </c>
      <c r="AE1556" s="2"/>
      <c r="AF1556" s="2"/>
    </row>
    <row r="1557" spans="1:32" x14ac:dyDescent="0.35">
      <c r="A1557">
        <v>1556</v>
      </c>
      <c r="B1557" s="1">
        <v>42570</v>
      </c>
      <c r="C1557" s="9" t="s">
        <v>2686</v>
      </c>
      <c r="D1557" s="9" t="s">
        <v>4988</v>
      </c>
      <c r="E1557" s="9" t="s">
        <v>6965</v>
      </c>
      <c r="F1557" s="9" t="s">
        <v>19</v>
      </c>
      <c r="G1557" s="9" t="s">
        <v>2687</v>
      </c>
      <c r="H1557" s="9" t="s">
        <v>86</v>
      </c>
      <c r="I1557" s="11">
        <v>250000</v>
      </c>
      <c r="J1557" s="11">
        <v>4485584</v>
      </c>
      <c r="K1557" s="11">
        <v>3340660</v>
      </c>
      <c r="L1557" s="3">
        <v>379</v>
      </c>
      <c r="M1557" s="3">
        <v>1970</v>
      </c>
      <c r="N1557" s="3">
        <v>1018455</v>
      </c>
      <c r="O1557" s="2">
        <v>-4.4000000000000004E-2</v>
      </c>
      <c r="P1557" s="2">
        <v>0.78400000000000003</v>
      </c>
      <c r="Q1557" s="2">
        <v>7.6999999999999999E-2</v>
      </c>
      <c r="R1557" s="11">
        <v>215616465</v>
      </c>
      <c r="S1557" s="11">
        <v>672333</v>
      </c>
      <c r="T1557">
        <v>2016</v>
      </c>
      <c r="U1557">
        <v>7</v>
      </c>
      <c r="V1557">
        <f t="shared" si="144"/>
        <v>550000</v>
      </c>
      <c r="W1557">
        <f t="shared" si="145"/>
        <v>18429897</v>
      </c>
      <c r="X1557">
        <f t="shared" si="146"/>
        <v>17879897</v>
      </c>
      <c r="Y1557">
        <f t="shared" si="147"/>
        <v>-26269845.5</v>
      </c>
      <c r="Z1557">
        <f t="shared" si="148"/>
        <v>45249742.5</v>
      </c>
      <c r="AA1557" t="str">
        <f t="shared" si="149"/>
        <v>Normal</v>
      </c>
      <c r="AE1557" s="2"/>
      <c r="AF1557" s="2"/>
    </row>
    <row r="1558" spans="1:32" x14ac:dyDescent="0.35">
      <c r="A1558">
        <v>1557</v>
      </c>
      <c r="B1558" s="1">
        <v>42571</v>
      </c>
      <c r="C1558" s="9" t="s">
        <v>2688</v>
      </c>
      <c r="D1558" s="9" t="s">
        <v>4988</v>
      </c>
      <c r="E1558" s="9" t="s">
        <v>6966</v>
      </c>
      <c r="F1558" s="9" t="s">
        <v>294</v>
      </c>
      <c r="G1558" s="9" t="s">
        <v>856</v>
      </c>
      <c r="H1558" s="9" t="s">
        <v>105</v>
      </c>
      <c r="I1558" s="11">
        <v>1000000</v>
      </c>
      <c r="J1558" s="11">
        <v>3869228</v>
      </c>
      <c r="K1558" s="11">
        <v>537730</v>
      </c>
      <c r="L1558" s="3">
        <v>316</v>
      </c>
      <c r="M1558" s="3">
        <v>3448</v>
      </c>
      <c r="N1558" s="3">
        <v>262677</v>
      </c>
      <c r="O1558" s="2">
        <v>0.26700000000000002</v>
      </c>
      <c r="P1558" s="2">
        <v>0.27100000000000002</v>
      </c>
      <c r="Q1558" s="2">
        <v>-0.17399999999999999</v>
      </c>
      <c r="R1558" s="11">
        <v>79511803</v>
      </c>
      <c r="S1558" s="11">
        <v>1052164</v>
      </c>
      <c r="T1558">
        <v>2016</v>
      </c>
      <c r="U1558">
        <v>7</v>
      </c>
      <c r="V1558">
        <f t="shared" si="144"/>
        <v>583750</v>
      </c>
      <c r="W1558">
        <f t="shared" si="145"/>
        <v>18429897</v>
      </c>
      <c r="X1558">
        <f t="shared" si="146"/>
        <v>17846147</v>
      </c>
      <c r="Y1558">
        <f t="shared" si="147"/>
        <v>-26185470.5</v>
      </c>
      <c r="Z1558">
        <f t="shared" si="148"/>
        <v>45199117.5</v>
      </c>
      <c r="AA1558" t="str">
        <f t="shared" si="149"/>
        <v>Normal</v>
      </c>
      <c r="AE1558" s="2"/>
      <c r="AF1558" s="2"/>
    </row>
    <row r="1559" spans="1:32" x14ac:dyDescent="0.35">
      <c r="A1559">
        <v>1558</v>
      </c>
      <c r="B1559" s="1">
        <v>42571</v>
      </c>
      <c r="C1559" s="9" t="s">
        <v>2689</v>
      </c>
      <c r="D1559" s="9" t="s">
        <v>4928</v>
      </c>
      <c r="E1559" s="9" t="s">
        <v>6967</v>
      </c>
      <c r="F1559" s="9" t="s">
        <v>31</v>
      </c>
      <c r="G1559" s="9" t="s">
        <v>2690</v>
      </c>
      <c r="H1559" s="9" t="s">
        <v>86</v>
      </c>
      <c r="I1559" s="11">
        <v>595000</v>
      </c>
      <c r="J1559" s="11">
        <v>4976013</v>
      </c>
      <c r="K1559" s="11">
        <v>18992324</v>
      </c>
      <c r="L1559" s="3">
        <v>489</v>
      </c>
      <c r="M1559" s="3">
        <v>3559</v>
      </c>
      <c r="N1559" s="3">
        <v>891356</v>
      </c>
      <c r="O1559" s="2">
        <v>-0.14400000000000002</v>
      </c>
      <c r="P1559" s="2">
        <v>0.70400000000000007</v>
      </c>
      <c r="Q1559" s="2">
        <v>0.26400000000000001</v>
      </c>
      <c r="R1559" s="11">
        <v>166752688</v>
      </c>
      <c r="S1559" s="11">
        <v>887404</v>
      </c>
      <c r="T1559">
        <v>2016</v>
      </c>
      <c r="U1559">
        <v>7</v>
      </c>
      <c r="V1559">
        <f t="shared" si="144"/>
        <v>572500</v>
      </c>
      <c r="W1559">
        <f t="shared" si="145"/>
        <v>18429897</v>
      </c>
      <c r="X1559">
        <f t="shared" si="146"/>
        <v>17857397</v>
      </c>
      <c r="Y1559">
        <f t="shared" si="147"/>
        <v>-26213595.5</v>
      </c>
      <c r="Z1559">
        <f t="shared" si="148"/>
        <v>45215992.5</v>
      </c>
      <c r="AA1559" t="str">
        <f t="shared" si="149"/>
        <v>Normal</v>
      </c>
      <c r="AE1559" s="2"/>
      <c r="AF1559" s="2"/>
    </row>
    <row r="1560" spans="1:32" x14ac:dyDescent="0.35">
      <c r="A1560">
        <v>1559</v>
      </c>
      <c r="B1560" s="1">
        <v>42571</v>
      </c>
      <c r="C1560" s="9" t="s">
        <v>2691</v>
      </c>
      <c r="D1560" s="9" t="s">
        <v>4988</v>
      </c>
      <c r="E1560" s="9" t="s">
        <v>6968</v>
      </c>
      <c r="F1560" s="9" t="s">
        <v>41</v>
      </c>
      <c r="G1560" s="9" t="s">
        <v>2692</v>
      </c>
      <c r="H1560" s="9" t="s">
        <v>86</v>
      </c>
      <c r="I1560" s="11">
        <v>18429897</v>
      </c>
      <c r="J1560" s="11">
        <v>2531926</v>
      </c>
      <c r="K1560" s="11">
        <v>8772103</v>
      </c>
      <c r="L1560" s="3">
        <v>54</v>
      </c>
      <c r="M1560" s="3">
        <v>50</v>
      </c>
      <c r="N1560" s="3">
        <v>1018455</v>
      </c>
      <c r="O1560" s="2">
        <v>0.7</v>
      </c>
      <c r="P1560" s="2">
        <v>0.373</v>
      </c>
      <c r="Q1560" s="2">
        <v>-0.316</v>
      </c>
      <c r="R1560" s="11">
        <v>195552596</v>
      </c>
      <c r="S1560" s="11">
        <v>114703</v>
      </c>
      <c r="T1560">
        <v>2016</v>
      </c>
      <c r="U1560">
        <v>7</v>
      </c>
      <c r="V1560">
        <f t="shared" si="144"/>
        <v>561250</v>
      </c>
      <c r="W1560">
        <f t="shared" si="145"/>
        <v>18429897</v>
      </c>
      <c r="X1560">
        <f t="shared" si="146"/>
        <v>17868647</v>
      </c>
      <c r="Y1560">
        <f t="shared" si="147"/>
        <v>-26241720.5</v>
      </c>
      <c r="Z1560">
        <f t="shared" si="148"/>
        <v>45232867.5</v>
      </c>
      <c r="AA1560" t="str">
        <f t="shared" si="149"/>
        <v>Normal</v>
      </c>
      <c r="AE1560" s="2"/>
      <c r="AF1560" s="2"/>
    </row>
    <row r="1561" spans="1:32" x14ac:dyDescent="0.35">
      <c r="A1561">
        <v>1560</v>
      </c>
      <c r="B1561" s="1">
        <v>42572</v>
      </c>
      <c r="C1561" s="9" t="s">
        <v>2693</v>
      </c>
      <c r="D1561" s="9" t="s">
        <v>4988</v>
      </c>
      <c r="E1561" s="9" t="s">
        <v>6969</v>
      </c>
      <c r="F1561" s="9" t="s">
        <v>27</v>
      </c>
      <c r="G1561" s="9" t="s">
        <v>2694</v>
      </c>
      <c r="H1561" s="9" t="s">
        <v>105</v>
      </c>
      <c r="I1561" s="11">
        <v>1000000</v>
      </c>
      <c r="J1561" s="11">
        <v>1469843</v>
      </c>
      <c r="K1561" s="11">
        <v>13145546</v>
      </c>
      <c r="L1561" s="3">
        <v>195</v>
      </c>
      <c r="M1561" s="3">
        <v>3796</v>
      </c>
      <c r="N1561" s="3">
        <v>141917</v>
      </c>
      <c r="O1561" s="2">
        <v>-0.03</v>
      </c>
      <c r="P1561" s="2">
        <v>0.61699999999999999</v>
      </c>
      <c r="Q1561" s="2">
        <v>0.159</v>
      </c>
      <c r="R1561" s="11">
        <v>265652622</v>
      </c>
      <c r="S1561" s="11">
        <v>1111484</v>
      </c>
      <c r="T1561">
        <v>2016</v>
      </c>
      <c r="U1561">
        <v>7</v>
      </c>
      <c r="V1561">
        <f t="shared" si="144"/>
        <v>550000</v>
      </c>
      <c r="W1561">
        <f t="shared" si="145"/>
        <v>18429897</v>
      </c>
      <c r="X1561">
        <f t="shared" si="146"/>
        <v>17879897</v>
      </c>
      <c r="Y1561">
        <f t="shared" si="147"/>
        <v>-26269845.5</v>
      </c>
      <c r="Z1561">
        <f t="shared" si="148"/>
        <v>45249742.5</v>
      </c>
      <c r="AA1561" t="str">
        <f t="shared" si="149"/>
        <v>Normal</v>
      </c>
      <c r="AE1561" s="2"/>
      <c r="AF1561" s="2"/>
    </row>
    <row r="1562" spans="1:32" x14ac:dyDescent="0.35">
      <c r="A1562">
        <v>1561</v>
      </c>
      <c r="B1562" s="1">
        <v>42572</v>
      </c>
      <c r="C1562" s="9" t="s">
        <v>2695</v>
      </c>
      <c r="D1562" s="9" t="s">
        <v>4925</v>
      </c>
      <c r="E1562" s="9" t="s">
        <v>6970</v>
      </c>
      <c r="F1562" s="9" t="s">
        <v>15</v>
      </c>
      <c r="G1562" s="9" t="s">
        <v>2696</v>
      </c>
      <c r="H1562" s="9" t="s">
        <v>86</v>
      </c>
      <c r="I1562" s="11">
        <v>18429897</v>
      </c>
      <c r="J1562" s="11">
        <v>1286232</v>
      </c>
      <c r="K1562" s="11">
        <v>10153449</v>
      </c>
      <c r="L1562" s="3">
        <v>303</v>
      </c>
      <c r="M1562" s="3">
        <v>3747</v>
      </c>
      <c r="N1562" s="3">
        <v>461967</v>
      </c>
      <c r="O1562" s="2">
        <v>1.6E-2</v>
      </c>
      <c r="P1562" s="2">
        <v>0.50800000000000001</v>
      </c>
      <c r="Q1562" s="2">
        <v>-3.5000000000000003E-2</v>
      </c>
      <c r="R1562" s="11">
        <v>160504501</v>
      </c>
      <c r="S1562" s="11">
        <v>664695</v>
      </c>
      <c r="T1562">
        <v>2016</v>
      </c>
      <c r="U1562">
        <v>7</v>
      </c>
      <c r="V1562">
        <f t="shared" si="144"/>
        <v>550000</v>
      </c>
      <c r="W1562">
        <f t="shared" si="145"/>
        <v>18429897</v>
      </c>
      <c r="X1562">
        <f t="shared" si="146"/>
        <v>17879897</v>
      </c>
      <c r="Y1562">
        <f t="shared" si="147"/>
        <v>-26269845.5</v>
      </c>
      <c r="Z1562">
        <f t="shared" si="148"/>
        <v>45249742.5</v>
      </c>
      <c r="AA1562" t="str">
        <f t="shared" si="149"/>
        <v>Normal</v>
      </c>
      <c r="AE1562" s="2"/>
      <c r="AF1562" s="2"/>
    </row>
    <row r="1563" spans="1:32" x14ac:dyDescent="0.35">
      <c r="A1563">
        <v>1562</v>
      </c>
      <c r="B1563" s="1">
        <v>42572</v>
      </c>
      <c r="C1563" s="9" t="s">
        <v>2697</v>
      </c>
      <c r="D1563" s="9" t="s">
        <v>4988</v>
      </c>
      <c r="E1563" s="9" t="s">
        <v>6971</v>
      </c>
      <c r="F1563" s="9" t="s">
        <v>15</v>
      </c>
      <c r="G1563" s="9" t="s">
        <v>1315</v>
      </c>
      <c r="H1563" s="9" t="s">
        <v>86</v>
      </c>
      <c r="I1563" s="11">
        <v>595000</v>
      </c>
      <c r="J1563" s="11">
        <v>1257402</v>
      </c>
      <c r="K1563" s="11">
        <v>4694127</v>
      </c>
      <c r="L1563" s="3">
        <v>40</v>
      </c>
      <c r="M1563" s="3">
        <v>908</v>
      </c>
      <c r="N1563" s="3">
        <v>565278</v>
      </c>
      <c r="O1563" s="2">
        <v>0.39500000000000002</v>
      </c>
      <c r="P1563" s="2">
        <v>0.53400000000000003</v>
      </c>
      <c r="Q1563" s="2">
        <v>0.20899999999999999</v>
      </c>
      <c r="R1563" s="11">
        <v>175032706</v>
      </c>
      <c r="S1563" s="11">
        <v>1725722</v>
      </c>
      <c r="T1563">
        <v>2016</v>
      </c>
      <c r="U1563">
        <v>7</v>
      </c>
      <c r="V1563">
        <f t="shared" si="144"/>
        <v>550000</v>
      </c>
      <c r="W1563">
        <f t="shared" si="145"/>
        <v>18429897</v>
      </c>
      <c r="X1563">
        <f t="shared" si="146"/>
        <v>17879897</v>
      </c>
      <c r="Y1563">
        <f t="shared" si="147"/>
        <v>-26269845.5</v>
      </c>
      <c r="Z1563">
        <f t="shared" si="148"/>
        <v>45249742.5</v>
      </c>
      <c r="AA1563" t="str">
        <f t="shared" si="149"/>
        <v>Normal</v>
      </c>
      <c r="AE1563" s="2"/>
      <c r="AF1563" s="2"/>
    </row>
    <row r="1564" spans="1:32" x14ac:dyDescent="0.35">
      <c r="A1564">
        <v>1563</v>
      </c>
      <c r="B1564" s="1">
        <v>42572</v>
      </c>
      <c r="C1564" s="9" t="s">
        <v>2698</v>
      </c>
      <c r="D1564" s="9" t="s">
        <v>4939</v>
      </c>
      <c r="E1564" s="9" t="s">
        <v>6972</v>
      </c>
      <c r="F1564" s="9" t="s">
        <v>31</v>
      </c>
      <c r="G1564" s="9" t="s">
        <v>2699</v>
      </c>
      <c r="H1564" s="9" t="s">
        <v>105</v>
      </c>
      <c r="I1564" s="11">
        <v>18429897</v>
      </c>
      <c r="J1564" s="11">
        <v>4595592</v>
      </c>
      <c r="K1564" s="11">
        <v>10875650</v>
      </c>
      <c r="L1564" s="3">
        <v>488</v>
      </c>
      <c r="M1564" s="3">
        <v>1727</v>
      </c>
      <c r="N1564" s="3">
        <v>1822151</v>
      </c>
      <c r="O1564" s="2">
        <v>0.28899999999999998</v>
      </c>
      <c r="P1564" s="2">
        <v>0.74</v>
      </c>
      <c r="Q1564" s="2">
        <v>4.2999999999999997E-2</v>
      </c>
      <c r="R1564" s="11">
        <v>145461799</v>
      </c>
      <c r="S1564" s="11">
        <v>1065381</v>
      </c>
      <c r="T1564">
        <v>2016</v>
      </c>
      <c r="U1564">
        <v>7</v>
      </c>
      <c r="V1564">
        <f t="shared" si="144"/>
        <v>550000</v>
      </c>
      <c r="W1564">
        <f t="shared" si="145"/>
        <v>18429897</v>
      </c>
      <c r="X1564">
        <f t="shared" si="146"/>
        <v>17879897</v>
      </c>
      <c r="Y1564">
        <f t="shared" si="147"/>
        <v>-26269845.5</v>
      </c>
      <c r="Z1564">
        <f t="shared" si="148"/>
        <v>45249742.5</v>
      </c>
      <c r="AA1564" t="str">
        <f t="shared" si="149"/>
        <v>Normal</v>
      </c>
      <c r="AE1564" s="2"/>
      <c r="AF1564" s="2"/>
    </row>
    <row r="1565" spans="1:32" x14ac:dyDescent="0.35">
      <c r="A1565">
        <v>1564</v>
      </c>
      <c r="B1565" s="1">
        <v>42522</v>
      </c>
      <c r="C1565" s="9" t="s">
        <v>2700</v>
      </c>
      <c r="D1565" s="9" t="s">
        <v>4988</v>
      </c>
      <c r="E1565" s="9" t="s">
        <v>6973</v>
      </c>
      <c r="F1565" s="9" t="s">
        <v>310</v>
      </c>
      <c r="G1565" s="9" t="s">
        <v>856</v>
      </c>
      <c r="H1565" s="9" t="s">
        <v>86</v>
      </c>
      <c r="I1565" s="11">
        <v>18429897</v>
      </c>
      <c r="J1565" s="11">
        <v>2793537</v>
      </c>
      <c r="K1565" s="11">
        <v>4255496</v>
      </c>
      <c r="L1565" s="3">
        <v>288</v>
      </c>
      <c r="M1565" s="3">
        <v>3845</v>
      </c>
      <c r="N1565" s="3">
        <v>1468888</v>
      </c>
      <c r="O1565" s="2">
        <v>2.4E-2</v>
      </c>
      <c r="P1565" s="2">
        <v>0.50800000000000001</v>
      </c>
      <c r="Q1565" s="2">
        <v>0.222</v>
      </c>
      <c r="R1565" s="11">
        <v>279607549</v>
      </c>
      <c r="S1565" s="11">
        <v>733428</v>
      </c>
      <c r="T1565">
        <v>2016</v>
      </c>
      <c r="U1565">
        <v>6</v>
      </c>
      <c r="V1565">
        <f t="shared" si="144"/>
        <v>550000</v>
      </c>
      <c r="W1565">
        <f t="shared" si="145"/>
        <v>18429897</v>
      </c>
      <c r="X1565">
        <f t="shared" si="146"/>
        <v>17879897</v>
      </c>
      <c r="Y1565">
        <f t="shared" si="147"/>
        <v>-26269845.5</v>
      </c>
      <c r="Z1565">
        <f t="shared" si="148"/>
        <v>45249742.5</v>
      </c>
      <c r="AA1565" t="str">
        <f t="shared" si="149"/>
        <v>Normal</v>
      </c>
      <c r="AE1565" s="2"/>
      <c r="AF1565" s="2"/>
    </row>
    <row r="1566" spans="1:32" x14ac:dyDescent="0.35">
      <c r="A1566">
        <v>1565</v>
      </c>
      <c r="B1566" s="1">
        <v>42522</v>
      </c>
      <c r="C1566" s="9" t="s">
        <v>2701</v>
      </c>
      <c r="D1566" s="9" t="s">
        <v>4930</v>
      </c>
      <c r="E1566" s="9" t="s">
        <v>5395</v>
      </c>
      <c r="F1566" s="9" t="s">
        <v>15</v>
      </c>
      <c r="G1566" s="9" t="s">
        <v>2023</v>
      </c>
      <c r="H1566" s="9" t="s">
        <v>105</v>
      </c>
      <c r="I1566" s="11">
        <v>18429897</v>
      </c>
      <c r="J1566" s="11">
        <v>2283198</v>
      </c>
      <c r="K1566" s="11">
        <v>12297333</v>
      </c>
      <c r="L1566" s="3">
        <v>157</v>
      </c>
      <c r="M1566" s="3">
        <v>2902</v>
      </c>
      <c r="N1566" s="3">
        <v>367594</v>
      </c>
      <c r="O1566" s="2">
        <v>2.4E-2</v>
      </c>
      <c r="P1566" s="2">
        <v>1.0749999999999999E-2</v>
      </c>
      <c r="Q1566" s="2">
        <v>0.44</v>
      </c>
      <c r="R1566" s="11">
        <v>334421070</v>
      </c>
      <c r="S1566" s="11">
        <v>1436445</v>
      </c>
      <c r="T1566">
        <v>2016</v>
      </c>
      <c r="U1566">
        <v>6</v>
      </c>
      <c r="V1566">
        <f t="shared" si="144"/>
        <v>550000</v>
      </c>
      <c r="W1566">
        <f t="shared" si="145"/>
        <v>18429897</v>
      </c>
      <c r="X1566">
        <f t="shared" si="146"/>
        <v>17879897</v>
      </c>
      <c r="Y1566">
        <f t="shared" si="147"/>
        <v>-26269845.5</v>
      </c>
      <c r="Z1566">
        <f t="shared" si="148"/>
        <v>45249742.5</v>
      </c>
      <c r="AA1566" t="str">
        <f t="shared" si="149"/>
        <v>Normal</v>
      </c>
      <c r="AE1566" s="2"/>
      <c r="AF1566" s="2"/>
    </row>
    <row r="1567" spans="1:32" x14ac:dyDescent="0.35">
      <c r="A1567">
        <v>1566</v>
      </c>
      <c r="B1567" s="1">
        <v>42523</v>
      </c>
      <c r="C1567" s="9" t="s">
        <v>354</v>
      </c>
      <c r="D1567" s="9" t="s">
        <v>4925</v>
      </c>
      <c r="E1567" s="9" t="s">
        <v>6974</v>
      </c>
      <c r="F1567" s="9" t="s">
        <v>27</v>
      </c>
      <c r="G1567" s="9" t="s">
        <v>2702</v>
      </c>
      <c r="H1567" s="9" t="s">
        <v>105</v>
      </c>
      <c r="I1567" s="11">
        <v>18429897</v>
      </c>
      <c r="J1567" s="11">
        <v>4841941</v>
      </c>
      <c r="K1567" s="11">
        <v>18485113</v>
      </c>
      <c r="L1567" s="3">
        <v>123</v>
      </c>
      <c r="M1567" s="3">
        <v>1730</v>
      </c>
      <c r="N1567" s="3">
        <v>1401600</v>
      </c>
      <c r="O1567" s="2">
        <v>0.29699999999999999</v>
      </c>
      <c r="P1567" s="2">
        <v>1.1970000000000001</v>
      </c>
      <c r="Q1567" s="2">
        <v>0.27399999999999997</v>
      </c>
      <c r="R1567" s="11">
        <v>440773445</v>
      </c>
      <c r="S1567" s="11">
        <v>367335</v>
      </c>
      <c r="T1567">
        <v>2016</v>
      </c>
      <c r="U1567">
        <v>6</v>
      </c>
      <c r="V1567">
        <f t="shared" si="144"/>
        <v>550000</v>
      </c>
      <c r="W1567">
        <f t="shared" si="145"/>
        <v>18429897</v>
      </c>
      <c r="X1567">
        <f t="shared" si="146"/>
        <v>17879897</v>
      </c>
      <c r="Y1567">
        <f t="shared" si="147"/>
        <v>-26269845.5</v>
      </c>
      <c r="Z1567">
        <f t="shared" si="148"/>
        <v>45249742.5</v>
      </c>
      <c r="AA1567" t="str">
        <f t="shared" si="149"/>
        <v>Normal</v>
      </c>
      <c r="AE1567" s="2"/>
      <c r="AF1567" s="2"/>
    </row>
    <row r="1568" spans="1:32" x14ac:dyDescent="0.35">
      <c r="A1568">
        <v>1567</v>
      </c>
      <c r="B1568" s="1">
        <v>42523</v>
      </c>
      <c r="C1568" s="9" t="s">
        <v>639</v>
      </c>
      <c r="D1568" s="9" t="s">
        <v>4988</v>
      </c>
      <c r="E1568" s="9" t="s">
        <v>6975</v>
      </c>
      <c r="F1568" s="9" t="s">
        <v>27</v>
      </c>
      <c r="G1568" s="9" t="s">
        <v>2703</v>
      </c>
      <c r="H1568" s="9" t="s">
        <v>86</v>
      </c>
      <c r="I1568" s="11">
        <v>18429897</v>
      </c>
      <c r="J1568" s="11">
        <v>2531926</v>
      </c>
      <c r="K1568" s="11">
        <v>6171481</v>
      </c>
      <c r="L1568" s="3">
        <v>5</v>
      </c>
      <c r="M1568" s="3">
        <v>3819</v>
      </c>
      <c r="N1568" s="3">
        <v>36363</v>
      </c>
      <c r="O1568" s="2">
        <v>-0.113</v>
      </c>
      <c r="P1568" s="2">
        <v>0.377</v>
      </c>
      <c r="Q1568" s="2">
        <v>0.26899999999999996</v>
      </c>
      <c r="R1568" s="11">
        <v>250264963</v>
      </c>
      <c r="S1568" s="11">
        <v>462990</v>
      </c>
      <c r="T1568">
        <v>2016</v>
      </c>
      <c r="U1568">
        <v>6</v>
      </c>
      <c r="V1568">
        <f t="shared" si="144"/>
        <v>550000</v>
      </c>
      <c r="W1568">
        <f t="shared" si="145"/>
        <v>18429897</v>
      </c>
      <c r="X1568">
        <f t="shared" si="146"/>
        <v>17879897</v>
      </c>
      <c r="Y1568">
        <f t="shared" si="147"/>
        <v>-26269845.5</v>
      </c>
      <c r="Z1568">
        <f t="shared" si="148"/>
        <v>45249742.5</v>
      </c>
      <c r="AA1568" t="str">
        <f t="shared" si="149"/>
        <v>Normal</v>
      </c>
      <c r="AE1568" s="2"/>
      <c r="AF1568" s="2"/>
    </row>
    <row r="1569" spans="1:32" x14ac:dyDescent="0.35">
      <c r="A1569">
        <v>1568</v>
      </c>
      <c r="B1569" s="1">
        <v>42523</v>
      </c>
      <c r="C1569" s="9" t="s">
        <v>2704</v>
      </c>
      <c r="D1569" s="9" t="s">
        <v>4930</v>
      </c>
      <c r="E1569" s="9" t="s">
        <v>2705</v>
      </c>
      <c r="F1569" s="9" t="s">
        <v>31</v>
      </c>
      <c r="G1569" s="9" t="s">
        <v>2706</v>
      </c>
      <c r="H1569" s="9" t="s">
        <v>105</v>
      </c>
      <c r="I1569" s="11">
        <v>1000000</v>
      </c>
      <c r="J1569" s="11">
        <v>4548971</v>
      </c>
      <c r="K1569" s="11">
        <v>12196372</v>
      </c>
      <c r="L1569" s="3">
        <v>298</v>
      </c>
      <c r="M1569" s="3">
        <v>3176</v>
      </c>
      <c r="N1569" s="3">
        <v>1596260</v>
      </c>
      <c r="O1569" s="2">
        <v>0.124</v>
      </c>
      <c r="P1569" s="2">
        <v>0.69400000000000006</v>
      </c>
      <c r="Q1569" s="2">
        <v>0.246</v>
      </c>
      <c r="R1569" s="11">
        <v>348658263</v>
      </c>
      <c r="S1569" s="11">
        <v>1198416</v>
      </c>
      <c r="T1569">
        <v>2016</v>
      </c>
      <c r="U1569">
        <v>6</v>
      </c>
      <c r="V1569">
        <f t="shared" si="144"/>
        <v>550000</v>
      </c>
      <c r="W1569">
        <f t="shared" si="145"/>
        <v>18429897</v>
      </c>
      <c r="X1569">
        <f t="shared" si="146"/>
        <v>17879897</v>
      </c>
      <c r="Y1569">
        <f t="shared" si="147"/>
        <v>-26269845.5</v>
      </c>
      <c r="Z1569">
        <f t="shared" si="148"/>
        <v>45249742.5</v>
      </c>
      <c r="AA1569" t="str">
        <f t="shared" si="149"/>
        <v>Normal</v>
      </c>
      <c r="AE1569" s="2"/>
      <c r="AF1569" s="2"/>
    </row>
    <row r="1570" spans="1:32" x14ac:dyDescent="0.35">
      <c r="A1570">
        <v>1569</v>
      </c>
      <c r="B1570" s="1">
        <v>42523</v>
      </c>
      <c r="C1570" s="9" t="s">
        <v>1223</v>
      </c>
      <c r="D1570" s="9" t="s">
        <v>4925</v>
      </c>
      <c r="E1570" s="9" t="s">
        <v>6976</v>
      </c>
      <c r="F1570" s="9" t="s">
        <v>31</v>
      </c>
      <c r="G1570" s="9" t="s">
        <v>329</v>
      </c>
      <c r="H1570" s="9" t="s">
        <v>86</v>
      </c>
      <c r="I1570" s="11">
        <v>18429897</v>
      </c>
      <c r="J1570" s="11">
        <v>4923554</v>
      </c>
      <c r="K1570" s="11">
        <v>18321789</v>
      </c>
      <c r="L1570" s="3">
        <v>488</v>
      </c>
      <c r="M1570" s="3">
        <v>2578</v>
      </c>
      <c r="N1570" s="3">
        <v>448518</v>
      </c>
      <c r="O1570" s="2">
        <v>-0.1</v>
      </c>
      <c r="P1570" s="2">
        <v>0.9840000000000001</v>
      </c>
      <c r="Q1570" s="2">
        <v>-0.32900000000000001</v>
      </c>
      <c r="R1570" s="11">
        <v>447262761</v>
      </c>
      <c r="S1570" s="11">
        <v>1514151</v>
      </c>
      <c r="T1570">
        <v>2016</v>
      </c>
      <c r="U1570">
        <v>6</v>
      </c>
      <c r="V1570">
        <f t="shared" si="144"/>
        <v>547500</v>
      </c>
      <c r="W1570">
        <f t="shared" si="145"/>
        <v>18429897</v>
      </c>
      <c r="X1570">
        <f t="shared" si="146"/>
        <v>17882397</v>
      </c>
      <c r="Y1570">
        <f t="shared" si="147"/>
        <v>-26276095.5</v>
      </c>
      <c r="Z1570">
        <f t="shared" si="148"/>
        <v>45253492.5</v>
      </c>
      <c r="AA1570" t="str">
        <f t="shared" si="149"/>
        <v>Normal</v>
      </c>
      <c r="AE1570" s="2"/>
      <c r="AF1570" s="2"/>
    </row>
    <row r="1571" spans="1:32" x14ac:dyDescent="0.35">
      <c r="A1571">
        <v>1570</v>
      </c>
      <c r="B1571" s="1">
        <v>42523</v>
      </c>
      <c r="C1571" s="9" t="s">
        <v>2707</v>
      </c>
      <c r="D1571" s="9" t="s">
        <v>4988</v>
      </c>
      <c r="E1571" s="9" t="s">
        <v>6977</v>
      </c>
      <c r="F1571" s="9" t="s">
        <v>31</v>
      </c>
      <c r="G1571" s="9" t="s">
        <v>2646</v>
      </c>
      <c r="H1571" s="9" t="s">
        <v>105</v>
      </c>
      <c r="I1571" s="11">
        <v>1000000</v>
      </c>
      <c r="J1571" s="11">
        <v>415639</v>
      </c>
      <c r="K1571" s="11">
        <v>17885346</v>
      </c>
      <c r="L1571" s="3">
        <v>22</v>
      </c>
      <c r="M1571" s="3">
        <v>80</v>
      </c>
      <c r="N1571" s="3">
        <v>1423763</v>
      </c>
      <c r="O1571" s="2">
        <v>8.5999999999999993E-2</v>
      </c>
      <c r="P1571" s="2">
        <v>1.129</v>
      </c>
      <c r="Q1571" s="2">
        <v>0.12</v>
      </c>
      <c r="R1571" s="11">
        <v>61407439</v>
      </c>
      <c r="S1571" s="11">
        <v>1619171</v>
      </c>
      <c r="T1571">
        <v>2016</v>
      </c>
      <c r="U1571">
        <v>6</v>
      </c>
      <c r="V1571">
        <f t="shared" si="144"/>
        <v>545000</v>
      </c>
      <c r="W1571">
        <f t="shared" si="145"/>
        <v>18429897</v>
      </c>
      <c r="X1571">
        <f t="shared" si="146"/>
        <v>17884897</v>
      </c>
      <c r="Y1571">
        <f t="shared" si="147"/>
        <v>-26282345.5</v>
      </c>
      <c r="Z1571">
        <f t="shared" si="148"/>
        <v>45257242.5</v>
      </c>
      <c r="AA1571" t="str">
        <f t="shared" si="149"/>
        <v>Normal</v>
      </c>
      <c r="AE1571" s="2"/>
      <c r="AF1571" s="2"/>
    </row>
    <row r="1572" spans="1:32" x14ac:dyDescent="0.35">
      <c r="A1572">
        <v>1571</v>
      </c>
      <c r="B1572" s="1">
        <v>42524</v>
      </c>
      <c r="C1572" s="9" t="s">
        <v>2708</v>
      </c>
      <c r="D1572" s="9" t="s">
        <v>4988</v>
      </c>
      <c r="E1572" s="9" t="s">
        <v>6978</v>
      </c>
      <c r="F1572" s="9" t="s">
        <v>15</v>
      </c>
      <c r="G1572" s="9" t="s">
        <v>2709</v>
      </c>
      <c r="H1572" s="9" t="s">
        <v>86</v>
      </c>
      <c r="I1572" s="11">
        <v>18429897</v>
      </c>
      <c r="J1572" s="11">
        <v>1820449</v>
      </c>
      <c r="K1572" s="11">
        <v>253635</v>
      </c>
      <c r="L1572" s="3">
        <v>209</v>
      </c>
      <c r="M1572" s="3">
        <v>3253</v>
      </c>
      <c r="N1572" s="3">
        <v>985629</v>
      </c>
      <c r="O1572" s="2">
        <v>0.28199999999999997</v>
      </c>
      <c r="P1572" s="2">
        <v>0.441</v>
      </c>
      <c r="Q1572" s="2">
        <v>0.16699999999999998</v>
      </c>
      <c r="R1572" s="11">
        <v>97561576</v>
      </c>
      <c r="S1572" s="11">
        <v>1472487</v>
      </c>
      <c r="T1572">
        <v>2016</v>
      </c>
      <c r="U1572">
        <v>6</v>
      </c>
      <c r="V1572">
        <f t="shared" si="144"/>
        <v>542500</v>
      </c>
      <c r="W1572">
        <f t="shared" si="145"/>
        <v>18429897</v>
      </c>
      <c r="X1572">
        <f t="shared" si="146"/>
        <v>17887397</v>
      </c>
      <c r="Y1572">
        <f t="shared" si="147"/>
        <v>-26288595.5</v>
      </c>
      <c r="Z1572">
        <f t="shared" si="148"/>
        <v>45260992.5</v>
      </c>
      <c r="AA1572" t="str">
        <f t="shared" si="149"/>
        <v>Normal</v>
      </c>
      <c r="AE1572" s="2"/>
      <c r="AF1572" s="2"/>
    </row>
    <row r="1573" spans="1:32" x14ac:dyDescent="0.35">
      <c r="A1573">
        <v>1572</v>
      </c>
      <c r="B1573" s="1">
        <v>42524</v>
      </c>
      <c r="C1573" s="9" t="s">
        <v>2710</v>
      </c>
      <c r="D1573" s="9" t="s">
        <v>4988</v>
      </c>
      <c r="E1573" s="9" t="s">
        <v>6979</v>
      </c>
      <c r="F1573" s="9" t="s">
        <v>35</v>
      </c>
      <c r="G1573" s="9" t="s">
        <v>856</v>
      </c>
      <c r="H1573" s="9" t="s">
        <v>86</v>
      </c>
      <c r="I1573" s="11">
        <v>75000</v>
      </c>
      <c r="J1573" s="11">
        <v>3676013</v>
      </c>
      <c r="K1573" s="11">
        <v>2293481</v>
      </c>
      <c r="L1573" s="3">
        <v>332</v>
      </c>
      <c r="M1573" s="3">
        <v>940</v>
      </c>
      <c r="N1573" s="3">
        <v>1467032</v>
      </c>
      <c r="O1573" s="2">
        <v>-1.4E-2</v>
      </c>
      <c r="P1573" s="2">
        <v>1.1879999999999999</v>
      </c>
      <c r="Q1573" s="2">
        <v>0.23800000000000002</v>
      </c>
      <c r="R1573" s="11">
        <v>74228126</v>
      </c>
      <c r="S1573" s="11">
        <v>1379757</v>
      </c>
      <c r="T1573">
        <v>2016</v>
      </c>
      <c r="U1573">
        <v>6</v>
      </c>
      <c r="V1573">
        <f t="shared" si="144"/>
        <v>540000</v>
      </c>
      <c r="W1573">
        <f t="shared" si="145"/>
        <v>18429897</v>
      </c>
      <c r="X1573">
        <f t="shared" si="146"/>
        <v>17889897</v>
      </c>
      <c r="Y1573">
        <f t="shared" si="147"/>
        <v>-26294845.5</v>
      </c>
      <c r="Z1573">
        <f t="shared" si="148"/>
        <v>45264742.5</v>
      </c>
      <c r="AA1573" t="str">
        <f t="shared" si="149"/>
        <v>Normal</v>
      </c>
      <c r="AE1573" s="2"/>
      <c r="AF1573" s="2"/>
    </row>
    <row r="1574" spans="1:32" x14ac:dyDescent="0.35">
      <c r="A1574">
        <v>1573</v>
      </c>
      <c r="B1574" s="1">
        <v>42524</v>
      </c>
      <c r="C1574" s="9" t="s">
        <v>2711</v>
      </c>
      <c r="D1574" s="9" t="s">
        <v>2539</v>
      </c>
      <c r="E1574" s="9" t="s">
        <v>6980</v>
      </c>
      <c r="F1574" s="9" t="s">
        <v>27</v>
      </c>
      <c r="G1574" s="9" t="s">
        <v>2712</v>
      </c>
      <c r="H1574" s="9" t="s">
        <v>105</v>
      </c>
      <c r="I1574" s="11">
        <v>2000000</v>
      </c>
      <c r="J1574" s="11">
        <v>4069533</v>
      </c>
      <c r="K1574" s="11">
        <v>19725335</v>
      </c>
      <c r="L1574" s="3">
        <v>218</v>
      </c>
      <c r="M1574" s="3">
        <v>4603</v>
      </c>
      <c r="N1574" s="3">
        <v>697475</v>
      </c>
      <c r="O1574" s="2">
        <v>0.315</v>
      </c>
      <c r="P1574" s="2">
        <v>0.6409999999999999</v>
      </c>
      <c r="Q1574" s="2">
        <v>7.9000000000000001E-2</v>
      </c>
      <c r="R1574" s="11">
        <v>246510600</v>
      </c>
      <c r="S1574" s="11">
        <v>1499898</v>
      </c>
      <c r="T1574">
        <v>2016</v>
      </c>
      <c r="U1574">
        <v>6</v>
      </c>
      <c r="V1574">
        <f t="shared" si="144"/>
        <v>547500</v>
      </c>
      <c r="W1574">
        <f t="shared" si="145"/>
        <v>18429897</v>
      </c>
      <c r="X1574">
        <f t="shared" si="146"/>
        <v>17882397</v>
      </c>
      <c r="Y1574">
        <f t="shared" si="147"/>
        <v>-26276095.5</v>
      </c>
      <c r="Z1574">
        <f t="shared" si="148"/>
        <v>45253492.5</v>
      </c>
      <c r="AA1574" t="str">
        <f t="shared" si="149"/>
        <v>Normal</v>
      </c>
      <c r="AE1574" s="2"/>
      <c r="AF1574" s="2"/>
    </row>
    <row r="1575" spans="1:32" x14ac:dyDescent="0.35">
      <c r="A1575">
        <v>1574</v>
      </c>
      <c r="B1575" s="1">
        <v>42527</v>
      </c>
      <c r="C1575" s="9" t="s">
        <v>2713</v>
      </c>
      <c r="D1575" s="9" t="s">
        <v>4988</v>
      </c>
      <c r="E1575" s="9" t="s">
        <v>6981</v>
      </c>
      <c r="F1575" s="9" t="s">
        <v>124</v>
      </c>
      <c r="G1575" s="9" t="s">
        <v>2714</v>
      </c>
      <c r="H1575" s="9" t="s">
        <v>86</v>
      </c>
      <c r="I1575" s="11">
        <v>448000</v>
      </c>
      <c r="J1575" s="11">
        <v>759455</v>
      </c>
      <c r="K1575" s="11">
        <v>18515304</v>
      </c>
      <c r="L1575" s="3">
        <v>327</v>
      </c>
      <c r="M1575" s="3">
        <v>985</v>
      </c>
      <c r="N1575" s="3">
        <v>1061857</v>
      </c>
      <c r="O1575" s="2">
        <v>0.56000000000000005</v>
      </c>
      <c r="P1575" s="2">
        <v>0.97199999999999998</v>
      </c>
      <c r="Q1575" s="2">
        <v>0.27899999999999997</v>
      </c>
      <c r="R1575" s="11">
        <v>399531620</v>
      </c>
      <c r="S1575" s="11">
        <v>1598123</v>
      </c>
      <c r="T1575">
        <v>2016</v>
      </c>
      <c r="U1575">
        <v>6</v>
      </c>
      <c r="V1575">
        <f t="shared" si="144"/>
        <v>545000</v>
      </c>
      <c r="W1575">
        <f t="shared" si="145"/>
        <v>18429897</v>
      </c>
      <c r="X1575">
        <f t="shared" si="146"/>
        <v>17884897</v>
      </c>
      <c r="Y1575">
        <f t="shared" si="147"/>
        <v>-26282345.5</v>
      </c>
      <c r="Z1575">
        <f t="shared" si="148"/>
        <v>45257242.5</v>
      </c>
      <c r="AA1575" t="str">
        <f t="shared" si="149"/>
        <v>Normal</v>
      </c>
      <c r="AE1575" s="2"/>
      <c r="AF1575" s="2"/>
    </row>
    <row r="1576" spans="1:32" x14ac:dyDescent="0.35">
      <c r="A1576">
        <v>1575</v>
      </c>
      <c r="B1576" s="1">
        <v>42528</v>
      </c>
      <c r="C1576" s="9" t="s">
        <v>1958</v>
      </c>
      <c r="D1576" s="9" t="s">
        <v>4938</v>
      </c>
      <c r="E1576" s="9" t="s">
        <v>6982</v>
      </c>
      <c r="F1576" s="9" t="s">
        <v>15</v>
      </c>
      <c r="G1576" s="9" t="s">
        <v>2715</v>
      </c>
      <c r="H1576" s="9" t="s">
        <v>105</v>
      </c>
      <c r="I1576" s="11">
        <v>4000000</v>
      </c>
      <c r="J1576" s="11">
        <v>1605627</v>
      </c>
      <c r="K1576" s="11">
        <v>6506011</v>
      </c>
      <c r="L1576" s="3">
        <v>357</v>
      </c>
      <c r="M1576" s="3">
        <v>197</v>
      </c>
      <c r="N1576" s="3">
        <v>1815450</v>
      </c>
      <c r="O1576" s="2">
        <v>0.24100000000000002</v>
      </c>
      <c r="P1576" s="2">
        <v>0.71799999999999997</v>
      </c>
      <c r="Q1576" s="2">
        <v>-0.14000000000000001</v>
      </c>
      <c r="R1576" s="11">
        <v>366954827</v>
      </c>
      <c r="S1576" s="11">
        <v>1333962</v>
      </c>
      <c r="T1576">
        <v>2016</v>
      </c>
      <c r="U1576">
        <v>6</v>
      </c>
      <c r="V1576">
        <f t="shared" si="144"/>
        <v>550000</v>
      </c>
      <c r="W1576">
        <f t="shared" si="145"/>
        <v>18429897</v>
      </c>
      <c r="X1576">
        <f t="shared" si="146"/>
        <v>17879897</v>
      </c>
      <c r="Y1576">
        <f t="shared" si="147"/>
        <v>-26269845.5</v>
      </c>
      <c r="Z1576">
        <f t="shared" si="148"/>
        <v>45249742.5</v>
      </c>
      <c r="AA1576" t="str">
        <f t="shared" si="149"/>
        <v>Normal</v>
      </c>
      <c r="AE1576" s="2"/>
      <c r="AF1576" s="2"/>
    </row>
    <row r="1577" spans="1:32" x14ac:dyDescent="0.35">
      <c r="A1577">
        <v>1576</v>
      </c>
      <c r="B1577" s="1">
        <v>42528</v>
      </c>
      <c r="C1577" s="9" t="s">
        <v>279</v>
      </c>
      <c r="D1577" s="9" t="s">
        <v>4988</v>
      </c>
      <c r="E1577" s="9" t="s">
        <v>6983</v>
      </c>
      <c r="F1577" s="9" t="s">
        <v>15</v>
      </c>
      <c r="G1577" s="9" t="s">
        <v>2716</v>
      </c>
      <c r="H1577" s="9" t="s">
        <v>105</v>
      </c>
      <c r="I1577" s="11">
        <v>2000000</v>
      </c>
      <c r="J1577" s="11">
        <v>2749900</v>
      </c>
      <c r="K1577" s="11">
        <v>10448981</v>
      </c>
      <c r="L1577" s="3">
        <v>482</v>
      </c>
      <c r="M1577" s="3">
        <v>2505.5</v>
      </c>
      <c r="N1577" s="3">
        <v>1605549</v>
      </c>
      <c r="O1577" s="2">
        <v>0.10300000000000001</v>
      </c>
      <c r="P1577" s="2">
        <v>0.498</v>
      </c>
      <c r="Q1577" s="2">
        <v>0.59799999999999998</v>
      </c>
      <c r="R1577" s="11">
        <v>349895587</v>
      </c>
      <c r="S1577" s="11">
        <v>1008193.5</v>
      </c>
      <c r="T1577">
        <v>2016</v>
      </c>
      <c r="U1577">
        <v>6</v>
      </c>
      <c r="V1577">
        <f t="shared" si="144"/>
        <v>550000</v>
      </c>
      <c r="W1577">
        <f t="shared" si="145"/>
        <v>18429897</v>
      </c>
      <c r="X1577">
        <f t="shared" si="146"/>
        <v>17879897</v>
      </c>
      <c r="Y1577">
        <f t="shared" si="147"/>
        <v>-26269845.5</v>
      </c>
      <c r="Z1577">
        <f t="shared" si="148"/>
        <v>45249742.5</v>
      </c>
      <c r="AA1577" t="str">
        <f t="shared" si="149"/>
        <v>Normal</v>
      </c>
      <c r="AE1577" s="2"/>
      <c r="AF1577" s="2"/>
    </row>
    <row r="1578" spans="1:32" x14ac:dyDescent="0.35">
      <c r="A1578">
        <v>1577</v>
      </c>
      <c r="B1578" s="1">
        <v>42528</v>
      </c>
      <c r="C1578" s="9" t="s">
        <v>2717</v>
      </c>
      <c r="D1578" s="9" t="s">
        <v>4930</v>
      </c>
      <c r="E1578" s="9" t="s">
        <v>6984</v>
      </c>
      <c r="F1578" s="9" t="s">
        <v>15</v>
      </c>
      <c r="G1578" s="9" t="s">
        <v>856</v>
      </c>
      <c r="H1578" s="9" t="s">
        <v>86</v>
      </c>
      <c r="I1578" s="11">
        <v>100000</v>
      </c>
      <c r="J1578" s="11">
        <v>4000083</v>
      </c>
      <c r="K1578" s="11">
        <v>11498698</v>
      </c>
      <c r="L1578" s="3">
        <v>304</v>
      </c>
      <c r="M1578" s="3">
        <v>1780</v>
      </c>
      <c r="N1578" s="3">
        <v>1090214</v>
      </c>
      <c r="O1578" s="2">
        <v>0.35100000000000003</v>
      </c>
      <c r="P1578" s="2">
        <v>0.309</v>
      </c>
      <c r="Q1578" s="2">
        <v>0.24</v>
      </c>
      <c r="R1578" s="11">
        <v>348578981</v>
      </c>
      <c r="S1578" s="11">
        <v>472293</v>
      </c>
      <c r="T1578">
        <v>2016</v>
      </c>
      <c r="U1578">
        <v>6</v>
      </c>
      <c r="V1578">
        <f t="shared" si="144"/>
        <v>547500</v>
      </c>
      <c r="W1578">
        <f t="shared" si="145"/>
        <v>18429897</v>
      </c>
      <c r="X1578">
        <f t="shared" si="146"/>
        <v>17882397</v>
      </c>
      <c r="Y1578">
        <f t="shared" si="147"/>
        <v>-26276095.5</v>
      </c>
      <c r="Z1578">
        <f t="shared" si="148"/>
        <v>45253492.5</v>
      </c>
      <c r="AA1578" t="str">
        <f t="shared" si="149"/>
        <v>Normal</v>
      </c>
      <c r="AE1578" s="2"/>
      <c r="AF1578" s="2"/>
    </row>
    <row r="1579" spans="1:32" x14ac:dyDescent="0.35">
      <c r="A1579">
        <v>1578</v>
      </c>
      <c r="B1579" s="1">
        <v>42528</v>
      </c>
      <c r="C1579" s="9" t="s">
        <v>2718</v>
      </c>
      <c r="D1579" s="9" t="s">
        <v>4930</v>
      </c>
      <c r="E1579" s="9" t="s">
        <v>6985</v>
      </c>
      <c r="F1579" s="9" t="s">
        <v>41</v>
      </c>
      <c r="G1579" s="9" t="s">
        <v>2719</v>
      </c>
      <c r="H1579" s="9" t="s">
        <v>105</v>
      </c>
      <c r="I1579" s="11">
        <v>23000000</v>
      </c>
      <c r="J1579" s="11">
        <v>582576</v>
      </c>
      <c r="K1579" s="11">
        <v>13401596</v>
      </c>
      <c r="L1579" s="3">
        <v>356</v>
      </c>
      <c r="M1579" s="3">
        <v>1793</v>
      </c>
      <c r="N1579" s="3">
        <v>1845269</v>
      </c>
      <c r="O1579" s="2">
        <v>-0.10199999999999999</v>
      </c>
      <c r="P1579" s="2">
        <v>0.36200000000000004</v>
      </c>
      <c r="Q1579" s="2">
        <v>0.36749999999999999</v>
      </c>
      <c r="R1579" s="11">
        <v>416049920</v>
      </c>
      <c r="S1579" s="11">
        <v>1507411</v>
      </c>
      <c r="T1579">
        <v>2016</v>
      </c>
      <c r="U1579">
        <v>6</v>
      </c>
      <c r="V1579">
        <f t="shared" si="144"/>
        <v>550000</v>
      </c>
      <c r="W1579">
        <f t="shared" si="145"/>
        <v>18429897</v>
      </c>
      <c r="X1579">
        <f t="shared" si="146"/>
        <v>17879897</v>
      </c>
      <c r="Y1579">
        <f t="shared" si="147"/>
        <v>-26269845.5</v>
      </c>
      <c r="Z1579">
        <f t="shared" si="148"/>
        <v>45249742.5</v>
      </c>
      <c r="AA1579" t="str">
        <f t="shared" si="149"/>
        <v>Normal</v>
      </c>
      <c r="AE1579" s="2"/>
      <c r="AF1579" s="2"/>
    </row>
    <row r="1580" spans="1:32" x14ac:dyDescent="0.35">
      <c r="A1580">
        <v>1579</v>
      </c>
      <c r="B1580" s="1">
        <v>42528</v>
      </c>
      <c r="C1580" s="9" t="s">
        <v>2720</v>
      </c>
      <c r="D1580" s="9" t="s">
        <v>4930</v>
      </c>
      <c r="E1580" s="9" t="s">
        <v>6986</v>
      </c>
      <c r="F1580" s="9" t="s">
        <v>31</v>
      </c>
      <c r="G1580" s="9" t="s">
        <v>2031</v>
      </c>
      <c r="H1580" s="9" t="s">
        <v>105</v>
      </c>
      <c r="I1580" s="11">
        <v>1000000</v>
      </c>
      <c r="J1580" s="11">
        <v>3011654</v>
      </c>
      <c r="K1580" s="11">
        <v>15032550</v>
      </c>
      <c r="L1580" s="3">
        <v>154</v>
      </c>
      <c r="M1580" s="3">
        <v>4637</v>
      </c>
      <c r="N1580" s="3">
        <v>235627</v>
      </c>
      <c r="O1580" s="2">
        <v>0.42399999999999999</v>
      </c>
      <c r="P1580" s="2">
        <v>0.50800000000000001</v>
      </c>
      <c r="Q1580" s="2">
        <v>0.439</v>
      </c>
      <c r="R1580" s="11">
        <v>379198639</v>
      </c>
      <c r="S1580" s="11">
        <v>1176770</v>
      </c>
      <c r="T1580">
        <v>2016</v>
      </c>
      <c r="U1580">
        <v>6</v>
      </c>
      <c r="V1580">
        <f t="shared" si="144"/>
        <v>550000</v>
      </c>
      <c r="W1580">
        <f t="shared" si="145"/>
        <v>18429897</v>
      </c>
      <c r="X1580">
        <f t="shared" si="146"/>
        <v>17879897</v>
      </c>
      <c r="Y1580">
        <f t="shared" si="147"/>
        <v>-26269845.5</v>
      </c>
      <c r="Z1580">
        <f t="shared" si="148"/>
        <v>45249742.5</v>
      </c>
      <c r="AA1580" t="str">
        <f t="shared" si="149"/>
        <v>Normal</v>
      </c>
      <c r="AE1580" s="2"/>
      <c r="AF1580" s="2"/>
    </row>
    <row r="1581" spans="1:32" x14ac:dyDescent="0.35">
      <c r="A1581">
        <v>1580</v>
      </c>
      <c r="B1581" s="1">
        <v>42529</v>
      </c>
      <c r="C1581" s="9" t="s">
        <v>2721</v>
      </c>
      <c r="D1581" s="9" t="s">
        <v>4988</v>
      </c>
      <c r="E1581" s="9" t="s">
        <v>5512</v>
      </c>
      <c r="F1581" s="9" t="s">
        <v>124</v>
      </c>
      <c r="G1581" s="9" t="s">
        <v>2722</v>
      </c>
      <c r="H1581" s="9" t="s">
        <v>86</v>
      </c>
      <c r="I1581" s="11">
        <v>1000000</v>
      </c>
      <c r="J1581" s="11">
        <v>1496285</v>
      </c>
      <c r="K1581" s="11">
        <v>7520221</v>
      </c>
      <c r="L1581" s="3">
        <v>79</v>
      </c>
      <c r="M1581" s="3">
        <v>1408</v>
      </c>
      <c r="N1581" s="3">
        <v>1400538</v>
      </c>
      <c r="O1581" s="2">
        <v>-3.1E-2</v>
      </c>
      <c r="P1581" s="2">
        <v>0.754</v>
      </c>
      <c r="Q1581" s="2">
        <v>-0.17899999999999999</v>
      </c>
      <c r="R1581" s="11">
        <v>240431304</v>
      </c>
      <c r="S1581" s="11">
        <v>390671</v>
      </c>
      <c r="T1581">
        <v>2016</v>
      </c>
      <c r="U1581">
        <v>6</v>
      </c>
      <c r="V1581">
        <f t="shared" si="144"/>
        <v>550000</v>
      </c>
      <c r="W1581">
        <f t="shared" si="145"/>
        <v>18429897</v>
      </c>
      <c r="X1581">
        <f t="shared" si="146"/>
        <v>17879897</v>
      </c>
      <c r="Y1581">
        <f t="shared" si="147"/>
        <v>-26269845.5</v>
      </c>
      <c r="Z1581">
        <f t="shared" si="148"/>
        <v>45249742.5</v>
      </c>
      <c r="AA1581" t="str">
        <f t="shared" si="149"/>
        <v>Normal</v>
      </c>
      <c r="AE1581" s="2"/>
      <c r="AF1581" s="2"/>
    </row>
    <row r="1582" spans="1:32" x14ac:dyDescent="0.35">
      <c r="A1582">
        <v>1581</v>
      </c>
      <c r="B1582" s="1">
        <v>42529</v>
      </c>
      <c r="C1582" s="9" t="s">
        <v>2723</v>
      </c>
      <c r="D1582" s="9" t="s">
        <v>4925</v>
      </c>
      <c r="E1582" s="9" t="s">
        <v>6987</v>
      </c>
      <c r="F1582" s="9" t="s">
        <v>31</v>
      </c>
      <c r="G1582" s="9" t="s">
        <v>2724</v>
      </c>
      <c r="H1582" s="9" t="s">
        <v>86</v>
      </c>
      <c r="I1582" s="11">
        <v>500000</v>
      </c>
      <c r="J1582" s="11">
        <v>1097451</v>
      </c>
      <c r="K1582" s="11">
        <v>17809667</v>
      </c>
      <c r="L1582" s="3">
        <v>54</v>
      </c>
      <c r="M1582" s="3">
        <v>4195</v>
      </c>
      <c r="N1582" s="3">
        <v>1250701</v>
      </c>
      <c r="O1582" s="2">
        <v>0.55399999999999994</v>
      </c>
      <c r="P1582" s="2">
        <v>0.63300000000000001</v>
      </c>
      <c r="Q1582" s="2">
        <v>0.10199999999999999</v>
      </c>
      <c r="R1582" s="11">
        <v>356963302</v>
      </c>
      <c r="S1582" s="11">
        <v>559790</v>
      </c>
      <c r="T1582">
        <v>2016</v>
      </c>
      <c r="U1582">
        <v>6</v>
      </c>
      <c r="V1582">
        <f t="shared" si="144"/>
        <v>547500</v>
      </c>
      <c r="W1582">
        <f t="shared" si="145"/>
        <v>18429897</v>
      </c>
      <c r="X1582">
        <f t="shared" si="146"/>
        <v>17882397</v>
      </c>
      <c r="Y1582">
        <f t="shared" si="147"/>
        <v>-26276095.5</v>
      </c>
      <c r="Z1582">
        <f t="shared" si="148"/>
        <v>45253492.5</v>
      </c>
      <c r="AA1582" t="str">
        <f t="shared" si="149"/>
        <v>Normal</v>
      </c>
      <c r="AE1582" s="2"/>
      <c r="AF1582" s="2"/>
    </row>
    <row r="1583" spans="1:32" x14ac:dyDescent="0.35">
      <c r="A1583">
        <v>1582</v>
      </c>
      <c r="B1583" s="1">
        <v>42529</v>
      </c>
      <c r="C1583" s="9" t="s">
        <v>2725</v>
      </c>
      <c r="D1583" s="9" t="s">
        <v>4930</v>
      </c>
      <c r="E1583" s="9" t="s">
        <v>6988</v>
      </c>
      <c r="F1583" s="9" t="s">
        <v>31</v>
      </c>
      <c r="G1583" s="9" t="s">
        <v>1315</v>
      </c>
      <c r="H1583" s="9" t="s">
        <v>86</v>
      </c>
      <c r="I1583" s="11">
        <v>200000</v>
      </c>
      <c r="J1583" s="11">
        <v>2586687</v>
      </c>
      <c r="K1583" s="11">
        <v>1276892</v>
      </c>
      <c r="L1583" s="3">
        <v>59</v>
      </c>
      <c r="M1583" s="3">
        <v>855</v>
      </c>
      <c r="N1583" s="3">
        <v>513358</v>
      </c>
      <c r="O1583" s="2">
        <v>-2.3E-2</v>
      </c>
      <c r="P1583" s="2">
        <v>0.82599999999999996</v>
      </c>
      <c r="Q1583" s="2">
        <v>0.129</v>
      </c>
      <c r="R1583" s="11">
        <v>20771706</v>
      </c>
      <c r="S1583" s="11">
        <v>1958264</v>
      </c>
      <c r="T1583">
        <v>2016</v>
      </c>
      <c r="U1583">
        <v>6</v>
      </c>
      <c r="V1583">
        <f t="shared" si="144"/>
        <v>550000</v>
      </c>
      <c r="W1583">
        <f t="shared" si="145"/>
        <v>18429897</v>
      </c>
      <c r="X1583">
        <f t="shared" si="146"/>
        <v>17879897</v>
      </c>
      <c r="Y1583">
        <f t="shared" si="147"/>
        <v>-26269845.5</v>
      </c>
      <c r="Z1583">
        <f t="shared" si="148"/>
        <v>45249742.5</v>
      </c>
      <c r="AA1583" t="str">
        <f t="shared" si="149"/>
        <v>Normal</v>
      </c>
      <c r="AE1583" s="2"/>
      <c r="AF1583" s="2"/>
    </row>
    <row r="1584" spans="1:32" x14ac:dyDescent="0.35">
      <c r="A1584">
        <v>1583</v>
      </c>
      <c r="B1584" s="1">
        <v>42529</v>
      </c>
      <c r="C1584" s="9" t="s">
        <v>2726</v>
      </c>
      <c r="D1584" s="9" t="s">
        <v>4988</v>
      </c>
      <c r="E1584" s="9" t="s">
        <v>6989</v>
      </c>
      <c r="F1584" s="9" t="s">
        <v>19</v>
      </c>
      <c r="G1584" s="9" t="s">
        <v>2727</v>
      </c>
      <c r="H1584" s="9" t="s">
        <v>86</v>
      </c>
      <c r="I1584" s="11">
        <v>18429897</v>
      </c>
      <c r="J1584" s="11">
        <v>2081849</v>
      </c>
      <c r="K1584" s="11">
        <v>745448</v>
      </c>
      <c r="L1584" s="3">
        <v>414</v>
      </c>
      <c r="M1584" s="3">
        <v>3103</v>
      </c>
      <c r="N1584" s="3">
        <v>777954</v>
      </c>
      <c r="O1584" s="2">
        <v>0.252</v>
      </c>
      <c r="P1584" s="2">
        <v>0.70699999999999996</v>
      </c>
      <c r="Q1584" s="2">
        <v>-0.2</v>
      </c>
      <c r="R1584" s="11">
        <v>8494576</v>
      </c>
      <c r="S1584" s="11">
        <v>1833290</v>
      </c>
      <c r="T1584">
        <v>2016</v>
      </c>
      <c r="U1584">
        <v>6</v>
      </c>
      <c r="V1584">
        <f t="shared" si="144"/>
        <v>550000</v>
      </c>
      <c r="W1584">
        <f t="shared" si="145"/>
        <v>18429897</v>
      </c>
      <c r="X1584">
        <f t="shared" si="146"/>
        <v>17879897</v>
      </c>
      <c r="Y1584">
        <f t="shared" si="147"/>
        <v>-26269845.5</v>
      </c>
      <c r="Z1584">
        <f t="shared" si="148"/>
        <v>45249742.5</v>
      </c>
      <c r="AA1584" t="str">
        <f t="shared" si="149"/>
        <v>Normal</v>
      </c>
      <c r="AE1584" s="2"/>
      <c r="AF1584" s="2"/>
    </row>
    <row r="1585" spans="1:32" x14ac:dyDescent="0.35">
      <c r="A1585">
        <v>1584</v>
      </c>
      <c r="B1585" s="1">
        <v>42529</v>
      </c>
      <c r="C1585" s="9" t="s">
        <v>2728</v>
      </c>
      <c r="D1585" s="9" t="s">
        <v>4988</v>
      </c>
      <c r="E1585" s="9" t="s">
        <v>6990</v>
      </c>
      <c r="F1585" s="9" t="s">
        <v>15</v>
      </c>
      <c r="G1585" s="9" t="s">
        <v>2729</v>
      </c>
      <c r="H1585" s="9" t="s">
        <v>86</v>
      </c>
      <c r="I1585" s="11">
        <v>18429897</v>
      </c>
      <c r="J1585" s="11">
        <v>3185842</v>
      </c>
      <c r="K1585" s="11">
        <v>19163651</v>
      </c>
      <c r="L1585" s="3">
        <v>25</v>
      </c>
      <c r="M1585" s="3">
        <v>697</v>
      </c>
      <c r="N1585" s="3">
        <v>811585</v>
      </c>
      <c r="O1585" s="2">
        <v>-0.192</v>
      </c>
      <c r="P1585" s="2">
        <v>0.34100000000000003</v>
      </c>
      <c r="Q1585" s="2">
        <v>6.9000000000000006E-2</v>
      </c>
      <c r="R1585" s="11">
        <v>227785504</v>
      </c>
      <c r="S1585" s="11">
        <v>155619</v>
      </c>
      <c r="T1585">
        <v>2016</v>
      </c>
      <c r="U1585">
        <v>6</v>
      </c>
      <c r="V1585">
        <f t="shared" si="144"/>
        <v>550000</v>
      </c>
      <c r="W1585">
        <f t="shared" si="145"/>
        <v>18429897</v>
      </c>
      <c r="X1585">
        <f t="shared" si="146"/>
        <v>17879897</v>
      </c>
      <c r="Y1585">
        <f t="shared" si="147"/>
        <v>-26269845.5</v>
      </c>
      <c r="Z1585">
        <f t="shared" si="148"/>
        <v>45249742.5</v>
      </c>
      <c r="AA1585" t="str">
        <f t="shared" si="149"/>
        <v>Normal</v>
      </c>
      <c r="AE1585" s="2"/>
      <c r="AF1585" s="2"/>
    </row>
    <row r="1586" spans="1:32" x14ac:dyDescent="0.35">
      <c r="A1586">
        <v>1585</v>
      </c>
      <c r="B1586" s="1">
        <v>42529</v>
      </c>
      <c r="C1586" s="9" t="s">
        <v>2730</v>
      </c>
      <c r="D1586" s="9" t="s">
        <v>4925</v>
      </c>
      <c r="E1586" s="9" t="s">
        <v>6991</v>
      </c>
      <c r="F1586" s="9" t="s">
        <v>15</v>
      </c>
      <c r="G1586" s="9" t="s">
        <v>2731</v>
      </c>
      <c r="H1586" s="9" t="s">
        <v>105</v>
      </c>
      <c r="I1586" s="11">
        <v>16000000</v>
      </c>
      <c r="J1586" s="11">
        <v>1601825</v>
      </c>
      <c r="K1586" s="11">
        <v>3625788</v>
      </c>
      <c r="L1586" s="3">
        <v>244</v>
      </c>
      <c r="M1586" s="3">
        <v>1185</v>
      </c>
      <c r="N1586" s="3">
        <v>1357914</v>
      </c>
      <c r="O1586" s="2">
        <v>7.6999999999999999E-2</v>
      </c>
      <c r="P1586" s="2">
        <v>0.46200000000000002</v>
      </c>
      <c r="Q1586" s="2">
        <v>0.11599999999999999</v>
      </c>
      <c r="R1586" s="11">
        <v>248239124</v>
      </c>
      <c r="S1586" s="11">
        <v>113694</v>
      </c>
      <c r="T1586">
        <v>2016</v>
      </c>
      <c r="U1586">
        <v>6</v>
      </c>
      <c r="V1586">
        <f t="shared" si="144"/>
        <v>550000</v>
      </c>
      <c r="W1586">
        <f t="shared" si="145"/>
        <v>18429897</v>
      </c>
      <c r="X1586">
        <f t="shared" si="146"/>
        <v>17879897</v>
      </c>
      <c r="Y1586">
        <f t="shared" si="147"/>
        <v>-26269845.5</v>
      </c>
      <c r="Z1586">
        <f t="shared" si="148"/>
        <v>45249742.5</v>
      </c>
      <c r="AA1586" t="str">
        <f t="shared" si="149"/>
        <v>Normal</v>
      </c>
      <c r="AE1586" s="2"/>
      <c r="AF1586" s="2"/>
    </row>
    <row r="1587" spans="1:32" x14ac:dyDescent="0.35">
      <c r="A1587">
        <v>1586</v>
      </c>
      <c r="B1587" s="1">
        <v>42529</v>
      </c>
      <c r="C1587" s="9" t="s">
        <v>2732</v>
      </c>
      <c r="D1587" s="9" t="s">
        <v>4986</v>
      </c>
      <c r="E1587" s="9" t="s">
        <v>1373</v>
      </c>
      <c r="F1587" s="9" t="s">
        <v>294</v>
      </c>
      <c r="G1587" s="9" t="s">
        <v>2733</v>
      </c>
      <c r="H1587" s="9" t="s">
        <v>86</v>
      </c>
      <c r="I1587" s="11">
        <v>18429897</v>
      </c>
      <c r="J1587" s="11">
        <v>4119914</v>
      </c>
      <c r="K1587" s="11">
        <v>19892506</v>
      </c>
      <c r="L1587" s="3">
        <v>308</v>
      </c>
      <c r="M1587" s="3">
        <v>782</v>
      </c>
      <c r="N1587" s="3">
        <v>1249395</v>
      </c>
      <c r="O1587" s="2">
        <v>-9.6000000000000002E-2</v>
      </c>
      <c r="P1587" s="2">
        <v>0.63200000000000001</v>
      </c>
      <c r="Q1587" s="2">
        <v>-0.16800000000000001</v>
      </c>
      <c r="R1587" s="11">
        <v>406199490</v>
      </c>
      <c r="S1587" s="11">
        <v>1728109</v>
      </c>
      <c r="T1587">
        <v>2016</v>
      </c>
      <c r="U1587">
        <v>6</v>
      </c>
      <c r="V1587">
        <f t="shared" si="144"/>
        <v>550000</v>
      </c>
      <c r="W1587">
        <f t="shared" si="145"/>
        <v>18429897</v>
      </c>
      <c r="X1587">
        <f t="shared" si="146"/>
        <v>17879897</v>
      </c>
      <c r="Y1587">
        <f t="shared" si="147"/>
        <v>-26269845.5</v>
      </c>
      <c r="Z1587">
        <f t="shared" si="148"/>
        <v>45249742.5</v>
      </c>
      <c r="AA1587" t="str">
        <f t="shared" si="149"/>
        <v>Normal</v>
      </c>
      <c r="AE1587" s="2"/>
      <c r="AF1587" s="2"/>
    </row>
    <row r="1588" spans="1:32" x14ac:dyDescent="0.35">
      <c r="A1588">
        <v>1587</v>
      </c>
      <c r="B1588" s="1">
        <v>42529</v>
      </c>
      <c r="C1588" s="9" t="s">
        <v>2734</v>
      </c>
      <c r="D1588" s="9" t="s">
        <v>4988</v>
      </c>
      <c r="E1588" s="9" t="s">
        <v>6992</v>
      </c>
      <c r="F1588" s="9" t="s">
        <v>19</v>
      </c>
      <c r="G1588" s="9" t="s">
        <v>2735</v>
      </c>
      <c r="H1588" s="9" t="s">
        <v>86</v>
      </c>
      <c r="I1588" s="11">
        <v>200000</v>
      </c>
      <c r="J1588" s="11">
        <v>408979</v>
      </c>
      <c r="K1588" s="11">
        <v>5790621</v>
      </c>
      <c r="L1588" s="3">
        <v>337</v>
      </c>
      <c r="M1588" s="3">
        <v>1686</v>
      </c>
      <c r="N1588" s="3">
        <v>1572374</v>
      </c>
      <c r="O1588" s="2">
        <v>-0.16800000000000001</v>
      </c>
      <c r="P1588" s="2">
        <v>0.59799999999999998</v>
      </c>
      <c r="Q1588" s="2">
        <v>0.16800000000000001</v>
      </c>
      <c r="R1588" s="11">
        <v>189882942</v>
      </c>
      <c r="S1588" s="11">
        <v>1357139</v>
      </c>
      <c r="T1588">
        <v>2016</v>
      </c>
      <c r="U1588">
        <v>6</v>
      </c>
      <c r="V1588">
        <f t="shared" si="144"/>
        <v>550000</v>
      </c>
      <c r="W1588">
        <f t="shared" si="145"/>
        <v>18429897</v>
      </c>
      <c r="X1588">
        <f t="shared" si="146"/>
        <v>17879897</v>
      </c>
      <c r="Y1588">
        <f t="shared" si="147"/>
        <v>-26269845.5</v>
      </c>
      <c r="Z1588">
        <f t="shared" si="148"/>
        <v>45249742.5</v>
      </c>
      <c r="AA1588" t="str">
        <f t="shared" si="149"/>
        <v>Normal</v>
      </c>
      <c r="AE1588" s="2"/>
      <c r="AF1588" s="2"/>
    </row>
    <row r="1589" spans="1:32" x14ac:dyDescent="0.35">
      <c r="A1589">
        <v>1588</v>
      </c>
      <c r="B1589" s="1">
        <v>42530</v>
      </c>
      <c r="C1589" s="9" t="s">
        <v>2736</v>
      </c>
      <c r="D1589" s="9" t="s">
        <v>4925</v>
      </c>
      <c r="E1589" s="9" t="s">
        <v>6993</v>
      </c>
      <c r="F1589" s="9" t="s">
        <v>2737</v>
      </c>
      <c r="G1589" s="9" t="s">
        <v>2738</v>
      </c>
      <c r="H1589" s="9" t="s">
        <v>86</v>
      </c>
      <c r="I1589" s="11">
        <v>18429897</v>
      </c>
      <c r="J1589" s="11">
        <v>4312159</v>
      </c>
      <c r="K1589" s="11">
        <v>7354482</v>
      </c>
      <c r="L1589" s="3">
        <v>37</v>
      </c>
      <c r="M1589" s="3">
        <v>2326</v>
      </c>
      <c r="N1589" s="3">
        <v>1314449</v>
      </c>
      <c r="O1589" s="2">
        <v>0.36099999999999999</v>
      </c>
      <c r="P1589" s="2">
        <v>1.103E-2</v>
      </c>
      <c r="Q1589" s="2">
        <v>0.10100000000000001</v>
      </c>
      <c r="R1589" s="11">
        <v>128942566</v>
      </c>
      <c r="S1589" s="11">
        <v>1030739</v>
      </c>
      <c r="T1589">
        <v>2016</v>
      </c>
      <c r="U1589">
        <v>6</v>
      </c>
      <c r="V1589">
        <f t="shared" si="144"/>
        <v>550000</v>
      </c>
      <c r="W1589">
        <f t="shared" si="145"/>
        <v>18429897</v>
      </c>
      <c r="X1589">
        <f t="shared" si="146"/>
        <v>17879897</v>
      </c>
      <c r="Y1589">
        <f t="shared" si="147"/>
        <v>-26269845.5</v>
      </c>
      <c r="Z1589">
        <f t="shared" si="148"/>
        <v>45249742.5</v>
      </c>
      <c r="AA1589" t="str">
        <f t="shared" si="149"/>
        <v>Normal</v>
      </c>
      <c r="AE1589" s="2"/>
      <c r="AF1589" s="2"/>
    </row>
    <row r="1590" spans="1:32" x14ac:dyDescent="0.35">
      <c r="A1590">
        <v>1589</v>
      </c>
      <c r="B1590" s="1">
        <v>42530</v>
      </c>
      <c r="C1590" s="9" t="s">
        <v>2739</v>
      </c>
      <c r="D1590" s="9" t="s">
        <v>4988</v>
      </c>
      <c r="E1590" s="9" t="s">
        <v>6994</v>
      </c>
      <c r="F1590" s="9" t="s">
        <v>41</v>
      </c>
      <c r="G1590" s="9" t="s">
        <v>2740</v>
      </c>
      <c r="H1590" s="9" t="s">
        <v>86</v>
      </c>
      <c r="I1590" s="11">
        <v>18429897</v>
      </c>
      <c r="J1590" s="11">
        <v>168577</v>
      </c>
      <c r="K1590" s="11">
        <v>656764</v>
      </c>
      <c r="L1590" s="3">
        <v>430</v>
      </c>
      <c r="M1590" s="3">
        <v>4296</v>
      </c>
      <c r="N1590" s="3">
        <v>1971104</v>
      </c>
      <c r="O1590" s="2">
        <v>-0.126</v>
      </c>
      <c r="P1590" s="2">
        <v>1.1420000000000001</v>
      </c>
      <c r="Q1590" s="2">
        <v>0.58599999999999997</v>
      </c>
      <c r="R1590" s="11">
        <v>464008107</v>
      </c>
      <c r="S1590" s="11">
        <v>1743362</v>
      </c>
      <c r="T1590">
        <v>2016</v>
      </c>
      <c r="U1590">
        <v>6</v>
      </c>
      <c r="V1590">
        <f t="shared" si="144"/>
        <v>550000</v>
      </c>
      <c r="W1590">
        <f t="shared" si="145"/>
        <v>18429897</v>
      </c>
      <c r="X1590">
        <f t="shared" si="146"/>
        <v>17879897</v>
      </c>
      <c r="Y1590">
        <f t="shared" si="147"/>
        <v>-26269845.5</v>
      </c>
      <c r="Z1590">
        <f t="shared" si="148"/>
        <v>45249742.5</v>
      </c>
      <c r="AA1590" t="str">
        <f t="shared" si="149"/>
        <v>Normal</v>
      </c>
      <c r="AE1590" s="2"/>
      <c r="AF1590" s="2"/>
    </row>
    <row r="1591" spans="1:32" x14ac:dyDescent="0.35">
      <c r="A1591">
        <v>1590</v>
      </c>
      <c r="B1591" s="1">
        <v>42530</v>
      </c>
      <c r="C1591" s="9" t="s">
        <v>2741</v>
      </c>
      <c r="D1591" s="9" t="s">
        <v>4930</v>
      </c>
      <c r="E1591" s="9" t="s">
        <v>6995</v>
      </c>
      <c r="F1591" s="9" t="s">
        <v>31</v>
      </c>
      <c r="G1591" s="9" t="s">
        <v>2742</v>
      </c>
      <c r="H1591" s="9" t="s">
        <v>86</v>
      </c>
      <c r="I1591" s="11">
        <v>2000000</v>
      </c>
      <c r="J1591" s="11">
        <v>3684760</v>
      </c>
      <c r="K1591" s="11">
        <v>18882971</v>
      </c>
      <c r="L1591" s="3">
        <v>221</v>
      </c>
      <c r="M1591" s="3">
        <v>3793</v>
      </c>
      <c r="N1591" s="3">
        <v>1018455</v>
      </c>
      <c r="O1591" s="2">
        <v>-2.7000000000000003E-2</v>
      </c>
      <c r="P1591" s="2">
        <v>0.7340000000000001</v>
      </c>
      <c r="Q1591" s="2">
        <v>0.47100000000000003</v>
      </c>
      <c r="R1591" s="11">
        <v>347735763</v>
      </c>
      <c r="S1591" s="11">
        <v>1008193.5</v>
      </c>
      <c r="T1591">
        <v>2016</v>
      </c>
      <c r="U1591">
        <v>6</v>
      </c>
      <c r="V1591">
        <f t="shared" si="144"/>
        <v>550000</v>
      </c>
      <c r="W1591">
        <f t="shared" si="145"/>
        <v>18429897</v>
      </c>
      <c r="X1591">
        <f t="shared" si="146"/>
        <v>17879897</v>
      </c>
      <c r="Y1591">
        <f t="shared" si="147"/>
        <v>-26269845.5</v>
      </c>
      <c r="Z1591">
        <f t="shared" si="148"/>
        <v>45249742.5</v>
      </c>
      <c r="AA1591" t="str">
        <f t="shared" si="149"/>
        <v>Normal</v>
      </c>
      <c r="AE1591" s="2"/>
      <c r="AF1591" s="2"/>
    </row>
    <row r="1592" spans="1:32" x14ac:dyDescent="0.35">
      <c r="A1592">
        <v>1591</v>
      </c>
      <c r="B1592" s="1">
        <v>42531</v>
      </c>
      <c r="C1592" s="9" t="s">
        <v>2743</v>
      </c>
      <c r="D1592" s="9" t="s">
        <v>4925</v>
      </c>
      <c r="E1592" s="9" t="s">
        <v>6996</v>
      </c>
      <c r="F1592" s="9" t="s">
        <v>31</v>
      </c>
      <c r="G1592" s="9" t="s">
        <v>715</v>
      </c>
      <c r="H1592" s="9" t="s">
        <v>86</v>
      </c>
      <c r="I1592" s="11">
        <v>18429897</v>
      </c>
      <c r="J1592" s="11">
        <v>1745463</v>
      </c>
      <c r="K1592" s="11">
        <v>7250045</v>
      </c>
      <c r="L1592" s="3">
        <v>13</v>
      </c>
      <c r="M1592" s="3">
        <v>3506</v>
      </c>
      <c r="N1592" s="3">
        <v>1153334</v>
      </c>
      <c r="O1592" s="2">
        <v>-0.05</v>
      </c>
      <c r="P1592" s="2">
        <v>0.46600000000000003</v>
      </c>
      <c r="Q1592" s="2">
        <v>-8.3000000000000004E-2</v>
      </c>
      <c r="R1592" s="11">
        <v>477374127</v>
      </c>
      <c r="S1592" s="11">
        <v>1008193.5</v>
      </c>
      <c r="T1592">
        <v>2016</v>
      </c>
      <c r="U1592">
        <v>6</v>
      </c>
      <c r="V1592">
        <f t="shared" si="144"/>
        <v>550000</v>
      </c>
      <c r="W1592">
        <f t="shared" si="145"/>
        <v>18429897</v>
      </c>
      <c r="X1592">
        <f t="shared" si="146"/>
        <v>17879897</v>
      </c>
      <c r="Y1592">
        <f t="shared" si="147"/>
        <v>-26269845.5</v>
      </c>
      <c r="Z1592">
        <f t="shared" si="148"/>
        <v>45249742.5</v>
      </c>
      <c r="AA1592" t="str">
        <f t="shared" si="149"/>
        <v>Normal</v>
      </c>
      <c r="AE1592" s="2"/>
      <c r="AF1592" s="2"/>
    </row>
    <row r="1593" spans="1:32" x14ac:dyDescent="0.35">
      <c r="A1593">
        <v>1592</v>
      </c>
      <c r="B1593" s="1">
        <v>42531</v>
      </c>
      <c r="C1593" s="9" t="s">
        <v>2744</v>
      </c>
      <c r="D1593" s="9" t="s">
        <v>4988</v>
      </c>
      <c r="E1593" s="9" t="s">
        <v>6997</v>
      </c>
      <c r="F1593" s="9" t="s">
        <v>27</v>
      </c>
      <c r="G1593" s="9" t="s">
        <v>2745</v>
      </c>
      <c r="H1593" s="9" t="s">
        <v>105</v>
      </c>
      <c r="I1593" s="11">
        <v>500000</v>
      </c>
      <c r="J1593" s="11">
        <v>1929007</v>
      </c>
      <c r="K1593" s="11">
        <v>3437753</v>
      </c>
      <c r="L1593" s="3">
        <v>70</v>
      </c>
      <c r="M1593" s="3">
        <v>2470</v>
      </c>
      <c r="N1593" s="3">
        <v>37178</v>
      </c>
      <c r="O1593" s="2">
        <v>0.34799999999999998</v>
      </c>
      <c r="P1593" s="2">
        <v>0.99900000000000011</v>
      </c>
      <c r="Q1593" s="2">
        <v>6.5000000000000002E-2</v>
      </c>
      <c r="R1593" s="11">
        <v>315262974</v>
      </c>
      <c r="S1593" s="11">
        <v>368920</v>
      </c>
      <c r="T1593">
        <v>2016</v>
      </c>
      <c r="U1593">
        <v>6</v>
      </c>
      <c r="V1593">
        <f t="shared" si="144"/>
        <v>550000</v>
      </c>
      <c r="W1593">
        <f t="shared" si="145"/>
        <v>18429897</v>
      </c>
      <c r="X1593">
        <f t="shared" si="146"/>
        <v>17879897</v>
      </c>
      <c r="Y1593">
        <f t="shared" si="147"/>
        <v>-26269845.5</v>
      </c>
      <c r="Z1593">
        <f t="shared" si="148"/>
        <v>45249742.5</v>
      </c>
      <c r="AA1593" t="str">
        <f t="shared" si="149"/>
        <v>Normal</v>
      </c>
      <c r="AE1593" s="2"/>
      <c r="AF1593" s="2"/>
    </row>
    <row r="1594" spans="1:32" x14ac:dyDescent="0.35">
      <c r="A1594">
        <v>1593</v>
      </c>
      <c r="B1594" s="1">
        <v>42531</v>
      </c>
      <c r="C1594" s="9" t="s">
        <v>2746</v>
      </c>
      <c r="D1594" s="9" t="s">
        <v>4930</v>
      </c>
      <c r="E1594" s="9" t="s">
        <v>6998</v>
      </c>
      <c r="F1594" s="9" t="s">
        <v>19</v>
      </c>
      <c r="G1594" s="9" t="s">
        <v>2747</v>
      </c>
      <c r="H1594" s="9" t="s">
        <v>86</v>
      </c>
      <c r="I1594" s="11">
        <v>18429897</v>
      </c>
      <c r="J1594" s="11">
        <v>114790</v>
      </c>
      <c r="K1594" s="11">
        <v>9718478</v>
      </c>
      <c r="L1594" s="3">
        <v>430</v>
      </c>
      <c r="M1594" s="3">
        <v>1463</v>
      </c>
      <c r="N1594" s="3">
        <v>733564</v>
      </c>
      <c r="O1594" s="2">
        <v>0.32299999999999995</v>
      </c>
      <c r="P1594" s="2">
        <v>0.38200000000000001</v>
      </c>
      <c r="Q1594" s="2">
        <v>-7.2999999999999995E-2</v>
      </c>
      <c r="R1594" s="11">
        <v>128505892</v>
      </c>
      <c r="S1594" s="11">
        <v>514506</v>
      </c>
      <c r="T1594">
        <v>2016</v>
      </c>
      <c r="U1594">
        <v>6</v>
      </c>
      <c r="V1594">
        <f t="shared" si="144"/>
        <v>550000</v>
      </c>
      <c r="W1594">
        <f t="shared" si="145"/>
        <v>18429897</v>
      </c>
      <c r="X1594">
        <f t="shared" si="146"/>
        <v>17879897</v>
      </c>
      <c r="Y1594">
        <f t="shared" si="147"/>
        <v>-26269845.5</v>
      </c>
      <c r="Z1594">
        <f t="shared" si="148"/>
        <v>45249742.5</v>
      </c>
      <c r="AA1594" t="str">
        <f t="shared" si="149"/>
        <v>Normal</v>
      </c>
      <c r="AE1594" s="2"/>
      <c r="AF1594" s="2"/>
    </row>
    <row r="1595" spans="1:32" x14ac:dyDescent="0.35">
      <c r="A1595">
        <v>1594</v>
      </c>
      <c r="B1595" s="1">
        <v>42531</v>
      </c>
      <c r="C1595" s="9" t="s">
        <v>2748</v>
      </c>
      <c r="D1595" s="9" t="s">
        <v>5001</v>
      </c>
      <c r="E1595" s="9" t="s">
        <v>6999</v>
      </c>
      <c r="F1595" s="9" t="s">
        <v>31</v>
      </c>
      <c r="G1595" s="9" t="s">
        <v>2023</v>
      </c>
      <c r="H1595" s="9" t="s">
        <v>105</v>
      </c>
      <c r="I1595" s="11">
        <v>18429897</v>
      </c>
      <c r="J1595" s="11">
        <v>3516458</v>
      </c>
      <c r="K1595" s="11">
        <v>3178220</v>
      </c>
      <c r="L1595" s="3">
        <v>254</v>
      </c>
      <c r="M1595" s="3">
        <v>1518</v>
      </c>
      <c r="N1595" s="3">
        <v>255449</v>
      </c>
      <c r="O1595" s="2">
        <v>0.374</v>
      </c>
      <c r="P1595" s="2">
        <v>0.69200000000000006</v>
      </c>
      <c r="Q1595" s="2">
        <v>3.6000000000000004E-2</v>
      </c>
      <c r="R1595" s="11">
        <v>150950340</v>
      </c>
      <c r="S1595" s="11">
        <v>577282</v>
      </c>
      <c r="T1595">
        <v>2016</v>
      </c>
      <c r="U1595">
        <v>6</v>
      </c>
      <c r="V1595">
        <f t="shared" si="144"/>
        <v>550000</v>
      </c>
      <c r="W1595">
        <f t="shared" si="145"/>
        <v>18429897</v>
      </c>
      <c r="X1595">
        <f t="shared" si="146"/>
        <v>17879897</v>
      </c>
      <c r="Y1595">
        <f t="shared" si="147"/>
        <v>-26269845.5</v>
      </c>
      <c r="Z1595">
        <f t="shared" si="148"/>
        <v>45249742.5</v>
      </c>
      <c r="AA1595" t="str">
        <f t="shared" si="149"/>
        <v>Normal</v>
      </c>
      <c r="AE1595" s="2"/>
      <c r="AF1595" s="2"/>
    </row>
    <row r="1596" spans="1:32" x14ac:dyDescent="0.35">
      <c r="A1596">
        <v>1595</v>
      </c>
      <c r="B1596" s="1">
        <v>42531</v>
      </c>
      <c r="C1596" s="9" t="s">
        <v>2749</v>
      </c>
      <c r="D1596" s="9" t="s">
        <v>4930</v>
      </c>
      <c r="E1596" s="9" t="s">
        <v>7000</v>
      </c>
      <c r="F1596" s="9" t="s">
        <v>15</v>
      </c>
      <c r="G1596" s="9" t="s">
        <v>2750</v>
      </c>
      <c r="H1596" s="9" t="s">
        <v>86</v>
      </c>
      <c r="I1596" s="11">
        <v>18429897</v>
      </c>
      <c r="J1596" s="11">
        <v>844129</v>
      </c>
      <c r="K1596" s="11">
        <v>15816539</v>
      </c>
      <c r="L1596" s="3">
        <v>377</v>
      </c>
      <c r="M1596" s="3">
        <v>2505.5</v>
      </c>
      <c r="N1596" s="3">
        <v>867257</v>
      </c>
      <c r="O1596" s="2">
        <v>-3.6999999999999998E-2</v>
      </c>
      <c r="P1596" s="2">
        <v>1.194</v>
      </c>
      <c r="Q1596" s="2">
        <v>0.315</v>
      </c>
      <c r="R1596" s="11">
        <v>356166008</v>
      </c>
      <c r="S1596" s="11">
        <v>1008193.5</v>
      </c>
      <c r="T1596">
        <v>2016</v>
      </c>
      <c r="U1596">
        <v>6</v>
      </c>
      <c r="V1596">
        <f t="shared" si="144"/>
        <v>550000</v>
      </c>
      <c r="W1596">
        <f t="shared" si="145"/>
        <v>18429897</v>
      </c>
      <c r="X1596">
        <f t="shared" si="146"/>
        <v>17879897</v>
      </c>
      <c r="Y1596">
        <f t="shared" si="147"/>
        <v>-26269845.5</v>
      </c>
      <c r="Z1596">
        <f t="shared" si="148"/>
        <v>45249742.5</v>
      </c>
      <c r="AA1596" t="str">
        <f t="shared" si="149"/>
        <v>Normal</v>
      </c>
      <c r="AE1596" s="2"/>
      <c r="AF1596" s="2"/>
    </row>
    <row r="1597" spans="1:32" x14ac:dyDescent="0.35">
      <c r="A1597">
        <v>1596</v>
      </c>
      <c r="B1597" s="1">
        <v>42532</v>
      </c>
      <c r="C1597" s="9" t="s">
        <v>2751</v>
      </c>
      <c r="D1597" s="9" t="s">
        <v>4925</v>
      </c>
      <c r="E1597" s="9" t="s">
        <v>7001</v>
      </c>
      <c r="F1597" s="9" t="s">
        <v>27</v>
      </c>
      <c r="G1597" s="9" t="s">
        <v>2752</v>
      </c>
      <c r="H1597" s="9" t="s">
        <v>105</v>
      </c>
      <c r="I1597" s="11">
        <v>18429897</v>
      </c>
      <c r="J1597" s="11">
        <v>3302600</v>
      </c>
      <c r="K1597" s="11">
        <v>1554925</v>
      </c>
      <c r="L1597" s="3">
        <v>254</v>
      </c>
      <c r="M1597" s="3">
        <v>3340</v>
      </c>
      <c r="N1597" s="3">
        <v>1986493</v>
      </c>
      <c r="O1597" s="2">
        <v>0.39</v>
      </c>
      <c r="P1597" s="2">
        <v>1.075</v>
      </c>
      <c r="Q1597" s="2">
        <v>7.3999999999999996E-2</v>
      </c>
      <c r="R1597" s="11">
        <v>79175909</v>
      </c>
      <c r="S1597" s="11">
        <v>853280</v>
      </c>
      <c r="T1597">
        <v>2016</v>
      </c>
      <c r="U1597">
        <v>6</v>
      </c>
      <c r="V1597">
        <f t="shared" si="144"/>
        <v>550000</v>
      </c>
      <c r="W1597">
        <f t="shared" si="145"/>
        <v>18429897</v>
      </c>
      <c r="X1597">
        <f t="shared" si="146"/>
        <v>17879897</v>
      </c>
      <c r="Y1597">
        <f t="shared" si="147"/>
        <v>-26269845.5</v>
      </c>
      <c r="Z1597">
        <f t="shared" si="148"/>
        <v>45249742.5</v>
      </c>
      <c r="AA1597" t="str">
        <f t="shared" si="149"/>
        <v>Normal</v>
      </c>
      <c r="AE1597" s="2"/>
      <c r="AF1597" s="2"/>
    </row>
    <row r="1598" spans="1:32" x14ac:dyDescent="0.35">
      <c r="A1598">
        <v>1597</v>
      </c>
      <c r="B1598" s="1">
        <v>42532</v>
      </c>
      <c r="C1598" s="9" t="s">
        <v>2753</v>
      </c>
      <c r="D1598" s="9" t="s">
        <v>4930</v>
      </c>
      <c r="E1598" s="9" t="s">
        <v>7002</v>
      </c>
      <c r="F1598" s="9" t="s">
        <v>27</v>
      </c>
      <c r="G1598" s="9" t="s">
        <v>2752</v>
      </c>
      <c r="H1598" s="9" t="s">
        <v>105</v>
      </c>
      <c r="I1598" s="11">
        <v>18429897</v>
      </c>
      <c r="J1598" s="11">
        <v>3631412</v>
      </c>
      <c r="K1598" s="11">
        <v>10034516</v>
      </c>
      <c r="L1598" s="3">
        <v>473</v>
      </c>
      <c r="M1598" s="3">
        <v>3914</v>
      </c>
      <c r="N1598" s="3">
        <v>805303</v>
      </c>
      <c r="O1598" s="2">
        <v>-3.9E-2</v>
      </c>
      <c r="P1598" s="2">
        <v>1.1299999999999999</v>
      </c>
      <c r="Q1598" s="2">
        <v>-2.5000000000000001E-2</v>
      </c>
      <c r="R1598" s="11">
        <v>118946123</v>
      </c>
      <c r="S1598" s="11">
        <v>1041202</v>
      </c>
      <c r="T1598">
        <v>2016</v>
      </c>
      <c r="U1598">
        <v>6</v>
      </c>
      <c r="V1598">
        <f t="shared" si="144"/>
        <v>547500</v>
      </c>
      <c r="W1598">
        <f t="shared" si="145"/>
        <v>18429897</v>
      </c>
      <c r="X1598">
        <f t="shared" si="146"/>
        <v>17882397</v>
      </c>
      <c r="Y1598">
        <f t="shared" si="147"/>
        <v>-26276095.5</v>
      </c>
      <c r="Z1598">
        <f t="shared" si="148"/>
        <v>45253492.5</v>
      </c>
      <c r="AA1598" t="str">
        <f t="shared" si="149"/>
        <v>Normal</v>
      </c>
      <c r="AE1598" s="2"/>
      <c r="AF1598" s="2"/>
    </row>
    <row r="1599" spans="1:32" x14ac:dyDescent="0.35">
      <c r="A1599">
        <v>1598</v>
      </c>
      <c r="B1599" s="1">
        <v>42532</v>
      </c>
      <c r="C1599" s="9" t="s">
        <v>2754</v>
      </c>
      <c r="D1599" s="9" t="s">
        <v>4988</v>
      </c>
      <c r="E1599" s="9" t="s">
        <v>5311</v>
      </c>
      <c r="F1599" s="9" t="s">
        <v>35</v>
      </c>
      <c r="G1599" s="9" t="s">
        <v>2752</v>
      </c>
      <c r="H1599" s="9" t="s">
        <v>105</v>
      </c>
      <c r="I1599" s="11">
        <v>18429897</v>
      </c>
      <c r="J1599" s="11">
        <v>4229288</v>
      </c>
      <c r="K1599" s="11">
        <v>7886261</v>
      </c>
      <c r="L1599" s="3">
        <v>141</v>
      </c>
      <c r="M1599" s="3">
        <v>2761</v>
      </c>
      <c r="N1599" s="3">
        <v>1634726</v>
      </c>
      <c r="O1599" s="2">
        <v>-3.1E-2</v>
      </c>
      <c r="P1599" s="2">
        <v>0.29799999999999999</v>
      </c>
      <c r="Q1599" s="2">
        <v>0.251</v>
      </c>
      <c r="R1599" s="11">
        <v>381142531</v>
      </c>
      <c r="S1599" s="11">
        <v>1457273</v>
      </c>
      <c r="T1599">
        <v>2016</v>
      </c>
      <c r="U1599">
        <v>6</v>
      </c>
      <c r="V1599">
        <f t="shared" si="144"/>
        <v>545000</v>
      </c>
      <c r="W1599">
        <f t="shared" si="145"/>
        <v>18429897</v>
      </c>
      <c r="X1599">
        <f t="shared" si="146"/>
        <v>17884897</v>
      </c>
      <c r="Y1599">
        <f t="shared" si="147"/>
        <v>-26282345.5</v>
      </c>
      <c r="Z1599">
        <f t="shared" si="148"/>
        <v>45257242.5</v>
      </c>
      <c r="AA1599" t="str">
        <f t="shared" si="149"/>
        <v>Normal</v>
      </c>
      <c r="AE1599" s="2"/>
      <c r="AF1599" s="2"/>
    </row>
    <row r="1600" spans="1:32" x14ac:dyDescent="0.35">
      <c r="A1600">
        <v>1599</v>
      </c>
      <c r="B1600" s="1">
        <v>42534</v>
      </c>
      <c r="C1600" s="9" t="s">
        <v>2755</v>
      </c>
      <c r="D1600" s="9" t="s">
        <v>4988</v>
      </c>
      <c r="E1600" s="9" t="s">
        <v>7003</v>
      </c>
      <c r="F1600" s="9" t="s">
        <v>294</v>
      </c>
      <c r="G1600" s="9" t="s">
        <v>1483</v>
      </c>
      <c r="H1600" s="9" t="s">
        <v>86</v>
      </c>
      <c r="I1600" s="11">
        <v>18429897</v>
      </c>
      <c r="J1600" s="11">
        <v>3546294</v>
      </c>
      <c r="K1600" s="11">
        <v>839860</v>
      </c>
      <c r="L1600" s="3">
        <v>120</v>
      </c>
      <c r="M1600" s="3">
        <v>2902</v>
      </c>
      <c r="N1600" s="3">
        <v>901129</v>
      </c>
      <c r="O1600" s="2">
        <v>-0.02</v>
      </c>
      <c r="P1600" s="2">
        <v>0.66200000000000003</v>
      </c>
      <c r="Q1600" s="2">
        <v>-0.38400000000000001</v>
      </c>
      <c r="R1600" s="11">
        <v>374416716</v>
      </c>
      <c r="S1600" s="11">
        <v>385816</v>
      </c>
      <c r="T1600">
        <v>2016</v>
      </c>
      <c r="U1600">
        <v>6</v>
      </c>
      <c r="V1600">
        <f t="shared" si="144"/>
        <v>542500</v>
      </c>
      <c r="W1600">
        <f t="shared" si="145"/>
        <v>18429897</v>
      </c>
      <c r="X1600">
        <f t="shared" si="146"/>
        <v>17887397</v>
      </c>
      <c r="Y1600">
        <f t="shared" si="147"/>
        <v>-26288595.5</v>
      </c>
      <c r="Z1600">
        <f t="shared" si="148"/>
        <v>45260992.5</v>
      </c>
      <c r="AA1600" t="str">
        <f t="shared" si="149"/>
        <v>Normal</v>
      </c>
      <c r="AE1600" s="2"/>
      <c r="AF1600" s="2"/>
    </row>
    <row r="1601" spans="1:32" x14ac:dyDescent="0.35">
      <c r="A1601">
        <v>1600</v>
      </c>
      <c r="B1601" s="1">
        <v>42534</v>
      </c>
      <c r="C1601" s="9" t="s">
        <v>2756</v>
      </c>
      <c r="D1601" s="9" t="s">
        <v>4925</v>
      </c>
      <c r="E1601" s="9" t="s">
        <v>7004</v>
      </c>
      <c r="F1601" s="9" t="s">
        <v>31</v>
      </c>
      <c r="G1601" s="9" t="s">
        <v>2272</v>
      </c>
      <c r="H1601" s="9" t="s">
        <v>105</v>
      </c>
      <c r="I1601" s="11">
        <v>1000000</v>
      </c>
      <c r="J1601" s="11">
        <v>1521471</v>
      </c>
      <c r="K1601" s="11">
        <v>1140814</v>
      </c>
      <c r="L1601" s="3">
        <v>383</v>
      </c>
      <c r="M1601" s="3">
        <v>1893</v>
      </c>
      <c r="N1601" s="3">
        <v>1018455</v>
      </c>
      <c r="O1601" s="2">
        <v>-1.2E-2</v>
      </c>
      <c r="P1601" s="2">
        <v>0.96900000000000008</v>
      </c>
      <c r="Q1601" s="2">
        <v>0.3</v>
      </c>
      <c r="R1601" s="11">
        <v>328697054</v>
      </c>
      <c r="S1601" s="11">
        <v>1981331</v>
      </c>
      <c r="T1601">
        <v>2016</v>
      </c>
      <c r="U1601">
        <v>6</v>
      </c>
      <c r="V1601">
        <f t="shared" si="144"/>
        <v>540000</v>
      </c>
      <c r="W1601">
        <f t="shared" si="145"/>
        <v>18429897</v>
      </c>
      <c r="X1601">
        <f t="shared" si="146"/>
        <v>17889897</v>
      </c>
      <c r="Y1601">
        <f t="shared" si="147"/>
        <v>-26294845.5</v>
      </c>
      <c r="Z1601">
        <f t="shared" si="148"/>
        <v>45264742.5</v>
      </c>
      <c r="AA1601" t="str">
        <f t="shared" si="149"/>
        <v>Normal</v>
      </c>
      <c r="AE1601" s="2"/>
      <c r="AF1601" s="2"/>
    </row>
    <row r="1602" spans="1:32" x14ac:dyDescent="0.35">
      <c r="A1602">
        <v>1601</v>
      </c>
      <c r="B1602" s="1">
        <v>42534</v>
      </c>
      <c r="C1602" s="9" t="s">
        <v>2757</v>
      </c>
      <c r="D1602" s="9" t="s">
        <v>4988</v>
      </c>
      <c r="E1602" s="9" t="s">
        <v>7005</v>
      </c>
      <c r="F1602" s="9" t="s">
        <v>15</v>
      </c>
      <c r="G1602" s="9" t="s">
        <v>2758</v>
      </c>
      <c r="H1602" s="9" t="s">
        <v>86</v>
      </c>
      <c r="I1602" s="11">
        <v>30000</v>
      </c>
      <c r="J1602" s="11">
        <v>3698130</v>
      </c>
      <c r="K1602" s="11">
        <v>10421387</v>
      </c>
      <c r="L1602" s="3">
        <v>164</v>
      </c>
      <c r="M1602" s="3">
        <v>4819</v>
      </c>
      <c r="N1602" s="3">
        <v>60214</v>
      </c>
      <c r="O1602" s="2">
        <v>0.10199999999999999</v>
      </c>
      <c r="P1602" s="2">
        <v>0.50800000000000001</v>
      </c>
      <c r="Q1602" s="2">
        <v>0.442</v>
      </c>
      <c r="R1602" s="11">
        <v>250264963</v>
      </c>
      <c r="S1602" s="11">
        <v>1182310</v>
      </c>
      <c r="T1602">
        <v>2016</v>
      </c>
      <c r="U1602">
        <v>6</v>
      </c>
      <c r="V1602">
        <f t="shared" ref="V1602:V1665" si="150">_xlfn.PERCENTILE.INC(I1602:I4645,0.25)</f>
        <v>537500</v>
      </c>
      <c r="W1602">
        <f t="shared" ref="W1602:W1665" si="151">_xlfn.PERCENTILE.INC(I1602:I4645,0.75)</f>
        <v>18429897</v>
      </c>
      <c r="X1602">
        <f t="shared" ref="X1602:X1665" si="152">W1602-V1602</f>
        <v>17892397</v>
      </c>
      <c r="Y1602">
        <f t="shared" ref="Y1602:Y1665" si="153">V1602-1.5*X1602</f>
        <v>-26301095.5</v>
      </c>
      <c r="Z1602">
        <f t="shared" ref="Z1602:Z1665" si="154">W1602+1.5*X1602</f>
        <v>45268492.5</v>
      </c>
      <c r="AA1602" t="str">
        <f t="shared" ref="AA1602:AA1665" si="155">IF(OR(I1602&lt;$Y$2, I1602&gt;$Z$2), "Outlier", "Normal")</f>
        <v>Normal</v>
      </c>
      <c r="AE1602" s="2"/>
      <c r="AF1602" s="2"/>
    </row>
    <row r="1603" spans="1:32" x14ac:dyDescent="0.35">
      <c r="A1603">
        <v>1602</v>
      </c>
      <c r="B1603" s="1">
        <v>42535</v>
      </c>
      <c r="C1603" s="9" t="s">
        <v>2759</v>
      </c>
      <c r="D1603" s="9" t="s">
        <v>4988</v>
      </c>
      <c r="E1603" s="9" t="s">
        <v>7006</v>
      </c>
      <c r="F1603" s="9" t="s">
        <v>27</v>
      </c>
      <c r="G1603" s="9" t="s">
        <v>2760</v>
      </c>
      <c r="H1603" s="9" t="s">
        <v>86</v>
      </c>
      <c r="I1603" s="11">
        <v>18429897</v>
      </c>
      <c r="J1603" s="11">
        <v>4133232</v>
      </c>
      <c r="K1603" s="11">
        <v>7953678</v>
      </c>
      <c r="L1603" s="3">
        <v>262</v>
      </c>
      <c r="M1603" s="3">
        <v>4443</v>
      </c>
      <c r="N1603" s="3">
        <v>1375248</v>
      </c>
      <c r="O1603" s="2">
        <v>-4.8000000000000001E-2</v>
      </c>
      <c r="P1603" s="2">
        <v>0.96900000000000008</v>
      </c>
      <c r="Q1603" s="2">
        <v>0.45399999999999996</v>
      </c>
      <c r="R1603" s="11">
        <v>129308366</v>
      </c>
      <c r="S1603" s="11">
        <v>389251</v>
      </c>
      <c r="T1603">
        <v>2016</v>
      </c>
      <c r="U1603">
        <v>6</v>
      </c>
      <c r="V1603">
        <f t="shared" si="150"/>
        <v>545000</v>
      </c>
      <c r="W1603">
        <f t="shared" si="151"/>
        <v>18429897</v>
      </c>
      <c r="X1603">
        <f t="shared" si="152"/>
        <v>17884897</v>
      </c>
      <c r="Y1603">
        <f t="shared" si="153"/>
        <v>-26282345.5</v>
      </c>
      <c r="Z1603">
        <f t="shared" si="154"/>
        <v>45257242.5</v>
      </c>
      <c r="AA1603" t="str">
        <f t="shared" si="155"/>
        <v>Normal</v>
      </c>
      <c r="AE1603" s="2"/>
      <c r="AF1603" s="2"/>
    </row>
    <row r="1604" spans="1:32" x14ac:dyDescent="0.35">
      <c r="A1604">
        <v>1603</v>
      </c>
      <c r="B1604" s="1">
        <v>42535</v>
      </c>
      <c r="C1604" s="9" t="s">
        <v>2761</v>
      </c>
      <c r="D1604" s="9" t="s">
        <v>4939</v>
      </c>
      <c r="E1604" s="9" t="s">
        <v>7007</v>
      </c>
      <c r="F1604" s="9" t="s">
        <v>27</v>
      </c>
      <c r="G1604" s="9" t="s">
        <v>2762</v>
      </c>
      <c r="H1604" s="9" t="s">
        <v>105</v>
      </c>
      <c r="I1604" s="11">
        <v>18429897</v>
      </c>
      <c r="J1604" s="11">
        <v>1599422</v>
      </c>
      <c r="K1604" s="11">
        <v>2681954</v>
      </c>
      <c r="L1604" s="3">
        <v>332</v>
      </c>
      <c r="M1604" s="3">
        <v>2062</v>
      </c>
      <c r="N1604" s="3">
        <v>494731</v>
      </c>
      <c r="O1604" s="2">
        <v>0.16600000000000001</v>
      </c>
      <c r="P1604" s="2">
        <v>0.54200000000000004</v>
      </c>
      <c r="Q1604" s="2">
        <v>0.42599999999999999</v>
      </c>
      <c r="R1604" s="11">
        <v>14042307</v>
      </c>
      <c r="S1604" s="11">
        <v>1149162</v>
      </c>
      <c r="T1604">
        <v>2016</v>
      </c>
      <c r="U1604">
        <v>6</v>
      </c>
      <c r="V1604">
        <f t="shared" si="150"/>
        <v>542500</v>
      </c>
      <c r="W1604">
        <f t="shared" si="151"/>
        <v>18429897</v>
      </c>
      <c r="X1604">
        <f t="shared" si="152"/>
        <v>17887397</v>
      </c>
      <c r="Y1604">
        <f t="shared" si="153"/>
        <v>-26288595.5</v>
      </c>
      <c r="Z1604">
        <f t="shared" si="154"/>
        <v>45260992.5</v>
      </c>
      <c r="AA1604" t="str">
        <f t="shared" si="155"/>
        <v>Normal</v>
      </c>
      <c r="AE1604" s="2"/>
      <c r="AF1604" s="2"/>
    </row>
    <row r="1605" spans="1:32" x14ac:dyDescent="0.35">
      <c r="A1605">
        <v>1604</v>
      </c>
      <c r="B1605" s="1">
        <v>42535</v>
      </c>
      <c r="C1605" s="9" t="s">
        <v>2763</v>
      </c>
      <c r="D1605" s="9" t="s">
        <v>4928</v>
      </c>
      <c r="E1605" s="9" t="s">
        <v>6137</v>
      </c>
      <c r="F1605" s="9" t="s">
        <v>27</v>
      </c>
      <c r="G1605" s="9" t="s">
        <v>2764</v>
      </c>
      <c r="H1605" s="9" t="s">
        <v>86</v>
      </c>
      <c r="I1605" s="11">
        <v>18429897</v>
      </c>
      <c r="J1605" s="11">
        <v>638400</v>
      </c>
      <c r="K1605" s="11">
        <v>2853969</v>
      </c>
      <c r="L1605" s="3">
        <v>87</v>
      </c>
      <c r="M1605" s="3">
        <v>3787</v>
      </c>
      <c r="N1605" s="3">
        <v>920058</v>
      </c>
      <c r="O1605" s="2">
        <v>-0.40200000000000002</v>
      </c>
      <c r="P1605" s="2">
        <v>1.0869999999999999E-2</v>
      </c>
      <c r="Q1605" s="2">
        <v>-0.20800000000000002</v>
      </c>
      <c r="R1605" s="11">
        <v>283121973</v>
      </c>
      <c r="S1605" s="11">
        <v>1012446</v>
      </c>
      <c r="T1605">
        <v>2016</v>
      </c>
      <c r="U1605">
        <v>6</v>
      </c>
      <c r="V1605">
        <f t="shared" si="150"/>
        <v>540000</v>
      </c>
      <c r="W1605">
        <f t="shared" si="151"/>
        <v>18429897</v>
      </c>
      <c r="X1605">
        <f t="shared" si="152"/>
        <v>17889897</v>
      </c>
      <c r="Y1605">
        <f t="shared" si="153"/>
        <v>-26294845.5</v>
      </c>
      <c r="Z1605">
        <f t="shared" si="154"/>
        <v>45264742.5</v>
      </c>
      <c r="AA1605" t="str">
        <f t="shared" si="155"/>
        <v>Normal</v>
      </c>
      <c r="AE1605" s="2"/>
      <c r="AF1605" s="2"/>
    </row>
    <row r="1606" spans="1:32" x14ac:dyDescent="0.35">
      <c r="A1606">
        <v>1605</v>
      </c>
      <c r="B1606" s="1">
        <v>42535</v>
      </c>
      <c r="C1606" s="9" t="s">
        <v>2765</v>
      </c>
      <c r="D1606" s="9" t="s">
        <v>4930</v>
      </c>
      <c r="E1606" s="9" t="s">
        <v>7008</v>
      </c>
      <c r="F1606" s="9" t="s">
        <v>15</v>
      </c>
      <c r="G1606" s="9" t="s">
        <v>2766</v>
      </c>
      <c r="H1606" s="9" t="s">
        <v>105</v>
      </c>
      <c r="I1606" s="11">
        <v>6000000</v>
      </c>
      <c r="J1606" s="11">
        <v>4452296</v>
      </c>
      <c r="K1606" s="11">
        <v>16116032</v>
      </c>
      <c r="L1606" s="3">
        <v>463</v>
      </c>
      <c r="M1606" s="3">
        <v>1777</v>
      </c>
      <c r="N1606" s="3">
        <v>1975522</v>
      </c>
      <c r="O1606" s="2">
        <v>0.16600000000000001</v>
      </c>
      <c r="P1606" s="2">
        <v>0.61799999999999999</v>
      </c>
      <c r="Q1606" s="2">
        <v>-0.21</v>
      </c>
      <c r="R1606" s="11">
        <v>351518508</v>
      </c>
      <c r="S1606" s="11">
        <v>268040</v>
      </c>
      <c r="T1606">
        <v>2016</v>
      </c>
      <c r="U1606">
        <v>6</v>
      </c>
      <c r="V1606">
        <f t="shared" si="150"/>
        <v>537500</v>
      </c>
      <c r="W1606">
        <f t="shared" si="151"/>
        <v>18429897</v>
      </c>
      <c r="X1606">
        <f t="shared" si="152"/>
        <v>17892397</v>
      </c>
      <c r="Y1606">
        <f t="shared" si="153"/>
        <v>-26301095.5</v>
      </c>
      <c r="Z1606">
        <f t="shared" si="154"/>
        <v>45268492.5</v>
      </c>
      <c r="AA1606" t="str">
        <f t="shared" si="155"/>
        <v>Normal</v>
      </c>
      <c r="AE1606" s="2"/>
      <c r="AF1606" s="2"/>
    </row>
    <row r="1607" spans="1:32" x14ac:dyDescent="0.35">
      <c r="A1607">
        <v>1606</v>
      </c>
      <c r="B1607" s="1">
        <v>42535</v>
      </c>
      <c r="C1607" s="9" t="s">
        <v>2767</v>
      </c>
      <c r="D1607" s="9" t="s">
        <v>4988</v>
      </c>
      <c r="E1607" s="9" t="s">
        <v>7009</v>
      </c>
      <c r="F1607" s="9" t="s">
        <v>41</v>
      </c>
      <c r="G1607" s="9" t="s">
        <v>2768</v>
      </c>
      <c r="H1607" s="9" t="s">
        <v>86</v>
      </c>
      <c r="I1607" s="11">
        <v>1000000</v>
      </c>
      <c r="J1607" s="11">
        <v>756740</v>
      </c>
      <c r="K1607" s="11">
        <v>14637503</v>
      </c>
      <c r="L1607" s="3">
        <v>87</v>
      </c>
      <c r="M1607" s="3">
        <v>662</v>
      </c>
      <c r="N1607" s="3">
        <v>446847</v>
      </c>
      <c r="O1607" s="2">
        <v>-9.8000000000000004E-2</v>
      </c>
      <c r="P1607" s="2">
        <v>0.45</v>
      </c>
      <c r="Q1607" s="2">
        <v>-2.3E-2</v>
      </c>
      <c r="R1607" s="11">
        <v>250264963</v>
      </c>
      <c r="S1607" s="11">
        <v>1023954</v>
      </c>
      <c r="T1607">
        <v>2016</v>
      </c>
      <c r="U1607">
        <v>6</v>
      </c>
      <c r="V1607">
        <f t="shared" si="150"/>
        <v>535000</v>
      </c>
      <c r="W1607">
        <f t="shared" si="151"/>
        <v>18429897</v>
      </c>
      <c r="X1607">
        <f t="shared" si="152"/>
        <v>17894897</v>
      </c>
      <c r="Y1607">
        <f t="shared" si="153"/>
        <v>-26307345.5</v>
      </c>
      <c r="Z1607">
        <f t="shared" si="154"/>
        <v>45272242.5</v>
      </c>
      <c r="AA1607" t="str">
        <f t="shared" si="155"/>
        <v>Normal</v>
      </c>
      <c r="AE1607" s="2"/>
      <c r="AF1607" s="2"/>
    </row>
    <row r="1608" spans="1:32" x14ac:dyDescent="0.35">
      <c r="A1608">
        <v>1607</v>
      </c>
      <c r="B1608" s="1">
        <v>42535</v>
      </c>
      <c r="C1608" s="9" t="s">
        <v>2769</v>
      </c>
      <c r="D1608" s="9" t="s">
        <v>4988</v>
      </c>
      <c r="E1608" s="9" t="s">
        <v>7010</v>
      </c>
      <c r="F1608" s="9" t="s">
        <v>15</v>
      </c>
      <c r="G1608" s="9" t="s">
        <v>2770</v>
      </c>
      <c r="H1608" s="9" t="s">
        <v>105</v>
      </c>
      <c r="I1608" s="11">
        <v>4400000</v>
      </c>
      <c r="J1608" s="11">
        <v>2977276</v>
      </c>
      <c r="K1608" s="11">
        <v>12194993</v>
      </c>
      <c r="L1608" s="3">
        <v>496</v>
      </c>
      <c r="M1608" s="3">
        <v>1489</v>
      </c>
      <c r="N1608" s="3">
        <v>1856036</v>
      </c>
      <c r="O1608" s="2">
        <v>-1.3999999999999999E-2</v>
      </c>
      <c r="P1608" s="2">
        <v>1.1169999999999999E-2</v>
      </c>
      <c r="Q1608" s="2">
        <v>0.10299999999999999</v>
      </c>
      <c r="R1608" s="11">
        <v>210669805</v>
      </c>
      <c r="S1608" s="11">
        <v>1386588</v>
      </c>
      <c r="T1608">
        <v>2016</v>
      </c>
      <c r="U1608">
        <v>6</v>
      </c>
      <c r="V1608">
        <f t="shared" si="150"/>
        <v>532500</v>
      </c>
      <c r="W1608">
        <f t="shared" si="151"/>
        <v>18429897</v>
      </c>
      <c r="X1608">
        <f t="shared" si="152"/>
        <v>17897397</v>
      </c>
      <c r="Y1608">
        <f t="shared" si="153"/>
        <v>-26313595.5</v>
      </c>
      <c r="Z1608">
        <f t="shared" si="154"/>
        <v>45275992.5</v>
      </c>
      <c r="AA1608" t="str">
        <f t="shared" si="155"/>
        <v>Normal</v>
      </c>
      <c r="AE1608" s="2"/>
      <c r="AF1608" s="2"/>
    </row>
    <row r="1609" spans="1:32" x14ac:dyDescent="0.35">
      <c r="A1609">
        <v>1608</v>
      </c>
      <c r="B1609" s="1">
        <v>42536</v>
      </c>
      <c r="C1609" s="9" t="s">
        <v>2771</v>
      </c>
      <c r="D1609" s="9" t="s">
        <v>4988</v>
      </c>
      <c r="E1609" s="9" t="s">
        <v>5369</v>
      </c>
      <c r="F1609" s="9" t="s">
        <v>1255</v>
      </c>
      <c r="G1609" s="9" t="s">
        <v>1315</v>
      </c>
      <c r="H1609" s="9" t="s">
        <v>86</v>
      </c>
      <c r="I1609" s="11">
        <v>450000</v>
      </c>
      <c r="J1609" s="11">
        <v>1196676</v>
      </c>
      <c r="K1609" s="11">
        <v>16683916</v>
      </c>
      <c r="L1609" s="3">
        <v>142</v>
      </c>
      <c r="M1609" s="3">
        <v>4180</v>
      </c>
      <c r="N1609" s="3">
        <v>1657863</v>
      </c>
      <c r="O1609" s="2">
        <v>-0.9</v>
      </c>
      <c r="P1609" s="2">
        <v>0.91300000000000003</v>
      </c>
      <c r="Q1609" s="2">
        <v>-8.3000000000000004E-2</v>
      </c>
      <c r="R1609" s="11">
        <v>1000000000</v>
      </c>
      <c r="S1609" s="11">
        <v>70730</v>
      </c>
      <c r="T1609">
        <v>2016</v>
      </c>
      <c r="U1609">
        <v>6</v>
      </c>
      <c r="V1609">
        <f t="shared" si="150"/>
        <v>530000</v>
      </c>
      <c r="W1609">
        <f t="shared" si="151"/>
        <v>18429897</v>
      </c>
      <c r="X1609">
        <f t="shared" si="152"/>
        <v>17899897</v>
      </c>
      <c r="Y1609">
        <f t="shared" si="153"/>
        <v>-26319845.5</v>
      </c>
      <c r="Z1609">
        <f t="shared" si="154"/>
        <v>45279742.5</v>
      </c>
      <c r="AA1609" t="str">
        <f t="shared" si="155"/>
        <v>Normal</v>
      </c>
      <c r="AE1609" s="2"/>
      <c r="AF1609" s="2"/>
    </row>
    <row r="1610" spans="1:32" x14ac:dyDescent="0.35">
      <c r="A1610">
        <v>1609</v>
      </c>
      <c r="B1610" s="1">
        <v>42536</v>
      </c>
      <c r="C1610" s="9" t="s">
        <v>2772</v>
      </c>
      <c r="D1610" s="9" t="s">
        <v>4925</v>
      </c>
      <c r="E1610" s="9" t="s">
        <v>7011</v>
      </c>
      <c r="F1610" s="9" t="s">
        <v>15</v>
      </c>
      <c r="G1610" s="9" t="s">
        <v>2773</v>
      </c>
      <c r="H1610" s="9" t="s">
        <v>105</v>
      </c>
      <c r="I1610" s="11">
        <v>18429897</v>
      </c>
      <c r="J1610" s="11">
        <v>647611</v>
      </c>
      <c r="K1610" s="11">
        <v>1479202</v>
      </c>
      <c r="L1610" s="3">
        <v>211</v>
      </c>
      <c r="M1610" s="3">
        <v>2435</v>
      </c>
      <c r="N1610" s="3">
        <v>96673</v>
      </c>
      <c r="O1610" s="2">
        <v>0.309</v>
      </c>
      <c r="P1610" s="2">
        <v>0.66299999999999992</v>
      </c>
      <c r="Q1610" s="2">
        <v>-0.32</v>
      </c>
      <c r="R1610" s="11">
        <v>369434643</v>
      </c>
      <c r="S1610" s="11">
        <v>1835531</v>
      </c>
      <c r="T1610">
        <v>2016</v>
      </c>
      <c r="U1610">
        <v>6</v>
      </c>
      <c r="V1610">
        <f t="shared" si="150"/>
        <v>537500</v>
      </c>
      <c r="W1610">
        <f t="shared" si="151"/>
        <v>18429897</v>
      </c>
      <c r="X1610">
        <f t="shared" si="152"/>
        <v>17892397</v>
      </c>
      <c r="Y1610">
        <f t="shared" si="153"/>
        <v>-26301095.5</v>
      </c>
      <c r="Z1610">
        <f t="shared" si="154"/>
        <v>45268492.5</v>
      </c>
      <c r="AA1610" t="str">
        <f t="shared" si="155"/>
        <v>Normal</v>
      </c>
      <c r="AE1610" s="2"/>
      <c r="AF1610" s="2"/>
    </row>
    <row r="1611" spans="1:32" x14ac:dyDescent="0.35">
      <c r="A1611">
        <v>1610</v>
      </c>
      <c r="B1611" s="1">
        <v>42537</v>
      </c>
      <c r="C1611" s="9" t="s">
        <v>2011</v>
      </c>
      <c r="D1611" s="9" t="s">
        <v>4988</v>
      </c>
      <c r="E1611" s="9" t="s">
        <v>7012</v>
      </c>
      <c r="F1611" s="9" t="s">
        <v>27</v>
      </c>
      <c r="G1611" s="9" t="s">
        <v>436</v>
      </c>
      <c r="H1611" s="9" t="s">
        <v>105</v>
      </c>
      <c r="I1611" s="11">
        <v>450000</v>
      </c>
      <c r="J1611" s="11">
        <v>3886547</v>
      </c>
      <c r="K1611" s="11">
        <v>13787527</v>
      </c>
      <c r="L1611" s="3">
        <v>130</v>
      </c>
      <c r="M1611" s="3">
        <v>4333</v>
      </c>
      <c r="N1611" s="3">
        <v>738614</v>
      </c>
      <c r="O1611" s="2">
        <v>0.221</v>
      </c>
      <c r="P1611" s="2">
        <v>1.1610000000000001E-2</v>
      </c>
      <c r="Q1611" s="2">
        <v>0.33200000000000002</v>
      </c>
      <c r="R1611" s="11">
        <v>46246354</v>
      </c>
      <c r="S1611" s="11">
        <v>1907845</v>
      </c>
      <c r="T1611">
        <v>2016</v>
      </c>
      <c r="U1611">
        <v>6</v>
      </c>
      <c r="V1611">
        <f t="shared" si="150"/>
        <v>535000</v>
      </c>
      <c r="W1611">
        <f t="shared" si="151"/>
        <v>18429897</v>
      </c>
      <c r="X1611">
        <f t="shared" si="152"/>
        <v>17894897</v>
      </c>
      <c r="Y1611">
        <f t="shared" si="153"/>
        <v>-26307345.5</v>
      </c>
      <c r="Z1611">
        <f t="shared" si="154"/>
        <v>45272242.5</v>
      </c>
      <c r="AA1611" t="str">
        <f t="shared" si="155"/>
        <v>Normal</v>
      </c>
      <c r="AE1611" s="2"/>
      <c r="AF1611" s="2"/>
    </row>
    <row r="1612" spans="1:32" x14ac:dyDescent="0.35">
      <c r="A1612">
        <v>1611</v>
      </c>
      <c r="B1612" s="1">
        <v>42537</v>
      </c>
      <c r="C1612" s="9" t="s">
        <v>2774</v>
      </c>
      <c r="D1612" s="9" t="s">
        <v>4988</v>
      </c>
      <c r="E1612" s="9" t="s">
        <v>7013</v>
      </c>
      <c r="F1612" s="9" t="s">
        <v>19</v>
      </c>
      <c r="G1612" s="9" t="s">
        <v>436</v>
      </c>
      <c r="H1612" s="9" t="s">
        <v>105</v>
      </c>
      <c r="I1612" s="11">
        <v>600000</v>
      </c>
      <c r="J1612" s="11">
        <v>735718</v>
      </c>
      <c r="K1612" s="11">
        <v>15075314</v>
      </c>
      <c r="L1612" s="3">
        <v>271</v>
      </c>
      <c r="M1612" s="3">
        <v>1647</v>
      </c>
      <c r="N1612" s="3">
        <v>1959163</v>
      </c>
      <c r="O1612" s="2">
        <v>8.6999999999999994E-2</v>
      </c>
      <c r="P1612" s="2">
        <v>0.80200000000000005</v>
      </c>
      <c r="Q1612" s="2">
        <v>0.28999999999999998</v>
      </c>
      <c r="R1612" s="11">
        <v>92106235</v>
      </c>
      <c r="S1612" s="11">
        <v>1862862</v>
      </c>
      <c r="T1612">
        <v>2016</v>
      </c>
      <c r="U1612">
        <v>6</v>
      </c>
      <c r="V1612">
        <f t="shared" si="150"/>
        <v>542500</v>
      </c>
      <c r="W1612">
        <f t="shared" si="151"/>
        <v>18429897</v>
      </c>
      <c r="X1612">
        <f t="shared" si="152"/>
        <v>17887397</v>
      </c>
      <c r="Y1612">
        <f t="shared" si="153"/>
        <v>-26288595.5</v>
      </c>
      <c r="Z1612">
        <f t="shared" si="154"/>
        <v>45260992.5</v>
      </c>
      <c r="AA1612" t="str">
        <f t="shared" si="155"/>
        <v>Normal</v>
      </c>
      <c r="AE1612" s="2"/>
      <c r="AF1612" s="2"/>
    </row>
    <row r="1613" spans="1:32" x14ac:dyDescent="0.35">
      <c r="A1613">
        <v>1612</v>
      </c>
      <c r="B1613" s="1">
        <v>42537</v>
      </c>
      <c r="C1613" s="9" t="s">
        <v>2775</v>
      </c>
      <c r="D1613" s="9" t="s">
        <v>4988</v>
      </c>
      <c r="E1613" s="9" t="s">
        <v>7014</v>
      </c>
      <c r="F1613" s="9" t="s">
        <v>15</v>
      </c>
      <c r="G1613" s="9" t="s">
        <v>2776</v>
      </c>
      <c r="H1613" s="9" t="s">
        <v>86</v>
      </c>
      <c r="I1613" s="11">
        <v>18429897</v>
      </c>
      <c r="J1613" s="11">
        <v>3357724</v>
      </c>
      <c r="K1613" s="11">
        <v>4089833</v>
      </c>
      <c r="L1613" s="3">
        <v>5</v>
      </c>
      <c r="M1613" s="3">
        <v>2326</v>
      </c>
      <c r="N1613" s="3">
        <v>908062</v>
      </c>
      <c r="O1613" s="2">
        <v>-2.3E-2</v>
      </c>
      <c r="P1613" s="2">
        <v>0.78700000000000003</v>
      </c>
      <c r="Q1613" s="2">
        <v>-4.8000000000000001E-2</v>
      </c>
      <c r="R1613" s="11">
        <v>434076250</v>
      </c>
      <c r="S1613" s="11">
        <v>1939410</v>
      </c>
      <c r="T1613">
        <v>2016</v>
      </c>
      <c r="U1613">
        <v>6</v>
      </c>
      <c r="V1613">
        <f t="shared" si="150"/>
        <v>540000</v>
      </c>
      <c r="W1613">
        <f t="shared" si="151"/>
        <v>18429897</v>
      </c>
      <c r="X1613">
        <f t="shared" si="152"/>
        <v>17889897</v>
      </c>
      <c r="Y1613">
        <f t="shared" si="153"/>
        <v>-26294845.5</v>
      </c>
      <c r="Z1613">
        <f t="shared" si="154"/>
        <v>45264742.5</v>
      </c>
      <c r="AA1613" t="str">
        <f t="shared" si="155"/>
        <v>Normal</v>
      </c>
      <c r="AE1613" s="2"/>
      <c r="AF1613" s="2"/>
    </row>
    <row r="1614" spans="1:32" x14ac:dyDescent="0.35">
      <c r="A1614">
        <v>1613</v>
      </c>
      <c r="B1614" s="1">
        <v>42537</v>
      </c>
      <c r="C1614" s="9" t="s">
        <v>2777</v>
      </c>
      <c r="D1614" s="9" t="s">
        <v>4988</v>
      </c>
      <c r="E1614" s="9" t="s">
        <v>7015</v>
      </c>
      <c r="F1614" s="9" t="s">
        <v>4909</v>
      </c>
      <c r="G1614" s="9" t="s">
        <v>2778</v>
      </c>
      <c r="H1614" s="9" t="s">
        <v>105</v>
      </c>
      <c r="I1614" s="11">
        <v>18429897</v>
      </c>
      <c r="J1614" s="11">
        <v>3471615</v>
      </c>
      <c r="K1614" s="11">
        <v>10773744</v>
      </c>
      <c r="L1614" s="3">
        <v>89</v>
      </c>
      <c r="M1614" s="3">
        <v>412</v>
      </c>
      <c r="N1614" s="3">
        <v>1583929</v>
      </c>
      <c r="O1614" s="2">
        <v>0.27700000000000002</v>
      </c>
      <c r="P1614" s="2">
        <v>0.56100000000000005</v>
      </c>
      <c r="Q1614" s="2">
        <v>0.27800000000000002</v>
      </c>
      <c r="R1614" s="11">
        <v>170130951</v>
      </c>
      <c r="S1614" s="11">
        <v>306439</v>
      </c>
      <c r="T1614">
        <v>2016</v>
      </c>
      <c r="U1614">
        <v>6</v>
      </c>
      <c r="V1614">
        <f t="shared" si="150"/>
        <v>537500</v>
      </c>
      <c r="W1614">
        <f t="shared" si="151"/>
        <v>18429897</v>
      </c>
      <c r="X1614">
        <f t="shared" si="152"/>
        <v>17892397</v>
      </c>
      <c r="Y1614">
        <f t="shared" si="153"/>
        <v>-26301095.5</v>
      </c>
      <c r="Z1614">
        <f t="shared" si="154"/>
        <v>45268492.5</v>
      </c>
      <c r="AA1614" t="str">
        <f t="shared" si="155"/>
        <v>Normal</v>
      </c>
      <c r="AE1614" s="2"/>
      <c r="AF1614" s="2"/>
    </row>
    <row r="1615" spans="1:32" x14ac:dyDescent="0.35">
      <c r="A1615">
        <v>1614</v>
      </c>
      <c r="B1615" s="1">
        <v>42537</v>
      </c>
      <c r="C1615" s="9" t="s">
        <v>1809</v>
      </c>
      <c r="D1615" s="9" t="s">
        <v>4925</v>
      </c>
      <c r="E1615" s="9" t="s">
        <v>6844</v>
      </c>
      <c r="F1615" s="9" t="s">
        <v>15</v>
      </c>
      <c r="G1615" s="9" t="s">
        <v>673</v>
      </c>
      <c r="H1615" s="9" t="s">
        <v>105</v>
      </c>
      <c r="I1615" s="11">
        <v>20000000</v>
      </c>
      <c r="J1615" s="11">
        <v>319935</v>
      </c>
      <c r="K1615" s="11">
        <v>15360279</v>
      </c>
      <c r="L1615" s="3">
        <v>262</v>
      </c>
      <c r="M1615" s="3">
        <v>3915</v>
      </c>
      <c r="N1615" s="3">
        <v>1837630</v>
      </c>
      <c r="O1615" s="2">
        <v>0.47899999999999998</v>
      </c>
      <c r="P1615" s="2">
        <v>1.0349999999999999</v>
      </c>
      <c r="Q1615" s="2">
        <v>0.33600000000000002</v>
      </c>
      <c r="R1615" s="11">
        <v>332892299</v>
      </c>
      <c r="S1615" s="11">
        <v>368008</v>
      </c>
      <c r="T1615">
        <v>2016</v>
      </c>
      <c r="U1615">
        <v>6</v>
      </c>
      <c r="V1615">
        <f t="shared" si="150"/>
        <v>535000</v>
      </c>
      <c r="W1615">
        <f t="shared" si="151"/>
        <v>18429897</v>
      </c>
      <c r="X1615">
        <f t="shared" si="152"/>
        <v>17894897</v>
      </c>
      <c r="Y1615">
        <f t="shared" si="153"/>
        <v>-26307345.5</v>
      </c>
      <c r="Z1615">
        <f t="shared" si="154"/>
        <v>45272242.5</v>
      </c>
      <c r="AA1615" t="str">
        <f t="shared" si="155"/>
        <v>Normal</v>
      </c>
      <c r="AE1615" s="2"/>
      <c r="AF1615" s="2"/>
    </row>
    <row r="1616" spans="1:32" x14ac:dyDescent="0.35">
      <c r="A1616">
        <v>1615</v>
      </c>
      <c r="B1616" s="1">
        <v>42537</v>
      </c>
      <c r="C1616" s="9" t="s">
        <v>2779</v>
      </c>
      <c r="D1616" s="9" t="s">
        <v>4930</v>
      </c>
      <c r="E1616" s="9" t="s">
        <v>7016</v>
      </c>
      <c r="F1616" s="9" t="s">
        <v>31</v>
      </c>
      <c r="G1616" s="9" t="s">
        <v>2780</v>
      </c>
      <c r="H1616" s="9" t="s">
        <v>86</v>
      </c>
      <c r="I1616" s="11">
        <v>18429897</v>
      </c>
      <c r="J1616" s="11">
        <v>881260</v>
      </c>
      <c r="K1616" s="11">
        <v>12109102</v>
      </c>
      <c r="L1616" s="3">
        <v>348</v>
      </c>
      <c r="M1616" s="3">
        <v>1595</v>
      </c>
      <c r="N1616" s="3">
        <v>5593</v>
      </c>
      <c r="O1616" s="2">
        <v>0.114</v>
      </c>
      <c r="P1616" s="2">
        <v>0.78500000000000003</v>
      </c>
      <c r="Q1616" s="2">
        <v>-0.495</v>
      </c>
      <c r="R1616" s="11">
        <v>16868321</v>
      </c>
      <c r="S1616" s="11">
        <v>1648185</v>
      </c>
      <c r="T1616">
        <v>2016</v>
      </c>
      <c r="U1616">
        <v>6</v>
      </c>
      <c r="V1616">
        <f t="shared" si="150"/>
        <v>532500</v>
      </c>
      <c r="W1616">
        <f t="shared" si="151"/>
        <v>18429897</v>
      </c>
      <c r="X1616">
        <f t="shared" si="152"/>
        <v>17897397</v>
      </c>
      <c r="Y1616">
        <f t="shared" si="153"/>
        <v>-26313595.5</v>
      </c>
      <c r="Z1616">
        <f t="shared" si="154"/>
        <v>45275992.5</v>
      </c>
      <c r="AA1616" t="str">
        <f t="shared" si="155"/>
        <v>Normal</v>
      </c>
      <c r="AE1616" s="2"/>
      <c r="AF1616" s="2"/>
    </row>
    <row r="1617" spans="1:32" x14ac:dyDescent="0.35">
      <c r="A1617">
        <v>1616</v>
      </c>
      <c r="B1617" s="1">
        <v>42538</v>
      </c>
      <c r="C1617" s="9" t="s">
        <v>2781</v>
      </c>
      <c r="D1617" s="9" t="s">
        <v>4988</v>
      </c>
      <c r="E1617" s="9" t="s">
        <v>6529</v>
      </c>
      <c r="F1617" s="9" t="s">
        <v>27</v>
      </c>
      <c r="G1617" s="9" t="s">
        <v>2782</v>
      </c>
      <c r="H1617" s="9" t="s">
        <v>105</v>
      </c>
      <c r="I1617" s="11">
        <v>12000000</v>
      </c>
      <c r="J1617" s="11">
        <v>3975930</v>
      </c>
      <c r="K1617" s="11">
        <v>5065053</v>
      </c>
      <c r="L1617" s="3">
        <v>481</v>
      </c>
      <c r="M1617" s="3">
        <v>500</v>
      </c>
      <c r="N1617" s="3">
        <v>1462796</v>
      </c>
      <c r="O1617" s="2">
        <v>-0.2</v>
      </c>
      <c r="P1617" s="2">
        <v>0.82200000000000006</v>
      </c>
      <c r="Q1617" s="2">
        <v>0.26100000000000001</v>
      </c>
      <c r="R1617" s="11">
        <v>185738443</v>
      </c>
      <c r="S1617" s="11">
        <v>240983</v>
      </c>
      <c r="T1617">
        <v>2016</v>
      </c>
      <c r="U1617">
        <v>6</v>
      </c>
      <c r="V1617">
        <f t="shared" si="150"/>
        <v>530000</v>
      </c>
      <c r="W1617">
        <f t="shared" si="151"/>
        <v>18429897</v>
      </c>
      <c r="X1617">
        <f t="shared" si="152"/>
        <v>17899897</v>
      </c>
      <c r="Y1617">
        <f t="shared" si="153"/>
        <v>-26319845.5</v>
      </c>
      <c r="Z1617">
        <f t="shared" si="154"/>
        <v>45279742.5</v>
      </c>
      <c r="AA1617" t="str">
        <f t="shared" si="155"/>
        <v>Normal</v>
      </c>
      <c r="AE1617" s="2"/>
      <c r="AF1617" s="2"/>
    </row>
    <row r="1618" spans="1:32" x14ac:dyDescent="0.35">
      <c r="A1618">
        <v>1617</v>
      </c>
      <c r="B1618" s="1">
        <v>42538</v>
      </c>
      <c r="C1618" s="9" t="s">
        <v>2783</v>
      </c>
      <c r="D1618" s="9" t="s">
        <v>4930</v>
      </c>
      <c r="E1618" s="9" t="s">
        <v>7017</v>
      </c>
      <c r="F1618" s="9" t="s">
        <v>15</v>
      </c>
      <c r="G1618" s="9" t="s">
        <v>2784</v>
      </c>
      <c r="H1618" s="9" t="s">
        <v>105</v>
      </c>
      <c r="I1618" s="11">
        <v>900000</v>
      </c>
      <c r="J1618" s="11">
        <v>2546317</v>
      </c>
      <c r="K1618" s="11">
        <v>13328530</v>
      </c>
      <c r="L1618" s="3">
        <v>419</v>
      </c>
      <c r="M1618" s="3">
        <v>1133</v>
      </c>
      <c r="N1618" s="3">
        <v>1826935</v>
      </c>
      <c r="O1618" s="2">
        <v>-2.1000000000000001E-2</v>
      </c>
      <c r="P1618" s="2">
        <v>0.50800000000000001</v>
      </c>
      <c r="Q1618" s="2">
        <v>8.5000000000000006E-2</v>
      </c>
      <c r="R1618" s="11">
        <v>295810071</v>
      </c>
      <c r="S1618" s="11">
        <v>1497902</v>
      </c>
      <c r="T1618">
        <v>2016</v>
      </c>
      <c r="U1618">
        <v>6</v>
      </c>
      <c r="V1618">
        <f t="shared" si="150"/>
        <v>527500</v>
      </c>
      <c r="W1618">
        <f t="shared" si="151"/>
        <v>18429897</v>
      </c>
      <c r="X1618">
        <f t="shared" si="152"/>
        <v>17902397</v>
      </c>
      <c r="Y1618">
        <f t="shared" si="153"/>
        <v>-26326095.5</v>
      </c>
      <c r="Z1618">
        <f t="shared" si="154"/>
        <v>45283492.5</v>
      </c>
      <c r="AA1618" t="str">
        <f t="shared" si="155"/>
        <v>Normal</v>
      </c>
      <c r="AE1618" s="2"/>
      <c r="AF1618" s="2"/>
    </row>
    <row r="1619" spans="1:32" x14ac:dyDescent="0.35">
      <c r="A1619">
        <v>1618</v>
      </c>
      <c r="B1619" s="1">
        <v>42538</v>
      </c>
      <c r="C1619" s="9" t="s">
        <v>2785</v>
      </c>
      <c r="D1619" s="9" t="s">
        <v>4930</v>
      </c>
      <c r="E1619" s="9" t="s">
        <v>7018</v>
      </c>
      <c r="F1619" s="9" t="s">
        <v>15</v>
      </c>
      <c r="G1619" s="9" t="s">
        <v>2786</v>
      </c>
      <c r="H1619" s="9" t="s">
        <v>105</v>
      </c>
      <c r="I1619" s="11">
        <v>5200000</v>
      </c>
      <c r="J1619" s="11">
        <v>624332</v>
      </c>
      <c r="K1619" s="11">
        <v>15213823</v>
      </c>
      <c r="L1619" s="3">
        <v>461</v>
      </c>
      <c r="M1619" s="3">
        <v>3344</v>
      </c>
      <c r="N1619" s="3">
        <v>1155265</v>
      </c>
      <c r="O1619" s="2">
        <v>0.23200000000000001</v>
      </c>
      <c r="P1619" s="2">
        <v>0.47</v>
      </c>
      <c r="Q1619" s="2">
        <v>-0.52800000000000002</v>
      </c>
      <c r="R1619" s="11">
        <v>171100436</v>
      </c>
      <c r="S1619" s="11">
        <v>1008193.5</v>
      </c>
      <c r="T1619">
        <v>2016</v>
      </c>
      <c r="U1619">
        <v>6</v>
      </c>
      <c r="V1619">
        <f t="shared" si="150"/>
        <v>525000</v>
      </c>
      <c r="W1619">
        <f t="shared" si="151"/>
        <v>18429897</v>
      </c>
      <c r="X1619">
        <f t="shared" si="152"/>
        <v>17904897</v>
      </c>
      <c r="Y1619">
        <f t="shared" si="153"/>
        <v>-26332345.5</v>
      </c>
      <c r="Z1619">
        <f t="shared" si="154"/>
        <v>45287242.5</v>
      </c>
      <c r="AA1619" t="str">
        <f t="shared" si="155"/>
        <v>Normal</v>
      </c>
      <c r="AE1619" s="2"/>
      <c r="AF1619" s="2"/>
    </row>
    <row r="1620" spans="1:32" x14ac:dyDescent="0.35">
      <c r="A1620">
        <v>1619</v>
      </c>
      <c r="B1620" s="1">
        <v>42538</v>
      </c>
      <c r="C1620" s="9" t="s">
        <v>2787</v>
      </c>
      <c r="D1620" s="9" t="s">
        <v>4925</v>
      </c>
      <c r="E1620" s="9" t="s">
        <v>7019</v>
      </c>
      <c r="F1620" s="9" t="s">
        <v>15</v>
      </c>
      <c r="G1620" s="9" t="s">
        <v>2788</v>
      </c>
      <c r="H1620" s="9" t="s">
        <v>86</v>
      </c>
      <c r="I1620" s="11">
        <v>18429897</v>
      </c>
      <c r="J1620" s="11">
        <v>4959036</v>
      </c>
      <c r="K1620" s="11">
        <v>293225</v>
      </c>
      <c r="L1620" s="3">
        <v>400</v>
      </c>
      <c r="M1620" s="3">
        <v>4086</v>
      </c>
      <c r="N1620" s="3">
        <v>1920742</v>
      </c>
      <c r="O1620" s="2">
        <v>3.1E-2</v>
      </c>
      <c r="P1620" s="2">
        <v>0.99099999999999999</v>
      </c>
      <c r="Q1620" s="2">
        <v>0.35499999999999998</v>
      </c>
      <c r="R1620" s="11">
        <v>137048664</v>
      </c>
      <c r="S1620" s="11">
        <v>1923049</v>
      </c>
      <c r="T1620">
        <v>2016</v>
      </c>
      <c r="U1620">
        <v>6</v>
      </c>
      <c r="V1620">
        <f t="shared" si="150"/>
        <v>522500</v>
      </c>
      <c r="W1620">
        <f t="shared" si="151"/>
        <v>18429897</v>
      </c>
      <c r="X1620">
        <f t="shared" si="152"/>
        <v>17907397</v>
      </c>
      <c r="Y1620">
        <f t="shared" si="153"/>
        <v>-26338595.5</v>
      </c>
      <c r="Z1620">
        <f t="shared" si="154"/>
        <v>45290992.5</v>
      </c>
      <c r="AA1620" t="str">
        <f t="shared" si="155"/>
        <v>Normal</v>
      </c>
      <c r="AE1620" s="2"/>
      <c r="AF1620" s="2"/>
    </row>
    <row r="1621" spans="1:32" x14ac:dyDescent="0.35">
      <c r="A1621">
        <v>1620</v>
      </c>
      <c r="B1621" s="1">
        <v>42538</v>
      </c>
      <c r="C1621" s="9" t="s">
        <v>2789</v>
      </c>
      <c r="D1621" s="9" t="s">
        <v>4988</v>
      </c>
      <c r="E1621" s="9" t="s">
        <v>7020</v>
      </c>
      <c r="F1621" s="9" t="s">
        <v>15</v>
      </c>
      <c r="G1621" s="9" t="s">
        <v>2790</v>
      </c>
      <c r="H1621" s="9" t="s">
        <v>86</v>
      </c>
      <c r="I1621" s="11">
        <v>18429897</v>
      </c>
      <c r="J1621" s="11">
        <v>2531926</v>
      </c>
      <c r="K1621" s="11">
        <v>11391211</v>
      </c>
      <c r="L1621" s="3">
        <v>389</v>
      </c>
      <c r="M1621" s="3">
        <v>4776</v>
      </c>
      <c r="N1621" s="3">
        <v>1398478</v>
      </c>
      <c r="O1621" s="2">
        <v>-5.2000000000000005E-2</v>
      </c>
      <c r="P1621" s="2">
        <v>1.0109999999999999</v>
      </c>
      <c r="Q1621" s="2">
        <v>0.12</v>
      </c>
      <c r="R1621" s="11">
        <v>148084554</v>
      </c>
      <c r="S1621" s="11">
        <v>1106374</v>
      </c>
      <c r="T1621">
        <v>2016</v>
      </c>
      <c r="U1621">
        <v>6</v>
      </c>
      <c r="V1621">
        <f t="shared" si="150"/>
        <v>520000</v>
      </c>
      <c r="W1621">
        <f t="shared" si="151"/>
        <v>18429897</v>
      </c>
      <c r="X1621">
        <f t="shared" si="152"/>
        <v>17909897</v>
      </c>
      <c r="Y1621">
        <f t="shared" si="153"/>
        <v>-26344845.5</v>
      </c>
      <c r="Z1621">
        <f t="shared" si="154"/>
        <v>45294742.5</v>
      </c>
      <c r="AA1621" t="str">
        <f t="shared" si="155"/>
        <v>Normal</v>
      </c>
      <c r="AE1621" s="2"/>
      <c r="AF1621" s="2"/>
    </row>
    <row r="1622" spans="1:32" x14ac:dyDescent="0.35">
      <c r="A1622">
        <v>1621</v>
      </c>
      <c r="B1622" s="1">
        <v>42541</v>
      </c>
      <c r="C1622" s="9" t="s">
        <v>2791</v>
      </c>
      <c r="D1622" s="9" t="s">
        <v>4925</v>
      </c>
      <c r="E1622" s="9" t="s">
        <v>7021</v>
      </c>
      <c r="F1622" s="9" t="s">
        <v>27</v>
      </c>
      <c r="G1622" s="9" t="s">
        <v>1953</v>
      </c>
      <c r="H1622" s="9" t="s">
        <v>86</v>
      </c>
      <c r="I1622" s="11">
        <v>18429897</v>
      </c>
      <c r="J1622" s="11">
        <v>39957</v>
      </c>
      <c r="K1622" s="11">
        <v>10141804</v>
      </c>
      <c r="L1622" s="3">
        <v>176</v>
      </c>
      <c r="M1622" s="3">
        <v>2505.5</v>
      </c>
      <c r="N1622" s="3">
        <v>1257553</v>
      </c>
      <c r="O1622" s="2">
        <v>-0.06</v>
      </c>
      <c r="P1622" s="2">
        <v>0.26300000000000001</v>
      </c>
      <c r="Q1622" s="2">
        <v>-0.29899999999999999</v>
      </c>
      <c r="R1622" s="11">
        <v>338636250</v>
      </c>
      <c r="S1622" s="11">
        <v>500292</v>
      </c>
      <c r="T1622">
        <v>2016</v>
      </c>
      <c r="U1622">
        <v>6</v>
      </c>
      <c r="V1622">
        <f t="shared" si="150"/>
        <v>519500</v>
      </c>
      <c r="W1622">
        <f t="shared" si="151"/>
        <v>18429897</v>
      </c>
      <c r="X1622">
        <f t="shared" si="152"/>
        <v>17910397</v>
      </c>
      <c r="Y1622">
        <f t="shared" si="153"/>
        <v>-26346095.5</v>
      </c>
      <c r="Z1622">
        <f t="shared" si="154"/>
        <v>45295492.5</v>
      </c>
      <c r="AA1622" t="str">
        <f t="shared" si="155"/>
        <v>Normal</v>
      </c>
      <c r="AE1622" s="2"/>
      <c r="AF1622" s="2"/>
    </row>
    <row r="1623" spans="1:32" x14ac:dyDescent="0.35">
      <c r="A1623">
        <v>1622</v>
      </c>
      <c r="B1623" s="1">
        <v>42541</v>
      </c>
      <c r="C1623" s="9" t="s">
        <v>2792</v>
      </c>
      <c r="D1623" s="9" t="s">
        <v>4988</v>
      </c>
      <c r="E1623" s="9" t="s">
        <v>7022</v>
      </c>
      <c r="F1623" s="9" t="s">
        <v>27</v>
      </c>
      <c r="G1623" s="9" t="s">
        <v>2793</v>
      </c>
      <c r="H1623" s="9" t="s">
        <v>86</v>
      </c>
      <c r="I1623" s="11">
        <v>18429897</v>
      </c>
      <c r="J1623" s="11">
        <v>4622346</v>
      </c>
      <c r="K1623" s="11">
        <v>7397579</v>
      </c>
      <c r="L1623" s="3">
        <v>452</v>
      </c>
      <c r="M1623" s="3">
        <v>2505.5</v>
      </c>
      <c r="N1623" s="3">
        <v>247389</v>
      </c>
      <c r="O1623" s="2">
        <v>0.13800000000000001</v>
      </c>
      <c r="P1623" s="2">
        <v>0.92200000000000004</v>
      </c>
      <c r="Q1623" s="2">
        <v>0.19899999999999998</v>
      </c>
      <c r="R1623" s="11">
        <v>294581334</v>
      </c>
      <c r="S1623" s="11">
        <v>422080</v>
      </c>
      <c r="T1623">
        <v>2016</v>
      </c>
      <c r="U1623">
        <v>6</v>
      </c>
      <c r="V1623">
        <f t="shared" si="150"/>
        <v>519000</v>
      </c>
      <c r="W1623">
        <f t="shared" si="151"/>
        <v>18429897</v>
      </c>
      <c r="X1623">
        <f t="shared" si="152"/>
        <v>17910897</v>
      </c>
      <c r="Y1623">
        <f t="shared" si="153"/>
        <v>-26347345.5</v>
      </c>
      <c r="Z1623">
        <f t="shared" si="154"/>
        <v>45296242.5</v>
      </c>
      <c r="AA1623" t="str">
        <f t="shared" si="155"/>
        <v>Normal</v>
      </c>
      <c r="AE1623" s="2"/>
      <c r="AF1623" s="2"/>
    </row>
    <row r="1624" spans="1:32" x14ac:dyDescent="0.35">
      <c r="A1624">
        <v>1623</v>
      </c>
      <c r="B1624" s="1">
        <v>42541</v>
      </c>
      <c r="C1624" s="9" t="s">
        <v>2794</v>
      </c>
      <c r="D1624" s="9" t="s">
        <v>4988</v>
      </c>
      <c r="E1624" s="9" t="s">
        <v>7023</v>
      </c>
      <c r="F1624" s="9" t="s">
        <v>408</v>
      </c>
      <c r="G1624" s="9" t="s">
        <v>2795</v>
      </c>
      <c r="H1624" s="9" t="s">
        <v>86</v>
      </c>
      <c r="I1624" s="11">
        <v>18429897</v>
      </c>
      <c r="J1624" s="11">
        <v>102567</v>
      </c>
      <c r="K1624" s="11">
        <v>980323</v>
      </c>
      <c r="L1624" s="3">
        <v>481</v>
      </c>
      <c r="M1624" s="3">
        <v>2321</v>
      </c>
      <c r="N1624" s="3">
        <v>1576679</v>
      </c>
      <c r="O1624" s="2">
        <v>-0.187</v>
      </c>
      <c r="P1624" s="2">
        <v>1.03E-2</v>
      </c>
      <c r="Q1624" s="2">
        <v>0.14499999999999999</v>
      </c>
      <c r="R1624" s="11">
        <v>147131423</v>
      </c>
      <c r="S1624" s="11">
        <v>1156641</v>
      </c>
      <c r="T1624">
        <v>2016</v>
      </c>
      <c r="U1624">
        <v>6</v>
      </c>
      <c r="V1624">
        <f t="shared" si="150"/>
        <v>518500</v>
      </c>
      <c r="W1624">
        <f t="shared" si="151"/>
        <v>18429897</v>
      </c>
      <c r="X1624">
        <f t="shared" si="152"/>
        <v>17911397</v>
      </c>
      <c r="Y1624">
        <f t="shared" si="153"/>
        <v>-26348595.5</v>
      </c>
      <c r="Z1624">
        <f t="shared" si="154"/>
        <v>45296992.5</v>
      </c>
      <c r="AA1624" t="str">
        <f t="shared" si="155"/>
        <v>Normal</v>
      </c>
      <c r="AE1624" s="2"/>
      <c r="AF1624" s="2"/>
    </row>
    <row r="1625" spans="1:32" x14ac:dyDescent="0.35">
      <c r="A1625">
        <v>1624</v>
      </c>
      <c r="B1625" s="1">
        <v>42542</v>
      </c>
      <c r="C1625" s="9" t="s">
        <v>2796</v>
      </c>
      <c r="D1625" s="9" t="s">
        <v>4988</v>
      </c>
      <c r="E1625" s="9" t="s">
        <v>7024</v>
      </c>
      <c r="F1625" s="9" t="s">
        <v>31</v>
      </c>
      <c r="G1625" s="9" t="s">
        <v>2525</v>
      </c>
      <c r="H1625" s="9" t="s">
        <v>86</v>
      </c>
      <c r="I1625" s="11">
        <v>150000</v>
      </c>
      <c r="J1625" s="11">
        <v>2775724</v>
      </c>
      <c r="K1625" s="11">
        <v>1761498</v>
      </c>
      <c r="L1625" s="3">
        <v>259</v>
      </c>
      <c r="M1625" s="3">
        <v>3591</v>
      </c>
      <c r="N1625" s="3">
        <v>1711006</v>
      </c>
      <c r="O1625" s="2">
        <v>0.113</v>
      </c>
      <c r="P1625" s="2">
        <v>0.73599999999999999</v>
      </c>
      <c r="Q1625" s="2">
        <v>0.23499999999999999</v>
      </c>
      <c r="R1625" s="11">
        <v>250264963</v>
      </c>
      <c r="S1625" s="11">
        <v>357953</v>
      </c>
      <c r="T1625">
        <v>2016</v>
      </c>
      <c r="U1625">
        <v>6</v>
      </c>
      <c r="V1625">
        <f t="shared" si="150"/>
        <v>518000</v>
      </c>
      <c r="W1625">
        <f t="shared" si="151"/>
        <v>18429897</v>
      </c>
      <c r="X1625">
        <f t="shared" si="152"/>
        <v>17911897</v>
      </c>
      <c r="Y1625">
        <f t="shared" si="153"/>
        <v>-26349845.5</v>
      </c>
      <c r="Z1625">
        <f t="shared" si="154"/>
        <v>45297742.5</v>
      </c>
      <c r="AA1625" t="str">
        <f t="shared" si="155"/>
        <v>Normal</v>
      </c>
      <c r="AE1625" s="2"/>
      <c r="AF1625" s="2"/>
    </row>
    <row r="1626" spans="1:32" x14ac:dyDescent="0.35">
      <c r="A1626">
        <v>1625</v>
      </c>
      <c r="B1626" s="1">
        <v>42542</v>
      </c>
      <c r="C1626" s="9" t="s">
        <v>2797</v>
      </c>
      <c r="D1626" s="9" t="s">
        <v>4988</v>
      </c>
      <c r="E1626" s="9" t="s">
        <v>7025</v>
      </c>
      <c r="F1626" s="9" t="s">
        <v>15</v>
      </c>
      <c r="G1626" s="9" t="s">
        <v>2374</v>
      </c>
      <c r="H1626" s="9" t="s">
        <v>86</v>
      </c>
      <c r="I1626" s="11">
        <v>18429897</v>
      </c>
      <c r="J1626" s="11">
        <v>2531926</v>
      </c>
      <c r="K1626" s="11">
        <v>10153449</v>
      </c>
      <c r="L1626" s="3">
        <v>64</v>
      </c>
      <c r="M1626" s="3">
        <v>3380</v>
      </c>
      <c r="N1626" s="3">
        <v>665130</v>
      </c>
      <c r="O1626" s="2">
        <v>1.6E-2</v>
      </c>
      <c r="P1626" s="2">
        <v>0.311</v>
      </c>
      <c r="Q1626" s="2">
        <v>-0.38400000000000001</v>
      </c>
      <c r="R1626" s="11">
        <v>250264963</v>
      </c>
      <c r="S1626" s="11">
        <v>1076494</v>
      </c>
      <c r="T1626">
        <v>2016</v>
      </c>
      <c r="U1626">
        <v>6</v>
      </c>
      <c r="V1626">
        <f t="shared" si="150"/>
        <v>519500</v>
      </c>
      <c r="W1626">
        <f t="shared" si="151"/>
        <v>18429897</v>
      </c>
      <c r="X1626">
        <f t="shared" si="152"/>
        <v>17910397</v>
      </c>
      <c r="Y1626">
        <f t="shared" si="153"/>
        <v>-26346095.5</v>
      </c>
      <c r="Z1626">
        <f t="shared" si="154"/>
        <v>45295492.5</v>
      </c>
      <c r="AA1626" t="str">
        <f t="shared" si="155"/>
        <v>Normal</v>
      </c>
      <c r="AE1626" s="2"/>
      <c r="AF1626" s="2"/>
    </row>
    <row r="1627" spans="1:32" x14ac:dyDescent="0.35">
      <c r="A1627">
        <v>1626</v>
      </c>
      <c r="B1627" s="1">
        <v>42542</v>
      </c>
      <c r="C1627" s="9" t="s">
        <v>2798</v>
      </c>
      <c r="D1627" s="9" t="s">
        <v>4988</v>
      </c>
      <c r="E1627" s="9" t="s">
        <v>6183</v>
      </c>
      <c r="F1627" s="9" t="s">
        <v>31</v>
      </c>
      <c r="G1627" s="9" t="s">
        <v>2799</v>
      </c>
      <c r="H1627" s="9" t="s">
        <v>105</v>
      </c>
      <c r="I1627" s="11">
        <v>18429897</v>
      </c>
      <c r="J1627" s="11">
        <v>2897490</v>
      </c>
      <c r="K1627" s="11">
        <v>16567439</v>
      </c>
      <c r="L1627" s="3">
        <v>26</v>
      </c>
      <c r="M1627" s="3">
        <v>397</v>
      </c>
      <c r="N1627" s="3">
        <v>1000000000</v>
      </c>
      <c r="O1627" s="2">
        <v>0.03</v>
      </c>
      <c r="P1627" s="2">
        <v>0.27900000000000003</v>
      </c>
      <c r="Q1627" s="2">
        <v>2.5000000000000001E-2</v>
      </c>
      <c r="R1627" s="11">
        <v>393462883</v>
      </c>
      <c r="S1627" s="11">
        <v>1517599</v>
      </c>
      <c r="T1627">
        <v>2016</v>
      </c>
      <c r="U1627">
        <v>6</v>
      </c>
      <c r="V1627">
        <f t="shared" si="150"/>
        <v>519000</v>
      </c>
      <c r="W1627">
        <f t="shared" si="151"/>
        <v>18429897</v>
      </c>
      <c r="X1627">
        <f t="shared" si="152"/>
        <v>17910897</v>
      </c>
      <c r="Y1627">
        <f t="shared" si="153"/>
        <v>-26347345.5</v>
      </c>
      <c r="Z1627">
        <f t="shared" si="154"/>
        <v>45296242.5</v>
      </c>
      <c r="AA1627" t="str">
        <f t="shared" si="155"/>
        <v>Normal</v>
      </c>
      <c r="AE1627" s="2"/>
      <c r="AF1627" s="2"/>
    </row>
    <row r="1628" spans="1:32" x14ac:dyDescent="0.35">
      <c r="A1628">
        <v>1627</v>
      </c>
      <c r="B1628" s="1">
        <v>42542</v>
      </c>
      <c r="C1628" s="9" t="s">
        <v>2800</v>
      </c>
      <c r="D1628" s="9" t="s">
        <v>4988</v>
      </c>
      <c r="E1628" s="9" t="s">
        <v>7026</v>
      </c>
      <c r="F1628" s="9" t="s">
        <v>63</v>
      </c>
      <c r="G1628" s="9" t="s">
        <v>2801</v>
      </c>
      <c r="H1628" s="9" t="s">
        <v>105</v>
      </c>
      <c r="I1628" s="11">
        <v>18429897</v>
      </c>
      <c r="J1628" s="11">
        <v>2931501</v>
      </c>
      <c r="K1628" s="11">
        <v>8443202</v>
      </c>
      <c r="L1628" s="3">
        <v>249</v>
      </c>
      <c r="M1628" s="3">
        <v>788</v>
      </c>
      <c r="N1628" s="3">
        <v>1144685</v>
      </c>
      <c r="O1628" s="2">
        <v>-8.900000000000001E-2</v>
      </c>
      <c r="P1628" s="2">
        <v>0.22399999999999998</v>
      </c>
      <c r="Q1628" s="2">
        <v>0.36749999999999999</v>
      </c>
      <c r="R1628" s="11">
        <v>496018908</v>
      </c>
      <c r="S1628" s="11">
        <v>1658758</v>
      </c>
      <c r="T1628">
        <v>2016</v>
      </c>
      <c r="U1628">
        <v>6</v>
      </c>
      <c r="V1628">
        <f t="shared" si="150"/>
        <v>518500</v>
      </c>
      <c r="W1628">
        <f t="shared" si="151"/>
        <v>18429897</v>
      </c>
      <c r="X1628">
        <f t="shared" si="152"/>
        <v>17911397</v>
      </c>
      <c r="Y1628">
        <f t="shared" si="153"/>
        <v>-26348595.5</v>
      </c>
      <c r="Z1628">
        <f t="shared" si="154"/>
        <v>45296992.5</v>
      </c>
      <c r="AA1628" t="str">
        <f t="shared" si="155"/>
        <v>Normal</v>
      </c>
      <c r="AE1628" s="2"/>
      <c r="AF1628" s="2"/>
    </row>
    <row r="1629" spans="1:32" x14ac:dyDescent="0.35">
      <c r="A1629">
        <v>1628</v>
      </c>
      <c r="B1629" s="1">
        <v>42542</v>
      </c>
      <c r="C1629" s="9" t="s">
        <v>2802</v>
      </c>
      <c r="D1629" s="9" t="s">
        <v>4930</v>
      </c>
      <c r="E1629" s="9" t="s">
        <v>7027</v>
      </c>
      <c r="F1629" s="9" t="s">
        <v>15</v>
      </c>
      <c r="G1629" s="9" t="s">
        <v>2803</v>
      </c>
      <c r="H1629" s="9" t="s">
        <v>86</v>
      </c>
      <c r="I1629" s="11">
        <v>400000</v>
      </c>
      <c r="J1629" s="11">
        <v>1953110</v>
      </c>
      <c r="K1629" s="11">
        <v>18799093</v>
      </c>
      <c r="L1629" s="3">
        <v>319</v>
      </c>
      <c r="M1629" s="3">
        <v>2970</v>
      </c>
      <c r="N1629" s="3">
        <v>1877364</v>
      </c>
      <c r="O1629" s="2">
        <v>0.32400000000000001</v>
      </c>
      <c r="P1629" s="2">
        <v>0.56599999999999995</v>
      </c>
      <c r="Q1629" s="2">
        <v>5.9000000000000004E-2</v>
      </c>
      <c r="R1629" s="11">
        <v>369724265</v>
      </c>
      <c r="S1629" s="11">
        <v>1955316</v>
      </c>
      <c r="T1629">
        <v>2016</v>
      </c>
      <c r="U1629">
        <v>6</v>
      </c>
      <c r="V1629">
        <f t="shared" si="150"/>
        <v>518000</v>
      </c>
      <c r="W1629">
        <f t="shared" si="151"/>
        <v>18429897</v>
      </c>
      <c r="X1629">
        <f t="shared" si="152"/>
        <v>17911897</v>
      </c>
      <c r="Y1629">
        <f t="shared" si="153"/>
        <v>-26349845.5</v>
      </c>
      <c r="Z1629">
        <f t="shared" si="154"/>
        <v>45297742.5</v>
      </c>
      <c r="AA1629" t="str">
        <f t="shared" si="155"/>
        <v>Normal</v>
      </c>
      <c r="AE1629" s="2"/>
      <c r="AF1629" s="2"/>
    </row>
    <row r="1630" spans="1:32" x14ac:dyDescent="0.35">
      <c r="A1630">
        <v>1629</v>
      </c>
      <c r="B1630" s="1">
        <v>42542</v>
      </c>
      <c r="C1630" s="9" t="s">
        <v>2804</v>
      </c>
      <c r="D1630" s="9" t="s">
        <v>4988</v>
      </c>
      <c r="E1630" s="9" t="s">
        <v>7028</v>
      </c>
      <c r="F1630" s="9" t="s">
        <v>31</v>
      </c>
      <c r="G1630" s="9" t="s">
        <v>2805</v>
      </c>
      <c r="H1630" s="9" t="s">
        <v>86</v>
      </c>
      <c r="I1630" s="11">
        <v>225000</v>
      </c>
      <c r="J1630" s="11">
        <v>652011</v>
      </c>
      <c r="K1630" s="11">
        <v>18560460</v>
      </c>
      <c r="L1630" s="3">
        <v>279</v>
      </c>
      <c r="M1630" s="3">
        <v>2679</v>
      </c>
      <c r="N1630" s="3">
        <v>1463126</v>
      </c>
      <c r="O1630" s="2">
        <v>-0.14699999999999999</v>
      </c>
      <c r="P1630" s="2">
        <v>0.82099999999999995</v>
      </c>
      <c r="Q1630" s="2">
        <v>-0.32500000000000001</v>
      </c>
      <c r="R1630" s="11">
        <v>70407594</v>
      </c>
      <c r="S1630" s="11">
        <v>1008193.5</v>
      </c>
      <c r="T1630">
        <v>2016</v>
      </c>
      <c r="U1630">
        <v>6</v>
      </c>
      <c r="V1630">
        <f t="shared" si="150"/>
        <v>519500</v>
      </c>
      <c r="W1630">
        <f t="shared" si="151"/>
        <v>18429897</v>
      </c>
      <c r="X1630">
        <f t="shared" si="152"/>
        <v>17910397</v>
      </c>
      <c r="Y1630">
        <f t="shared" si="153"/>
        <v>-26346095.5</v>
      </c>
      <c r="Z1630">
        <f t="shared" si="154"/>
        <v>45295492.5</v>
      </c>
      <c r="AA1630" t="str">
        <f t="shared" si="155"/>
        <v>Normal</v>
      </c>
      <c r="AE1630" s="2"/>
      <c r="AF1630" s="2"/>
    </row>
    <row r="1631" spans="1:32" x14ac:dyDescent="0.35">
      <c r="A1631">
        <v>1630</v>
      </c>
      <c r="B1631" s="1">
        <v>42542</v>
      </c>
      <c r="C1631" s="9" t="s">
        <v>2806</v>
      </c>
      <c r="D1631" s="9" t="s">
        <v>4930</v>
      </c>
      <c r="E1631" s="9" t="s">
        <v>7029</v>
      </c>
      <c r="F1631" s="9" t="s">
        <v>15</v>
      </c>
      <c r="G1631" s="9" t="s">
        <v>2807</v>
      </c>
      <c r="H1631" s="9" t="s">
        <v>86</v>
      </c>
      <c r="I1631" s="11">
        <v>18429897</v>
      </c>
      <c r="J1631" s="11">
        <v>2872005</v>
      </c>
      <c r="K1631" s="11">
        <v>13351763</v>
      </c>
      <c r="L1631" s="3">
        <v>448</v>
      </c>
      <c r="M1631" s="3">
        <v>4434</v>
      </c>
      <c r="N1631" s="3">
        <v>1620931</v>
      </c>
      <c r="O1631" s="2">
        <v>0.155</v>
      </c>
      <c r="P1631" s="2">
        <v>0.77</v>
      </c>
      <c r="Q1631" s="2">
        <v>-0.17899999999999999</v>
      </c>
      <c r="R1631" s="11">
        <v>449989563</v>
      </c>
      <c r="S1631" s="11">
        <v>1707831</v>
      </c>
      <c r="T1631">
        <v>2016</v>
      </c>
      <c r="U1631">
        <v>6</v>
      </c>
      <c r="V1631">
        <f t="shared" si="150"/>
        <v>525000</v>
      </c>
      <c r="W1631">
        <f t="shared" si="151"/>
        <v>18429897</v>
      </c>
      <c r="X1631">
        <f t="shared" si="152"/>
        <v>17904897</v>
      </c>
      <c r="Y1631">
        <f t="shared" si="153"/>
        <v>-26332345.5</v>
      </c>
      <c r="Z1631">
        <f t="shared" si="154"/>
        <v>45287242.5</v>
      </c>
      <c r="AA1631" t="str">
        <f t="shared" si="155"/>
        <v>Normal</v>
      </c>
      <c r="AE1631" s="2"/>
      <c r="AF1631" s="2"/>
    </row>
    <row r="1632" spans="1:32" x14ac:dyDescent="0.35">
      <c r="A1632">
        <v>1631</v>
      </c>
      <c r="B1632" s="1">
        <v>42542</v>
      </c>
      <c r="C1632" s="9" t="s">
        <v>2808</v>
      </c>
      <c r="D1632" s="9" t="s">
        <v>5001</v>
      </c>
      <c r="E1632" s="9" t="s">
        <v>7030</v>
      </c>
      <c r="F1632" s="9" t="s">
        <v>35</v>
      </c>
      <c r="G1632" s="9" t="s">
        <v>825</v>
      </c>
      <c r="H1632" s="9" t="s">
        <v>86</v>
      </c>
      <c r="I1632" s="11">
        <v>150000</v>
      </c>
      <c r="J1632" s="11">
        <v>4488564</v>
      </c>
      <c r="K1632" s="11">
        <v>11660366</v>
      </c>
      <c r="L1632" s="3">
        <v>270</v>
      </c>
      <c r="M1632" s="3">
        <v>4243</v>
      </c>
      <c r="N1632" s="3">
        <v>1122565</v>
      </c>
      <c r="O1632" s="2">
        <v>0.26600000000000001</v>
      </c>
      <c r="P1632" s="2">
        <v>0.71</v>
      </c>
      <c r="Q1632" s="2">
        <v>0.48499999999999999</v>
      </c>
      <c r="R1632" s="11">
        <v>485762226</v>
      </c>
      <c r="S1632" s="11">
        <v>1049761</v>
      </c>
      <c r="T1632">
        <v>2016</v>
      </c>
      <c r="U1632">
        <v>6</v>
      </c>
      <c r="V1632">
        <f t="shared" si="150"/>
        <v>522500</v>
      </c>
      <c r="W1632">
        <f t="shared" si="151"/>
        <v>18429897</v>
      </c>
      <c r="X1632">
        <f t="shared" si="152"/>
        <v>17907397</v>
      </c>
      <c r="Y1632">
        <f t="shared" si="153"/>
        <v>-26338595.5</v>
      </c>
      <c r="Z1632">
        <f t="shared" si="154"/>
        <v>45290992.5</v>
      </c>
      <c r="AA1632" t="str">
        <f t="shared" si="155"/>
        <v>Normal</v>
      </c>
      <c r="AE1632" s="2"/>
      <c r="AF1632" s="2"/>
    </row>
    <row r="1633" spans="1:32" x14ac:dyDescent="0.35">
      <c r="A1633">
        <v>1632</v>
      </c>
      <c r="B1633" s="1">
        <v>42542</v>
      </c>
      <c r="C1633" s="9" t="s">
        <v>2809</v>
      </c>
      <c r="D1633" s="9" t="s">
        <v>4925</v>
      </c>
      <c r="E1633" s="9" t="s">
        <v>7031</v>
      </c>
      <c r="F1633" s="9" t="s">
        <v>31</v>
      </c>
      <c r="G1633" s="9" t="s">
        <v>2810</v>
      </c>
      <c r="H1633" s="9" t="s">
        <v>105</v>
      </c>
      <c r="I1633" s="11">
        <v>6000000</v>
      </c>
      <c r="J1633" s="11">
        <v>473692</v>
      </c>
      <c r="K1633" s="11">
        <v>19294377</v>
      </c>
      <c r="L1633" s="3">
        <v>332</v>
      </c>
      <c r="M1633" s="3">
        <v>339</v>
      </c>
      <c r="N1633" s="3">
        <v>835469</v>
      </c>
      <c r="O1633" s="2">
        <v>0.152</v>
      </c>
      <c r="P1633" s="2">
        <v>0.61699999999999999</v>
      </c>
      <c r="Q1633" s="2">
        <v>0.39</v>
      </c>
      <c r="R1633" s="11">
        <v>246946453</v>
      </c>
      <c r="S1633" s="11">
        <v>1008193.5</v>
      </c>
      <c r="T1633">
        <v>2016</v>
      </c>
      <c r="U1633">
        <v>6</v>
      </c>
      <c r="V1633">
        <f t="shared" si="150"/>
        <v>530000</v>
      </c>
      <c r="W1633">
        <f t="shared" si="151"/>
        <v>18429897</v>
      </c>
      <c r="X1633">
        <f t="shared" si="152"/>
        <v>17899897</v>
      </c>
      <c r="Y1633">
        <f t="shared" si="153"/>
        <v>-26319845.5</v>
      </c>
      <c r="Z1633">
        <f t="shared" si="154"/>
        <v>45279742.5</v>
      </c>
      <c r="AA1633" t="str">
        <f t="shared" si="155"/>
        <v>Normal</v>
      </c>
      <c r="AE1633" s="2"/>
      <c r="AF1633" s="2"/>
    </row>
    <row r="1634" spans="1:32" x14ac:dyDescent="0.35">
      <c r="A1634">
        <v>1633</v>
      </c>
      <c r="B1634" s="1">
        <v>42543</v>
      </c>
      <c r="C1634" s="9" t="s">
        <v>2811</v>
      </c>
      <c r="D1634" s="9" t="s">
        <v>4988</v>
      </c>
      <c r="E1634" s="9" t="s">
        <v>7032</v>
      </c>
      <c r="F1634" s="9" t="s">
        <v>41</v>
      </c>
      <c r="G1634" s="9" t="s">
        <v>2812</v>
      </c>
      <c r="H1634" s="9" t="s">
        <v>86</v>
      </c>
      <c r="I1634" s="11">
        <v>150000</v>
      </c>
      <c r="J1634" s="11">
        <v>4404293</v>
      </c>
      <c r="K1634" s="11">
        <v>12234989</v>
      </c>
      <c r="L1634" s="3">
        <v>380</v>
      </c>
      <c r="M1634" s="3">
        <v>2941</v>
      </c>
      <c r="N1634" s="3">
        <v>609279</v>
      </c>
      <c r="O1634" s="2">
        <v>0.36599999999999999</v>
      </c>
      <c r="P1634" s="2">
        <v>0.88099999999999989</v>
      </c>
      <c r="Q1634" s="2">
        <v>0.34299999999999997</v>
      </c>
      <c r="R1634" s="11">
        <v>250264963</v>
      </c>
      <c r="S1634" s="11">
        <v>906293</v>
      </c>
      <c r="T1634">
        <v>2016</v>
      </c>
      <c r="U1634">
        <v>6</v>
      </c>
      <c r="V1634">
        <f t="shared" si="150"/>
        <v>527500</v>
      </c>
      <c r="W1634">
        <f t="shared" si="151"/>
        <v>18429897</v>
      </c>
      <c r="X1634">
        <f t="shared" si="152"/>
        <v>17902397</v>
      </c>
      <c r="Y1634">
        <f t="shared" si="153"/>
        <v>-26326095.5</v>
      </c>
      <c r="Z1634">
        <f t="shared" si="154"/>
        <v>45283492.5</v>
      </c>
      <c r="AA1634" t="str">
        <f t="shared" si="155"/>
        <v>Normal</v>
      </c>
      <c r="AE1634" s="2"/>
      <c r="AF1634" s="2"/>
    </row>
    <row r="1635" spans="1:32" x14ac:dyDescent="0.35">
      <c r="A1635">
        <v>1634</v>
      </c>
      <c r="B1635" s="1">
        <v>42544</v>
      </c>
      <c r="C1635" s="9" t="s">
        <v>2813</v>
      </c>
      <c r="D1635" s="9" t="s">
        <v>4930</v>
      </c>
      <c r="E1635" s="9" t="s">
        <v>7033</v>
      </c>
      <c r="F1635" s="9" t="s">
        <v>27</v>
      </c>
      <c r="G1635" s="9" t="s">
        <v>2814</v>
      </c>
      <c r="H1635" s="9" t="s">
        <v>105</v>
      </c>
      <c r="I1635" s="11">
        <v>3500000</v>
      </c>
      <c r="J1635" s="11">
        <v>2086931</v>
      </c>
      <c r="K1635" s="11">
        <v>18688817</v>
      </c>
      <c r="L1635" s="3">
        <v>447</v>
      </c>
      <c r="M1635" s="3">
        <v>2062</v>
      </c>
      <c r="N1635" s="3">
        <v>1614830</v>
      </c>
      <c r="O1635" s="2">
        <v>1.6E-2</v>
      </c>
      <c r="P1635" s="2">
        <v>1.083</v>
      </c>
      <c r="Q1635" s="2">
        <v>0.46799999999999997</v>
      </c>
      <c r="R1635" s="11">
        <v>146985114</v>
      </c>
      <c r="S1635" s="11">
        <v>987967</v>
      </c>
      <c r="T1635">
        <v>2016</v>
      </c>
      <c r="U1635">
        <v>6</v>
      </c>
      <c r="V1635">
        <f t="shared" si="150"/>
        <v>535000</v>
      </c>
      <c r="W1635">
        <f t="shared" si="151"/>
        <v>18429897</v>
      </c>
      <c r="X1635">
        <f t="shared" si="152"/>
        <v>17894897</v>
      </c>
      <c r="Y1635">
        <f t="shared" si="153"/>
        <v>-26307345.5</v>
      </c>
      <c r="Z1635">
        <f t="shared" si="154"/>
        <v>45272242.5</v>
      </c>
      <c r="AA1635" t="str">
        <f t="shared" si="155"/>
        <v>Normal</v>
      </c>
      <c r="AE1635" s="2"/>
      <c r="AF1635" s="2"/>
    </row>
    <row r="1636" spans="1:32" x14ac:dyDescent="0.35">
      <c r="A1636">
        <v>1635</v>
      </c>
      <c r="B1636" s="1">
        <v>42544</v>
      </c>
      <c r="C1636" s="9" t="s">
        <v>2815</v>
      </c>
      <c r="D1636" s="9" t="s">
        <v>4988</v>
      </c>
      <c r="E1636" s="9" t="s">
        <v>7034</v>
      </c>
      <c r="F1636" s="9" t="s">
        <v>15</v>
      </c>
      <c r="G1636" s="9" t="s">
        <v>2816</v>
      </c>
      <c r="H1636" s="9" t="s">
        <v>86</v>
      </c>
      <c r="I1636" s="11">
        <v>210000</v>
      </c>
      <c r="J1636" s="11">
        <v>2690278</v>
      </c>
      <c r="K1636" s="11">
        <v>19581747</v>
      </c>
      <c r="L1636" s="3">
        <v>306</v>
      </c>
      <c r="M1636" s="3">
        <v>2437</v>
      </c>
      <c r="N1636" s="3">
        <v>1018455</v>
      </c>
      <c r="O1636" s="2">
        <v>-3.7999999999999999E-2</v>
      </c>
      <c r="P1636" s="2">
        <v>1.026</v>
      </c>
      <c r="Q1636" s="2">
        <v>-0.36699999999999999</v>
      </c>
      <c r="R1636" s="11">
        <v>347118644</v>
      </c>
      <c r="S1636" s="11">
        <v>1968350</v>
      </c>
      <c r="T1636">
        <v>2016</v>
      </c>
      <c r="U1636">
        <v>6</v>
      </c>
      <c r="V1636">
        <f t="shared" si="150"/>
        <v>532500</v>
      </c>
      <c r="W1636">
        <f t="shared" si="151"/>
        <v>18429897</v>
      </c>
      <c r="X1636">
        <f t="shared" si="152"/>
        <v>17897397</v>
      </c>
      <c r="Y1636">
        <f t="shared" si="153"/>
        <v>-26313595.5</v>
      </c>
      <c r="Z1636">
        <f t="shared" si="154"/>
        <v>45275992.5</v>
      </c>
      <c r="AA1636" t="str">
        <f t="shared" si="155"/>
        <v>Normal</v>
      </c>
      <c r="AE1636" s="2"/>
      <c r="AF1636" s="2"/>
    </row>
    <row r="1637" spans="1:32" x14ac:dyDescent="0.35">
      <c r="A1637">
        <v>1636</v>
      </c>
      <c r="B1637" s="1">
        <v>42544</v>
      </c>
      <c r="C1637" s="9" t="s">
        <v>2817</v>
      </c>
      <c r="D1637" s="9" t="s">
        <v>4930</v>
      </c>
      <c r="E1637" s="9" t="s">
        <v>7035</v>
      </c>
      <c r="F1637" s="9" t="s">
        <v>19</v>
      </c>
      <c r="G1637" s="9" t="s">
        <v>1315</v>
      </c>
      <c r="H1637" s="9" t="s">
        <v>86</v>
      </c>
      <c r="I1637" s="11">
        <v>18429897</v>
      </c>
      <c r="J1637" s="11">
        <v>843716</v>
      </c>
      <c r="K1637" s="11">
        <v>3972707</v>
      </c>
      <c r="L1637" s="3">
        <v>280</v>
      </c>
      <c r="M1637" s="3">
        <v>370</v>
      </c>
      <c r="N1637" s="3">
        <v>1495843</v>
      </c>
      <c r="O1637" s="2">
        <v>2.8000000000000001E-2</v>
      </c>
      <c r="P1637" s="2">
        <v>0.91500000000000004</v>
      </c>
      <c r="Q1637" s="2">
        <v>8.5999999999999993E-2</v>
      </c>
      <c r="R1637" s="11">
        <v>118751061</v>
      </c>
      <c r="S1637" s="11">
        <v>927361</v>
      </c>
      <c r="T1637">
        <v>2016</v>
      </c>
      <c r="U1637">
        <v>6</v>
      </c>
      <c r="V1637">
        <f t="shared" si="150"/>
        <v>540000</v>
      </c>
      <c r="W1637">
        <f t="shared" si="151"/>
        <v>18429897</v>
      </c>
      <c r="X1637">
        <f t="shared" si="152"/>
        <v>17889897</v>
      </c>
      <c r="Y1637">
        <f t="shared" si="153"/>
        <v>-26294845.5</v>
      </c>
      <c r="Z1637">
        <f t="shared" si="154"/>
        <v>45264742.5</v>
      </c>
      <c r="AA1637" t="str">
        <f t="shared" si="155"/>
        <v>Normal</v>
      </c>
      <c r="AE1637" s="2"/>
      <c r="AF1637" s="2"/>
    </row>
    <row r="1638" spans="1:32" x14ac:dyDescent="0.35">
      <c r="A1638">
        <v>1637</v>
      </c>
      <c r="B1638" s="1">
        <v>42544</v>
      </c>
      <c r="C1638" s="9" t="s">
        <v>2818</v>
      </c>
      <c r="D1638" s="9" t="s">
        <v>4988</v>
      </c>
      <c r="E1638" s="9" t="s">
        <v>7036</v>
      </c>
      <c r="F1638" s="9" t="s">
        <v>27</v>
      </c>
      <c r="G1638" s="9" t="s">
        <v>2819</v>
      </c>
      <c r="H1638" s="9" t="s">
        <v>105</v>
      </c>
      <c r="I1638" s="11">
        <v>18429897</v>
      </c>
      <c r="J1638" s="11">
        <v>3116524</v>
      </c>
      <c r="K1638" s="11">
        <v>13247505</v>
      </c>
      <c r="L1638" s="3">
        <v>43</v>
      </c>
      <c r="M1638" s="3">
        <v>4202</v>
      </c>
      <c r="N1638" s="3">
        <v>1676854</v>
      </c>
      <c r="O1638" s="2">
        <v>0.77800000000000002</v>
      </c>
      <c r="P1638" s="2">
        <v>0.49199999999999999</v>
      </c>
      <c r="Q1638" s="2">
        <v>0.161</v>
      </c>
      <c r="R1638" s="11">
        <v>316370542</v>
      </c>
      <c r="S1638" s="11">
        <v>1643918</v>
      </c>
      <c r="T1638">
        <v>2016</v>
      </c>
      <c r="U1638">
        <v>6</v>
      </c>
      <c r="V1638">
        <f t="shared" si="150"/>
        <v>537500</v>
      </c>
      <c r="W1638">
        <f t="shared" si="151"/>
        <v>18429897</v>
      </c>
      <c r="X1638">
        <f t="shared" si="152"/>
        <v>17892397</v>
      </c>
      <c r="Y1638">
        <f t="shared" si="153"/>
        <v>-26301095.5</v>
      </c>
      <c r="Z1638">
        <f t="shared" si="154"/>
        <v>45268492.5</v>
      </c>
      <c r="AA1638" t="str">
        <f t="shared" si="155"/>
        <v>Normal</v>
      </c>
      <c r="AE1638" s="2"/>
      <c r="AF1638" s="2"/>
    </row>
    <row r="1639" spans="1:32" x14ac:dyDescent="0.35">
      <c r="A1639">
        <v>1638</v>
      </c>
      <c r="B1639" s="1">
        <v>42545</v>
      </c>
      <c r="C1639" s="9" t="s">
        <v>2820</v>
      </c>
      <c r="D1639" s="9" t="s">
        <v>4988</v>
      </c>
      <c r="E1639" s="9" t="s">
        <v>7037</v>
      </c>
      <c r="F1639" s="9" t="s">
        <v>31</v>
      </c>
      <c r="G1639" s="9" t="s">
        <v>2821</v>
      </c>
      <c r="H1639" s="9" t="s">
        <v>86</v>
      </c>
      <c r="I1639" s="11">
        <v>50000</v>
      </c>
      <c r="J1639" s="11">
        <v>928118</v>
      </c>
      <c r="K1639" s="11">
        <v>14651125</v>
      </c>
      <c r="L1639" s="3">
        <v>322</v>
      </c>
      <c r="M1639" s="3">
        <v>2505.5</v>
      </c>
      <c r="N1639" s="3">
        <v>1958766</v>
      </c>
      <c r="O1639" s="2">
        <v>0.222</v>
      </c>
      <c r="P1639" s="2">
        <v>1.1399999999999999</v>
      </c>
      <c r="Q1639" s="2">
        <v>3.0000000000000001E-3</v>
      </c>
      <c r="R1639" s="11">
        <v>230464954</v>
      </c>
      <c r="S1639" s="11">
        <v>1655799</v>
      </c>
      <c r="T1639">
        <v>2016</v>
      </c>
      <c r="U1639">
        <v>6</v>
      </c>
      <c r="V1639">
        <f t="shared" si="150"/>
        <v>535000</v>
      </c>
      <c r="W1639">
        <f t="shared" si="151"/>
        <v>18429897</v>
      </c>
      <c r="X1639">
        <f t="shared" si="152"/>
        <v>17894897</v>
      </c>
      <c r="Y1639">
        <f t="shared" si="153"/>
        <v>-26307345.5</v>
      </c>
      <c r="Z1639">
        <f t="shared" si="154"/>
        <v>45272242.5</v>
      </c>
      <c r="AA1639" t="str">
        <f t="shared" si="155"/>
        <v>Normal</v>
      </c>
      <c r="AE1639" s="2"/>
      <c r="AF1639" s="2"/>
    </row>
    <row r="1640" spans="1:32" x14ac:dyDescent="0.35">
      <c r="A1640">
        <v>1639</v>
      </c>
      <c r="B1640" s="1">
        <v>42545</v>
      </c>
      <c r="C1640" s="9" t="s">
        <v>224</v>
      </c>
      <c r="D1640" s="9" t="s">
        <v>4988</v>
      </c>
      <c r="E1640" s="9" t="s">
        <v>7038</v>
      </c>
      <c r="F1640" s="9" t="s">
        <v>15</v>
      </c>
      <c r="G1640" s="9" t="s">
        <v>227</v>
      </c>
      <c r="H1640" s="9" t="s">
        <v>86</v>
      </c>
      <c r="I1640" s="11">
        <v>18429897</v>
      </c>
      <c r="J1640" s="11">
        <v>1380472</v>
      </c>
      <c r="K1640" s="11">
        <v>16419654</v>
      </c>
      <c r="L1640" s="3">
        <v>94</v>
      </c>
      <c r="M1640" s="3">
        <v>4738</v>
      </c>
      <c r="N1640" s="3">
        <v>1672032</v>
      </c>
      <c r="O1640" s="2">
        <v>0.25900000000000001</v>
      </c>
      <c r="P1640" s="2">
        <v>1.0609999999999999</v>
      </c>
      <c r="Q1640" s="2">
        <v>-0.36499999999999999</v>
      </c>
      <c r="R1640" s="11">
        <v>124997433</v>
      </c>
      <c r="S1640" s="11">
        <v>1911509</v>
      </c>
      <c r="T1640">
        <v>2016</v>
      </c>
      <c r="U1640">
        <v>6</v>
      </c>
      <c r="V1640">
        <f t="shared" si="150"/>
        <v>542500</v>
      </c>
      <c r="W1640">
        <f t="shared" si="151"/>
        <v>18429897</v>
      </c>
      <c r="X1640">
        <f t="shared" si="152"/>
        <v>17887397</v>
      </c>
      <c r="Y1640">
        <f t="shared" si="153"/>
        <v>-26288595.5</v>
      </c>
      <c r="Z1640">
        <f t="shared" si="154"/>
        <v>45260992.5</v>
      </c>
      <c r="AA1640" t="str">
        <f t="shared" si="155"/>
        <v>Normal</v>
      </c>
      <c r="AE1640" s="2"/>
      <c r="AF1640" s="2"/>
    </row>
    <row r="1641" spans="1:32" x14ac:dyDescent="0.35">
      <c r="A1641">
        <v>1640</v>
      </c>
      <c r="B1641" s="1">
        <v>42545</v>
      </c>
      <c r="C1641" s="9" t="s">
        <v>2822</v>
      </c>
      <c r="D1641" s="9" t="s">
        <v>4930</v>
      </c>
      <c r="E1641" s="9" t="s">
        <v>7039</v>
      </c>
      <c r="F1641" s="9" t="s">
        <v>15</v>
      </c>
      <c r="G1641" s="9" t="s">
        <v>2031</v>
      </c>
      <c r="H1641" s="9" t="s">
        <v>86</v>
      </c>
      <c r="I1641" s="11">
        <v>500000</v>
      </c>
      <c r="J1641" s="11">
        <v>3613628</v>
      </c>
      <c r="K1641" s="11">
        <v>7051165</v>
      </c>
      <c r="L1641" s="3">
        <v>254</v>
      </c>
      <c r="M1641" s="3">
        <v>4660</v>
      </c>
      <c r="N1641" s="3">
        <v>892961</v>
      </c>
      <c r="O1641" s="2">
        <v>0.251</v>
      </c>
      <c r="P1641" s="2">
        <v>1.1479999999999999E-2</v>
      </c>
      <c r="Q1641" s="2">
        <v>0.32100000000000001</v>
      </c>
      <c r="R1641" s="11">
        <v>380695968</v>
      </c>
      <c r="S1641" s="11">
        <v>317443</v>
      </c>
      <c r="T1641">
        <v>2016</v>
      </c>
      <c r="U1641">
        <v>6</v>
      </c>
      <c r="V1641">
        <f t="shared" si="150"/>
        <v>540000</v>
      </c>
      <c r="W1641">
        <f t="shared" si="151"/>
        <v>18429897</v>
      </c>
      <c r="X1641">
        <f t="shared" si="152"/>
        <v>17889897</v>
      </c>
      <c r="Y1641">
        <f t="shared" si="153"/>
        <v>-26294845.5</v>
      </c>
      <c r="Z1641">
        <f t="shared" si="154"/>
        <v>45264742.5</v>
      </c>
      <c r="AA1641" t="str">
        <f t="shared" si="155"/>
        <v>Normal</v>
      </c>
      <c r="AE1641" s="2"/>
      <c r="AF1641" s="2"/>
    </row>
    <row r="1642" spans="1:32" x14ac:dyDescent="0.35">
      <c r="A1642">
        <v>1641</v>
      </c>
      <c r="B1642" s="1">
        <v>42545</v>
      </c>
      <c r="C1642" s="9" t="s">
        <v>2823</v>
      </c>
      <c r="D1642" s="9" t="s">
        <v>4928</v>
      </c>
      <c r="E1642" s="9" t="s">
        <v>7040</v>
      </c>
      <c r="F1642" s="9" t="s">
        <v>31</v>
      </c>
      <c r="G1642" s="9" t="s">
        <v>2824</v>
      </c>
      <c r="H1642" s="9" t="s">
        <v>105</v>
      </c>
      <c r="I1642" s="11">
        <v>6000000</v>
      </c>
      <c r="J1642" s="11">
        <v>271588</v>
      </c>
      <c r="K1642" s="11">
        <v>17245916</v>
      </c>
      <c r="L1642" s="3">
        <v>268</v>
      </c>
      <c r="M1642" s="3">
        <v>4113</v>
      </c>
      <c r="N1642" s="3">
        <v>264428</v>
      </c>
      <c r="O1642" s="2">
        <v>0.13600000000000001</v>
      </c>
      <c r="P1642" s="2">
        <v>0.81900000000000006</v>
      </c>
      <c r="Q1642" s="2">
        <v>0.254</v>
      </c>
      <c r="R1642" s="11">
        <v>400930869</v>
      </c>
      <c r="S1642" s="11">
        <v>1393523</v>
      </c>
      <c r="T1642">
        <v>2016</v>
      </c>
      <c r="U1642">
        <v>6</v>
      </c>
      <c r="V1642">
        <f t="shared" si="150"/>
        <v>547500</v>
      </c>
      <c r="W1642">
        <f t="shared" si="151"/>
        <v>18429897</v>
      </c>
      <c r="X1642">
        <f t="shared" si="152"/>
        <v>17882397</v>
      </c>
      <c r="Y1642">
        <f t="shared" si="153"/>
        <v>-26276095.5</v>
      </c>
      <c r="Z1642">
        <f t="shared" si="154"/>
        <v>45253492.5</v>
      </c>
      <c r="AA1642" t="str">
        <f t="shared" si="155"/>
        <v>Normal</v>
      </c>
      <c r="AE1642" s="2"/>
      <c r="AF1642" s="2"/>
    </row>
    <row r="1643" spans="1:32" x14ac:dyDescent="0.35">
      <c r="A1643">
        <v>1642</v>
      </c>
      <c r="B1643" s="1">
        <v>42545</v>
      </c>
      <c r="C1643" s="9" t="s">
        <v>1882</v>
      </c>
      <c r="D1643" s="9" t="s">
        <v>5000</v>
      </c>
      <c r="E1643" s="9" t="s">
        <v>7041</v>
      </c>
      <c r="F1643" s="9" t="s">
        <v>31</v>
      </c>
      <c r="G1643" s="9" t="s">
        <v>2825</v>
      </c>
      <c r="H1643" s="9" t="s">
        <v>105</v>
      </c>
      <c r="I1643" s="11">
        <v>3000000</v>
      </c>
      <c r="J1643" s="11">
        <v>2246964</v>
      </c>
      <c r="K1643" s="11">
        <v>9801595</v>
      </c>
      <c r="L1643" s="3">
        <v>45</v>
      </c>
      <c r="M1643" s="3">
        <v>632</v>
      </c>
      <c r="N1643" s="3">
        <v>1018455</v>
      </c>
      <c r="O1643" s="2">
        <v>0.33</v>
      </c>
      <c r="P1643" s="2">
        <v>0.53299999999999992</v>
      </c>
      <c r="Q1643" s="2">
        <v>-5.5E-2</v>
      </c>
      <c r="R1643" s="11">
        <v>35384555</v>
      </c>
      <c r="S1643" s="11">
        <v>1385122</v>
      </c>
      <c r="T1643">
        <v>2016</v>
      </c>
      <c r="U1643">
        <v>6</v>
      </c>
      <c r="V1643">
        <f t="shared" si="150"/>
        <v>545000</v>
      </c>
      <c r="W1643">
        <f t="shared" si="151"/>
        <v>18429897</v>
      </c>
      <c r="X1643">
        <f t="shared" si="152"/>
        <v>17884897</v>
      </c>
      <c r="Y1643">
        <f t="shared" si="153"/>
        <v>-26282345.5</v>
      </c>
      <c r="Z1643">
        <f t="shared" si="154"/>
        <v>45257242.5</v>
      </c>
      <c r="AA1643" t="str">
        <f t="shared" si="155"/>
        <v>Normal</v>
      </c>
      <c r="AE1643" s="2"/>
      <c r="AF1643" s="2"/>
    </row>
    <row r="1644" spans="1:32" x14ac:dyDescent="0.35">
      <c r="A1644">
        <v>1643</v>
      </c>
      <c r="B1644" s="1">
        <v>42545</v>
      </c>
      <c r="C1644" s="9" t="s">
        <v>2826</v>
      </c>
      <c r="D1644" s="9" t="s">
        <v>5000</v>
      </c>
      <c r="E1644" s="9" t="s">
        <v>7042</v>
      </c>
      <c r="F1644" s="9" t="s">
        <v>27</v>
      </c>
      <c r="G1644" s="9" t="s">
        <v>1953</v>
      </c>
      <c r="H1644" s="9" t="s">
        <v>86</v>
      </c>
      <c r="I1644" s="11">
        <v>148000</v>
      </c>
      <c r="J1644" s="11">
        <v>2980946</v>
      </c>
      <c r="K1644" s="11">
        <v>7797968</v>
      </c>
      <c r="L1644" s="3">
        <v>348</v>
      </c>
      <c r="M1644" s="3">
        <v>2071</v>
      </c>
      <c r="N1644" s="3">
        <v>890897</v>
      </c>
      <c r="O1644" s="2">
        <v>-0.254</v>
      </c>
      <c r="P1644" s="2">
        <v>0.65200000000000002</v>
      </c>
      <c r="Q1644" s="2">
        <v>0.311</v>
      </c>
      <c r="R1644" s="11">
        <v>240974963</v>
      </c>
      <c r="S1644" s="11">
        <v>485304</v>
      </c>
      <c r="T1644">
        <v>2016</v>
      </c>
      <c r="U1644">
        <v>6</v>
      </c>
      <c r="V1644">
        <f t="shared" si="150"/>
        <v>542500</v>
      </c>
      <c r="W1644">
        <f t="shared" si="151"/>
        <v>18429897</v>
      </c>
      <c r="X1644">
        <f t="shared" si="152"/>
        <v>17887397</v>
      </c>
      <c r="Y1644">
        <f t="shared" si="153"/>
        <v>-26288595.5</v>
      </c>
      <c r="Z1644">
        <f t="shared" si="154"/>
        <v>45260992.5</v>
      </c>
      <c r="AA1644" t="str">
        <f t="shared" si="155"/>
        <v>Normal</v>
      </c>
      <c r="AE1644" s="2"/>
      <c r="AF1644" s="2"/>
    </row>
    <row r="1645" spans="1:32" x14ac:dyDescent="0.35">
      <c r="A1645">
        <v>1644</v>
      </c>
      <c r="B1645" s="1">
        <v>42548</v>
      </c>
      <c r="C1645" s="9" t="s">
        <v>2827</v>
      </c>
      <c r="D1645" s="9" t="s">
        <v>4988</v>
      </c>
      <c r="E1645" s="9" t="s">
        <v>7043</v>
      </c>
      <c r="F1645" s="9" t="s">
        <v>15</v>
      </c>
      <c r="G1645" s="9" t="s">
        <v>2828</v>
      </c>
      <c r="H1645" s="9" t="s">
        <v>86</v>
      </c>
      <c r="I1645" s="11">
        <v>1200000</v>
      </c>
      <c r="J1645" s="11">
        <v>677502</v>
      </c>
      <c r="K1645" s="11">
        <v>3223612</v>
      </c>
      <c r="L1645" s="3">
        <v>143</v>
      </c>
      <c r="M1645" s="3">
        <v>168</v>
      </c>
      <c r="N1645" s="3">
        <v>1870404</v>
      </c>
      <c r="O1645" s="2">
        <v>0.17499999999999999</v>
      </c>
      <c r="P1645" s="2">
        <v>0.52700000000000002</v>
      </c>
      <c r="Q1645" s="2">
        <v>0.13100000000000001</v>
      </c>
      <c r="R1645" s="11">
        <v>329667489</v>
      </c>
      <c r="S1645" s="11">
        <v>1048671</v>
      </c>
      <c r="T1645">
        <v>2016</v>
      </c>
      <c r="U1645">
        <v>6</v>
      </c>
      <c r="V1645">
        <f t="shared" si="150"/>
        <v>550000</v>
      </c>
      <c r="W1645">
        <f t="shared" si="151"/>
        <v>18429897</v>
      </c>
      <c r="X1645">
        <f t="shared" si="152"/>
        <v>17879897</v>
      </c>
      <c r="Y1645">
        <f t="shared" si="153"/>
        <v>-26269845.5</v>
      </c>
      <c r="Z1645">
        <f t="shared" si="154"/>
        <v>45249742.5</v>
      </c>
      <c r="AA1645" t="str">
        <f t="shared" si="155"/>
        <v>Normal</v>
      </c>
      <c r="AE1645" s="2"/>
      <c r="AF1645" s="2"/>
    </row>
    <row r="1646" spans="1:32" x14ac:dyDescent="0.35">
      <c r="A1646">
        <v>1645</v>
      </c>
      <c r="B1646" s="1">
        <v>42548</v>
      </c>
      <c r="C1646" s="9" t="s">
        <v>2829</v>
      </c>
      <c r="D1646" s="9" t="s">
        <v>4988</v>
      </c>
      <c r="E1646" s="9" t="s">
        <v>7044</v>
      </c>
      <c r="F1646" s="9" t="s">
        <v>15</v>
      </c>
      <c r="G1646" s="9" t="s">
        <v>1953</v>
      </c>
      <c r="H1646" s="9" t="s">
        <v>86</v>
      </c>
      <c r="I1646" s="11">
        <v>100000</v>
      </c>
      <c r="J1646" s="11">
        <v>1487880</v>
      </c>
      <c r="K1646" s="11">
        <v>6491931</v>
      </c>
      <c r="L1646" s="3">
        <v>259</v>
      </c>
      <c r="M1646" s="3">
        <v>3077</v>
      </c>
      <c r="N1646" s="3">
        <v>77574</v>
      </c>
      <c r="O1646" s="2">
        <v>0.20599999999999999</v>
      </c>
      <c r="P1646" s="2">
        <v>0.55100000000000005</v>
      </c>
      <c r="Q1646" s="2">
        <v>0.25800000000000001</v>
      </c>
      <c r="R1646" s="11">
        <v>132077629</v>
      </c>
      <c r="S1646" s="11">
        <v>1329854</v>
      </c>
      <c r="T1646">
        <v>2016</v>
      </c>
      <c r="U1646">
        <v>6</v>
      </c>
      <c r="V1646">
        <f t="shared" si="150"/>
        <v>547500</v>
      </c>
      <c r="W1646">
        <f t="shared" si="151"/>
        <v>18429897</v>
      </c>
      <c r="X1646">
        <f t="shared" si="152"/>
        <v>17882397</v>
      </c>
      <c r="Y1646">
        <f t="shared" si="153"/>
        <v>-26276095.5</v>
      </c>
      <c r="Z1646">
        <f t="shared" si="154"/>
        <v>45253492.5</v>
      </c>
      <c r="AA1646" t="str">
        <f t="shared" si="155"/>
        <v>Normal</v>
      </c>
      <c r="AE1646" s="2"/>
      <c r="AF1646" s="2"/>
    </row>
    <row r="1647" spans="1:32" x14ac:dyDescent="0.35">
      <c r="A1647">
        <v>1646</v>
      </c>
      <c r="B1647" s="1">
        <v>42548</v>
      </c>
      <c r="C1647" s="9" t="s">
        <v>2830</v>
      </c>
      <c r="D1647" s="9" t="s">
        <v>4988</v>
      </c>
      <c r="E1647" s="9" t="s">
        <v>7045</v>
      </c>
      <c r="F1647" s="9" t="s">
        <v>27</v>
      </c>
      <c r="G1647" s="9" t="s">
        <v>2831</v>
      </c>
      <c r="H1647" s="9" t="s">
        <v>86</v>
      </c>
      <c r="I1647" s="11">
        <v>18429897</v>
      </c>
      <c r="J1647" s="11">
        <v>1730637</v>
      </c>
      <c r="K1647" s="11">
        <v>19498110</v>
      </c>
      <c r="L1647" s="3">
        <v>178</v>
      </c>
      <c r="M1647" s="3">
        <v>4327</v>
      </c>
      <c r="N1647" s="3">
        <v>1712263</v>
      </c>
      <c r="O1647" s="2">
        <v>0.32400000000000001</v>
      </c>
      <c r="P1647" s="2">
        <v>0.626</v>
      </c>
      <c r="Q1647" s="2">
        <v>-0.129</v>
      </c>
      <c r="R1647" s="11">
        <v>132074196</v>
      </c>
      <c r="S1647" s="11">
        <v>668667</v>
      </c>
      <c r="T1647">
        <v>2016</v>
      </c>
      <c r="U1647">
        <v>6</v>
      </c>
      <c r="V1647">
        <f t="shared" si="150"/>
        <v>550000</v>
      </c>
      <c r="W1647">
        <f t="shared" si="151"/>
        <v>18429897</v>
      </c>
      <c r="X1647">
        <f t="shared" si="152"/>
        <v>17879897</v>
      </c>
      <c r="Y1647">
        <f t="shared" si="153"/>
        <v>-26269845.5</v>
      </c>
      <c r="Z1647">
        <f t="shared" si="154"/>
        <v>45249742.5</v>
      </c>
      <c r="AA1647" t="str">
        <f t="shared" si="155"/>
        <v>Normal</v>
      </c>
      <c r="AE1647" s="2"/>
      <c r="AF1647" s="2"/>
    </row>
    <row r="1648" spans="1:32" x14ac:dyDescent="0.35">
      <c r="A1648">
        <v>1647</v>
      </c>
      <c r="B1648" s="1">
        <v>42548</v>
      </c>
      <c r="C1648" s="9" t="s">
        <v>2496</v>
      </c>
      <c r="D1648" s="9" t="s">
        <v>4988</v>
      </c>
      <c r="E1648" s="9" t="s">
        <v>6862</v>
      </c>
      <c r="F1648" s="9" t="s">
        <v>15</v>
      </c>
      <c r="G1648" s="9" t="s">
        <v>2832</v>
      </c>
      <c r="H1648" s="9" t="s">
        <v>105</v>
      </c>
      <c r="I1648" s="11">
        <v>3000000</v>
      </c>
      <c r="J1648" s="11">
        <v>3324832</v>
      </c>
      <c r="K1648" s="11">
        <v>14352357</v>
      </c>
      <c r="L1648" s="3">
        <v>180</v>
      </c>
      <c r="M1648" s="3">
        <v>2656</v>
      </c>
      <c r="N1648" s="3">
        <v>1265570</v>
      </c>
      <c r="O1648" s="2">
        <v>-0.111</v>
      </c>
      <c r="P1648" s="2">
        <v>1.135</v>
      </c>
      <c r="Q1648" s="2">
        <v>0.16</v>
      </c>
      <c r="R1648" s="11">
        <v>296948396</v>
      </c>
      <c r="S1648" s="11">
        <v>1008193.5</v>
      </c>
      <c r="T1648">
        <v>2016</v>
      </c>
      <c r="U1648">
        <v>6</v>
      </c>
      <c r="V1648">
        <f t="shared" si="150"/>
        <v>550000</v>
      </c>
      <c r="W1648">
        <f t="shared" si="151"/>
        <v>18429897</v>
      </c>
      <c r="X1648">
        <f t="shared" si="152"/>
        <v>17879897</v>
      </c>
      <c r="Y1648">
        <f t="shared" si="153"/>
        <v>-26269845.5</v>
      </c>
      <c r="Z1648">
        <f t="shared" si="154"/>
        <v>45249742.5</v>
      </c>
      <c r="AA1648" t="str">
        <f t="shared" si="155"/>
        <v>Normal</v>
      </c>
      <c r="AE1648" s="2"/>
      <c r="AF1648" s="2"/>
    </row>
    <row r="1649" spans="1:32" x14ac:dyDescent="0.35">
      <c r="A1649">
        <v>1648</v>
      </c>
      <c r="B1649" s="1">
        <v>42549</v>
      </c>
      <c r="C1649" s="9" t="s">
        <v>209</v>
      </c>
      <c r="D1649" s="9" t="s">
        <v>4988</v>
      </c>
      <c r="E1649" s="9" t="s">
        <v>7046</v>
      </c>
      <c r="F1649" s="9" t="s">
        <v>19</v>
      </c>
      <c r="G1649" s="9" t="s">
        <v>2833</v>
      </c>
      <c r="H1649" s="9" t="s">
        <v>105</v>
      </c>
      <c r="I1649" s="11">
        <v>8000000</v>
      </c>
      <c r="J1649" s="11">
        <v>4884010</v>
      </c>
      <c r="K1649" s="11">
        <v>14550133</v>
      </c>
      <c r="L1649" s="3">
        <v>199</v>
      </c>
      <c r="M1649" s="3">
        <v>164</v>
      </c>
      <c r="N1649" s="3">
        <v>140632</v>
      </c>
      <c r="O1649" s="2">
        <v>-9.6000000000000002E-2</v>
      </c>
      <c r="P1649" s="2">
        <v>0.69699999999999995</v>
      </c>
      <c r="Q1649" s="2">
        <v>0.16200000000000001</v>
      </c>
      <c r="R1649" s="11">
        <v>196009855</v>
      </c>
      <c r="S1649" s="11">
        <v>1251976</v>
      </c>
      <c r="T1649">
        <v>2016</v>
      </c>
      <c r="U1649">
        <v>6</v>
      </c>
      <c r="V1649">
        <f t="shared" si="150"/>
        <v>550000</v>
      </c>
      <c r="W1649">
        <f t="shared" si="151"/>
        <v>18429897</v>
      </c>
      <c r="X1649">
        <f t="shared" si="152"/>
        <v>17879897</v>
      </c>
      <c r="Y1649">
        <f t="shared" si="153"/>
        <v>-26269845.5</v>
      </c>
      <c r="Z1649">
        <f t="shared" si="154"/>
        <v>45249742.5</v>
      </c>
      <c r="AA1649" t="str">
        <f t="shared" si="155"/>
        <v>Normal</v>
      </c>
      <c r="AE1649" s="2"/>
      <c r="AF1649" s="2"/>
    </row>
    <row r="1650" spans="1:32" x14ac:dyDescent="0.35">
      <c r="A1650">
        <v>1649</v>
      </c>
      <c r="B1650" s="1">
        <v>42549</v>
      </c>
      <c r="C1650" s="9" t="s">
        <v>2834</v>
      </c>
      <c r="D1650" s="9" t="s">
        <v>4930</v>
      </c>
      <c r="E1650" s="9" t="s">
        <v>7047</v>
      </c>
      <c r="F1650" s="9" t="s">
        <v>408</v>
      </c>
      <c r="G1650" s="9" t="s">
        <v>856</v>
      </c>
      <c r="H1650" s="9" t="s">
        <v>86</v>
      </c>
      <c r="I1650" s="11">
        <v>300000</v>
      </c>
      <c r="J1650" s="11">
        <v>4184500</v>
      </c>
      <c r="K1650" s="11">
        <v>17923434</v>
      </c>
      <c r="L1650" s="3">
        <v>30</v>
      </c>
      <c r="M1650" s="3">
        <v>1551</v>
      </c>
      <c r="N1650" s="3">
        <v>484400</v>
      </c>
      <c r="O1650" s="2">
        <v>-8.4000000000000005E-2</v>
      </c>
      <c r="P1650" s="2">
        <v>0.60399999999999998</v>
      </c>
      <c r="Q1650" s="2">
        <v>4.2000000000000003E-2</v>
      </c>
      <c r="R1650" s="11">
        <v>441872603</v>
      </c>
      <c r="S1650" s="11">
        <v>597138</v>
      </c>
      <c r="T1650">
        <v>2016</v>
      </c>
      <c r="U1650">
        <v>6</v>
      </c>
      <c r="V1650">
        <f t="shared" si="150"/>
        <v>547500</v>
      </c>
      <c r="W1650">
        <f t="shared" si="151"/>
        <v>18429897</v>
      </c>
      <c r="X1650">
        <f t="shared" si="152"/>
        <v>17882397</v>
      </c>
      <c r="Y1650">
        <f t="shared" si="153"/>
        <v>-26276095.5</v>
      </c>
      <c r="Z1650">
        <f t="shared" si="154"/>
        <v>45253492.5</v>
      </c>
      <c r="AA1650" t="str">
        <f t="shared" si="155"/>
        <v>Normal</v>
      </c>
      <c r="AE1650" s="2"/>
      <c r="AF1650" s="2"/>
    </row>
    <row r="1651" spans="1:32" x14ac:dyDescent="0.35">
      <c r="A1651">
        <v>1650</v>
      </c>
      <c r="B1651" s="1">
        <v>42549</v>
      </c>
      <c r="C1651" s="9" t="s">
        <v>741</v>
      </c>
      <c r="D1651" s="9" t="s">
        <v>4988</v>
      </c>
      <c r="E1651" s="9" t="s">
        <v>7048</v>
      </c>
      <c r="F1651" s="9" t="s">
        <v>408</v>
      </c>
      <c r="G1651" s="9" t="s">
        <v>2835</v>
      </c>
      <c r="H1651" s="9" t="s">
        <v>105</v>
      </c>
      <c r="I1651" s="11">
        <v>32000000</v>
      </c>
      <c r="J1651" s="11">
        <v>965033</v>
      </c>
      <c r="K1651" s="11">
        <v>5411475</v>
      </c>
      <c r="L1651" s="3">
        <v>101</v>
      </c>
      <c r="M1651" s="3">
        <v>892</v>
      </c>
      <c r="N1651" s="3">
        <v>124600</v>
      </c>
      <c r="O1651" s="2">
        <v>0.22399999999999998</v>
      </c>
      <c r="P1651" s="2">
        <v>0.83900000000000008</v>
      </c>
      <c r="Q1651" s="2">
        <v>-0.56799999999999995</v>
      </c>
      <c r="R1651" s="11">
        <v>388234049</v>
      </c>
      <c r="S1651" s="11">
        <v>1546294</v>
      </c>
      <c r="T1651">
        <v>2016</v>
      </c>
      <c r="U1651">
        <v>6</v>
      </c>
      <c r="V1651">
        <f t="shared" si="150"/>
        <v>550000</v>
      </c>
      <c r="W1651">
        <f t="shared" si="151"/>
        <v>18429897</v>
      </c>
      <c r="X1651">
        <f t="shared" si="152"/>
        <v>17879897</v>
      </c>
      <c r="Y1651">
        <f t="shared" si="153"/>
        <v>-26269845.5</v>
      </c>
      <c r="Z1651">
        <f t="shared" si="154"/>
        <v>45249742.5</v>
      </c>
      <c r="AA1651" t="str">
        <f t="shared" si="155"/>
        <v>Normal</v>
      </c>
      <c r="AE1651" s="2"/>
      <c r="AF1651" s="2"/>
    </row>
    <row r="1652" spans="1:32" x14ac:dyDescent="0.35">
      <c r="A1652">
        <v>1651</v>
      </c>
      <c r="B1652" s="1">
        <v>42549</v>
      </c>
      <c r="C1652" s="9" t="s">
        <v>2836</v>
      </c>
      <c r="D1652" s="9" t="s">
        <v>4988</v>
      </c>
      <c r="E1652" s="9" t="s">
        <v>6529</v>
      </c>
      <c r="F1652" s="9" t="s">
        <v>27</v>
      </c>
      <c r="G1652" s="9" t="s">
        <v>2837</v>
      </c>
      <c r="H1652" s="9" t="s">
        <v>86</v>
      </c>
      <c r="I1652" s="11">
        <v>295000</v>
      </c>
      <c r="J1652" s="11">
        <v>110439</v>
      </c>
      <c r="K1652" s="11">
        <v>13264822</v>
      </c>
      <c r="L1652" s="3">
        <v>394</v>
      </c>
      <c r="M1652" s="3">
        <v>2204</v>
      </c>
      <c r="N1652" s="3">
        <v>1860716</v>
      </c>
      <c r="O1652" s="2">
        <v>0.22699999999999998</v>
      </c>
      <c r="P1652" s="2">
        <v>0.48599999999999999</v>
      </c>
      <c r="Q1652" s="2">
        <v>0.14300000000000002</v>
      </c>
      <c r="R1652" s="11">
        <v>434057709</v>
      </c>
      <c r="S1652" s="11">
        <v>1170618</v>
      </c>
      <c r="T1652">
        <v>2016</v>
      </c>
      <c r="U1652">
        <v>6</v>
      </c>
      <c r="V1652">
        <f t="shared" si="150"/>
        <v>550000</v>
      </c>
      <c r="W1652">
        <f t="shared" si="151"/>
        <v>18429897</v>
      </c>
      <c r="X1652">
        <f t="shared" si="152"/>
        <v>17879897</v>
      </c>
      <c r="Y1652">
        <f t="shared" si="153"/>
        <v>-26269845.5</v>
      </c>
      <c r="Z1652">
        <f t="shared" si="154"/>
        <v>45249742.5</v>
      </c>
      <c r="AA1652" t="str">
        <f t="shared" si="155"/>
        <v>Normal</v>
      </c>
      <c r="AE1652" s="2"/>
      <c r="AF1652" s="2"/>
    </row>
    <row r="1653" spans="1:32" x14ac:dyDescent="0.35">
      <c r="A1653">
        <v>1652</v>
      </c>
      <c r="B1653" s="1">
        <v>42549</v>
      </c>
      <c r="C1653" s="9" t="s">
        <v>2838</v>
      </c>
      <c r="D1653" s="9" t="s">
        <v>4988</v>
      </c>
      <c r="E1653" s="9" t="s">
        <v>7049</v>
      </c>
      <c r="F1653" s="9" t="s">
        <v>124</v>
      </c>
      <c r="G1653" s="9" t="s">
        <v>2839</v>
      </c>
      <c r="H1653" s="9" t="s">
        <v>86</v>
      </c>
      <c r="I1653" s="11">
        <v>18429897</v>
      </c>
      <c r="J1653" s="11">
        <v>278522</v>
      </c>
      <c r="K1653" s="11">
        <v>7492286</v>
      </c>
      <c r="L1653" s="3">
        <v>65</v>
      </c>
      <c r="M1653" s="3">
        <v>1890</v>
      </c>
      <c r="N1653" s="3">
        <v>1018455</v>
      </c>
      <c r="O1653" s="2">
        <v>-7.0000000000000007E-2</v>
      </c>
      <c r="P1653" s="2">
        <v>0.20899999999999999</v>
      </c>
      <c r="Q1653" s="2">
        <v>0.16</v>
      </c>
      <c r="R1653" s="11">
        <v>355958283</v>
      </c>
      <c r="S1653" s="11">
        <v>1928141</v>
      </c>
      <c r="T1653">
        <v>2016</v>
      </c>
      <c r="U1653">
        <v>6</v>
      </c>
      <c r="V1653">
        <f t="shared" si="150"/>
        <v>550000</v>
      </c>
      <c r="W1653">
        <f t="shared" si="151"/>
        <v>18429897</v>
      </c>
      <c r="X1653">
        <f t="shared" si="152"/>
        <v>17879897</v>
      </c>
      <c r="Y1653">
        <f t="shared" si="153"/>
        <v>-26269845.5</v>
      </c>
      <c r="Z1653">
        <f t="shared" si="154"/>
        <v>45249742.5</v>
      </c>
      <c r="AA1653" t="str">
        <f t="shared" si="155"/>
        <v>Normal</v>
      </c>
      <c r="AE1653" s="2"/>
      <c r="AF1653" s="2"/>
    </row>
    <row r="1654" spans="1:32" x14ac:dyDescent="0.35">
      <c r="A1654">
        <v>1653</v>
      </c>
      <c r="B1654" s="1">
        <v>42549</v>
      </c>
      <c r="C1654" s="9" t="s">
        <v>2840</v>
      </c>
      <c r="D1654" s="9" t="s">
        <v>4988</v>
      </c>
      <c r="E1654" s="9" t="s">
        <v>7050</v>
      </c>
      <c r="F1654" s="9" t="s">
        <v>15</v>
      </c>
      <c r="G1654" s="9" t="s">
        <v>856</v>
      </c>
      <c r="H1654" s="9" t="s">
        <v>86</v>
      </c>
      <c r="I1654" s="11">
        <v>18429897</v>
      </c>
      <c r="J1654" s="11">
        <v>2986654</v>
      </c>
      <c r="K1654" s="11">
        <v>16975009</v>
      </c>
      <c r="L1654" s="3">
        <v>251</v>
      </c>
      <c r="M1654" s="3">
        <v>4154</v>
      </c>
      <c r="N1654" s="3">
        <v>1236550</v>
      </c>
      <c r="O1654" s="2">
        <v>0.503</v>
      </c>
      <c r="P1654" s="2">
        <v>0.93</v>
      </c>
      <c r="Q1654" s="2">
        <v>-0.13600000000000001</v>
      </c>
      <c r="R1654" s="11">
        <v>285424684</v>
      </c>
      <c r="S1654" s="11">
        <v>212255</v>
      </c>
      <c r="T1654">
        <v>2016</v>
      </c>
      <c r="U1654">
        <v>6</v>
      </c>
      <c r="V1654">
        <f t="shared" si="150"/>
        <v>550000</v>
      </c>
      <c r="W1654">
        <f t="shared" si="151"/>
        <v>18429897</v>
      </c>
      <c r="X1654">
        <f t="shared" si="152"/>
        <v>17879897</v>
      </c>
      <c r="Y1654">
        <f t="shared" si="153"/>
        <v>-26269845.5</v>
      </c>
      <c r="Z1654">
        <f t="shared" si="154"/>
        <v>45249742.5</v>
      </c>
      <c r="AA1654" t="str">
        <f t="shared" si="155"/>
        <v>Normal</v>
      </c>
      <c r="AE1654" s="2"/>
      <c r="AF1654" s="2"/>
    </row>
    <row r="1655" spans="1:32" x14ac:dyDescent="0.35">
      <c r="A1655">
        <v>1654</v>
      </c>
      <c r="B1655" s="1">
        <v>42550</v>
      </c>
      <c r="C1655" s="9" t="s">
        <v>2841</v>
      </c>
      <c r="D1655" s="9" t="s">
        <v>4925</v>
      </c>
      <c r="E1655" s="9" t="s">
        <v>7051</v>
      </c>
      <c r="F1655" s="9" t="s">
        <v>27</v>
      </c>
      <c r="G1655" s="9" t="s">
        <v>2842</v>
      </c>
      <c r="H1655" s="9" t="s">
        <v>105</v>
      </c>
      <c r="I1655" s="11">
        <v>100000</v>
      </c>
      <c r="J1655" s="11">
        <v>798177</v>
      </c>
      <c r="K1655" s="11">
        <v>8507410</v>
      </c>
      <c r="L1655" s="3">
        <v>74</v>
      </c>
      <c r="M1655" s="3">
        <v>1144</v>
      </c>
      <c r="N1655" s="3">
        <v>1040097</v>
      </c>
      <c r="O1655" s="2">
        <v>0.17699999999999999</v>
      </c>
      <c r="P1655" s="2">
        <v>0.53200000000000003</v>
      </c>
      <c r="Q1655" s="2">
        <v>0.24299999999999999</v>
      </c>
      <c r="R1655" s="11">
        <v>134083348</v>
      </c>
      <c r="S1655" s="11">
        <v>1211965</v>
      </c>
      <c r="T1655">
        <v>2016</v>
      </c>
      <c r="U1655">
        <v>6</v>
      </c>
      <c r="V1655">
        <f t="shared" si="150"/>
        <v>550000</v>
      </c>
      <c r="W1655">
        <f t="shared" si="151"/>
        <v>18429897</v>
      </c>
      <c r="X1655">
        <f t="shared" si="152"/>
        <v>17879897</v>
      </c>
      <c r="Y1655">
        <f t="shared" si="153"/>
        <v>-26269845.5</v>
      </c>
      <c r="Z1655">
        <f t="shared" si="154"/>
        <v>45249742.5</v>
      </c>
      <c r="AA1655" t="str">
        <f t="shared" si="155"/>
        <v>Normal</v>
      </c>
      <c r="AE1655" s="2"/>
      <c r="AF1655" s="2"/>
    </row>
    <row r="1656" spans="1:32" x14ac:dyDescent="0.35">
      <c r="A1656">
        <v>1655</v>
      </c>
      <c r="B1656" s="1">
        <v>42550</v>
      </c>
      <c r="C1656" s="9" t="s">
        <v>2843</v>
      </c>
      <c r="D1656" s="9" t="s">
        <v>4930</v>
      </c>
      <c r="E1656" s="9" t="s">
        <v>7052</v>
      </c>
      <c r="F1656" s="9" t="s">
        <v>554</v>
      </c>
      <c r="G1656" s="9" t="s">
        <v>2844</v>
      </c>
      <c r="H1656" s="9" t="s">
        <v>86</v>
      </c>
      <c r="I1656" s="11">
        <v>50000</v>
      </c>
      <c r="J1656" s="11">
        <v>1171777</v>
      </c>
      <c r="K1656" s="11">
        <v>17112100</v>
      </c>
      <c r="L1656" s="3">
        <v>271</v>
      </c>
      <c r="M1656" s="3">
        <v>1537</v>
      </c>
      <c r="N1656" s="3">
        <v>801295</v>
      </c>
      <c r="O1656" s="2">
        <v>0.14499999999999999</v>
      </c>
      <c r="P1656" s="2">
        <v>0.43700000000000006</v>
      </c>
      <c r="Q1656" s="2">
        <v>0.161</v>
      </c>
      <c r="R1656" s="11">
        <v>139854345</v>
      </c>
      <c r="S1656" s="11">
        <v>301449</v>
      </c>
      <c r="T1656">
        <v>2016</v>
      </c>
      <c r="U1656">
        <v>6</v>
      </c>
      <c r="V1656">
        <f t="shared" si="150"/>
        <v>550000</v>
      </c>
      <c r="W1656">
        <f t="shared" si="151"/>
        <v>18429897</v>
      </c>
      <c r="X1656">
        <f t="shared" si="152"/>
        <v>17879897</v>
      </c>
      <c r="Y1656">
        <f t="shared" si="153"/>
        <v>-26269845.5</v>
      </c>
      <c r="Z1656">
        <f t="shared" si="154"/>
        <v>45249742.5</v>
      </c>
      <c r="AA1656" t="str">
        <f t="shared" si="155"/>
        <v>Normal</v>
      </c>
      <c r="AE1656" s="2"/>
      <c r="AF1656" s="2"/>
    </row>
    <row r="1657" spans="1:32" x14ac:dyDescent="0.35">
      <c r="A1657">
        <v>1656</v>
      </c>
      <c r="B1657" s="1">
        <v>42550</v>
      </c>
      <c r="C1657" s="9" t="s">
        <v>2845</v>
      </c>
      <c r="D1657" s="9" t="s">
        <v>4988</v>
      </c>
      <c r="E1657" s="9" t="s">
        <v>6572</v>
      </c>
      <c r="F1657" s="9" t="s">
        <v>31</v>
      </c>
      <c r="G1657" s="9" t="s">
        <v>2846</v>
      </c>
      <c r="H1657" s="9" t="s">
        <v>86</v>
      </c>
      <c r="I1657" s="11">
        <v>18429897</v>
      </c>
      <c r="J1657" s="11">
        <v>4240010</v>
      </c>
      <c r="K1657" s="11">
        <v>14975921</v>
      </c>
      <c r="L1657" s="3">
        <v>323</v>
      </c>
      <c r="M1657" s="3">
        <v>1225</v>
      </c>
      <c r="N1657" s="3">
        <v>342540</v>
      </c>
      <c r="O1657" s="2">
        <v>7.8E-2</v>
      </c>
      <c r="P1657" s="2">
        <v>0.73499999999999999</v>
      </c>
      <c r="Q1657" s="2">
        <v>0.20200000000000001</v>
      </c>
      <c r="R1657" s="11">
        <v>32064120</v>
      </c>
      <c r="S1657" s="11">
        <v>1663932</v>
      </c>
      <c r="T1657">
        <v>2016</v>
      </c>
      <c r="U1657">
        <v>6</v>
      </c>
      <c r="V1657">
        <f t="shared" si="150"/>
        <v>550000</v>
      </c>
      <c r="W1657">
        <f t="shared" si="151"/>
        <v>18429897</v>
      </c>
      <c r="X1657">
        <f t="shared" si="152"/>
        <v>17879897</v>
      </c>
      <c r="Y1657">
        <f t="shared" si="153"/>
        <v>-26269845.5</v>
      </c>
      <c r="Z1657">
        <f t="shared" si="154"/>
        <v>45249742.5</v>
      </c>
      <c r="AA1657" t="str">
        <f t="shared" si="155"/>
        <v>Normal</v>
      </c>
      <c r="AE1657" s="2"/>
      <c r="AF1657" s="2"/>
    </row>
    <row r="1658" spans="1:32" x14ac:dyDescent="0.35">
      <c r="A1658">
        <v>1657</v>
      </c>
      <c r="B1658" s="1">
        <v>42550</v>
      </c>
      <c r="C1658" s="9" t="s">
        <v>2847</v>
      </c>
      <c r="D1658" s="9" t="s">
        <v>4925</v>
      </c>
      <c r="E1658" s="9" t="s">
        <v>7053</v>
      </c>
      <c r="F1658" s="9" t="s">
        <v>31</v>
      </c>
      <c r="G1658" s="9" t="s">
        <v>2848</v>
      </c>
      <c r="H1658" s="9" t="s">
        <v>105</v>
      </c>
      <c r="I1658" s="11">
        <v>1500000</v>
      </c>
      <c r="J1658" s="11">
        <v>4371964</v>
      </c>
      <c r="K1658" s="11">
        <v>15461868</v>
      </c>
      <c r="L1658" s="3">
        <v>237</v>
      </c>
      <c r="M1658" s="3">
        <v>4453</v>
      </c>
      <c r="N1658" s="3">
        <v>1462953</v>
      </c>
      <c r="O1658" s="2">
        <v>0.30599999999999999</v>
      </c>
      <c r="P1658" s="2">
        <v>0.36099999999999999</v>
      </c>
      <c r="Q1658" s="2">
        <v>6.0000000000000001E-3</v>
      </c>
      <c r="R1658" s="11">
        <v>415552626</v>
      </c>
      <c r="S1658" s="11">
        <v>802580</v>
      </c>
      <c r="T1658">
        <v>2016</v>
      </c>
      <c r="U1658">
        <v>6</v>
      </c>
      <c r="V1658">
        <f t="shared" si="150"/>
        <v>550000</v>
      </c>
      <c r="W1658">
        <f t="shared" si="151"/>
        <v>18429897</v>
      </c>
      <c r="X1658">
        <f t="shared" si="152"/>
        <v>17879897</v>
      </c>
      <c r="Y1658">
        <f t="shared" si="153"/>
        <v>-26269845.5</v>
      </c>
      <c r="Z1658">
        <f t="shared" si="154"/>
        <v>45249742.5</v>
      </c>
      <c r="AA1658" t="str">
        <f t="shared" si="155"/>
        <v>Normal</v>
      </c>
      <c r="AE1658" s="2"/>
      <c r="AF1658" s="2"/>
    </row>
    <row r="1659" spans="1:32" x14ac:dyDescent="0.35">
      <c r="A1659">
        <v>1658</v>
      </c>
      <c r="B1659" s="1">
        <v>42551</v>
      </c>
      <c r="C1659" s="9" t="s">
        <v>2849</v>
      </c>
      <c r="D1659" s="9" t="s">
        <v>4988</v>
      </c>
      <c r="E1659" s="9" t="s">
        <v>7054</v>
      </c>
      <c r="F1659" s="9" t="s">
        <v>31</v>
      </c>
      <c r="G1659" s="9" t="s">
        <v>522</v>
      </c>
      <c r="H1659" s="9" t="s">
        <v>105</v>
      </c>
      <c r="I1659" s="11">
        <v>25000000</v>
      </c>
      <c r="J1659" s="11">
        <v>4198373</v>
      </c>
      <c r="K1659" s="11">
        <v>18521375</v>
      </c>
      <c r="L1659" s="3">
        <v>386</v>
      </c>
      <c r="M1659" s="3">
        <v>1507</v>
      </c>
      <c r="N1659" s="3">
        <v>264054</v>
      </c>
      <c r="O1659" s="2">
        <v>0.19800000000000001</v>
      </c>
      <c r="P1659" s="2">
        <v>0.47799999999999998</v>
      </c>
      <c r="Q1659" s="2">
        <v>-0.32700000000000001</v>
      </c>
      <c r="R1659" s="11">
        <v>468706390</v>
      </c>
      <c r="S1659" s="11">
        <v>716823</v>
      </c>
      <c r="T1659">
        <v>2016</v>
      </c>
      <c r="U1659">
        <v>6</v>
      </c>
      <c r="V1659">
        <f t="shared" si="150"/>
        <v>550000</v>
      </c>
      <c r="W1659">
        <f t="shared" si="151"/>
        <v>18429897</v>
      </c>
      <c r="X1659">
        <f t="shared" si="152"/>
        <v>17879897</v>
      </c>
      <c r="Y1659">
        <f t="shared" si="153"/>
        <v>-26269845.5</v>
      </c>
      <c r="Z1659">
        <f t="shared" si="154"/>
        <v>45249742.5</v>
      </c>
      <c r="AA1659" t="str">
        <f t="shared" si="155"/>
        <v>Normal</v>
      </c>
      <c r="AE1659" s="2"/>
      <c r="AF1659" s="2"/>
    </row>
    <row r="1660" spans="1:32" x14ac:dyDescent="0.35">
      <c r="A1660">
        <v>1659</v>
      </c>
      <c r="B1660" s="1">
        <v>42551</v>
      </c>
      <c r="C1660" s="9" t="s">
        <v>2850</v>
      </c>
      <c r="D1660" s="9" t="s">
        <v>4988</v>
      </c>
      <c r="E1660" s="9" t="s">
        <v>7055</v>
      </c>
      <c r="F1660" s="9" t="s">
        <v>15</v>
      </c>
      <c r="G1660" s="9" t="s">
        <v>2851</v>
      </c>
      <c r="H1660" s="9" t="s">
        <v>86</v>
      </c>
      <c r="I1660" s="11">
        <v>220000</v>
      </c>
      <c r="J1660" s="11">
        <v>1283249</v>
      </c>
      <c r="K1660" s="11">
        <v>15833460</v>
      </c>
      <c r="L1660" s="3">
        <v>136</v>
      </c>
      <c r="M1660" s="3">
        <v>4957</v>
      </c>
      <c r="N1660" s="3">
        <v>414862</v>
      </c>
      <c r="O1660" s="2">
        <v>0.498</v>
      </c>
      <c r="P1660" s="2">
        <v>0.71200000000000008</v>
      </c>
      <c r="Q1660" s="2">
        <v>-0.32200000000000001</v>
      </c>
      <c r="R1660" s="11">
        <v>399962906</v>
      </c>
      <c r="S1660" s="11">
        <v>1042690</v>
      </c>
      <c r="T1660">
        <v>2016</v>
      </c>
      <c r="U1660">
        <v>6</v>
      </c>
      <c r="V1660">
        <f t="shared" si="150"/>
        <v>550000</v>
      </c>
      <c r="W1660">
        <f t="shared" si="151"/>
        <v>18429897</v>
      </c>
      <c r="X1660">
        <f t="shared" si="152"/>
        <v>17879897</v>
      </c>
      <c r="Y1660">
        <f t="shared" si="153"/>
        <v>-26269845.5</v>
      </c>
      <c r="Z1660">
        <f t="shared" si="154"/>
        <v>45249742.5</v>
      </c>
      <c r="AA1660" t="str">
        <f t="shared" si="155"/>
        <v>Normal</v>
      </c>
      <c r="AE1660" s="2"/>
      <c r="AF1660" s="2"/>
    </row>
    <row r="1661" spans="1:32" x14ac:dyDescent="0.35">
      <c r="A1661">
        <v>1660</v>
      </c>
      <c r="B1661" s="1">
        <v>42551</v>
      </c>
      <c r="C1661" s="9" t="s">
        <v>2852</v>
      </c>
      <c r="D1661" s="9" t="s">
        <v>4988</v>
      </c>
      <c r="E1661" s="9" t="s">
        <v>7056</v>
      </c>
      <c r="F1661" s="9" t="s">
        <v>15</v>
      </c>
      <c r="G1661" s="9" t="s">
        <v>2853</v>
      </c>
      <c r="H1661" s="9" t="s">
        <v>105</v>
      </c>
      <c r="I1661" s="11">
        <v>18429897</v>
      </c>
      <c r="J1661" s="11">
        <v>3106029</v>
      </c>
      <c r="K1661" s="11">
        <v>6496658</v>
      </c>
      <c r="L1661" s="3">
        <v>281</v>
      </c>
      <c r="M1661" s="3">
        <v>3348</v>
      </c>
      <c r="N1661" s="3">
        <v>1953810</v>
      </c>
      <c r="O1661" s="2">
        <v>-0.12300000000000001</v>
      </c>
      <c r="P1661" s="2">
        <v>1.1740000000000002</v>
      </c>
      <c r="Q1661" s="2">
        <v>0.27200000000000002</v>
      </c>
      <c r="R1661" s="11">
        <v>146327735</v>
      </c>
      <c r="S1661" s="11">
        <v>375004</v>
      </c>
      <c r="T1661">
        <v>2016</v>
      </c>
      <c r="U1661">
        <v>6</v>
      </c>
      <c r="V1661">
        <f t="shared" si="150"/>
        <v>550000</v>
      </c>
      <c r="W1661">
        <f t="shared" si="151"/>
        <v>18429897</v>
      </c>
      <c r="X1661">
        <f t="shared" si="152"/>
        <v>17879897</v>
      </c>
      <c r="Y1661">
        <f t="shared" si="153"/>
        <v>-26269845.5</v>
      </c>
      <c r="Z1661">
        <f t="shared" si="154"/>
        <v>45249742.5</v>
      </c>
      <c r="AA1661" t="str">
        <f t="shared" si="155"/>
        <v>Normal</v>
      </c>
      <c r="AE1661" s="2"/>
      <c r="AF1661" s="2"/>
    </row>
    <row r="1662" spans="1:32" x14ac:dyDescent="0.35">
      <c r="A1662">
        <v>1661</v>
      </c>
      <c r="B1662" s="1">
        <v>42551</v>
      </c>
      <c r="C1662" s="9" t="s">
        <v>2854</v>
      </c>
      <c r="D1662" s="9" t="s">
        <v>4939</v>
      </c>
      <c r="E1662" s="9" t="s">
        <v>5026</v>
      </c>
      <c r="F1662" s="9" t="s">
        <v>19</v>
      </c>
      <c r="G1662" s="9" t="s">
        <v>2855</v>
      </c>
      <c r="H1662" s="9" t="s">
        <v>105</v>
      </c>
      <c r="I1662" s="11">
        <v>368000</v>
      </c>
      <c r="J1662" s="11">
        <v>3061635</v>
      </c>
      <c r="K1662" s="11">
        <v>10478154</v>
      </c>
      <c r="L1662" s="3">
        <v>141</v>
      </c>
      <c r="M1662" s="3">
        <v>1568</v>
      </c>
      <c r="N1662" s="3">
        <v>182954</v>
      </c>
      <c r="O1662" s="2">
        <v>-0.18899999999999997</v>
      </c>
      <c r="P1662" s="2">
        <v>0.44400000000000001</v>
      </c>
      <c r="Q1662" s="2">
        <v>-0.17299999999999999</v>
      </c>
      <c r="R1662" s="11">
        <v>430670990</v>
      </c>
      <c r="S1662" s="11">
        <v>862595</v>
      </c>
      <c r="T1662">
        <v>2016</v>
      </c>
      <c r="U1662">
        <v>6</v>
      </c>
      <c r="V1662">
        <f t="shared" si="150"/>
        <v>550000</v>
      </c>
      <c r="W1662">
        <f t="shared" si="151"/>
        <v>18429897</v>
      </c>
      <c r="X1662">
        <f t="shared" si="152"/>
        <v>17879897</v>
      </c>
      <c r="Y1662">
        <f t="shared" si="153"/>
        <v>-26269845.5</v>
      </c>
      <c r="Z1662">
        <f t="shared" si="154"/>
        <v>45249742.5</v>
      </c>
      <c r="AA1662" t="str">
        <f t="shared" si="155"/>
        <v>Normal</v>
      </c>
      <c r="AE1662" s="2"/>
      <c r="AF1662" s="2"/>
    </row>
    <row r="1663" spans="1:32" x14ac:dyDescent="0.35">
      <c r="A1663">
        <v>1662</v>
      </c>
      <c r="B1663" s="1">
        <v>42491</v>
      </c>
      <c r="C1663" s="9" t="s">
        <v>2856</v>
      </c>
      <c r="D1663" s="9" t="s">
        <v>4988</v>
      </c>
      <c r="E1663" s="9" t="s">
        <v>7057</v>
      </c>
      <c r="F1663" s="9" t="s">
        <v>31</v>
      </c>
      <c r="G1663" s="9" t="s">
        <v>2857</v>
      </c>
      <c r="H1663" s="9" t="s">
        <v>86</v>
      </c>
      <c r="I1663" s="11">
        <v>18429897</v>
      </c>
      <c r="J1663" s="11">
        <v>942532</v>
      </c>
      <c r="K1663" s="11">
        <v>9502751</v>
      </c>
      <c r="L1663" s="3">
        <v>256</v>
      </c>
      <c r="M1663" s="3">
        <v>2990</v>
      </c>
      <c r="N1663" s="3">
        <v>1902002</v>
      </c>
      <c r="O1663" s="2">
        <v>-2.7999999999999997E-2</v>
      </c>
      <c r="P1663" s="2">
        <v>0.66700000000000004</v>
      </c>
      <c r="Q1663" s="2">
        <v>-0.1</v>
      </c>
      <c r="R1663" s="11">
        <v>304286976</v>
      </c>
      <c r="S1663" s="11">
        <v>1145107</v>
      </c>
      <c r="T1663">
        <v>2016</v>
      </c>
      <c r="U1663">
        <v>5</v>
      </c>
      <c r="V1663">
        <f t="shared" si="150"/>
        <v>575000</v>
      </c>
      <c r="W1663">
        <f t="shared" si="151"/>
        <v>18429897</v>
      </c>
      <c r="X1663">
        <f t="shared" si="152"/>
        <v>17854897</v>
      </c>
      <c r="Y1663">
        <f t="shared" si="153"/>
        <v>-26207345.5</v>
      </c>
      <c r="Z1663">
        <f t="shared" si="154"/>
        <v>45212242.5</v>
      </c>
      <c r="AA1663" t="str">
        <f t="shared" si="155"/>
        <v>Normal</v>
      </c>
      <c r="AE1663" s="2"/>
      <c r="AF1663" s="2"/>
    </row>
    <row r="1664" spans="1:32" x14ac:dyDescent="0.35">
      <c r="A1664">
        <v>1663</v>
      </c>
      <c r="B1664" s="1">
        <v>42491</v>
      </c>
      <c r="C1664" s="9" t="s">
        <v>1141</v>
      </c>
      <c r="D1664" s="9" t="s">
        <v>4930</v>
      </c>
      <c r="E1664" s="9" t="s">
        <v>7058</v>
      </c>
      <c r="F1664" s="9" t="s">
        <v>27</v>
      </c>
      <c r="G1664" s="9" t="s">
        <v>825</v>
      </c>
      <c r="H1664" s="9" t="s">
        <v>86</v>
      </c>
      <c r="I1664" s="11">
        <v>376000</v>
      </c>
      <c r="J1664" s="11">
        <v>2776633</v>
      </c>
      <c r="K1664" s="11">
        <v>1385138</v>
      </c>
      <c r="L1664" s="3">
        <v>36</v>
      </c>
      <c r="M1664" s="3">
        <v>657</v>
      </c>
      <c r="N1664" s="3">
        <v>174854</v>
      </c>
      <c r="O1664" s="2">
        <v>0.23100000000000001</v>
      </c>
      <c r="P1664" s="2">
        <v>0.72799999999999998</v>
      </c>
      <c r="Q1664" s="2">
        <v>0.36749999999999999</v>
      </c>
      <c r="R1664" s="11">
        <v>474356404</v>
      </c>
      <c r="S1664" s="11">
        <v>83925</v>
      </c>
      <c r="T1664">
        <v>2016</v>
      </c>
      <c r="U1664">
        <v>5</v>
      </c>
      <c r="V1664">
        <f t="shared" si="150"/>
        <v>562500</v>
      </c>
      <c r="W1664">
        <f t="shared" si="151"/>
        <v>18429897</v>
      </c>
      <c r="X1664">
        <f t="shared" si="152"/>
        <v>17867397</v>
      </c>
      <c r="Y1664">
        <f t="shared" si="153"/>
        <v>-26238595.5</v>
      </c>
      <c r="Z1664">
        <f t="shared" si="154"/>
        <v>45230992.5</v>
      </c>
      <c r="AA1664" t="str">
        <f t="shared" si="155"/>
        <v>Normal</v>
      </c>
      <c r="AE1664" s="2"/>
      <c r="AF1664" s="2"/>
    </row>
    <row r="1665" spans="1:32" x14ac:dyDescent="0.35">
      <c r="A1665">
        <v>1664</v>
      </c>
      <c r="B1665" s="1">
        <v>42491</v>
      </c>
      <c r="C1665" s="9" t="s">
        <v>2858</v>
      </c>
      <c r="D1665" s="9" t="s">
        <v>4988</v>
      </c>
      <c r="E1665" s="9" t="s">
        <v>5951</v>
      </c>
      <c r="F1665" s="9" t="s">
        <v>41</v>
      </c>
      <c r="G1665" s="9" t="s">
        <v>2859</v>
      </c>
      <c r="H1665" s="9" t="s">
        <v>86</v>
      </c>
      <c r="I1665" s="11">
        <v>145000</v>
      </c>
      <c r="J1665" s="11">
        <v>2635777</v>
      </c>
      <c r="K1665" s="11">
        <v>11904830</v>
      </c>
      <c r="L1665" s="3">
        <v>138</v>
      </c>
      <c r="M1665" s="3">
        <v>4523</v>
      </c>
      <c r="N1665" s="3">
        <v>973216</v>
      </c>
      <c r="O1665" s="2">
        <v>3.4000000000000002E-2</v>
      </c>
      <c r="P1665" s="2">
        <v>0.91299999999999992</v>
      </c>
      <c r="Q1665" s="2">
        <v>-0.434</v>
      </c>
      <c r="R1665" s="11">
        <v>376991054</v>
      </c>
      <c r="S1665" s="11">
        <v>1298711</v>
      </c>
      <c r="T1665">
        <v>2016</v>
      </c>
      <c r="U1665">
        <v>5</v>
      </c>
      <c r="V1665">
        <f t="shared" si="150"/>
        <v>600000</v>
      </c>
      <c r="W1665">
        <f t="shared" si="151"/>
        <v>18429897</v>
      </c>
      <c r="X1665">
        <f t="shared" si="152"/>
        <v>17829897</v>
      </c>
      <c r="Y1665">
        <f t="shared" si="153"/>
        <v>-26144845.5</v>
      </c>
      <c r="Z1665">
        <f t="shared" si="154"/>
        <v>45174742.5</v>
      </c>
      <c r="AA1665" t="str">
        <f t="shared" si="155"/>
        <v>Normal</v>
      </c>
      <c r="AE1665" s="2"/>
      <c r="AF1665" s="2"/>
    </row>
    <row r="1666" spans="1:32" x14ac:dyDescent="0.35">
      <c r="A1666">
        <v>1665</v>
      </c>
      <c r="B1666" s="1">
        <v>42492</v>
      </c>
      <c r="C1666" s="9" t="s">
        <v>2860</v>
      </c>
      <c r="D1666" s="9" t="s">
        <v>4930</v>
      </c>
      <c r="E1666" s="9" t="s">
        <v>7059</v>
      </c>
      <c r="F1666" s="9" t="s">
        <v>35</v>
      </c>
      <c r="G1666" s="9" t="s">
        <v>2861</v>
      </c>
      <c r="H1666" s="9" t="s">
        <v>86</v>
      </c>
      <c r="I1666" s="11">
        <v>18429897</v>
      </c>
      <c r="J1666" s="11">
        <v>1992909</v>
      </c>
      <c r="K1666" s="11">
        <v>8804821</v>
      </c>
      <c r="L1666" s="3">
        <v>355</v>
      </c>
      <c r="M1666" s="3">
        <v>4788</v>
      </c>
      <c r="N1666" s="3">
        <v>1165652</v>
      </c>
      <c r="O1666" s="2">
        <v>0.374</v>
      </c>
      <c r="P1666" s="2">
        <v>0.72199999999999998</v>
      </c>
      <c r="Q1666" s="2">
        <v>-0.30199999999999999</v>
      </c>
      <c r="R1666" s="11">
        <v>183053678</v>
      </c>
      <c r="S1666" s="11">
        <v>1615038</v>
      </c>
      <c r="T1666">
        <v>2016</v>
      </c>
      <c r="U1666">
        <v>5</v>
      </c>
      <c r="V1666">
        <f t="shared" ref="V1666:V1729" si="156">_xlfn.PERCENTILE.INC(I1666:I4709,0.25)</f>
        <v>600000</v>
      </c>
      <c r="W1666">
        <f t="shared" ref="W1666:W1729" si="157">_xlfn.PERCENTILE.INC(I1666:I4709,0.75)</f>
        <v>18429897</v>
      </c>
      <c r="X1666">
        <f t="shared" ref="X1666:X1729" si="158">W1666-V1666</f>
        <v>17829897</v>
      </c>
      <c r="Y1666">
        <f t="shared" ref="Y1666:Y1729" si="159">V1666-1.5*X1666</f>
        <v>-26144845.5</v>
      </c>
      <c r="Z1666">
        <f t="shared" ref="Z1666:Z1729" si="160">W1666+1.5*X1666</f>
        <v>45174742.5</v>
      </c>
      <c r="AA1666" t="str">
        <f t="shared" ref="AA1666:AA1729" si="161">IF(OR(I1666&lt;$Y$2, I1666&gt;$Z$2), "Outlier", "Normal")</f>
        <v>Normal</v>
      </c>
      <c r="AE1666" s="2"/>
      <c r="AF1666" s="2"/>
    </row>
    <row r="1667" spans="1:32" x14ac:dyDescent="0.35">
      <c r="A1667">
        <v>1666</v>
      </c>
      <c r="B1667" s="1">
        <v>42493</v>
      </c>
      <c r="C1667" s="9" t="s">
        <v>2574</v>
      </c>
      <c r="D1667" s="9" t="s">
        <v>4988</v>
      </c>
      <c r="E1667" s="9" t="s">
        <v>7060</v>
      </c>
      <c r="F1667" s="9" t="s">
        <v>19</v>
      </c>
      <c r="G1667" s="9" t="s">
        <v>2862</v>
      </c>
      <c r="H1667" s="9" t="s">
        <v>105</v>
      </c>
      <c r="I1667" s="11">
        <v>50000000</v>
      </c>
      <c r="J1667" s="11">
        <v>3763281</v>
      </c>
      <c r="K1667" s="11">
        <v>7927545</v>
      </c>
      <c r="L1667" s="3">
        <v>390</v>
      </c>
      <c r="M1667" s="3">
        <v>1503</v>
      </c>
      <c r="N1667" s="3">
        <v>227244</v>
      </c>
      <c r="O1667" s="2">
        <v>4.1000000000000002E-2</v>
      </c>
      <c r="P1667" s="2">
        <v>0.93300000000000005</v>
      </c>
      <c r="Q1667" s="2">
        <v>0.29699999999999999</v>
      </c>
      <c r="R1667" s="11">
        <v>284789829</v>
      </c>
      <c r="S1667" s="11">
        <v>1543688</v>
      </c>
      <c r="T1667">
        <v>2016</v>
      </c>
      <c r="U1667">
        <v>5</v>
      </c>
      <c r="V1667">
        <f t="shared" si="156"/>
        <v>600000</v>
      </c>
      <c r="W1667">
        <f t="shared" si="157"/>
        <v>18429897</v>
      </c>
      <c r="X1667">
        <f t="shared" si="158"/>
        <v>17829897</v>
      </c>
      <c r="Y1667">
        <f t="shared" si="159"/>
        <v>-26144845.5</v>
      </c>
      <c r="Z1667">
        <f t="shared" si="160"/>
        <v>45174742.5</v>
      </c>
      <c r="AA1667" t="str">
        <f t="shared" si="161"/>
        <v>Outlier</v>
      </c>
      <c r="AE1667" s="2"/>
      <c r="AF1667" s="2"/>
    </row>
    <row r="1668" spans="1:32" x14ac:dyDescent="0.35">
      <c r="A1668">
        <v>1667</v>
      </c>
      <c r="B1668" s="1">
        <v>42493</v>
      </c>
      <c r="C1668" s="9" t="s">
        <v>2863</v>
      </c>
      <c r="D1668" s="9" t="s">
        <v>4988</v>
      </c>
      <c r="E1668" s="9" t="s">
        <v>7061</v>
      </c>
      <c r="F1668" s="9" t="s">
        <v>27</v>
      </c>
      <c r="G1668" s="9" t="s">
        <v>522</v>
      </c>
      <c r="H1668" s="9" t="s">
        <v>105</v>
      </c>
      <c r="I1668" s="11">
        <v>18429897</v>
      </c>
      <c r="J1668" s="11">
        <v>3394551</v>
      </c>
      <c r="K1668" s="11">
        <v>2281413</v>
      </c>
      <c r="L1668" s="3">
        <v>139</v>
      </c>
      <c r="M1668" s="3">
        <v>896</v>
      </c>
      <c r="N1668" s="3">
        <v>1777748</v>
      </c>
      <c r="O1668" s="2">
        <v>0.33600000000000002</v>
      </c>
      <c r="P1668" s="2">
        <v>1.0640000000000001</v>
      </c>
      <c r="Q1668" s="2">
        <v>0.121</v>
      </c>
      <c r="R1668" s="11">
        <v>300148934</v>
      </c>
      <c r="S1668" s="11">
        <v>599586</v>
      </c>
      <c r="T1668">
        <v>2016</v>
      </c>
      <c r="U1668">
        <v>5</v>
      </c>
      <c r="V1668">
        <f t="shared" si="156"/>
        <v>600000</v>
      </c>
      <c r="W1668">
        <f t="shared" si="157"/>
        <v>18429897</v>
      </c>
      <c r="X1668">
        <f t="shared" si="158"/>
        <v>17829897</v>
      </c>
      <c r="Y1668">
        <f t="shared" si="159"/>
        <v>-26144845.5</v>
      </c>
      <c r="Z1668">
        <f t="shared" si="160"/>
        <v>45174742.5</v>
      </c>
      <c r="AA1668" t="str">
        <f t="shared" si="161"/>
        <v>Normal</v>
      </c>
      <c r="AE1668" s="2"/>
      <c r="AF1668" s="2"/>
    </row>
    <row r="1669" spans="1:32" x14ac:dyDescent="0.35">
      <c r="A1669">
        <v>1668</v>
      </c>
      <c r="B1669" s="1">
        <v>42493</v>
      </c>
      <c r="C1669" s="9" t="s">
        <v>2864</v>
      </c>
      <c r="D1669" s="9" t="s">
        <v>4988</v>
      </c>
      <c r="E1669" s="9" t="s">
        <v>7062</v>
      </c>
      <c r="F1669" s="9" t="s">
        <v>15</v>
      </c>
      <c r="G1669" s="9" t="s">
        <v>856</v>
      </c>
      <c r="H1669" s="9" t="s">
        <v>86</v>
      </c>
      <c r="I1669" s="11">
        <v>250000</v>
      </c>
      <c r="J1669" s="11">
        <v>2672620</v>
      </c>
      <c r="K1669" s="11">
        <v>10133208</v>
      </c>
      <c r="L1669" s="3">
        <v>132</v>
      </c>
      <c r="M1669" s="3">
        <v>2170</v>
      </c>
      <c r="N1669" s="3">
        <v>1914435</v>
      </c>
      <c r="O1669" s="2">
        <v>-4.5999999999999999E-2</v>
      </c>
      <c r="P1669" s="2">
        <v>0.48299999999999998</v>
      </c>
      <c r="Q1669" s="2">
        <v>-0.39800000000000002</v>
      </c>
      <c r="R1669" s="11">
        <v>202202470</v>
      </c>
      <c r="S1669" s="11">
        <v>1426450</v>
      </c>
      <c r="T1669">
        <v>2016</v>
      </c>
      <c r="U1669">
        <v>5</v>
      </c>
      <c r="V1669">
        <f t="shared" si="156"/>
        <v>600000</v>
      </c>
      <c r="W1669">
        <f t="shared" si="157"/>
        <v>18429897</v>
      </c>
      <c r="X1669">
        <f t="shared" si="158"/>
        <v>17829897</v>
      </c>
      <c r="Y1669">
        <f t="shared" si="159"/>
        <v>-26144845.5</v>
      </c>
      <c r="Z1669">
        <f t="shared" si="160"/>
        <v>45174742.5</v>
      </c>
      <c r="AA1669" t="str">
        <f t="shared" si="161"/>
        <v>Normal</v>
      </c>
      <c r="AE1669" s="2"/>
      <c r="AF1669" s="2"/>
    </row>
    <row r="1670" spans="1:32" x14ac:dyDescent="0.35">
      <c r="A1670">
        <v>1669</v>
      </c>
      <c r="B1670" s="1">
        <v>42493</v>
      </c>
      <c r="C1670" s="9" t="s">
        <v>2865</v>
      </c>
      <c r="D1670" s="9" t="s">
        <v>4988</v>
      </c>
      <c r="E1670" s="9" t="s">
        <v>5690</v>
      </c>
      <c r="F1670" s="9" t="s">
        <v>1255</v>
      </c>
      <c r="G1670" s="9" t="s">
        <v>856</v>
      </c>
      <c r="H1670" s="9" t="s">
        <v>86</v>
      </c>
      <c r="I1670" s="11">
        <v>18429897</v>
      </c>
      <c r="J1670" s="11">
        <v>3634332</v>
      </c>
      <c r="K1670" s="11">
        <v>11622876</v>
      </c>
      <c r="L1670" s="3">
        <v>152</v>
      </c>
      <c r="M1670" s="3">
        <v>3868</v>
      </c>
      <c r="N1670" s="3">
        <v>445593</v>
      </c>
      <c r="O1670" s="2">
        <v>0.35700000000000004</v>
      </c>
      <c r="P1670" s="2">
        <v>1.036</v>
      </c>
      <c r="Q1670" s="2">
        <v>-1</v>
      </c>
      <c r="R1670" s="11">
        <v>282378080</v>
      </c>
      <c r="S1670" s="11">
        <v>1008193.5</v>
      </c>
      <c r="T1670">
        <v>2016</v>
      </c>
      <c r="U1670">
        <v>5</v>
      </c>
      <c r="V1670">
        <f t="shared" si="156"/>
        <v>600000</v>
      </c>
      <c r="W1670">
        <f t="shared" si="157"/>
        <v>18429897</v>
      </c>
      <c r="X1670">
        <f t="shared" si="158"/>
        <v>17829897</v>
      </c>
      <c r="Y1670">
        <f t="shared" si="159"/>
        <v>-26144845.5</v>
      </c>
      <c r="Z1670">
        <f t="shared" si="160"/>
        <v>45174742.5</v>
      </c>
      <c r="AA1670" t="str">
        <f t="shared" si="161"/>
        <v>Normal</v>
      </c>
      <c r="AE1670" s="2"/>
      <c r="AF1670" s="2"/>
    </row>
    <row r="1671" spans="1:32" x14ac:dyDescent="0.35">
      <c r="A1671">
        <v>1670</v>
      </c>
      <c r="B1671" s="1">
        <v>42493</v>
      </c>
      <c r="C1671" s="9" t="s">
        <v>2866</v>
      </c>
      <c r="D1671" s="9" t="s">
        <v>4988</v>
      </c>
      <c r="E1671" s="9" t="s">
        <v>7063</v>
      </c>
      <c r="F1671" s="9" t="s">
        <v>31</v>
      </c>
      <c r="G1671" s="9" t="s">
        <v>2867</v>
      </c>
      <c r="H1671" s="9" t="s">
        <v>86</v>
      </c>
      <c r="I1671" s="11">
        <v>180000</v>
      </c>
      <c r="J1671" s="11">
        <v>3820280</v>
      </c>
      <c r="K1671" s="11">
        <v>2203581</v>
      </c>
      <c r="L1671" s="3">
        <v>143</v>
      </c>
      <c r="M1671" s="3">
        <v>3152</v>
      </c>
      <c r="N1671" s="3">
        <v>443434</v>
      </c>
      <c r="O1671" s="2">
        <v>1.6E-2</v>
      </c>
      <c r="P1671" s="2">
        <v>0.46299999999999997</v>
      </c>
      <c r="Q1671" s="2">
        <v>0.14400000000000002</v>
      </c>
      <c r="R1671" s="11">
        <v>370247114</v>
      </c>
      <c r="S1671" s="11">
        <v>610445</v>
      </c>
      <c r="T1671">
        <v>2016</v>
      </c>
      <c r="U1671">
        <v>5</v>
      </c>
      <c r="V1671">
        <f t="shared" si="156"/>
        <v>600000</v>
      </c>
      <c r="W1671">
        <f t="shared" si="157"/>
        <v>18429897</v>
      </c>
      <c r="X1671">
        <f t="shared" si="158"/>
        <v>17829897</v>
      </c>
      <c r="Y1671">
        <f t="shared" si="159"/>
        <v>-26144845.5</v>
      </c>
      <c r="Z1671">
        <f t="shared" si="160"/>
        <v>45174742.5</v>
      </c>
      <c r="AA1671" t="str">
        <f t="shared" si="161"/>
        <v>Normal</v>
      </c>
      <c r="AE1671" s="2"/>
      <c r="AF1671" s="2"/>
    </row>
    <row r="1672" spans="1:32" x14ac:dyDescent="0.35">
      <c r="A1672">
        <v>1671</v>
      </c>
      <c r="B1672" s="1">
        <v>42493</v>
      </c>
      <c r="C1672" s="9" t="s">
        <v>2868</v>
      </c>
      <c r="D1672" s="9" t="s">
        <v>4938</v>
      </c>
      <c r="E1672" s="9" t="s">
        <v>5259</v>
      </c>
      <c r="F1672" s="9" t="s">
        <v>31</v>
      </c>
      <c r="G1672" s="9" t="s">
        <v>198</v>
      </c>
      <c r="H1672" s="9" t="s">
        <v>105</v>
      </c>
      <c r="I1672" s="11">
        <v>18429897</v>
      </c>
      <c r="J1672" s="11">
        <v>2531926</v>
      </c>
      <c r="K1672" s="11">
        <v>12735252</v>
      </c>
      <c r="L1672" s="3">
        <v>496</v>
      </c>
      <c r="M1672" s="3">
        <v>243</v>
      </c>
      <c r="N1672" s="3">
        <v>1520120</v>
      </c>
      <c r="O1672" s="2">
        <v>0.7</v>
      </c>
      <c r="P1672" s="2">
        <v>1.0090000000000001</v>
      </c>
      <c r="Q1672" s="2">
        <v>-0.17499999999999999</v>
      </c>
      <c r="R1672" s="11">
        <v>273274651</v>
      </c>
      <c r="S1672" s="11">
        <v>482622</v>
      </c>
      <c r="T1672">
        <v>2016</v>
      </c>
      <c r="U1672">
        <v>5</v>
      </c>
      <c r="V1672">
        <f t="shared" si="156"/>
        <v>600000</v>
      </c>
      <c r="W1672">
        <f t="shared" si="157"/>
        <v>18429897</v>
      </c>
      <c r="X1672">
        <f t="shared" si="158"/>
        <v>17829897</v>
      </c>
      <c r="Y1672">
        <f t="shared" si="159"/>
        <v>-26144845.5</v>
      </c>
      <c r="Z1672">
        <f t="shared" si="160"/>
        <v>45174742.5</v>
      </c>
      <c r="AA1672" t="str">
        <f t="shared" si="161"/>
        <v>Normal</v>
      </c>
      <c r="AE1672" s="2"/>
      <c r="AF1672" s="2"/>
    </row>
    <row r="1673" spans="1:32" x14ac:dyDescent="0.35">
      <c r="A1673">
        <v>1672</v>
      </c>
      <c r="B1673" s="1">
        <v>42494</v>
      </c>
      <c r="C1673" s="9" t="s">
        <v>2869</v>
      </c>
      <c r="D1673" s="9" t="s">
        <v>4988</v>
      </c>
      <c r="E1673" s="9" t="s">
        <v>7064</v>
      </c>
      <c r="F1673" s="9" t="s">
        <v>31</v>
      </c>
      <c r="G1673" s="9" t="s">
        <v>2870</v>
      </c>
      <c r="H1673" s="9" t="s">
        <v>86</v>
      </c>
      <c r="I1673" s="11">
        <v>200000</v>
      </c>
      <c r="J1673" s="11">
        <v>1353017</v>
      </c>
      <c r="K1673" s="11">
        <v>3436720</v>
      </c>
      <c r="L1673" s="3">
        <v>327</v>
      </c>
      <c r="M1673" s="3">
        <v>91</v>
      </c>
      <c r="N1673" s="3">
        <v>743311</v>
      </c>
      <c r="O1673" s="2">
        <v>0.218</v>
      </c>
      <c r="P1673" s="2">
        <v>0.83700000000000008</v>
      </c>
      <c r="Q1673" s="2">
        <v>-0.26100000000000001</v>
      </c>
      <c r="R1673" s="11">
        <v>387848793</v>
      </c>
      <c r="S1673" s="11">
        <v>1943874</v>
      </c>
      <c r="T1673">
        <v>2016</v>
      </c>
      <c r="U1673">
        <v>5</v>
      </c>
      <c r="V1673">
        <f t="shared" si="156"/>
        <v>600000</v>
      </c>
      <c r="W1673">
        <f t="shared" si="157"/>
        <v>18429897</v>
      </c>
      <c r="X1673">
        <f t="shared" si="158"/>
        <v>17829897</v>
      </c>
      <c r="Y1673">
        <f t="shared" si="159"/>
        <v>-26144845.5</v>
      </c>
      <c r="Z1673">
        <f t="shared" si="160"/>
        <v>45174742.5</v>
      </c>
      <c r="AA1673" t="str">
        <f t="shared" si="161"/>
        <v>Normal</v>
      </c>
      <c r="AE1673" s="2"/>
      <c r="AF1673" s="2"/>
    </row>
    <row r="1674" spans="1:32" x14ac:dyDescent="0.35">
      <c r="A1674">
        <v>1673</v>
      </c>
      <c r="B1674" s="1">
        <v>42494</v>
      </c>
      <c r="C1674" s="9" t="s">
        <v>65</v>
      </c>
      <c r="D1674" s="9" t="s">
        <v>4925</v>
      </c>
      <c r="E1674" s="9" t="s">
        <v>7065</v>
      </c>
      <c r="F1674" s="9" t="s">
        <v>27</v>
      </c>
      <c r="G1674" s="9" t="s">
        <v>2871</v>
      </c>
      <c r="H1674" s="9" t="s">
        <v>105</v>
      </c>
      <c r="I1674" s="11">
        <v>60000000</v>
      </c>
      <c r="J1674" s="11">
        <v>3796942</v>
      </c>
      <c r="K1674" s="11">
        <v>2985628</v>
      </c>
      <c r="L1674" s="3">
        <v>195</v>
      </c>
      <c r="M1674" s="3">
        <v>1216</v>
      </c>
      <c r="N1674" s="3">
        <v>75343</v>
      </c>
      <c r="O1674" s="2">
        <v>0.17399999999999999</v>
      </c>
      <c r="P1674" s="2">
        <v>0.76900000000000002</v>
      </c>
      <c r="Q1674" s="2">
        <v>0.36749999999999999</v>
      </c>
      <c r="R1674" s="11">
        <v>492132030</v>
      </c>
      <c r="S1674" s="11">
        <v>1332194</v>
      </c>
      <c r="T1674">
        <v>2016</v>
      </c>
      <c r="U1674">
        <v>5</v>
      </c>
      <c r="V1674">
        <f t="shared" si="156"/>
        <v>600000</v>
      </c>
      <c r="W1674">
        <f t="shared" si="157"/>
        <v>18429897</v>
      </c>
      <c r="X1674">
        <f t="shared" si="158"/>
        <v>17829897</v>
      </c>
      <c r="Y1674">
        <f t="shared" si="159"/>
        <v>-26144845.5</v>
      </c>
      <c r="Z1674">
        <f t="shared" si="160"/>
        <v>45174742.5</v>
      </c>
      <c r="AA1674" t="str">
        <f t="shared" si="161"/>
        <v>Outlier</v>
      </c>
      <c r="AE1674" s="2"/>
      <c r="AF1674" s="2"/>
    </row>
    <row r="1675" spans="1:32" x14ac:dyDescent="0.35">
      <c r="A1675">
        <v>1674</v>
      </c>
      <c r="B1675" s="1">
        <v>42494</v>
      </c>
      <c r="C1675" s="9" t="s">
        <v>2872</v>
      </c>
      <c r="D1675" s="9" t="s">
        <v>4930</v>
      </c>
      <c r="E1675" s="9" t="s">
        <v>7066</v>
      </c>
      <c r="F1675" s="9" t="s">
        <v>31</v>
      </c>
      <c r="G1675" s="9" t="s">
        <v>2873</v>
      </c>
      <c r="H1675" s="9" t="s">
        <v>105</v>
      </c>
      <c r="I1675" s="11">
        <v>12000000</v>
      </c>
      <c r="J1675" s="11">
        <v>3593717</v>
      </c>
      <c r="K1675" s="11">
        <v>8081915</v>
      </c>
      <c r="L1675" s="3">
        <v>233</v>
      </c>
      <c r="M1675" s="3">
        <v>3784</v>
      </c>
      <c r="N1675" s="3">
        <v>1500393</v>
      </c>
      <c r="O1675" s="2">
        <v>0.223</v>
      </c>
      <c r="P1675" s="2">
        <v>0.66400000000000003</v>
      </c>
      <c r="Q1675" s="2">
        <v>0.312</v>
      </c>
      <c r="R1675" s="11">
        <v>437601208</v>
      </c>
      <c r="S1675" s="11">
        <v>189934</v>
      </c>
      <c r="T1675">
        <v>2016</v>
      </c>
      <c r="U1675">
        <v>5</v>
      </c>
      <c r="V1675">
        <f t="shared" si="156"/>
        <v>600000</v>
      </c>
      <c r="W1675">
        <f t="shared" si="157"/>
        <v>18429897</v>
      </c>
      <c r="X1675">
        <f t="shared" si="158"/>
        <v>17829897</v>
      </c>
      <c r="Y1675">
        <f t="shared" si="159"/>
        <v>-26144845.5</v>
      </c>
      <c r="Z1675">
        <f t="shared" si="160"/>
        <v>45174742.5</v>
      </c>
      <c r="AA1675" t="str">
        <f t="shared" si="161"/>
        <v>Normal</v>
      </c>
      <c r="AE1675" s="2"/>
      <c r="AF1675" s="2"/>
    </row>
    <row r="1676" spans="1:32" x14ac:dyDescent="0.35">
      <c r="A1676">
        <v>1675</v>
      </c>
      <c r="B1676" s="1">
        <v>42494</v>
      </c>
      <c r="C1676" s="9" t="s">
        <v>2874</v>
      </c>
      <c r="D1676" s="9" t="s">
        <v>4930</v>
      </c>
      <c r="E1676" s="9" t="s">
        <v>7067</v>
      </c>
      <c r="F1676" s="9" t="s">
        <v>35</v>
      </c>
      <c r="G1676" s="9" t="s">
        <v>2875</v>
      </c>
      <c r="H1676" s="9" t="s">
        <v>86</v>
      </c>
      <c r="I1676" s="11">
        <v>200000</v>
      </c>
      <c r="J1676" s="11">
        <v>4917417</v>
      </c>
      <c r="K1676" s="11">
        <v>7842737</v>
      </c>
      <c r="L1676" s="3">
        <v>257</v>
      </c>
      <c r="M1676" s="3">
        <v>1337</v>
      </c>
      <c r="N1676" s="3">
        <v>706744</v>
      </c>
      <c r="O1676" s="2">
        <v>0.377</v>
      </c>
      <c r="P1676" s="2">
        <v>0.745</v>
      </c>
      <c r="Q1676" s="2">
        <v>0.36099999999999999</v>
      </c>
      <c r="R1676" s="11">
        <v>467842116</v>
      </c>
      <c r="S1676" s="11">
        <v>919464</v>
      </c>
      <c r="T1676">
        <v>2016</v>
      </c>
      <c r="U1676">
        <v>5</v>
      </c>
      <c r="V1676">
        <f t="shared" si="156"/>
        <v>600000</v>
      </c>
      <c r="W1676">
        <f t="shared" si="157"/>
        <v>18429897</v>
      </c>
      <c r="X1676">
        <f t="shared" si="158"/>
        <v>17829897</v>
      </c>
      <c r="Y1676">
        <f t="shared" si="159"/>
        <v>-26144845.5</v>
      </c>
      <c r="Z1676">
        <f t="shared" si="160"/>
        <v>45174742.5</v>
      </c>
      <c r="AA1676" t="str">
        <f t="shared" si="161"/>
        <v>Normal</v>
      </c>
      <c r="AE1676" s="2"/>
      <c r="AF1676" s="2"/>
    </row>
    <row r="1677" spans="1:32" x14ac:dyDescent="0.35">
      <c r="A1677">
        <v>1676</v>
      </c>
      <c r="B1677" s="1">
        <v>42494</v>
      </c>
      <c r="C1677" s="9" t="s">
        <v>2876</v>
      </c>
      <c r="D1677" s="9" t="s">
        <v>4930</v>
      </c>
      <c r="E1677" s="9" t="s">
        <v>7068</v>
      </c>
      <c r="F1677" s="9" t="s">
        <v>41</v>
      </c>
      <c r="G1677" s="9" t="s">
        <v>2875</v>
      </c>
      <c r="H1677" s="9" t="s">
        <v>86</v>
      </c>
      <c r="I1677" s="11">
        <v>200000</v>
      </c>
      <c r="J1677" s="11">
        <v>765926</v>
      </c>
      <c r="K1677" s="11">
        <v>18307286</v>
      </c>
      <c r="L1677" s="3">
        <v>278</v>
      </c>
      <c r="M1677" s="3">
        <v>4477</v>
      </c>
      <c r="N1677" s="3">
        <v>1018455</v>
      </c>
      <c r="O1677" s="2">
        <v>0.315</v>
      </c>
      <c r="P1677" s="2">
        <v>0.435</v>
      </c>
      <c r="Q1677" s="2">
        <v>0.28899999999999998</v>
      </c>
      <c r="R1677" s="11">
        <v>164669024</v>
      </c>
      <c r="S1677" s="11">
        <v>1829356</v>
      </c>
      <c r="T1677">
        <v>2016</v>
      </c>
      <c r="U1677">
        <v>5</v>
      </c>
      <c r="V1677">
        <f t="shared" si="156"/>
        <v>600000</v>
      </c>
      <c r="W1677">
        <f t="shared" si="157"/>
        <v>18429897</v>
      </c>
      <c r="X1677">
        <f t="shared" si="158"/>
        <v>17829897</v>
      </c>
      <c r="Y1677">
        <f t="shared" si="159"/>
        <v>-26144845.5</v>
      </c>
      <c r="Z1677">
        <f t="shared" si="160"/>
        <v>45174742.5</v>
      </c>
      <c r="AA1677" t="str">
        <f t="shared" si="161"/>
        <v>Normal</v>
      </c>
      <c r="AE1677" s="2"/>
      <c r="AF1677" s="2"/>
    </row>
    <row r="1678" spans="1:32" x14ac:dyDescent="0.35">
      <c r="A1678">
        <v>1677</v>
      </c>
      <c r="B1678" s="1">
        <v>42494</v>
      </c>
      <c r="C1678" s="9" t="s">
        <v>2877</v>
      </c>
      <c r="D1678" s="9" t="s">
        <v>4925</v>
      </c>
      <c r="E1678" s="9" t="s">
        <v>7069</v>
      </c>
      <c r="F1678" s="9" t="s">
        <v>124</v>
      </c>
      <c r="G1678" s="9" t="s">
        <v>856</v>
      </c>
      <c r="H1678" s="9" t="s">
        <v>86</v>
      </c>
      <c r="I1678" s="11">
        <v>150000</v>
      </c>
      <c r="J1678" s="11">
        <v>2107976</v>
      </c>
      <c r="K1678" s="11">
        <v>10153449</v>
      </c>
      <c r="L1678" s="3">
        <v>196</v>
      </c>
      <c r="M1678" s="3">
        <v>1521</v>
      </c>
      <c r="N1678" s="3">
        <v>1307467</v>
      </c>
      <c r="O1678" s="2">
        <v>0.223</v>
      </c>
      <c r="P1678" s="2">
        <v>0.69799999999999995</v>
      </c>
      <c r="Q1678" s="2">
        <v>0.40799999999999997</v>
      </c>
      <c r="R1678" s="11">
        <v>259877908</v>
      </c>
      <c r="S1678" s="11">
        <v>50834</v>
      </c>
      <c r="T1678">
        <v>2016</v>
      </c>
      <c r="U1678">
        <v>5</v>
      </c>
      <c r="V1678">
        <f t="shared" si="156"/>
        <v>600000</v>
      </c>
      <c r="W1678">
        <f t="shared" si="157"/>
        <v>18429897</v>
      </c>
      <c r="X1678">
        <f t="shared" si="158"/>
        <v>17829897</v>
      </c>
      <c r="Y1678">
        <f t="shared" si="159"/>
        <v>-26144845.5</v>
      </c>
      <c r="Z1678">
        <f t="shared" si="160"/>
        <v>45174742.5</v>
      </c>
      <c r="AA1678" t="str">
        <f t="shared" si="161"/>
        <v>Normal</v>
      </c>
      <c r="AE1678" s="2"/>
      <c r="AF1678" s="2"/>
    </row>
    <row r="1679" spans="1:32" x14ac:dyDescent="0.35">
      <c r="A1679">
        <v>1678</v>
      </c>
      <c r="B1679" s="1">
        <v>42494</v>
      </c>
      <c r="C1679" s="9" t="s">
        <v>2144</v>
      </c>
      <c r="D1679" s="9" t="s">
        <v>4930</v>
      </c>
      <c r="E1679" s="9" t="s">
        <v>7070</v>
      </c>
      <c r="F1679" s="9" t="s">
        <v>177</v>
      </c>
      <c r="G1679" s="9" t="s">
        <v>2878</v>
      </c>
      <c r="H1679" s="9" t="s">
        <v>86</v>
      </c>
      <c r="I1679" s="11">
        <v>500000</v>
      </c>
      <c r="J1679" s="11">
        <v>4622648</v>
      </c>
      <c r="K1679" s="11">
        <v>7052225</v>
      </c>
      <c r="L1679" s="3">
        <v>487</v>
      </c>
      <c r="M1679" s="3">
        <v>4468</v>
      </c>
      <c r="N1679" s="3">
        <v>1154216</v>
      </c>
      <c r="O1679" s="2">
        <v>0.253</v>
      </c>
      <c r="P1679" s="2">
        <v>0.80900000000000005</v>
      </c>
      <c r="Q1679" s="2">
        <v>0.42</v>
      </c>
      <c r="R1679" s="11">
        <v>145284924</v>
      </c>
      <c r="S1679" s="11">
        <v>1715734</v>
      </c>
      <c r="T1679">
        <v>2016</v>
      </c>
      <c r="U1679">
        <v>5</v>
      </c>
      <c r="V1679">
        <f t="shared" si="156"/>
        <v>600000</v>
      </c>
      <c r="W1679">
        <f t="shared" si="157"/>
        <v>18429897</v>
      </c>
      <c r="X1679">
        <f t="shared" si="158"/>
        <v>17829897</v>
      </c>
      <c r="Y1679">
        <f t="shared" si="159"/>
        <v>-26144845.5</v>
      </c>
      <c r="Z1679">
        <f t="shared" si="160"/>
        <v>45174742.5</v>
      </c>
      <c r="AA1679" t="str">
        <f t="shared" si="161"/>
        <v>Normal</v>
      </c>
      <c r="AE1679" s="2"/>
      <c r="AF1679" s="2"/>
    </row>
    <row r="1680" spans="1:32" x14ac:dyDescent="0.35">
      <c r="A1680">
        <v>1679</v>
      </c>
      <c r="B1680" s="1">
        <v>42494</v>
      </c>
      <c r="C1680" s="9" t="s">
        <v>2205</v>
      </c>
      <c r="D1680" s="9" t="s">
        <v>4930</v>
      </c>
      <c r="E1680" s="9" t="s">
        <v>7071</v>
      </c>
      <c r="F1680" s="9" t="s">
        <v>27</v>
      </c>
      <c r="G1680" s="9" t="s">
        <v>2878</v>
      </c>
      <c r="H1680" s="9" t="s">
        <v>86</v>
      </c>
      <c r="I1680" s="11">
        <v>500000</v>
      </c>
      <c r="J1680" s="11">
        <v>2582623</v>
      </c>
      <c r="K1680" s="11">
        <v>14716972</v>
      </c>
      <c r="L1680" s="3">
        <v>148</v>
      </c>
      <c r="M1680" s="3">
        <v>4600</v>
      </c>
      <c r="N1680" s="3">
        <v>1652518</v>
      </c>
      <c r="O1680" s="2">
        <v>-0.13400000000000001</v>
      </c>
      <c r="P1680" s="2">
        <v>0.58199999999999996</v>
      </c>
      <c r="Q1680" s="2">
        <v>-0.27899999999999997</v>
      </c>
      <c r="R1680" s="11">
        <v>122776906</v>
      </c>
      <c r="S1680" s="11">
        <v>1008193.5</v>
      </c>
      <c r="T1680">
        <v>2016</v>
      </c>
      <c r="U1680">
        <v>5</v>
      </c>
      <c r="V1680">
        <f t="shared" si="156"/>
        <v>600000</v>
      </c>
      <c r="W1680">
        <f t="shared" si="157"/>
        <v>18429897</v>
      </c>
      <c r="X1680">
        <f t="shared" si="158"/>
        <v>17829897</v>
      </c>
      <c r="Y1680">
        <f t="shared" si="159"/>
        <v>-26144845.5</v>
      </c>
      <c r="Z1680">
        <f t="shared" si="160"/>
        <v>45174742.5</v>
      </c>
      <c r="AA1680" t="str">
        <f t="shared" si="161"/>
        <v>Normal</v>
      </c>
      <c r="AE1680" s="2"/>
      <c r="AF1680" s="2"/>
    </row>
    <row r="1681" spans="1:32" x14ac:dyDescent="0.35">
      <c r="A1681">
        <v>1680</v>
      </c>
      <c r="B1681" s="1">
        <v>42494</v>
      </c>
      <c r="C1681" s="9" t="s">
        <v>2879</v>
      </c>
      <c r="D1681" s="9" t="s">
        <v>4988</v>
      </c>
      <c r="E1681" s="9" t="s">
        <v>7072</v>
      </c>
      <c r="F1681" s="9" t="s">
        <v>15</v>
      </c>
      <c r="G1681" s="9" t="s">
        <v>2878</v>
      </c>
      <c r="H1681" s="9" t="s">
        <v>86</v>
      </c>
      <c r="I1681" s="11">
        <v>500000</v>
      </c>
      <c r="J1681" s="11">
        <v>4714261</v>
      </c>
      <c r="K1681" s="11">
        <v>5070876</v>
      </c>
      <c r="L1681" s="3">
        <v>254</v>
      </c>
      <c r="M1681" s="3">
        <v>3652</v>
      </c>
      <c r="N1681" s="3">
        <v>1595920</v>
      </c>
      <c r="O1681" s="2">
        <v>0.11199999999999999</v>
      </c>
      <c r="P1681" s="2">
        <v>0.58199999999999996</v>
      </c>
      <c r="Q1681" s="2">
        <v>0.35</v>
      </c>
      <c r="R1681" s="11">
        <v>28439128</v>
      </c>
      <c r="S1681" s="11">
        <v>1208122</v>
      </c>
      <c r="T1681">
        <v>2016</v>
      </c>
      <c r="U1681">
        <v>5</v>
      </c>
      <c r="V1681">
        <f t="shared" si="156"/>
        <v>600000</v>
      </c>
      <c r="W1681">
        <f t="shared" si="157"/>
        <v>18429897</v>
      </c>
      <c r="X1681">
        <f t="shared" si="158"/>
        <v>17829897</v>
      </c>
      <c r="Y1681">
        <f t="shared" si="159"/>
        <v>-26144845.5</v>
      </c>
      <c r="Z1681">
        <f t="shared" si="160"/>
        <v>45174742.5</v>
      </c>
      <c r="AA1681" t="str">
        <f t="shared" si="161"/>
        <v>Normal</v>
      </c>
      <c r="AE1681" s="2"/>
      <c r="AF1681" s="2"/>
    </row>
    <row r="1682" spans="1:32" x14ac:dyDescent="0.35">
      <c r="A1682">
        <v>1681</v>
      </c>
      <c r="B1682" s="1">
        <v>42495</v>
      </c>
      <c r="C1682" s="9" t="s">
        <v>1422</v>
      </c>
      <c r="D1682" s="9" t="s">
        <v>4930</v>
      </c>
      <c r="E1682" s="9" t="s">
        <v>7073</v>
      </c>
      <c r="F1682" s="9" t="s">
        <v>27</v>
      </c>
      <c r="G1682" s="9" t="s">
        <v>2880</v>
      </c>
      <c r="H1682" s="9" t="s">
        <v>105</v>
      </c>
      <c r="I1682" s="11">
        <v>18429897</v>
      </c>
      <c r="J1682" s="11">
        <v>2531926</v>
      </c>
      <c r="K1682" s="11">
        <v>19633236</v>
      </c>
      <c r="L1682" s="3">
        <v>7</v>
      </c>
      <c r="M1682" s="3">
        <v>917</v>
      </c>
      <c r="N1682" s="3">
        <v>1886389</v>
      </c>
      <c r="O1682" s="2">
        <v>-0.1</v>
      </c>
      <c r="P1682" s="2">
        <v>0.54700000000000004</v>
      </c>
      <c r="Q1682" s="2">
        <v>0.36749999999999999</v>
      </c>
      <c r="R1682" s="11">
        <v>417625454</v>
      </c>
      <c r="S1682" s="11">
        <v>73047</v>
      </c>
      <c r="T1682">
        <v>2016</v>
      </c>
      <c r="U1682">
        <v>5</v>
      </c>
      <c r="V1682">
        <f t="shared" si="156"/>
        <v>600000</v>
      </c>
      <c r="W1682">
        <f t="shared" si="157"/>
        <v>18429897</v>
      </c>
      <c r="X1682">
        <f t="shared" si="158"/>
        <v>17829897</v>
      </c>
      <c r="Y1682">
        <f t="shared" si="159"/>
        <v>-26144845.5</v>
      </c>
      <c r="Z1682">
        <f t="shared" si="160"/>
        <v>45174742.5</v>
      </c>
      <c r="AA1682" t="str">
        <f t="shared" si="161"/>
        <v>Normal</v>
      </c>
      <c r="AE1682" s="2"/>
      <c r="AF1682" s="2"/>
    </row>
    <row r="1683" spans="1:32" x14ac:dyDescent="0.35">
      <c r="A1683">
        <v>1682</v>
      </c>
      <c r="B1683" s="1">
        <v>42495</v>
      </c>
      <c r="C1683" s="9" t="s">
        <v>2881</v>
      </c>
      <c r="D1683" s="9" t="s">
        <v>4988</v>
      </c>
      <c r="E1683" s="9" t="s">
        <v>7074</v>
      </c>
      <c r="F1683" s="9" t="s">
        <v>15</v>
      </c>
      <c r="G1683" s="9" t="s">
        <v>2882</v>
      </c>
      <c r="H1683" s="9" t="s">
        <v>86</v>
      </c>
      <c r="I1683" s="11">
        <v>375000</v>
      </c>
      <c r="J1683" s="11">
        <v>195145</v>
      </c>
      <c r="K1683" s="11">
        <v>14882958</v>
      </c>
      <c r="L1683" s="3">
        <v>248</v>
      </c>
      <c r="M1683" s="3">
        <v>405</v>
      </c>
      <c r="N1683" s="3">
        <v>1836246</v>
      </c>
      <c r="O1683" s="2">
        <v>0.11600000000000001</v>
      </c>
      <c r="P1683" s="2">
        <v>1.018E-2</v>
      </c>
      <c r="Q1683" s="2">
        <v>0.57499999999999996</v>
      </c>
      <c r="R1683" s="11">
        <v>198972522</v>
      </c>
      <c r="S1683" s="11">
        <v>1489708</v>
      </c>
      <c r="T1683">
        <v>2016</v>
      </c>
      <c r="U1683">
        <v>5</v>
      </c>
      <c r="V1683">
        <f t="shared" si="156"/>
        <v>600000</v>
      </c>
      <c r="W1683">
        <f t="shared" si="157"/>
        <v>18429897</v>
      </c>
      <c r="X1683">
        <f t="shared" si="158"/>
        <v>17829897</v>
      </c>
      <c r="Y1683">
        <f t="shared" si="159"/>
        <v>-26144845.5</v>
      </c>
      <c r="Z1683">
        <f t="shared" si="160"/>
        <v>45174742.5</v>
      </c>
      <c r="AA1683" t="str">
        <f t="shared" si="161"/>
        <v>Normal</v>
      </c>
      <c r="AE1683" s="2"/>
      <c r="AF1683" s="2"/>
    </row>
    <row r="1684" spans="1:32" x14ac:dyDescent="0.35">
      <c r="A1684">
        <v>1683</v>
      </c>
      <c r="B1684" s="1">
        <v>42496</v>
      </c>
      <c r="C1684" s="9" t="s">
        <v>2883</v>
      </c>
      <c r="D1684" s="9" t="s">
        <v>4938</v>
      </c>
      <c r="E1684" s="9" t="s">
        <v>7075</v>
      </c>
      <c r="F1684" s="9" t="s">
        <v>2884</v>
      </c>
      <c r="G1684" s="9" t="s">
        <v>2885</v>
      </c>
      <c r="H1684" s="9" t="s">
        <v>105</v>
      </c>
      <c r="I1684" s="11">
        <v>1000000</v>
      </c>
      <c r="J1684" s="11">
        <v>3984222</v>
      </c>
      <c r="K1684" s="11">
        <v>18927105</v>
      </c>
      <c r="L1684" s="3">
        <v>428</v>
      </c>
      <c r="M1684" s="3">
        <v>909</v>
      </c>
      <c r="N1684" s="3">
        <v>1265177</v>
      </c>
      <c r="O1684" s="2">
        <v>0.34299999999999997</v>
      </c>
      <c r="P1684" s="2">
        <v>0.58399999999999996</v>
      </c>
      <c r="Q1684" s="2">
        <v>0.94599999999999995</v>
      </c>
      <c r="R1684" s="11">
        <v>428510329</v>
      </c>
      <c r="S1684" s="11">
        <v>117175</v>
      </c>
      <c r="T1684">
        <v>2016</v>
      </c>
      <c r="U1684">
        <v>5</v>
      </c>
      <c r="V1684">
        <f t="shared" si="156"/>
        <v>600000</v>
      </c>
      <c r="W1684">
        <f t="shared" si="157"/>
        <v>18429897</v>
      </c>
      <c r="X1684">
        <f t="shared" si="158"/>
        <v>17829897</v>
      </c>
      <c r="Y1684">
        <f t="shared" si="159"/>
        <v>-26144845.5</v>
      </c>
      <c r="Z1684">
        <f t="shared" si="160"/>
        <v>45174742.5</v>
      </c>
      <c r="AA1684" t="str">
        <f t="shared" si="161"/>
        <v>Normal</v>
      </c>
      <c r="AE1684" s="2"/>
      <c r="AF1684" s="2"/>
    </row>
    <row r="1685" spans="1:32" x14ac:dyDescent="0.35">
      <c r="A1685">
        <v>1684</v>
      </c>
      <c r="B1685" s="1">
        <v>42496</v>
      </c>
      <c r="C1685" s="9" t="s">
        <v>148</v>
      </c>
      <c r="D1685" s="9" t="s">
        <v>4925</v>
      </c>
      <c r="E1685" s="9" t="s">
        <v>7076</v>
      </c>
      <c r="F1685" s="9" t="s">
        <v>15</v>
      </c>
      <c r="G1685" s="9" t="s">
        <v>2886</v>
      </c>
      <c r="H1685" s="9" t="s">
        <v>86</v>
      </c>
      <c r="I1685" s="11">
        <v>18429897</v>
      </c>
      <c r="J1685" s="11">
        <v>1804987</v>
      </c>
      <c r="K1685" s="11">
        <v>18987690</v>
      </c>
      <c r="L1685" s="3">
        <v>498</v>
      </c>
      <c r="M1685" s="3">
        <v>3182</v>
      </c>
      <c r="N1685" s="3">
        <v>1113129</v>
      </c>
      <c r="O1685" s="2">
        <v>0.11900000000000001</v>
      </c>
      <c r="P1685" s="2">
        <v>0.78</v>
      </c>
      <c r="Q1685" s="2">
        <v>5.0999999999999997E-2</v>
      </c>
      <c r="R1685" s="11">
        <v>125637443</v>
      </c>
      <c r="S1685" s="11">
        <v>708560</v>
      </c>
      <c r="T1685">
        <v>2016</v>
      </c>
      <c r="U1685">
        <v>5</v>
      </c>
      <c r="V1685">
        <f t="shared" si="156"/>
        <v>600000</v>
      </c>
      <c r="W1685">
        <f t="shared" si="157"/>
        <v>18429897</v>
      </c>
      <c r="X1685">
        <f t="shared" si="158"/>
        <v>17829897</v>
      </c>
      <c r="Y1685">
        <f t="shared" si="159"/>
        <v>-26144845.5</v>
      </c>
      <c r="Z1685">
        <f t="shared" si="160"/>
        <v>45174742.5</v>
      </c>
      <c r="AA1685" t="str">
        <f t="shared" si="161"/>
        <v>Normal</v>
      </c>
      <c r="AE1685" s="2"/>
      <c r="AF1685" s="2"/>
    </row>
    <row r="1686" spans="1:32" x14ac:dyDescent="0.35">
      <c r="A1686">
        <v>1685</v>
      </c>
      <c r="B1686" s="1">
        <v>42497</v>
      </c>
      <c r="C1686" s="9" t="s">
        <v>2887</v>
      </c>
      <c r="D1686" s="9" t="s">
        <v>4928</v>
      </c>
      <c r="E1686" s="9" t="s">
        <v>7077</v>
      </c>
      <c r="F1686" s="9" t="s">
        <v>124</v>
      </c>
      <c r="G1686" s="9" t="s">
        <v>856</v>
      </c>
      <c r="H1686" s="9" t="s">
        <v>86</v>
      </c>
      <c r="I1686" s="11">
        <v>75000</v>
      </c>
      <c r="J1686" s="11">
        <v>2610745</v>
      </c>
      <c r="K1686" s="11">
        <v>10153449</v>
      </c>
      <c r="L1686" s="3">
        <v>239</v>
      </c>
      <c r="M1686" s="3">
        <v>3473</v>
      </c>
      <c r="N1686" s="3">
        <v>925402</v>
      </c>
      <c r="O1686" s="2">
        <v>-0.38100000000000001</v>
      </c>
      <c r="P1686" s="2">
        <v>0.50800000000000001</v>
      </c>
      <c r="Q1686" s="2">
        <v>2.4E-2</v>
      </c>
      <c r="R1686" s="11">
        <v>250264963</v>
      </c>
      <c r="S1686" s="11">
        <v>1326240</v>
      </c>
      <c r="T1686">
        <v>2016</v>
      </c>
      <c r="U1686">
        <v>5</v>
      </c>
      <c r="V1686">
        <f t="shared" si="156"/>
        <v>600000</v>
      </c>
      <c r="W1686">
        <f t="shared" si="157"/>
        <v>18429897</v>
      </c>
      <c r="X1686">
        <f t="shared" si="158"/>
        <v>17829897</v>
      </c>
      <c r="Y1686">
        <f t="shared" si="159"/>
        <v>-26144845.5</v>
      </c>
      <c r="Z1686">
        <f t="shared" si="160"/>
        <v>45174742.5</v>
      </c>
      <c r="AA1686" t="str">
        <f t="shared" si="161"/>
        <v>Normal</v>
      </c>
      <c r="AE1686" s="2"/>
      <c r="AF1686" s="2"/>
    </row>
    <row r="1687" spans="1:32" x14ac:dyDescent="0.35">
      <c r="A1687">
        <v>1686</v>
      </c>
      <c r="B1687" s="1">
        <v>42499</v>
      </c>
      <c r="C1687" s="9" t="s">
        <v>2888</v>
      </c>
      <c r="D1687" s="9" t="s">
        <v>4930</v>
      </c>
      <c r="E1687" s="9" t="s">
        <v>7078</v>
      </c>
      <c r="F1687" s="9" t="s">
        <v>15</v>
      </c>
      <c r="G1687" s="9" t="s">
        <v>2889</v>
      </c>
      <c r="H1687" s="9" t="s">
        <v>105</v>
      </c>
      <c r="I1687" s="11">
        <v>2750000</v>
      </c>
      <c r="J1687" s="11">
        <v>2151487</v>
      </c>
      <c r="K1687" s="11">
        <v>9236559</v>
      </c>
      <c r="L1687" s="3">
        <v>74</v>
      </c>
      <c r="M1687" s="3">
        <v>4928</v>
      </c>
      <c r="N1687" s="3">
        <v>1328983</v>
      </c>
      <c r="O1687" s="2">
        <v>-8.8999999999999996E-2</v>
      </c>
      <c r="P1687" s="2">
        <v>0.23</v>
      </c>
      <c r="Q1687" s="2">
        <v>0.4</v>
      </c>
      <c r="R1687" s="11">
        <v>202112254</v>
      </c>
      <c r="S1687" s="11">
        <v>1899488</v>
      </c>
      <c r="T1687">
        <v>2016</v>
      </c>
      <c r="U1687">
        <v>5</v>
      </c>
      <c r="V1687">
        <f t="shared" si="156"/>
        <v>600000</v>
      </c>
      <c r="W1687">
        <f t="shared" si="157"/>
        <v>18429897</v>
      </c>
      <c r="X1687">
        <f t="shared" si="158"/>
        <v>17829897</v>
      </c>
      <c r="Y1687">
        <f t="shared" si="159"/>
        <v>-26144845.5</v>
      </c>
      <c r="Z1687">
        <f t="shared" si="160"/>
        <v>45174742.5</v>
      </c>
      <c r="AA1687" t="str">
        <f t="shared" si="161"/>
        <v>Normal</v>
      </c>
      <c r="AE1687" s="2"/>
      <c r="AF1687" s="2"/>
    </row>
    <row r="1688" spans="1:32" x14ac:dyDescent="0.35">
      <c r="A1688">
        <v>1687</v>
      </c>
      <c r="B1688" s="1">
        <v>42499</v>
      </c>
      <c r="C1688" s="9" t="s">
        <v>2890</v>
      </c>
      <c r="D1688" s="9" t="s">
        <v>4988</v>
      </c>
      <c r="E1688" s="9" t="s">
        <v>7079</v>
      </c>
      <c r="F1688" s="9" t="s">
        <v>15</v>
      </c>
      <c r="G1688" s="9" t="s">
        <v>2891</v>
      </c>
      <c r="H1688" s="9" t="s">
        <v>86</v>
      </c>
      <c r="I1688" s="11">
        <v>450000</v>
      </c>
      <c r="J1688" s="11">
        <v>2531926</v>
      </c>
      <c r="K1688" s="11">
        <v>14917238</v>
      </c>
      <c r="L1688" s="3">
        <v>361</v>
      </c>
      <c r="M1688" s="3">
        <v>4763</v>
      </c>
      <c r="N1688" s="3">
        <v>121366</v>
      </c>
      <c r="O1688" s="2">
        <v>0.23600000000000002</v>
      </c>
      <c r="P1688" s="2">
        <v>0.42</v>
      </c>
      <c r="Q1688" s="2">
        <v>0.11799999999999999</v>
      </c>
      <c r="R1688" s="11">
        <v>234236948</v>
      </c>
      <c r="S1688" s="11">
        <v>999549</v>
      </c>
      <c r="T1688">
        <v>2016</v>
      </c>
      <c r="U1688">
        <v>5</v>
      </c>
      <c r="V1688">
        <f t="shared" si="156"/>
        <v>600000</v>
      </c>
      <c r="W1688">
        <f t="shared" si="157"/>
        <v>18429897</v>
      </c>
      <c r="X1688">
        <f t="shared" si="158"/>
        <v>17829897</v>
      </c>
      <c r="Y1688">
        <f t="shared" si="159"/>
        <v>-26144845.5</v>
      </c>
      <c r="Z1688">
        <f t="shared" si="160"/>
        <v>45174742.5</v>
      </c>
      <c r="AA1688" t="str">
        <f t="shared" si="161"/>
        <v>Normal</v>
      </c>
      <c r="AE1688" s="2"/>
      <c r="AF1688" s="2"/>
    </row>
    <row r="1689" spans="1:32" x14ac:dyDescent="0.35">
      <c r="A1689">
        <v>1688</v>
      </c>
      <c r="B1689" s="1">
        <v>42499</v>
      </c>
      <c r="C1689" s="9" t="s">
        <v>2892</v>
      </c>
      <c r="D1689" s="9" t="s">
        <v>4925</v>
      </c>
      <c r="E1689" s="9" t="s">
        <v>7080</v>
      </c>
      <c r="F1689" s="9" t="s">
        <v>27</v>
      </c>
      <c r="G1689" s="9" t="s">
        <v>2893</v>
      </c>
      <c r="H1689" s="9" t="s">
        <v>86</v>
      </c>
      <c r="I1689" s="11">
        <v>250000</v>
      </c>
      <c r="J1689" s="11">
        <v>4698581</v>
      </c>
      <c r="K1689" s="11">
        <v>271238</v>
      </c>
      <c r="L1689" s="3">
        <v>322</v>
      </c>
      <c r="M1689" s="3">
        <v>1573</v>
      </c>
      <c r="N1689" s="3">
        <v>804833</v>
      </c>
      <c r="O1689" s="2">
        <v>1.2E-2</v>
      </c>
      <c r="P1689" s="2">
        <v>1.125</v>
      </c>
      <c r="Q1689" s="2">
        <v>0.158</v>
      </c>
      <c r="R1689" s="11">
        <v>323142554</v>
      </c>
      <c r="S1689" s="11">
        <v>1357825</v>
      </c>
      <c r="T1689">
        <v>2016</v>
      </c>
      <c r="U1689">
        <v>5</v>
      </c>
      <c r="V1689">
        <f t="shared" si="156"/>
        <v>600000</v>
      </c>
      <c r="W1689">
        <f t="shared" si="157"/>
        <v>18429897</v>
      </c>
      <c r="X1689">
        <f t="shared" si="158"/>
        <v>17829897</v>
      </c>
      <c r="Y1689">
        <f t="shared" si="159"/>
        <v>-26144845.5</v>
      </c>
      <c r="Z1689">
        <f t="shared" si="160"/>
        <v>45174742.5</v>
      </c>
      <c r="AA1689" t="str">
        <f t="shared" si="161"/>
        <v>Normal</v>
      </c>
      <c r="AE1689" s="2"/>
      <c r="AF1689" s="2"/>
    </row>
    <row r="1690" spans="1:32" x14ac:dyDescent="0.35">
      <c r="A1690">
        <v>1689</v>
      </c>
      <c r="B1690" s="1">
        <v>42500</v>
      </c>
      <c r="C1690" s="9" t="s">
        <v>332</v>
      </c>
      <c r="D1690" s="9" t="s">
        <v>4988</v>
      </c>
      <c r="E1690" s="9" t="s">
        <v>5558</v>
      </c>
      <c r="F1690" s="9" t="s">
        <v>15</v>
      </c>
      <c r="G1690" s="9" t="s">
        <v>2894</v>
      </c>
      <c r="H1690" s="9" t="s">
        <v>105</v>
      </c>
      <c r="I1690" s="11">
        <v>6000000</v>
      </c>
      <c r="J1690" s="11">
        <v>488478</v>
      </c>
      <c r="K1690" s="11">
        <v>9095651</v>
      </c>
      <c r="L1690" s="3">
        <v>479</v>
      </c>
      <c r="M1690" s="3">
        <v>1976</v>
      </c>
      <c r="N1690" s="3">
        <v>551367</v>
      </c>
      <c r="O1690" s="2">
        <v>0.27700000000000002</v>
      </c>
      <c r="P1690" s="2">
        <v>0.91700000000000004</v>
      </c>
      <c r="Q1690" s="2">
        <v>0.76</v>
      </c>
      <c r="R1690" s="11">
        <v>91371420</v>
      </c>
      <c r="S1690" s="11">
        <v>1765751</v>
      </c>
      <c r="T1690">
        <v>2016</v>
      </c>
      <c r="U1690">
        <v>5</v>
      </c>
      <c r="V1690">
        <f t="shared" si="156"/>
        <v>600000</v>
      </c>
      <c r="W1690">
        <f t="shared" si="157"/>
        <v>18429897</v>
      </c>
      <c r="X1690">
        <f t="shared" si="158"/>
        <v>17829897</v>
      </c>
      <c r="Y1690">
        <f t="shared" si="159"/>
        <v>-26144845.5</v>
      </c>
      <c r="Z1690">
        <f t="shared" si="160"/>
        <v>45174742.5</v>
      </c>
      <c r="AA1690" t="str">
        <f t="shared" si="161"/>
        <v>Normal</v>
      </c>
      <c r="AE1690" s="2"/>
      <c r="AF1690" s="2"/>
    </row>
    <row r="1691" spans="1:32" x14ac:dyDescent="0.35">
      <c r="A1691">
        <v>1690</v>
      </c>
      <c r="B1691" s="1">
        <v>42500</v>
      </c>
      <c r="C1691" s="9" t="s">
        <v>2114</v>
      </c>
      <c r="D1691" s="9" t="s">
        <v>4988</v>
      </c>
      <c r="E1691" s="9" t="s">
        <v>7081</v>
      </c>
      <c r="F1691" s="9" t="s">
        <v>35</v>
      </c>
      <c r="G1691" s="9" t="s">
        <v>2895</v>
      </c>
      <c r="H1691" s="9" t="s">
        <v>105</v>
      </c>
      <c r="I1691" s="11">
        <v>1500000</v>
      </c>
      <c r="J1691" s="11">
        <v>3865640</v>
      </c>
      <c r="K1691" s="11">
        <v>13794171</v>
      </c>
      <c r="L1691" s="3">
        <v>255</v>
      </c>
      <c r="M1691" s="3">
        <v>3872</v>
      </c>
      <c r="N1691" s="3">
        <v>1113036</v>
      </c>
      <c r="O1691" s="2">
        <v>-0.121</v>
      </c>
      <c r="P1691" s="2">
        <v>0.57600000000000007</v>
      </c>
      <c r="Q1691" s="2">
        <v>0.13600000000000001</v>
      </c>
      <c r="R1691" s="11">
        <v>221162120</v>
      </c>
      <c r="S1691" s="11">
        <v>1755617</v>
      </c>
      <c r="T1691">
        <v>2016</v>
      </c>
      <c r="U1691">
        <v>5</v>
      </c>
      <c r="V1691">
        <f t="shared" si="156"/>
        <v>600000</v>
      </c>
      <c r="W1691">
        <f t="shared" si="157"/>
        <v>18429897</v>
      </c>
      <c r="X1691">
        <f t="shared" si="158"/>
        <v>17829897</v>
      </c>
      <c r="Y1691">
        <f t="shared" si="159"/>
        <v>-26144845.5</v>
      </c>
      <c r="Z1691">
        <f t="shared" si="160"/>
        <v>45174742.5</v>
      </c>
      <c r="AA1691" t="str">
        <f t="shared" si="161"/>
        <v>Normal</v>
      </c>
      <c r="AE1691" s="2"/>
      <c r="AF1691" s="2"/>
    </row>
    <row r="1692" spans="1:32" x14ac:dyDescent="0.35">
      <c r="A1692">
        <v>1691</v>
      </c>
      <c r="B1692" s="1">
        <v>42500</v>
      </c>
      <c r="C1692" s="9" t="s">
        <v>2896</v>
      </c>
      <c r="D1692" s="9" t="s">
        <v>4930</v>
      </c>
      <c r="E1692" s="9" t="s">
        <v>7082</v>
      </c>
      <c r="F1692" s="9" t="s">
        <v>35</v>
      </c>
      <c r="G1692" s="9" t="s">
        <v>2897</v>
      </c>
      <c r="H1692" s="9" t="s">
        <v>105</v>
      </c>
      <c r="I1692" s="11">
        <v>18000000</v>
      </c>
      <c r="J1692" s="11">
        <v>4450488</v>
      </c>
      <c r="K1692" s="11">
        <v>15878438</v>
      </c>
      <c r="L1692" s="3">
        <v>6</v>
      </c>
      <c r="M1692" s="3">
        <v>3876</v>
      </c>
      <c r="N1692" s="3">
        <v>1846231</v>
      </c>
      <c r="O1692" s="2">
        <v>0.19600000000000001</v>
      </c>
      <c r="P1692" s="2">
        <v>0.28999999999999998</v>
      </c>
      <c r="Q1692" s="2">
        <v>-7.0000000000000001E-3</v>
      </c>
      <c r="R1692" s="11">
        <v>487272144</v>
      </c>
      <c r="S1692" s="11">
        <v>911488</v>
      </c>
      <c r="T1692">
        <v>2016</v>
      </c>
      <c r="U1692">
        <v>5</v>
      </c>
      <c r="V1692">
        <f t="shared" si="156"/>
        <v>600000</v>
      </c>
      <c r="W1692">
        <f t="shared" si="157"/>
        <v>18429897</v>
      </c>
      <c r="X1692">
        <f t="shared" si="158"/>
        <v>17829897</v>
      </c>
      <c r="Y1692">
        <f t="shared" si="159"/>
        <v>-26144845.5</v>
      </c>
      <c r="Z1692">
        <f t="shared" si="160"/>
        <v>45174742.5</v>
      </c>
      <c r="AA1692" t="str">
        <f t="shared" si="161"/>
        <v>Normal</v>
      </c>
      <c r="AE1692" s="2"/>
      <c r="AF1692" s="2"/>
    </row>
    <row r="1693" spans="1:32" x14ac:dyDescent="0.35">
      <c r="A1693">
        <v>1692</v>
      </c>
      <c r="B1693" s="1">
        <v>42500</v>
      </c>
      <c r="C1693" s="9" t="s">
        <v>2898</v>
      </c>
      <c r="D1693" s="9" t="s">
        <v>4925</v>
      </c>
      <c r="E1693" s="9" t="s">
        <v>7083</v>
      </c>
      <c r="F1693" s="9" t="s">
        <v>31</v>
      </c>
      <c r="G1693" s="9" t="s">
        <v>856</v>
      </c>
      <c r="H1693" s="9" t="s">
        <v>86</v>
      </c>
      <c r="I1693" s="11">
        <v>1500000</v>
      </c>
      <c r="J1693" s="11">
        <v>3293910</v>
      </c>
      <c r="K1693" s="11">
        <v>8359709</v>
      </c>
      <c r="L1693" s="3">
        <v>450</v>
      </c>
      <c r="M1693" s="3">
        <v>1602</v>
      </c>
      <c r="N1693" s="3">
        <v>961980</v>
      </c>
      <c r="O1693" s="2">
        <v>0.20600000000000002</v>
      </c>
      <c r="P1693" s="2">
        <v>0.71400000000000008</v>
      </c>
      <c r="Q1693" s="2">
        <v>0.10300000000000001</v>
      </c>
      <c r="R1693" s="11">
        <v>7765657</v>
      </c>
      <c r="S1693" s="11">
        <v>1711302</v>
      </c>
      <c r="T1693">
        <v>2016</v>
      </c>
      <c r="U1693">
        <v>5</v>
      </c>
      <c r="V1693">
        <f t="shared" si="156"/>
        <v>600000</v>
      </c>
      <c r="W1693">
        <f t="shared" si="157"/>
        <v>18429897</v>
      </c>
      <c r="X1693">
        <f t="shared" si="158"/>
        <v>17829897</v>
      </c>
      <c r="Y1693">
        <f t="shared" si="159"/>
        <v>-26144845.5</v>
      </c>
      <c r="Z1693">
        <f t="shared" si="160"/>
        <v>45174742.5</v>
      </c>
      <c r="AA1693" t="str">
        <f t="shared" si="161"/>
        <v>Normal</v>
      </c>
      <c r="AE1693" s="2"/>
      <c r="AF1693" s="2"/>
    </row>
    <row r="1694" spans="1:32" x14ac:dyDescent="0.35">
      <c r="A1694">
        <v>1693</v>
      </c>
      <c r="B1694" s="1">
        <v>42500</v>
      </c>
      <c r="C1694" s="9" t="s">
        <v>729</v>
      </c>
      <c r="D1694" s="9" t="s">
        <v>4988</v>
      </c>
      <c r="E1694" s="9" t="s">
        <v>5267</v>
      </c>
      <c r="F1694" s="9" t="s">
        <v>15</v>
      </c>
      <c r="G1694" s="9" t="s">
        <v>2899</v>
      </c>
      <c r="H1694" s="9" t="s">
        <v>105</v>
      </c>
      <c r="I1694" s="11">
        <v>7000000</v>
      </c>
      <c r="J1694" s="11">
        <v>1987136</v>
      </c>
      <c r="K1694" s="11">
        <v>17273998</v>
      </c>
      <c r="L1694" s="3">
        <v>339</v>
      </c>
      <c r="M1694" s="3">
        <v>203</v>
      </c>
      <c r="N1694" s="3">
        <v>1165834</v>
      </c>
      <c r="O1694" s="2">
        <v>0.27800000000000002</v>
      </c>
      <c r="P1694" s="2">
        <v>0.9840000000000001</v>
      </c>
      <c r="Q1694" s="2">
        <v>0.36749999999999999</v>
      </c>
      <c r="R1694" s="11">
        <v>434701811</v>
      </c>
      <c r="S1694" s="11">
        <v>1974230</v>
      </c>
      <c r="T1694">
        <v>2016</v>
      </c>
      <c r="U1694">
        <v>5</v>
      </c>
      <c r="V1694">
        <f t="shared" si="156"/>
        <v>600000</v>
      </c>
      <c r="W1694">
        <f t="shared" si="157"/>
        <v>18429897</v>
      </c>
      <c r="X1694">
        <f t="shared" si="158"/>
        <v>17829897</v>
      </c>
      <c r="Y1694">
        <f t="shared" si="159"/>
        <v>-26144845.5</v>
      </c>
      <c r="Z1694">
        <f t="shared" si="160"/>
        <v>45174742.5</v>
      </c>
      <c r="AA1694" t="str">
        <f t="shared" si="161"/>
        <v>Normal</v>
      </c>
      <c r="AE1694" s="2"/>
      <c r="AF1694" s="2"/>
    </row>
    <row r="1695" spans="1:32" x14ac:dyDescent="0.35">
      <c r="A1695">
        <v>1694</v>
      </c>
      <c r="B1695" s="1">
        <v>42501</v>
      </c>
      <c r="C1695" s="9" t="s">
        <v>2900</v>
      </c>
      <c r="D1695" s="9" t="s">
        <v>4988</v>
      </c>
      <c r="E1695" s="9" t="s">
        <v>7084</v>
      </c>
      <c r="F1695" s="9" t="s">
        <v>15</v>
      </c>
      <c r="G1695" s="9" t="s">
        <v>856</v>
      </c>
      <c r="H1695" s="9" t="s">
        <v>105</v>
      </c>
      <c r="I1695" s="11">
        <v>900000</v>
      </c>
      <c r="J1695" s="11">
        <v>2531926</v>
      </c>
      <c r="K1695" s="11">
        <v>13505546</v>
      </c>
      <c r="L1695" s="3">
        <v>401</v>
      </c>
      <c r="M1695" s="3">
        <v>527</v>
      </c>
      <c r="N1695" s="3">
        <v>805568</v>
      </c>
      <c r="O1695" s="2">
        <v>-1.1000000000000001E-2</v>
      </c>
      <c r="P1695" s="2">
        <v>0.623</v>
      </c>
      <c r="Q1695" s="2">
        <v>-0.32</v>
      </c>
      <c r="R1695" s="11">
        <v>219537123</v>
      </c>
      <c r="S1695" s="11">
        <v>814139</v>
      </c>
      <c r="T1695">
        <v>2016</v>
      </c>
      <c r="U1695">
        <v>5</v>
      </c>
      <c r="V1695">
        <f t="shared" si="156"/>
        <v>600000</v>
      </c>
      <c r="W1695">
        <f t="shared" si="157"/>
        <v>18429897</v>
      </c>
      <c r="X1695">
        <f t="shared" si="158"/>
        <v>17829897</v>
      </c>
      <c r="Y1695">
        <f t="shared" si="159"/>
        <v>-26144845.5</v>
      </c>
      <c r="Z1695">
        <f t="shared" si="160"/>
        <v>45174742.5</v>
      </c>
      <c r="AA1695" t="str">
        <f t="shared" si="161"/>
        <v>Normal</v>
      </c>
      <c r="AE1695" s="2"/>
      <c r="AF1695" s="2"/>
    </row>
    <row r="1696" spans="1:32" x14ac:dyDescent="0.35">
      <c r="A1696">
        <v>1695</v>
      </c>
      <c r="B1696" s="1">
        <v>42501</v>
      </c>
      <c r="C1696" s="9" t="s">
        <v>2503</v>
      </c>
      <c r="D1696" s="9" t="s">
        <v>4988</v>
      </c>
      <c r="E1696" s="9" t="s">
        <v>7085</v>
      </c>
      <c r="F1696" s="9" t="s">
        <v>19</v>
      </c>
      <c r="G1696" s="9" t="s">
        <v>2901</v>
      </c>
      <c r="H1696" s="9" t="s">
        <v>105</v>
      </c>
      <c r="I1696" s="11">
        <v>18429897</v>
      </c>
      <c r="J1696" s="11">
        <v>3419256</v>
      </c>
      <c r="K1696" s="11">
        <v>1005362</v>
      </c>
      <c r="L1696" s="3">
        <v>63</v>
      </c>
      <c r="M1696" s="3">
        <v>4129</v>
      </c>
      <c r="N1696" s="3">
        <v>685420</v>
      </c>
      <c r="O1696" s="2">
        <v>0.27600000000000002</v>
      </c>
      <c r="P1696" s="2">
        <v>1.044E-2</v>
      </c>
      <c r="Q1696" s="2">
        <v>6.3E-2</v>
      </c>
      <c r="R1696" s="11">
        <v>472299580</v>
      </c>
      <c r="S1696" s="11">
        <v>51095</v>
      </c>
      <c r="T1696">
        <v>2016</v>
      </c>
      <c r="U1696">
        <v>5</v>
      </c>
      <c r="V1696">
        <f t="shared" si="156"/>
        <v>600000</v>
      </c>
      <c r="W1696">
        <f t="shared" si="157"/>
        <v>18429897</v>
      </c>
      <c r="X1696">
        <f t="shared" si="158"/>
        <v>17829897</v>
      </c>
      <c r="Y1696">
        <f t="shared" si="159"/>
        <v>-26144845.5</v>
      </c>
      <c r="Z1696">
        <f t="shared" si="160"/>
        <v>45174742.5</v>
      </c>
      <c r="AA1696" t="str">
        <f t="shared" si="161"/>
        <v>Normal</v>
      </c>
      <c r="AE1696" s="2"/>
      <c r="AF1696" s="2"/>
    </row>
    <row r="1697" spans="1:32" x14ac:dyDescent="0.35">
      <c r="A1697">
        <v>1696</v>
      </c>
      <c r="B1697" s="1">
        <v>42501</v>
      </c>
      <c r="C1697" s="9" t="s">
        <v>2902</v>
      </c>
      <c r="D1697" s="9" t="s">
        <v>4930</v>
      </c>
      <c r="E1697" s="9" t="s">
        <v>7086</v>
      </c>
      <c r="F1697" s="9" t="s">
        <v>31</v>
      </c>
      <c r="G1697" s="9" t="s">
        <v>2903</v>
      </c>
      <c r="H1697" s="9" t="s">
        <v>105</v>
      </c>
      <c r="I1697" s="11">
        <v>100000000</v>
      </c>
      <c r="J1697" s="11">
        <v>2354613</v>
      </c>
      <c r="K1697" s="11">
        <v>5626558</v>
      </c>
      <c r="L1697" s="3">
        <v>231</v>
      </c>
      <c r="M1697" s="3">
        <v>1775</v>
      </c>
      <c r="N1697" s="3">
        <v>1362076</v>
      </c>
      <c r="O1697" s="2">
        <v>0.42099999999999999</v>
      </c>
      <c r="P1697" s="2">
        <v>0.49</v>
      </c>
      <c r="Q1697" s="2">
        <v>0.68300000000000005</v>
      </c>
      <c r="R1697" s="11">
        <v>64496856</v>
      </c>
      <c r="S1697" s="11">
        <v>310985</v>
      </c>
      <c r="T1697">
        <v>2016</v>
      </c>
      <c r="U1697">
        <v>5</v>
      </c>
      <c r="V1697">
        <f t="shared" si="156"/>
        <v>600000</v>
      </c>
      <c r="W1697">
        <f t="shared" si="157"/>
        <v>18429897</v>
      </c>
      <c r="X1697">
        <f t="shared" si="158"/>
        <v>17829897</v>
      </c>
      <c r="Y1697">
        <f t="shared" si="159"/>
        <v>-26144845.5</v>
      </c>
      <c r="Z1697">
        <f t="shared" si="160"/>
        <v>45174742.5</v>
      </c>
      <c r="AA1697" t="str">
        <f t="shared" si="161"/>
        <v>Outlier</v>
      </c>
      <c r="AE1697" s="2"/>
      <c r="AF1697" s="2"/>
    </row>
    <row r="1698" spans="1:32" x14ac:dyDescent="0.35">
      <c r="A1698">
        <v>1697</v>
      </c>
      <c r="B1698" s="1">
        <v>42502</v>
      </c>
      <c r="C1698" s="9" t="s">
        <v>273</v>
      </c>
      <c r="D1698" s="9" t="s">
        <v>4988</v>
      </c>
      <c r="E1698" s="9" t="s">
        <v>7087</v>
      </c>
      <c r="F1698" s="9" t="s">
        <v>15</v>
      </c>
      <c r="G1698" s="9" t="s">
        <v>2904</v>
      </c>
      <c r="H1698" s="9" t="s">
        <v>86</v>
      </c>
      <c r="I1698" s="11">
        <v>500000</v>
      </c>
      <c r="J1698" s="11">
        <v>763883</v>
      </c>
      <c r="K1698" s="11">
        <v>18764575</v>
      </c>
      <c r="L1698" s="3">
        <v>231</v>
      </c>
      <c r="M1698" s="3">
        <v>3630</v>
      </c>
      <c r="N1698" s="3">
        <v>497708</v>
      </c>
      <c r="O1698" s="2">
        <v>-0.33500000000000002</v>
      </c>
      <c r="P1698" s="2">
        <v>0.69499999999999995</v>
      </c>
      <c r="Q1698" s="2">
        <v>0.32200000000000001</v>
      </c>
      <c r="R1698" s="11">
        <v>177938088</v>
      </c>
      <c r="S1698" s="11">
        <v>1844719</v>
      </c>
      <c r="T1698">
        <v>2016</v>
      </c>
      <c r="U1698">
        <v>5</v>
      </c>
      <c r="V1698">
        <f t="shared" si="156"/>
        <v>600000</v>
      </c>
      <c r="W1698">
        <f t="shared" si="157"/>
        <v>18429897</v>
      </c>
      <c r="X1698">
        <f t="shared" si="158"/>
        <v>17829897</v>
      </c>
      <c r="Y1698">
        <f t="shared" si="159"/>
        <v>-26144845.5</v>
      </c>
      <c r="Z1698">
        <f t="shared" si="160"/>
        <v>45174742.5</v>
      </c>
      <c r="AA1698" t="str">
        <f t="shared" si="161"/>
        <v>Normal</v>
      </c>
      <c r="AE1698" s="2"/>
      <c r="AF1698" s="2"/>
    </row>
    <row r="1699" spans="1:32" x14ac:dyDescent="0.35">
      <c r="A1699">
        <v>1698</v>
      </c>
      <c r="B1699" s="1">
        <v>42502</v>
      </c>
      <c r="C1699" s="9" t="s">
        <v>644</v>
      </c>
      <c r="D1699" s="9" t="s">
        <v>4988</v>
      </c>
      <c r="E1699" s="9" t="s">
        <v>1111</v>
      </c>
      <c r="F1699" s="9" t="s">
        <v>15</v>
      </c>
      <c r="G1699" s="9" t="s">
        <v>2905</v>
      </c>
      <c r="H1699" s="9" t="s">
        <v>105</v>
      </c>
      <c r="I1699" s="11">
        <v>25000000</v>
      </c>
      <c r="J1699" s="11">
        <v>1811058</v>
      </c>
      <c r="K1699" s="11">
        <v>147922</v>
      </c>
      <c r="L1699" s="3">
        <v>137</v>
      </c>
      <c r="M1699" s="3">
        <v>4014</v>
      </c>
      <c r="N1699" s="3">
        <v>1758110</v>
      </c>
      <c r="O1699" s="2">
        <v>0.13</v>
      </c>
      <c r="P1699" s="2">
        <v>0.28999999999999998</v>
      </c>
      <c r="Q1699" s="2">
        <v>-0.02</v>
      </c>
      <c r="R1699" s="11">
        <v>258951237</v>
      </c>
      <c r="S1699" s="11">
        <v>1432186</v>
      </c>
      <c r="T1699">
        <v>2016</v>
      </c>
      <c r="U1699">
        <v>5</v>
      </c>
      <c r="V1699">
        <f t="shared" si="156"/>
        <v>600000</v>
      </c>
      <c r="W1699">
        <f t="shared" si="157"/>
        <v>18429897</v>
      </c>
      <c r="X1699">
        <f t="shared" si="158"/>
        <v>17829897</v>
      </c>
      <c r="Y1699">
        <f t="shared" si="159"/>
        <v>-26144845.5</v>
      </c>
      <c r="Z1699">
        <f t="shared" si="160"/>
        <v>45174742.5</v>
      </c>
      <c r="AA1699" t="str">
        <f t="shared" si="161"/>
        <v>Normal</v>
      </c>
      <c r="AE1699" s="2"/>
      <c r="AF1699" s="2"/>
    </row>
    <row r="1700" spans="1:32" x14ac:dyDescent="0.35">
      <c r="A1700">
        <v>1699</v>
      </c>
      <c r="B1700" s="1">
        <v>42502</v>
      </c>
      <c r="C1700" s="9" t="s">
        <v>2906</v>
      </c>
      <c r="D1700" s="9" t="s">
        <v>2539</v>
      </c>
      <c r="E1700" s="9" t="s">
        <v>7088</v>
      </c>
      <c r="F1700" s="9" t="s">
        <v>124</v>
      </c>
      <c r="G1700" s="9" t="s">
        <v>2907</v>
      </c>
      <c r="H1700" s="9" t="s">
        <v>105</v>
      </c>
      <c r="I1700" s="11">
        <v>150000</v>
      </c>
      <c r="J1700" s="11">
        <v>4808517</v>
      </c>
      <c r="K1700" s="11">
        <v>2249809</v>
      </c>
      <c r="L1700" s="3">
        <v>424</v>
      </c>
      <c r="M1700" s="3">
        <v>4488</v>
      </c>
      <c r="N1700" s="3">
        <v>227402</v>
      </c>
      <c r="O1700" s="2">
        <v>-0.24100000000000002</v>
      </c>
      <c r="P1700" s="2">
        <v>0.72599999999999998</v>
      </c>
      <c r="Q1700" s="2">
        <v>0.188</v>
      </c>
      <c r="R1700" s="11">
        <v>158602173</v>
      </c>
      <c r="S1700" s="11">
        <v>446819</v>
      </c>
      <c r="T1700">
        <v>2016</v>
      </c>
      <c r="U1700">
        <v>5</v>
      </c>
      <c r="V1700">
        <f t="shared" si="156"/>
        <v>600000</v>
      </c>
      <c r="W1700">
        <f t="shared" si="157"/>
        <v>18429897</v>
      </c>
      <c r="X1700">
        <f t="shared" si="158"/>
        <v>17829897</v>
      </c>
      <c r="Y1700">
        <f t="shared" si="159"/>
        <v>-26144845.5</v>
      </c>
      <c r="Z1700">
        <f t="shared" si="160"/>
        <v>45174742.5</v>
      </c>
      <c r="AA1700" t="str">
        <f t="shared" si="161"/>
        <v>Normal</v>
      </c>
      <c r="AE1700" s="2"/>
      <c r="AF1700" s="2"/>
    </row>
    <row r="1701" spans="1:32" x14ac:dyDescent="0.35">
      <c r="A1701">
        <v>1700</v>
      </c>
      <c r="B1701" s="1">
        <v>42502</v>
      </c>
      <c r="C1701" s="9" t="s">
        <v>2908</v>
      </c>
      <c r="D1701" s="9" t="s">
        <v>4988</v>
      </c>
      <c r="E1701" s="9" t="s">
        <v>5876</v>
      </c>
      <c r="F1701" s="9" t="s">
        <v>294</v>
      </c>
      <c r="G1701" s="9" t="s">
        <v>2909</v>
      </c>
      <c r="H1701" s="9" t="s">
        <v>86</v>
      </c>
      <c r="I1701" s="11">
        <v>18429897</v>
      </c>
      <c r="J1701" s="11">
        <v>1341620</v>
      </c>
      <c r="K1701" s="11">
        <v>10153449</v>
      </c>
      <c r="L1701" s="3">
        <v>98</v>
      </c>
      <c r="M1701" s="3">
        <v>2485</v>
      </c>
      <c r="N1701" s="3">
        <v>444528</v>
      </c>
      <c r="O1701" s="2">
        <v>-5.2000000000000005E-2</v>
      </c>
      <c r="P1701" s="2">
        <v>1.0609999999999999</v>
      </c>
      <c r="Q1701" s="2">
        <v>0.72899999999999998</v>
      </c>
      <c r="R1701" s="11">
        <v>124472735</v>
      </c>
      <c r="S1701" s="11">
        <v>1403712</v>
      </c>
      <c r="T1701">
        <v>2016</v>
      </c>
      <c r="U1701">
        <v>5</v>
      </c>
      <c r="V1701">
        <f t="shared" si="156"/>
        <v>600000</v>
      </c>
      <c r="W1701">
        <f t="shared" si="157"/>
        <v>18429897</v>
      </c>
      <c r="X1701">
        <f t="shared" si="158"/>
        <v>17829897</v>
      </c>
      <c r="Y1701">
        <f t="shared" si="159"/>
        <v>-26144845.5</v>
      </c>
      <c r="Z1701">
        <f t="shared" si="160"/>
        <v>45174742.5</v>
      </c>
      <c r="AA1701" t="str">
        <f t="shared" si="161"/>
        <v>Normal</v>
      </c>
      <c r="AE1701" s="2"/>
      <c r="AF1701" s="2"/>
    </row>
    <row r="1702" spans="1:32" x14ac:dyDescent="0.35">
      <c r="A1702">
        <v>1701</v>
      </c>
      <c r="B1702" s="1">
        <v>42502</v>
      </c>
      <c r="C1702" s="9" t="s">
        <v>2910</v>
      </c>
      <c r="D1702" s="9" t="s">
        <v>4988</v>
      </c>
      <c r="E1702" s="9" t="s">
        <v>7089</v>
      </c>
      <c r="F1702" s="9" t="s">
        <v>2911</v>
      </c>
      <c r="G1702" s="9" t="s">
        <v>2912</v>
      </c>
      <c r="H1702" s="9" t="s">
        <v>86</v>
      </c>
      <c r="I1702" s="11">
        <v>18429897</v>
      </c>
      <c r="J1702" s="11">
        <v>908639</v>
      </c>
      <c r="K1702" s="11">
        <v>19876842</v>
      </c>
      <c r="L1702" s="3">
        <v>254</v>
      </c>
      <c r="M1702" s="3">
        <v>3205</v>
      </c>
      <c r="N1702" s="3">
        <v>1503234</v>
      </c>
      <c r="O1702" s="2">
        <v>-3.5999999999999997E-2</v>
      </c>
      <c r="P1702" s="2">
        <v>0.35200000000000004</v>
      </c>
      <c r="Q1702" s="2">
        <v>0.15</v>
      </c>
      <c r="R1702" s="11">
        <v>11406613</v>
      </c>
      <c r="S1702" s="11">
        <v>386961</v>
      </c>
      <c r="T1702">
        <v>2016</v>
      </c>
      <c r="U1702">
        <v>5</v>
      </c>
      <c r="V1702">
        <f t="shared" si="156"/>
        <v>600000</v>
      </c>
      <c r="W1702">
        <f t="shared" si="157"/>
        <v>18429897</v>
      </c>
      <c r="X1702">
        <f t="shared" si="158"/>
        <v>17829897</v>
      </c>
      <c r="Y1702">
        <f t="shared" si="159"/>
        <v>-26144845.5</v>
      </c>
      <c r="Z1702">
        <f t="shared" si="160"/>
        <v>45174742.5</v>
      </c>
      <c r="AA1702" t="str">
        <f t="shared" si="161"/>
        <v>Normal</v>
      </c>
      <c r="AE1702" s="2"/>
      <c r="AF1702" s="2"/>
    </row>
    <row r="1703" spans="1:32" x14ac:dyDescent="0.35">
      <c r="A1703">
        <v>1702</v>
      </c>
      <c r="B1703" s="1">
        <v>42502</v>
      </c>
      <c r="C1703" s="9" t="s">
        <v>2913</v>
      </c>
      <c r="D1703" s="9" t="s">
        <v>4988</v>
      </c>
      <c r="E1703" s="9" t="s">
        <v>7090</v>
      </c>
      <c r="F1703" s="9" t="s">
        <v>15</v>
      </c>
      <c r="G1703" s="9" t="s">
        <v>2914</v>
      </c>
      <c r="H1703" s="9" t="s">
        <v>86</v>
      </c>
      <c r="I1703" s="11">
        <v>18429897</v>
      </c>
      <c r="J1703" s="11">
        <v>3416237</v>
      </c>
      <c r="K1703" s="11">
        <v>14125367</v>
      </c>
      <c r="L1703" s="3">
        <v>120</v>
      </c>
      <c r="M1703" s="3">
        <v>1018</v>
      </c>
      <c r="N1703" s="3">
        <v>165825</v>
      </c>
      <c r="O1703" s="2">
        <v>0.107</v>
      </c>
      <c r="P1703" s="2">
        <v>0.81</v>
      </c>
      <c r="Q1703" s="2">
        <v>-0.12300000000000001</v>
      </c>
      <c r="R1703" s="11">
        <v>443414048</v>
      </c>
      <c r="S1703" s="11">
        <v>1760432</v>
      </c>
      <c r="T1703">
        <v>2016</v>
      </c>
      <c r="U1703">
        <v>5</v>
      </c>
      <c r="V1703">
        <f t="shared" si="156"/>
        <v>600000</v>
      </c>
      <c r="W1703">
        <f t="shared" si="157"/>
        <v>18429897</v>
      </c>
      <c r="X1703">
        <f t="shared" si="158"/>
        <v>17829897</v>
      </c>
      <c r="Y1703">
        <f t="shared" si="159"/>
        <v>-26144845.5</v>
      </c>
      <c r="Z1703">
        <f t="shared" si="160"/>
        <v>45174742.5</v>
      </c>
      <c r="AA1703" t="str">
        <f t="shared" si="161"/>
        <v>Normal</v>
      </c>
      <c r="AE1703" s="2"/>
      <c r="AF1703" s="2"/>
    </row>
    <row r="1704" spans="1:32" x14ac:dyDescent="0.35">
      <c r="A1704">
        <v>1703</v>
      </c>
      <c r="B1704" s="1">
        <v>42502</v>
      </c>
      <c r="C1704" s="9" t="s">
        <v>2915</v>
      </c>
      <c r="D1704" s="9" t="s">
        <v>4928</v>
      </c>
      <c r="E1704" s="9" t="s">
        <v>7091</v>
      </c>
      <c r="F1704" s="9" t="s">
        <v>19</v>
      </c>
      <c r="G1704" s="9" t="s">
        <v>2916</v>
      </c>
      <c r="H1704" s="9" t="s">
        <v>86</v>
      </c>
      <c r="I1704" s="11">
        <v>18429897</v>
      </c>
      <c r="J1704" s="11">
        <v>1013719</v>
      </c>
      <c r="K1704" s="11">
        <v>3038445</v>
      </c>
      <c r="L1704" s="3">
        <v>494</v>
      </c>
      <c r="M1704" s="3">
        <v>4709</v>
      </c>
      <c r="N1704" s="3">
        <v>824811</v>
      </c>
      <c r="O1704" s="2">
        <v>0.19600000000000001</v>
      </c>
      <c r="P1704" s="2">
        <v>0.51400000000000001</v>
      </c>
      <c r="Q1704" s="2">
        <v>0.11699999999999999</v>
      </c>
      <c r="R1704" s="11">
        <v>250264963</v>
      </c>
      <c r="S1704" s="11">
        <v>976561</v>
      </c>
      <c r="T1704">
        <v>2016</v>
      </c>
      <c r="U1704">
        <v>5</v>
      </c>
      <c r="V1704">
        <f t="shared" si="156"/>
        <v>600000</v>
      </c>
      <c r="W1704">
        <f t="shared" si="157"/>
        <v>18429897</v>
      </c>
      <c r="X1704">
        <f t="shared" si="158"/>
        <v>17829897</v>
      </c>
      <c r="Y1704">
        <f t="shared" si="159"/>
        <v>-26144845.5</v>
      </c>
      <c r="Z1704">
        <f t="shared" si="160"/>
        <v>45174742.5</v>
      </c>
      <c r="AA1704" t="str">
        <f t="shared" si="161"/>
        <v>Normal</v>
      </c>
      <c r="AE1704" s="2"/>
      <c r="AF1704" s="2"/>
    </row>
    <row r="1705" spans="1:32" x14ac:dyDescent="0.35">
      <c r="A1705">
        <v>1704</v>
      </c>
      <c r="B1705" s="1">
        <v>42503</v>
      </c>
      <c r="C1705" s="9" t="s">
        <v>2917</v>
      </c>
      <c r="D1705" s="9" t="s">
        <v>4988</v>
      </c>
      <c r="E1705" s="9" t="s">
        <v>7092</v>
      </c>
      <c r="F1705" s="9" t="s">
        <v>35</v>
      </c>
      <c r="G1705" s="9" t="s">
        <v>2918</v>
      </c>
      <c r="H1705" s="9" t="s">
        <v>105</v>
      </c>
      <c r="I1705" s="11">
        <v>13500000</v>
      </c>
      <c r="J1705" s="11">
        <v>4601146</v>
      </c>
      <c r="K1705" s="11">
        <v>7922954</v>
      </c>
      <c r="L1705" s="3">
        <v>254</v>
      </c>
      <c r="M1705" s="3">
        <v>4421</v>
      </c>
      <c r="N1705" s="3">
        <v>755656</v>
      </c>
      <c r="O1705" s="2">
        <v>0.30099999999999999</v>
      </c>
      <c r="P1705" s="2">
        <v>0.55299999999999994</v>
      </c>
      <c r="Q1705" s="2">
        <v>0.26</v>
      </c>
      <c r="R1705" s="11">
        <v>62064166</v>
      </c>
      <c r="S1705" s="11">
        <v>1008193.5</v>
      </c>
      <c r="T1705">
        <v>2016</v>
      </c>
      <c r="U1705">
        <v>5</v>
      </c>
      <c r="V1705">
        <f t="shared" si="156"/>
        <v>600000</v>
      </c>
      <c r="W1705">
        <f t="shared" si="157"/>
        <v>18429897</v>
      </c>
      <c r="X1705">
        <f t="shared" si="158"/>
        <v>17829897</v>
      </c>
      <c r="Y1705">
        <f t="shared" si="159"/>
        <v>-26144845.5</v>
      </c>
      <c r="Z1705">
        <f t="shared" si="160"/>
        <v>45174742.5</v>
      </c>
      <c r="AA1705" t="str">
        <f t="shared" si="161"/>
        <v>Normal</v>
      </c>
      <c r="AE1705" s="2"/>
      <c r="AF1705" s="2"/>
    </row>
    <row r="1706" spans="1:32" x14ac:dyDescent="0.35">
      <c r="A1706">
        <v>1705</v>
      </c>
      <c r="B1706" s="1">
        <v>42503</v>
      </c>
      <c r="C1706" s="9" t="s">
        <v>547</v>
      </c>
      <c r="D1706" s="9" t="s">
        <v>4928</v>
      </c>
      <c r="E1706" s="9" t="s">
        <v>7093</v>
      </c>
      <c r="F1706" s="9" t="s">
        <v>31</v>
      </c>
      <c r="G1706" s="9" t="s">
        <v>2919</v>
      </c>
      <c r="H1706" s="9" t="s">
        <v>105</v>
      </c>
      <c r="I1706" s="11">
        <v>2200000</v>
      </c>
      <c r="J1706" s="11">
        <v>4297734</v>
      </c>
      <c r="K1706" s="11">
        <v>18796895</v>
      </c>
      <c r="L1706" s="3">
        <v>292</v>
      </c>
      <c r="M1706" s="3">
        <v>1979</v>
      </c>
      <c r="N1706" s="3">
        <v>1873105</v>
      </c>
      <c r="O1706" s="2">
        <v>0.17299999999999999</v>
      </c>
      <c r="P1706" s="2">
        <v>0.20899999999999999</v>
      </c>
      <c r="Q1706" s="2">
        <v>0.20399999999999999</v>
      </c>
      <c r="R1706" s="11">
        <v>418138164</v>
      </c>
      <c r="S1706" s="11">
        <v>1307802</v>
      </c>
      <c r="T1706">
        <v>2016</v>
      </c>
      <c r="U1706">
        <v>5</v>
      </c>
      <c r="V1706">
        <f t="shared" si="156"/>
        <v>600000</v>
      </c>
      <c r="W1706">
        <f t="shared" si="157"/>
        <v>18429897</v>
      </c>
      <c r="X1706">
        <f t="shared" si="158"/>
        <v>17829897</v>
      </c>
      <c r="Y1706">
        <f t="shared" si="159"/>
        <v>-26144845.5</v>
      </c>
      <c r="Z1706">
        <f t="shared" si="160"/>
        <v>45174742.5</v>
      </c>
      <c r="AA1706" t="str">
        <f t="shared" si="161"/>
        <v>Normal</v>
      </c>
      <c r="AE1706" s="2"/>
      <c r="AF1706" s="2"/>
    </row>
    <row r="1707" spans="1:32" x14ac:dyDescent="0.35">
      <c r="A1707">
        <v>1706</v>
      </c>
      <c r="B1707" s="1">
        <v>42506</v>
      </c>
      <c r="C1707" s="9" t="s">
        <v>580</v>
      </c>
      <c r="D1707" s="9" t="s">
        <v>4925</v>
      </c>
      <c r="E1707" s="9" t="s">
        <v>7094</v>
      </c>
      <c r="F1707" s="9" t="s">
        <v>94</v>
      </c>
      <c r="G1707" s="9" t="s">
        <v>2920</v>
      </c>
      <c r="H1707" s="9" t="s">
        <v>105</v>
      </c>
      <c r="I1707" s="11">
        <v>1000000</v>
      </c>
      <c r="J1707" s="11">
        <v>4917980</v>
      </c>
      <c r="K1707" s="11">
        <v>4461565</v>
      </c>
      <c r="L1707" s="3">
        <v>95</v>
      </c>
      <c r="M1707" s="3">
        <v>1867</v>
      </c>
      <c r="N1707" s="3">
        <v>1018455</v>
      </c>
      <c r="O1707" s="2">
        <v>0.255</v>
      </c>
      <c r="P1707" s="2">
        <v>0.73299999999999998</v>
      </c>
      <c r="Q1707" s="2">
        <v>0.46299999999999997</v>
      </c>
      <c r="R1707" s="11">
        <v>220087701</v>
      </c>
      <c r="S1707" s="11">
        <v>432115</v>
      </c>
      <c r="T1707">
        <v>2016</v>
      </c>
      <c r="U1707">
        <v>5</v>
      </c>
      <c r="V1707">
        <f t="shared" si="156"/>
        <v>600000</v>
      </c>
      <c r="W1707">
        <f t="shared" si="157"/>
        <v>18429897</v>
      </c>
      <c r="X1707">
        <f t="shared" si="158"/>
        <v>17829897</v>
      </c>
      <c r="Y1707">
        <f t="shared" si="159"/>
        <v>-26144845.5</v>
      </c>
      <c r="Z1707">
        <f t="shared" si="160"/>
        <v>45174742.5</v>
      </c>
      <c r="AA1707" t="str">
        <f t="shared" si="161"/>
        <v>Normal</v>
      </c>
      <c r="AE1707" s="2"/>
      <c r="AF1707" s="2"/>
    </row>
    <row r="1708" spans="1:32" x14ac:dyDescent="0.35">
      <c r="A1708">
        <v>1707</v>
      </c>
      <c r="B1708" s="1">
        <v>42506</v>
      </c>
      <c r="C1708" s="9" t="s">
        <v>2921</v>
      </c>
      <c r="D1708" s="9" t="s">
        <v>4988</v>
      </c>
      <c r="E1708" s="9" t="s">
        <v>7095</v>
      </c>
      <c r="F1708" s="9" t="s">
        <v>31</v>
      </c>
      <c r="G1708" s="9" t="s">
        <v>2922</v>
      </c>
      <c r="H1708" s="9" t="s">
        <v>105</v>
      </c>
      <c r="I1708" s="11">
        <v>18429897</v>
      </c>
      <c r="J1708" s="11">
        <v>4564662</v>
      </c>
      <c r="K1708" s="11">
        <v>11552088</v>
      </c>
      <c r="L1708" s="3">
        <v>200</v>
      </c>
      <c r="M1708" s="3">
        <v>3676</v>
      </c>
      <c r="N1708" s="3">
        <v>908837</v>
      </c>
      <c r="O1708" s="2">
        <v>-9.6000000000000002E-2</v>
      </c>
      <c r="P1708" s="2">
        <v>0.50800000000000001</v>
      </c>
      <c r="Q1708" s="2">
        <v>0.125</v>
      </c>
      <c r="R1708" s="11">
        <v>484057597</v>
      </c>
      <c r="S1708" s="11">
        <v>1252575</v>
      </c>
      <c r="T1708">
        <v>2016</v>
      </c>
      <c r="U1708">
        <v>5</v>
      </c>
      <c r="V1708">
        <f t="shared" si="156"/>
        <v>600000</v>
      </c>
      <c r="W1708">
        <f t="shared" si="157"/>
        <v>18429897</v>
      </c>
      <c r="X1708">
        <f t="shared" si="158"/>
        <v>17829897</v>
      </c>
      <c r="Y1708">
        <f t="shared" si="159"/>
        <v>-26144845.5</v>
      </c>
      <c r="Z1708">
        <f t="shared" si="160"/>
        <v>45174742.5</v>
      </c>
      <c r="AA1708" t="str">
        <f t="shared" si="161"/>
        <v>Normal</v>
      </c>
      <c r="AE1708" s="2"/>
      <c r="AF1708" s="2"/>
    </row>
    <row r="1709" spans="1:32" x14ac:dyDescent="0.35">
      <c r="A1709">
        <v>1708</v>
      </c>
      <c r="B1709" s="1">
        <v>42507</v>
      </c>
      <c r="C1709" s="9" t="s">
        <v>2923</v>
      </c>
      <c r="D1709" s="9" t="s">
        <v>4988</v>
      </c>
      <c r="E1709" s="9" t="s">
        <v>7096</v>
      </c>
      <c r="F1709" s="9" t="s">
        <v>31</v>
      </c>
      <c r="G1709" s="9" t="s">
        <v>2924</v>
      </c>
      <c r="H1709" s="9" t="s">
        <v>105</v>
      </c>
      <c r="I1709" s="11">
        <v>18429897</v>
      </c>
      <c r="J1709" s="11">
        <v>1233945</v>
      </c>
      <c r="K1709" s="11">
        <v>9333736</v>
      </c>
      <c r="L1709" s="3">
        <v>278</v>
      </c>
      <c r="M1709" s="3">
        <v>2099</v>
      </c>
      <c r="N1709" s="3">
        <v>919332</v>
      </c>
      <c r="O1709" s="2">
        <v>0.33100000000000002</v>
      </c>
      <c r="P1709" s="2">
        <v>0.34700000000000003</v>
      </c>
      <c r="Q1709" s="2">
        <v>-0.48599999999999999</v>
      </c>
      <c r="R1709" s="11">
        <v>69851745</v>
      </c>
      <c r="S1709" s="11">
        <v>1339636</v>
      </c>
      <c r="T1709">
        <v>2016</v>
      </c>
      <c r="U1709">
        <v>5</v>
      </c>
      <c r="V1709">
        <f t="shared" si="156"/>
        <v>600000</v>
      </c>
      <c r="W1709">
        <f t="shared" si="157"/>
        <v>18429897</v>
      </c>
      <c r="X1709">
        <f t="shared" si="158"/>
        <v>17829897</v>
      </c>
      <c r="Y1709">
        <f t="shared" si="159"/>
        <v>-26144845.5</v>
      </c>
      <c r="Z1709">
        <f t="shared" si="160"/>
        <v>45174742.5</v>
      </c>
      <c r="AA1709" t="str">
        <f t="shared" si="161"/>
        <v>Normal</v>
      </c>
      <c r="AE1709" s="2"/>
      <c r="AF1709" s="2"/>
    </row>
    <row r="1710" spans="1:32" x14ac:dyDescent="0.35">
      <c r="A1710">
        <v>1709</v>
      </c>
      <c r="B1710" s="1">
        <v>42507</v>
      </c>
      <c r="C1710" s="9" t="s">
        <v>2578</v>
      </c>
      <c r="D1710" s="9" t="s">
        <v>4988</v>
      </c>
      <c r="E1710" s="9" t="s">
        <v>7097</v>
      </c>
      <c r="F1710" s="9" t="s">
        <v>19</v>
      </c>
      <c r="G1710" s="9" t="s">
        <v>2925</v>
      </c>
      <c r="H1710" s="9" t="s">
        <v>105</v>
      </c>
      <c r="I1710" s="11">
        <v>18429897</v>
      </c>
      <c r="J1710" s="11">
        <v>1076494</v>
      </c>
      <c r="K1710" s="11">
        <v>15233144</v>
      </c>
      <c r="L1710" s="3">
        <v>14</v>
      </c>
      <c r="M1710" s="3">
        <v>3641</v>
      </c>
      <c r="N1710" s="3">
        <v>1636771</v>
      </c>
      <c r="O1710" s="2">
        <v>-0.53900000000000003</v>
      </c>
      <c r="P1710" s="2">
        <v>0.434</v>
      </c>
      <c r="Q1710" s="2">
        <v>0.218</v>
      </c>
      <c r="R1710" s="11">
        <v>162255904</v>
      </c>
      <c r="S1710" s="11">
        <v>713497</v>
      </c>
      <c r="T1710">
        <v>2016</v>
      </c>
      <c r="U1710">
        <v>5</v>
      </c>
      <c r="V1710">
        <f t="shared" si="156"/>
        <v>600000</v>
      </c>
      <c r="W1710">
        <f t="shared" si="157"/>
        <v>18429897</v>
      </c>
      <c r="X1710">
        <f t="shared" si="158"/>
        <v>17829897</v>
      </c>
      <c r="Y1710">
        <f t="shared" si="159"/>
        <v>-26144845.5</v>
      </c>
      <c r="Z1710">
        <f t="shared" si="160"/>
        <v>45174742.5</v>
      </c>
      <c r="AA1710" t="str">
        <f t="shared" si="161"/>
        <v>Normal</v>
      </c>
      <c r="AE1710" s="2"/>
      <c r="AF1710" s="2"/>
    </row>
    <row r="1711" spans="1:32" x14ac:dyDescent="0.35">
      <c r="A1711">
        <v>1710</v>
      </c>
      <c r="B1711" s="1">
        <v>42507</v>
      </c>
      <c r="C1711" s="9" t="s">
        <v>2926</v>
      </c>
      <c r="D1711" s="9" t="s">
        <v>4925</v>
      </c>
      <c r="E1711" s="9" t="s">
        <v>7098</v>
      </c>
      <c r="F1711" s="9" t="s">
        <v>31</v>
      </c>
      <c r="G1711" s="9" t="s">
        <v>2927</v>
      </c>
      <c r="H1711" s="9" t="s">
        <v>86</v>
      </c>
      <c r="I1711" s="11">
        <v>18429897</v>
      </c>
      <c r="J1711" s="11">
        <v>1726344</v>
      </c>
      <c r="K1711" s="11">
        <v>15071735</v>
      </c>
      <c r="L1711" s="3">
        <v>124</v>
      </c>
      <c r="M1711" s="3">
        <v>497</v>
      </c>
      <c r="N1711" s="3">
        <v>1081918</v>
      </c>
      <c r="O1711" s="2">
        <v>0.42499999999999999</v>
      </c>
      <c r="P1711" s="2">
        <v>0.42599999999999999</v>
      </c>
      <c r="Q1711" s="2">
        <v>0.20100000000000001</v>
      </c>
      <c r="R1711" s="11">
        <v>285061581</v>
      </c>
      <c r="S1711" s="11">
        <v>1093714</v>
      </c>
      <c r="T1711">
        <v>2016</v>
      </c>
      <c r="U1711">
        <v>5</v>
      </c>
      <c r="V1711">
        <f t="shared" si="156"/>
        <v>600000</v>
      </c>
      <c r="W1711">
        <f t="shared" si="157"/>
        <v>18429897</v>
      </c>
      <c r="X1711">
        <f t="shared" si="158"/>
        <v>17829897</v>
      </c>
      <c r="Y1711">
        <f t="shared" si="159"/>
        <v>-26144845.5</v>
      </c>
      <c r="Z1711">
        <f t="shared" si="160"/>
        <v>45174742.5</v>
      </c>
      <c r="AA1711" t="str">
        <f t="shared" si="161"/>
        <v>Normal</v>
      </c>
      <c r="AE1711" s="2"/>
      <c r="AF1711" s="2"/>
    </row>
    <row r="1712" spans="1:32" x14ac:dyDescent="0.35">
      <c r="A1712">
        <v>1711</v>
      </c>
      <c r="B1712" s="1">
        <v>42508</v>
      </c>
      <c r="C1712" s="9" t="s">
        <v>2928</v>
      </c>
      <c r="D1712" s="9" t="s">
        <v>4988</v>
      </c>
      <c r="E1712" s="9" t="s">
        <v>7099</v>
      </c>
      <c r="F1712" s="9" t="s">
        <v>15</v>
      </c>
      <c r="G1712" s="9" t="s">
        <v>1106</v>
      </c>
      <c r="H1712" s="9" t="s">
        <v>86</v>
      </c>
      <c r="I1712" s="11">
        <v>250000</v>
      </c>
      <c r="J1712" s="11">
        <v>2359608</v>
      </c>
      <c r="K1712" s="11">
        <v>16682356</v>
      </c>
      <c r="L1712" s="3">
        <v>295</v>
      </c>
      <c r="M1712" s="3">
        <v>1379</v>
      </c>
      <c r="N1712" s="3">
        <v>260562</v>
      </c>
      <c r="O1712" s="2">
        <v>0.38900000000000001</v>
      </c>
      <c r="P1712" s="2">
        <v>0.76200000000000001</v>
      </c>
      <c r="Q1712" s="2">
        <v>0.185</v>
      </c>
      <c r="R1712" s="11">
        <v>350037825</v>
      </c>
      <c r="S1712" s="11">
        <v>1233532</v>
      </c>
      <c r="T1712">
        <v>2016</v>
      </c>
      <c r="U1712">
        <v>5</v>
      </c>
      <c r="V1712">
        <f t="shared" si="156"/>
        <v>600000</v>
      </c>
      <c r="W1712">
        <f t="shared" si="157"/>
        <v>18429897</v>
      </c>
      <c r="X1712">
        <f t="shared" si="158"/>
        <v>17829897</v>
      </c>
      <c r="Y1712">
        <f t="shared" si="159"/>
        <v>-26144845.5</v>
      </c>
      <c r="Z1712">
        <f t="shared" si="160"/>
        <v>45174742.5</v>
      </c>
      <c r="AA1712" t="str">
        <f t="shared" si="161"/>
        <v>Normal</v>
      </c>
      <c r="AE1712" s="2"/>
      <c r="AF1712" s="2"/>
    </row>
    <row r="1713" spans="1:32" x14ac:dyDescent="0.35">
      <c r="A1713">
        <v>1712</v>
      </c>
      <c r="B1713" s="1">
        <v>42508</v>
      </c>
      <c r="C1713" s="9" t="s">
        <v>2929</v>
      </c>
      <c r="D1713" s="9" t="s">
        <v>4988</v>
      </c>
      <c r="E1713" s="9" t="s">
        <v>7100</v>
      </c>
      <c r="F1713" s="9" t="s">
        <v>1485</v>
      </c>
      <c r="G1713" s="9" t="s">
        <v>2930</v>
      </c>
      <c r="H1713" s="9" t="s">
        <v>86</v>
      </c>
      <c r="I1713" s="11">
        <v>100000</v>
      </c>
      <c r="J1713" s="11">
        <v>4402378</v>
      </c>
      <c r="K1713" s="11">
        <v>2476718</v>
      </c>
      <c r="L1713" s="3">
        <v>12</v>
      </c>
      <c r="M1713" s="3">
        <v>3912</v>
      </c>
      <c r="N1713" s="3">
        <v>1740905</v>
      </c>
      <c r="O1713" s="2">
        <v>0.27</v>
      </c>
      <c r="P1713" s="2">
        <v>0.39</v>
      </c>
      <c r="Q1713" s="2">
        <v>-0.112</v>
      </c>
      <c r="R1713" s="11">
        <v>157959859</v>
      </c>
      <c r="S1713" s="11">
        <v>142182</v>
      </c>
      <c r="T1713">
        <v>2016</v>
      </c>
      <c r="U1713">
        <v>5</v>
      </c>
      <c r="V1713">
        <f t="shared" si="156"/>
        <v>600000</v>
      </c>
      <c r="W1713">
        <f t="shared" si="157"/>
        <v>18429897</v>
      </c>
      <c r="X1713">
        <f t="shared" si="158"/>
        <v>17829897</v>
      </c>
      <c r="Y1713">
        <f t="shared" si="159"/>
        <v>-26144845.5</v>
      </c>
      <c r="Z1713">
        <f t="shared" si="160"/>
        <v>45174742.5</v>
      </c>
      <c r="AA1713" t="str">
        <f t="shared" si="161"/>
        <v>Normal</v>
      </c>
      <c r="AE1713" s="2"/>
      <c r="AF1713" s="2"/>
    </row>
    <row r="1714" spans="1:32" x14ac:dyDescent="0.35">
      <c r="A1714">
        <v>1713</v>
      </c>
      <c r="B1714" s="1">
        <v>42508</v>
      </c>
      <c r="C1714" s="9" t="s">
        <v>2931</v>
      </c>
      <c r="D1714" s="9" t="s">
        <v>4938</v>
      </c>
      <c r="E1714" s="9" t="s">
        <v>7101</v>
      </c>
      <c r="F1714" s="9" t="s">
        <v>41</v>
      </c>
      <c r="G1714" s="9" t="s">
        <v>2932</v>
      </c>
      <c r="H1714" s="9" t="s">
        <v>86</v>
      </c>
      <c r="I1714" s="11">
        <v>18429897</v>
      </c>
      <c r="J1714" s="11">
        <v>3672804</v>
      </c>
      <c r="K1714" s="11">
        <v>9131502</v>
      </c>
      <c r="L1714" s="3">
        <v>249</v>
      </c>
      <c r="M1714" s="3">
        <v>2505.5</v>
      </c>
      <c r="N1714" s="3">
        <v>301900</v>
      </c>
      <c r="O1714" s="2">
        <v>0.56599999999999995</v>
      </c>
      <c r="P1714" s="2">
        <v>1.1519999999999999E-2</v>
      </c>
      <c r="Q1714" s="2">
        <v>0.59799999999999998</v>
      </c>
      <c r="R1714" s="11">
        <v>170037387</v>
      </c>
      <c r="S1714" s="11">
        <v>907528</v>
      </c>
      <c r="T1714">
        <v>2016</v>
      </c>
      <c r="U1714">
        <v>5</v>
      </c>
      <c r="V1714">
        <f t="shared" si="156"/>
        <v>600000</v>
      </c>
      <c r="W1714">
        <f t="shared" si="157"/>
        <v>18429897</v>
      </c>
      <c r="X1714">
        <f t="shared" si="158"/>
        <v>17829897</v>
      </c>
      <c r="Y1714">
        <f t="shared" si="159"/>
        <v>-26144845.5</v>
      </c>
      <c r="Z1714">
        <f t="shared" si="160"/>
        <v>45174742.5</v>
      </c>
      <c r="AA1714" t="str">
        <f t="shared" si="161"/>
        <v>Normal</v>
      </c>
      <c r="AE1714" s="2"/>
      <c r="AF1714" s="2"/>
    </row>
    <row r="1715" spans="1:32" x14ac:dyDescent="0.35">
      <c r="A1715">
        <v>1714</v>
      </c>
      <c r="B1715" s="1">
        <v>42508</v>
      </c>
      <c r="C1715" s="9" t="s">
        <v>2933</v>
      </c>
      <c r="D1715" s="9" t="s">
        <v>4938</v>
      </c>
      <c r="E1715" s="9" t="s">
        <v>5661</v>
      </c>
      <c r="F1715" s="9" t="s">
        <v>31</v>
      </c>
      <c r="G1715" s="9" t="s">
        <v>2934</v>
      </c>
      <c r="H1715" s="9" t="s">
        <v>105</v>
      </c>
      <c r="I1715" s="11">
        <v>10000000</v>
      </c>
      <c r="J1715" s="11">
        <v>3229284</v>
      </c>
      <c r="K1715" s="11">
        <v>13865865</v>
      </c>
      <c r="L1715" s="3">
        <v>303</v>
      </c>
      <c r="M1715" s="3">
        <v>178</v>
      </c>
      <c r="N1715" s="3">
        <v>1389993</v>
      </c>
      <c r="O1715" s="2">
        <v>-0.24100000000000002</v>
      </c>
      <c r="P1715" s="2">
        <v>0.89600000000000002</v>
      </c>
      <c r="Q1715" s="2">
        <v>-0.17199999999999999</v>
      </c>
      <c r="R1715" s="11">
        <v>52715780</v>
      </c>
      <c r="S1715" s="11">
        <v>1471294</v>
      </c>
      <c r="T1715">
        <v>2016</v>
      </c>
      <c r="U1715">
        <v>5</v>
      </c>
      <c r="V1715">
        <f t="shared" si="156"/>
        <v>600000</v>
      </c>
      <c r="W1715">
        <f t="shared" si="157"/>
        <v>18429897</v>
      </c>
      <c r="X1715">
        <f t="shared" si="158"/>
        <v>17829897</v>
      </c>
      <c r="Y1715">
        <f t="shared" si="159"/>
        <v>-26144845.5</v>
      </c>
      <c r="Z1715">
        <f t="shared" si="160"/>
        <v>45174742.5</v>
      </c>
      <c r="AA1715" t="str">
        <f t="shared" si="161"/>
        <v>Normal</v>
      </c>
      <c r="AE1715" s="2"/>
      <c r="AF1715" s="2"/>
    </row>
    <row r="1716" spans="1:32" x14ac:dyDescent="0.35">
      <c r="A1716">
        <v>1715</v>
      </c>
      <c r="B1716" s="1">
        <v>42508</v>
      </c>
      <c r="C1716" s="9" t="s">
        <v>2935</v>
      </c>
      <c r="D1716" s="9" t="s">
        <v>5002</v>
      </c>
      <c r="E1716" s="9" t="s">
        <v>1373</v>
      </c>
      <c r="F1716" s="9" t="s">
        <v>15</v>
      </c>
      <c r="G1716" s="9" t="s">
        <v>198</v>
      </c>
      <c r="H1716" s="9" t="s">
        <v>105</v>
      </c>
      <c r="I1716" s="11">
        <v>1000000</v>
      </c>
      <c r="J1716" s="11">
        <v>4394261</v>
      </c>
      <c r="K1716" s="11">
        <v>8438092</v>
      </c>
      <c r="L1716" s="3">
        <v>111</v>
      </c>
      <c r="M1716" s="3">
        <v>3906</v>
      </c>
      <c r="N1716" s="3">
        <v>546496</v>
      </c>
      <c r="O1716" s="2">
        <v>0.27600000000000002</v>
      </c>
      <c r="P1716" s="2">
        <v>0.82499999999999996</v>
      </c>
      <c r="Q1716" s="2">
        <v>-0.14499999999999999</v>
      </c>
      <c r="R1716" s="11">
        <v>422553018</v>
      </c>
      <c r="S1716" s="11">
        <v>424377</v>
      </c>
      <c r="T1716">
        <v>2016</v>
      </c>
      <c r="U1716">
        <v>5</v>
      </c>
      <c r="V1716">
        <f t="shared" si="156"/>
        <v>600000</v>
      </c>
      <c r="W1716">
        <f t="shared" si="157"/>
        <v>18429897</v>
      </c>
      <c r="X1716">
        <f t="shared" si="158"/>
        <v>17829897</v>
      </c>
      <c r="Y1716">
        <f t="shared" si="159"/>
        <v>-26144845.5</v>
      </c>
      <c r="Z1716">
        <f t="shared" si="160"/>
        <v>45174742.5</v>
      </c>
      <c r="AA1716" t="str">
        <f t="shared" si="161"/>
        <v>Normal</v>
      </c>
      <c r="AE1716" s="2"/>
      <c r="AF1716" s="2"/>
    </row>
    <row r="1717" spans="1:32" x14ac:dyDescent="0.35">
      <c r="A1717">
        <v>1716</v>
      </c>
      <c r="B1717" s="1">
        <v>42508</v>
      </c>
      <c r="C1717" s="9" t="s">
        <v>2434</v>
      </c>
      <c r="D1717" s="9" t="s">
        <v>4988</v>
      </c>
      <c r="E1717" s="9" t="s">
        <v>7102</v>
      </c>
      <c r="F1717" s="9" t="s">
        <v>15</v>
      </c>
      <c r="G1717" s="9" t="s">
        <v>2936</v>
      </c>
      <c r="H1717" s="9" t="s">
        <v>86</v>
      </c>
      <c r="I1717" s="11">
        <v>18429897</v>
      </c>
      <c r="J1717" s="11">
        <v>2531926</v>
      </c>
      <c r="K1717" s="11">
        <v>13380146</v>
      </c>
      <c r="L1717" s="3">
        <v>85</v>
      </c>
      <c r="M1717" s="3">
        <v>392</v>
      </c>
      <c r="N1717" s="3">
        <v>243848</v>
      </c>
      <c r="O1717" s="2">
        <v>0.14699999999999999</v>
      </c>
      <c r="P1717" s="2">
        <v>0.50800000000000001</v>
      </c>
      <c r="Q1717" s="2">
        <v>0.36749999999999999</v>
      </c>
      <c r="R1717" s="11">
        <v>300430260</v>
      </c>
      <c r="S1717" s="11">
        <v>322479</v>
      </c>
      <c r="T1717">
        <v>2016</v>
      </c>
      <c r="U1717">
        <v>5</v>
      </c>
      <c r="V1717">
        <f t="shared" si="156"/>
        <v>600000</v>
      </c>
      <c r="W1717">
        <f t="shared" si="157"/>
        <v>18429897</v>
      </c>
      <c r="X1717">
        <f t="shared" si="158"/>
        <v>17829897</v>
      </c>
      <c r="Y1717">
        <f t="shared" si="159"/>
        <v>-26144845.5</v>
      </c>
      <c r="Z1717">
        <f t="shared" si="160"/>
        <v>45174742.5</v>
      </c>
      <c r="AA1717" t="str">
        <f t="shared" si="161"/>
        <v>Normal</v>
      </c>
      <c r="AE1717" s="2"/>
      <c r="AF1717" s="2"/>
    </row>
    <row r="1718" spans="1:32" x14ac:dyDescent="0.35">
      <c r="A1718">
        <v>1717</v>
      </c>
      <c r="B1718" s="1">
        <v>42509</v>
      </c>
      <c r="C1718" s="9" t="s">
        <v>2937</v>
      </c>
      <c r="D1718" s="9" t="s">
        <v>4988</v>
      </c>
      <c r="E1718" s="9" t="s">
        <v>7103</v>
      </c>
      <c r="F1718" s="9" t="s">
        <v>31</v>
      </c>
      <c r="G1718" s="9" t="s">
        <v>856</v>
      </c>
      <c r="H1718" s="9" t="s">
        <v>86</v>
      </c>
      <c r="I1718" s="11">
        <v>1000000</v>
      </c>
      <c r="J1718" s="11">
        <v>1907682</v>
      </c>
      <c r="K1718" s="11">
        <v>12751715</v>
      </c>
      <c r="L1718" s="3">
        <v>247</v>
      </c>
      <c r="M1718" s="3">
        <v>4338</v>
      </c>
      <c r="N1718" s="3">
        <v>1018455</v>
      </c>
      <c r="O1718" s="2">
        <v>0.16899999999999998</v>
      </c>
      <c r="P1718" s="2">
        <v>0.50800000000000001</v>
      </c>
      <c r="Q1718" s="2">
        <v>0.43200000000000005</v>
      </c>
      <c r="R1718" s="11">
        <v>250264963</v>
      </c>
      <c r="S1718" s="11">
        <v>83337</v>
      </c>
      <c r="T1718">
        <v>2016</v>
      </c>
      <c r="U1718">
        <v>5</v>
      </c>
      <c r="V1718">
        <f t="shared" si="156"/>
        <v>600000</v>
      </c>
      <c r="W1718">
        <f t="shared" si="157"/>
        <v>18429897</v>
      </c>
      <c r="X1718">
        <f t="shared" si="158"/>
        <v>17829897</v>
      </c>
      <c r="Y1718">
        <f t="shared" si="159"/>
        <v>-26144845.5</v>
      </c>
      <c r="Z1718">
        <f t="shared" si="160"/>
        <v>45174742.5</v>
      </c>
      <c r="AA1718" t="str">
        <f t="shared" si="161"/>
        <v>Normal</v>
      </c>
      <c r="AE1718" s="2"/>
      <c r="AF1718" s="2"/>
    </row>
    <row r="1719" spans="1:32" x14ac:dyDescent="0.35">
      <c r="A1719">
        <v>1718</v>
      </c>
      <c r="B1719" s="1">
        <v>42509</v>
      </c>
      <c r="C1719" s="9" t="s">
        <v>1457</v>
      </c>
      <c r="D1719" s="9" t="s">
        <v>4930</v>
      </c>
      <c r="E1719" s="9" t="s">
        <v>5079</v>
      </c>
      <c r="F1719" s="9" t="s">
        <v>15</v>
      </c>
      <c r="G1719" s="9" t="s">
        <v>715</v>
      </c>
      <c r="H1719" s="9" t="s">
        <v>105</v>
      </c>
      <c r="I1719" s="11">
        <v>18429897</v>
      </c>
      <c r="J1719" s="11">
        <v>2076744</v>
      </c>
      <c r="K1719" s="11">
        <v>7477683</v>
      </c>
      <c r="L1719" s="3">
        <v>360</v>
      </c>
      <c r="M1719" s="3">
        <v>1303</v>
      </c>
      <c r="N1719" s="3">
        <v>1888279</v>
      </c>
      <c r="O1719" s="2">
        <v>-0.113</v>
      </c>
      <c r="P1719" s="2">
        <v>1.0089999999999998E-2</v>
      </c>
      <c r="Q1719" s="2">
        <v>0.442</v>
      </c>
      <c r="R1719" s="11">
        <v>269297993</v>
      </c>
      <c r="S1719" s="11">
        <v>1393130</v>
      </c>
      <c r="T1719">
        <v>2016</v>
      </c>
      <c r="U1719">
        <v>5</v>
      </c>
      <c r="V1719">
        <f t="shared" si="156"/>
        <v>600000</v>
      </c>
      <c r="W1719">
        <f t="shared" si="157"/>
        <v>18429897</v>
      </c>
      <c r="X1719">
        <f t="shared" si="158"/>
        <v>17829897</v>
      </c>
      <c r="Y1719">
        <f t="shared" si="159"/>
        <v>-26144845.5</v>
      </c>
      <c r="Z1719">
        <f t="shared" si="160"/>
        <v>45174742.5</v>
      </c>
      <c r="AA1719" t="str">
        <f t="shared" si="161"/>
        <v>Normal</v>
      </c>
      <c r="AE1719" s="2"/>
      <c r="AF1719" s="2"/>
    </row>
    <row r="1720" spans="1:32" x14ac:dyDescent="0.35">
      <c r="A1720">
        <v>1719</v>
      </c>
      <c r="B1720" s="1">
        <v>42509</v>
      </c>
      <c r="C1720" s="9" t="s">
        <v>2938</v>
      </c>
      <c r="D1720" s="9" t="s">
        <v>4988</v>
      </c>
      <c r="E1720" s="9" t="s">
        <v>7104</v>
      </c>
      <c r="F1720" s="9" t="s">
        <v>27</v>
      </c>
      <c r="G1720" s="9" t="s">
        <v>2466</v>
      </c>
      <c r="H1720" s="9" t="s">
        <v>86</v>
      </c>
      <c r="I1720" s="11">
        <v>500000</v>
      </c>
      <c r="J1720" s="11">
        <v>2594757</v>
      </c>
      <c r="K1720" s="11">
        <v>2092511</v>
      </c>
      <c r="L1720" s="3">
        <v>11</v>
      </c>
      <c r="M1720" s="3">
        <v>1844</v>
      </c>
      <c r="N1720" s="3">
        <v>1018455</v>
      </c>
      <c r="O1720" s="2">
        <v>0.19900000000000001</v>
      </c>
      <c r="P1720" s="2">
        <v>0.70699999999999996</v>
      </c>
      <c r="Q1720" s="2">
        <v>0.26</v>
      </c>
      <c r="R1720" s="11">
        <v>416476397</v>
      </c>
      <c r="S1720" s="11">
        <v>1310040</v>
      </c>
      <c r="T1720">
        <v>2016</v>
      </c>
      <c r="U1720">
        <v>5</v>
      </c>
      <c r="V1720">
        <f t="shared" si="156"/>
        <v>600000</v>
      </c>
      <c r="W1720">
        <f t="shared" si="157"/>
        <v>18429897</v>
      </c>
      <c r="X1720">
        <f t="shared" si="158"/>
        <v>17829897</v>
      </c>
      <c r="Y1720">
        <f t="shared" si="159"/>
        <v>-26144845.5</v>
      </c>
      <c r="Z1720">
        <f t="shared" si="160"/>
        <v>45174742.5</v>
      </c>
      <c r="AA1720" t="str">
        <f t="shared" si="161"/>
        <v>Normal</v>
      </c>
      <c r="AE1720" s="2"/>
      <c r="AF1720" s="2"/>
    </row>
    <row r="1721" spans="1:32" x14ac:dyDescent="0.35">
      <c r="A1721">
        <v>1720</v>
      </c>
      <c r="B1721" s="1">
        <v>42509</v>
      </c>
      <c r="C1721" s="9" t="s">
        <v>2939</v>
      </c>
      <c r="D1721" s="9" t="s">
        <v>4988</v>
      </c>
      <c r="E1721" s="9" t="s">
        <v>7105</v>
      </c>
      <c r="F1721" s="9" t="s">
        <v>27</v>
      </c>
      <c r="G1721" s="9" t="s">
        <v>2940</v>
      </c>
      <c r="H1721" s="9" t="s">
        <v>86</v>
      </c>
      <c r="I1721" s="11">
        <v>500000</v>
      </c>
      <c r="J1721" s="11">
        <v>462085</v>
      </c>
      <c r="K1721" s="11">
        <v>19409690</v>
      </c>
      <c r="L1721" s="3">
        <v>172</v>
      </c>
      <c r="M1721" s="3">
        <v>3599</v>
      </c>
      <c r="N1721" s="3">
        <v>1200538</v>
      </c>
      <c r="O1721" s="2">
        <v>0.19</v>
      </c>
      <c r="P1721" s="2">
        <v>0.93799999999999994</v>
      </c>
      <c r="Q1721" s="2">
        <v>0.32299999999999995</v>
      </c>
      <c r="R1721" s="11">
        <v>105540664</v>
      </c>
      <c r="S1721" s="11">
        <v>63017</v>
      </c>
      <c r="T1721">
        <v>2016</v>
      </c>
      <c r="U1721">
        <v>5</v>
      </c>
      <c r="V1721">
        <f t="shared" si="156"/>
        <v>600000</v>
      </c>
      <c r="W1721">
        <f t="shared" si="157"/>
        <v>18429897</v>
      </c>
      <c r="X1721">
        <f t="shared" si="158"/>
        <v>17829897</v>
      </c>
      <c r="Y1721">
        <f t="shared" si="159"/>
        <v>-26144845.5</v>
      </c>
      <c r="Z1721">
        <f t="shared" si="160"/>
        <v>45174742.5</v>
      </c>
      <c r="AA1721" t="str">
        <f t="shared" si="161"/>
        <v>Normal</v>
      </c>
      <c r="AE1721" s="2"/>
      <c r="AF1721" s="2"/>
    </row>
    <row r="1722" spans="1:32" x14ac:dyDescent="0.35">
      <c r="A1722">
        <v>1721</v>
      </c>
      <c r="B1722" s="1">
        <v>42510</v>
      </c>
      <c r="C1722" s="9" t="s">
        <v>2941</v>
      </c>
      <c r="D1722" s="9" t="s">
        <v>4988</v>
      </c>
      <c r="E1722" s="9" t="s">
        <v>7106</v>
      </c>
      <c r="F1722" s="9" t="s">
        <v>63</v>
      </c>
      <c r="G1722" s="9" t="s">
        <v>856</v>
      </c>
      <c r="H1722" s="9" t="s">
        <v>86</v>
      </c>
      <c r="I1722" s="11">
        <v>300000</v>
      </c>
      <c r="J1722" s="11">
        <v>3713747</v>
      </c>
      <c r="K1722" s="11">
        <v>16537313</v>
      </c>
      <c r="L1722" s="3">
        <v>499</v>
      </c>
      <c r="M1722" s="3">
        <v>4214</v>
      </c>
      <c r="N1722" s="3">
        <v>1616302</v>
      </c>
      <c r="O1722" s="2">
        <v>-1.8000000000000002E-2</v>
      </c>
      <c r="P1722" s="2">
        <v>0.88200000000000001</v>
      </c>
      <c r="Q1722" s="2">
        <v>-0.22600000000000001</v>
      </c>
      <c r="R1722" s="11">
        <v>143603601</v>
      </c>
      <c r="S1722" s="11">
        <v>1203574</v>
      </c>
      <c r="T1722">
        <v>2016</v>
      </c>
      <c r="U1722">
        <v>5</v>
      </c>
      <c r="V1722">
        <f t="shared" si="156"/>
        <v>600000</v>
      </c>
      <c r="W1722">
        <f t="shared" si="157"/>
        <v>18429897</v>
      </c>
      <c r="X1722">
        <f t="shared" si="158"/>
        <v>17829897</v>
      </c>
      <c r="Y1722">
        <f t="shared" si="159"/>
        <v>-26144845.5</v>
      </c>
      <c r="Z1722">
        <f t="shared" si="160"/>
        <v>45174742.5</v>
      </c>
      <c r="AA1722" t="str">
        <f t="shared" si="161"/>
        <v>Normal</v>
      </c>
      <c r="AE1722" s="2"/>
      <c r="AF1722" s="2"/>
    </row>
    <row r="1723" spans="1:32" x14ac:dyDescent="0.35">
      <c r="A1723">
        <v>1722</v>
      </c>
      <c r="B1723" s="1">
        <v>42513</v>
      </c>
      <c r="C1723" s="9" t="s">
        <v>1807</v>
      </c>
      <c r="D1723" s="9" t="s">
        <v>4988</v>
      </c>
      <c r="E1723" s="9" t="s">
        <v>5512</v>
      </c>
      <c r="F1723" s="9" t="s">
        <v>19</v>
      </c>
      <c r="G1723" s="9" t="s">
        <v>2942</v>
      </c>
      <c r="H1723" s="9" t="s">
        <v>86</v>
      </c>
      <c r="I1723" s="11">
        <v>18429897</v>
      </c>
      <c r="J1723" s="11">
        <v>3270823</v>
      </c>
      <c r="K1723" s="11">
        <v>17904635</v>
      </c>
      <c r="L1723" s="3">
        <v>171</v>
      </c>
      <c r="M1723" s="3">
        <v>2101</v>
      </c>
      <c r="N1723" s="3">
        <v>1805726</v>
      </c>
      <c r="O1723" s="2">
        <v>0.106</v>
      </c>
      <c r="P1723" s="2">
        <v>1.129</v>
      </c>
      <c r="Q1723" s="2">
        <v>-0.32500000000000001</v>
      </c>
      <c r="R1723" s="11">
        <v>483411060</v>
      </c>
      <c r="S1723" s="11">
        <v>781429</v>
      </c>
      <c r="T1723">
        <v>2016</v>
      </c>
      <c r="U1723">
        <v>5</v>
      </c>
      <c r="V1723">
        <f t="shared" si="156"/>
        <v>600000</v>
      </c>
      <c r="W1723">
        <f t="shared" si="157"/>
        <v>18429897</v>
      </c>
      <c r="X1723">
        <f t="shared" si="158"/>
        <v>17829897</v>
      </c>
      <c r="Y1723">
        <f t="shared" si="159"/>
        <v>-26144845.5</v>
      </c>
      <c r="Z1723">
        <f t="shared" si="160"/>
        <v>45174742.5</v>
      </c>
      <c r="AA1723" t="str">
        <f t="shared" si="161"/>
        <v>Normal</v>
      </c>
      <c r="AE1723" s="2"/>
      <c r="AF1723" s="2"/>
    </row>
    <row r="1724" spans="1:32" x14ac:dyDescent="0.35">
      <c r="A1724">
        <v>1723</v>
      </c>
      <c r="B1724" s="1">
        <v>42513</v>
      </c>
      <c r="C1724" s="9" t="s">
        <v>2943</v>
      </c>
      <c r="D1724" s="9" t="s">
        <v>4988</v>
      </c>
      <c r="E1724" s="9" t="s">
        <v>5338</v>
      </c>
      <c r="F1724" s="9" t="s">
        <v>27</v>
      </c>
      <c r="G1724" s="9" t="s">
        <v>2842</v>
      </c>
      <c r="H1724" s="9" t="s">
        <v>86</v>
      </c>
      <c r="I1724" s="11">
        <v>89000</v>
      </c>
      <c r="J1724" s="11">
        <v>3661057</v>
      </c>
      <c r="K1724" s="11">
        <v>6066462</v>
      </c>
      <c r="L1724" s="3">
        <v>169</v>
      </c>
      <c r="M1724" s="3">
        <v>1609</v>
      </c>
      <c r="N1724" s="3">
        <v>696889</v>
      </c>
      <c r="O1724" s="2">
        <v>1.6E-2</v>
      </c>
      <c r="P1724" s="2">
        <v>0.56700000000000006</v>
      </c>
      <c r="Q1724" s="2">
        <v>7.0000000000000001E-3</v>
      </c>
      <c r="R1724" s="11">
        <v>86887137</v>
      </c>
      <c r="S1724" s="11">
        <v>1012368</v>
      </c>
      <c r="T1724">
        <v>2016</v>
      </c>
      <c r="U1724">
        <v>5</v>
      </c>
      <c r="V1724">
        <f t="shared" si="156"/>
        <v>600000</v>
      </c>
      <c r="W1724">
        <f t="shared" si="157"/>
        <v>18429897</v>
      </c>
      <c r="X1724">
        <f t="shared" si="158"/>
        <v>17829897</v>
      </c>
      <c r="Y1724">
        <f t="shared" si="159"/>
        <v>-26144845.5</v>
      </c>
      <c r="Z1724">
        <f t="shared" si="160"/>
        <v>45174742.5</v>
      </c>
      <c r="AA1724" t="str">
        <f t="shared" si="161"/>
        <v>Normal</v>
      </c>
      <c r="AE1724" s="2"/>
      <c r="AF1724" s="2"/>
    </row>
    <row r="1725" spans="1:32" x14ac:dyDescent="0.35">
      <c r="A1725">
        <v>1724</v>
      </c>
      <c r="B1725" s="1">
        <v>42514</v>
      </c>
      <c r="C1725" s="9" t="s">
        <v>2944</v>
      </c>
      <c r="D1725" s="9" t="s">
        <v>4988</v>
      </c>
      <c r="E1725" s="9" t="s">
        <v>5267</v>
      </c>
      <c r="F1725" s="9" t="s">
        <v>19</v>
      </c>
      <c r="G1725" s="9" t="s">
        <v>2945</v>
      </c>
      <c r="H1725" s="9" t="s">
        <v>86</v>
      </c>
      <c r="I1725" s="11">
        <v>18429897</v>
      </c>
      <c r="J1725" s="11">
        <v>2679033</v>
      </c>
      <c r="K1725" s="11">
        <v>6391613</v>
      </c>
      <c r="L1725" s="3">
        <v>370</v>
      </c>
      <c r="M1725" s="3">
        <v>4900</v>
      </c>
      <c r="N1725" s="3">
        <v>1515193</v>
      </c>
      <c r="O1725" s="2">
        <v>4.1000000000000002E-2</v>
      </c>
      <c r="P1725" s="2">
        <v>1.0249999999999999E-2</v>
      </c>
      <c r="Q1725" s="2">
        <v>0.32100000000000001</v>
      </c>
      <c r="R1725" s="11">
        <v>250264963</v>
      </c>
      <c r="S1725" s="11">
        <v>1287851</v>
      </c>
      <c r="T1725">
        <v>2016</v>
      </c>
      <c r="U1725">
        <v>5</v>
      </c>
      <c r="V1725">
        <f t="shared" si="156"/>
        <v>600000</v>
      </c>
      <c r="W1725">
        <f t="shared" si="157"/>
        <v>18429897</v>
      </c>
      <c r="X1725">
        <f t="shared" si="158"/>
        <v>17829897</v>
      </c>
      <c r="Y1725">
        <f t="shared" si="159"/>
        <v>-26144845.5</v>
      </c>
      <c r="Z1725">
        <f t="shared" si="160"/>
        <v>45174742.5</v>
      </c>
      <c r="AA1725" t="str">
        <f t="shared" si="161"/>
        <v>Normal</v>
      </c>
      <c r="AE1725" s="2"/>
      <c r="AF1725" s="2"/>
    </row>
    <row r="1726" spans="1:32" x14ac:dyDescent="0.35">
      <c r="A1726">
        <v>1725</v>
      </c>
      <c r="B1726" s="1">
        <v>42514</v>
      </c>
      <c r="C1726" s="9" t="s">
        <v>2946</v>
      </c>
      <c r="D1726" s="9" t="s">
        <v>4988</v>
      </c>
      <c r="E1726" s="9" t="s">
        <v>7107</v>
      </c>
      <c r="F1726" s="9" t="s">
        <v>15</v>
      </c>
      <c r="G1726" s="9" t="s">
        <v>2466</v>
      </c>
      <c r="H1726" s="9" t="s">
        <v>86</v>
      </c>
      <c r="I1726" s="11">
        <v>1000000</v>
      </c>
      <c r="J1726" s="11">
        <v>3919141</v>
      </c>
      <c r="K1726" s="11">
        <v>6536416</v>
      </c>
      <c r="L1726" s="3">
        <v>242</v>
      </c>
      <c r="M1726" s="3">
        <v>4823</v>
      </c>
      <c r="N1726" s="3">
        <v>1039694</v>
      </c>
      <c r="O1726" s="2">
        <v>0.312</v>
      </c>
      <c r="P1726" s="2">
        <v>0.46</v>
      </c>
      <c r="Q1726" s="2">
        <v>0.32799999999999996</v>
      </c>
      <c r="R1726" s="11">
        <v>434173224</v>
      </c>
      <c r="S1726" s="11">
        <v>909207</v>
      </c>
      <c r="T1726">
        <v>2016</v>
      </c>
      <c r="U1726">
        <v>5</v>
      </c>
      <c r="V1726">
        <f t="shared" si="156"/>
        <v>600000</v>
      </c>
      <c r="W1726">
        <f t="shared" si="157"/>
        <v>18429897</v>
      </c>
      <c r="X1726">
        <f t="shared" si="158"/>
        <v>17829897</v>
      </c>
      <c r="Y1726">
        <f t="shared" si="159"/>
        <v>-26144845.5</v>
      </c>
      <c r="Z1726">
        <f t="shared" si="160"/>
        <v>45174742.5</v>
      </c>
      <c r="AA1726" t="str">
        <f t="shared" si="161"/>
        <v>Normal</v>
      </c>
      <c r="AE1726" s="2"/>
      <c r="AF1726" s="2"/>
    </row>
    <row r="1727" spans="1:32" x14ac:dyDescent="0.35">
      <c r="A1727">
        <v>1726</v>
      </c>
      <c r="B1727" s="1">
        <v>42515</v>
      </c>
      <c r="C1727" s="9" t="s">
        <v>2947</v>
      </c>
      <c r="D1727" s="9" t="s">
        <v>4988</v>
      </c>
      <c r="E1727" s="9" t="s">
        <v>7108</v>
      </c>
      <c r="F1727" s="9" t="s">
        <v>27</v>
      </c>
      <c r="G1727" s="9" t="s">
        <v>1315</v>
      </c>
      <c r="H1727" s="9" t="s">
        <v>86</v>
      </c>
      <c r="I1727" s="11">
        <v>18429897</v>
      </c>
      <c r="J1727" s="11">
        <v>4749759</v>
      </c>
      <c r="K1727" s="11">
        <v>718712</v>
      </c>
      <c r="L1727" s="3">
        <v>198</v>
      </c>
      <c r="M1727" s="3">
        <v>2643</v>
      </c>
      <c r="N1727" s="3">
        <v>346339</v>
      </c>
      <c r="O1727" s="2">
        <v>0.316</v>
      </c>
      <c r="P1727" s="2">
        <v>0.75800000000000001</v>
      </c>
      <c r="Q1727" s="2">
        <v>-0.11699999999999999</v>
      </c>
      <c r="R1727" s="11">
        <v>308824413</v>
      </c>
      <c r="S1727" s="11">
        <v>787137</v>
      </c>
      <c r="T1727">
        <v>2016</v>
      </c>
      <c r="U1727">
        <v>5</v>
      </c>
      <c r="V1727">
        <f t="shared" si="156"/>
        <v>600000</v>
      </c>
      <c r="W1727">
        <f t="shared" si="157"/>
        <v>18429897</v>
      </c>
      <c r="X1727">
        <f t="shared" si="158"/>
        <v>17829897</v>
      </c>
      <c r="Y1727">
        <f t="shared" si="159"/>
        <v>-26144845.5</v>
      </c>
      <c r="Z1727">
        <f t="shared" si="160"/>
        <v>45174742.5</v>
      </c>
      <c r="AA1727" t="str">
        <f t="shared" si="161"/>
        <v>Normal</v>
      </c>
      <c r="AE1727" s="2"/>
      <c r="AF1727" s="2"/>
    </row>
    <row r="1728" spans="1:32" x14ac:dyDescent="0.35">
      <c r="A1728">
        <v>1727</v>
      </c>
      <c r="B1728" s="1">
        <v>42515</v>
      </c>
      <c r="C1728" s="9" t="s">
        <v>2948</v>
      </c>
      <c r="D1728" s="9" t="s">
        <v>2539</v>
      </c>
      <c r="E1728" s="9" t="s">
        <v>7109</v>
      </c>
      <c r="F1728" s="9" t="s">
        <v>15</v>
      </c>
      <c r="G1728" s="9" t="s">
        <v>2290</v>
      </c>
      <c r="H1728" s="9" t="s">
        <v>105</v>
      </c>
      <c r="I1728" s="11">
        <v>1500000</v>
      </c>
      <c r="J1728" s="11">
        <v>2858270</v>
      </c>
      <c r="K1728" s="11">
        <v>3477120</v>
      </c>
      <c r="L1728" s="3">
        <v>393</v>
      </c>
      <c r="M1728" s="3">
        <v>168</v>
      </c>
      <c r="N1728" s="3">
        <v>1066542</v>
      </c>
      <c r="O1728" s="2">
        <v>0.27399999999999997</v>
      </c>
      <c r="P1728" s="2">
        <v>0.81799999999999995</v>
      </c>
      <c r="Q1728" s="2">
        <v>-0.14399999999999999</v>
      </c>
      <c r="R1728" s="11">
        <v>345986550</v>
      </c>
      <c r="S1728" s="11">
        <v>1013349</v>
      </c>
      <c r="T1728">
        <v>2016</v>
      </c>
      <c r="U1728">
        <v>5</v>
      </c>
      <c r="V1728">
        <f t="shared" si="156"/>
        <v>600000</v>
      </c>
      <c r="W1728">
        <f t="shared" si="157"/>
        <v>18429897</v>
      </c>
      <c r="X1728">
        <f t="shared" si="158"/>
        <v>17829897</v>
      </c>
      <c r="Y1728">
        <f t="shared" si="159"/>
        <v>-26144845.5</v>
      </c>
      <c r="Z1728">
        <f t="shared" si="160"/>
        <v>45174742.5</v>
      </c>
      <c r="AA1728" t="str">
        <f t="shared" si="161"/>
        <v>Normal</v>
      </c>
      <c r="AE1728" s="2"/>
      <c r="AF1728" s="2"/>
    </row>
    <row r="1729" spans="1:32" x14ac:dyDescent="0.35">
      <c r="A1729">
        <v>1728</v>
      </c>
      <c r="B1729" s="1">
        <v>42515</v>
      </c>
      <c r="C1729" s="9" t="s">
        <v>2949</v>
      </c>
      <c r="D1729" s="9" t="s">
        <v>4930</v>
      </c>
      <c r="E1729" s="9" t="s">
        <v>7110</v>
      </c>
      <c r="F1729" s="9" t="s">
        <v>41</v>
      </c>
      <c r="G1729" s="9" t="s">
        <v>2950</v>
      </c>
      <c r="H1729" s="9" t="s">
        <v>86</v>
      </c>
      <c r="I1729" s="11">
        <v>100000</v>
      </c>
      <c r="J1729" s="11">
        <v>2233031</v>
      </c>
      <c r="K1729" s="11">
        <v>6235265</v>
      </c>
      <c r="L1729" s="3">
        <v>20</v>
      </c>
      <c r="M1729" s="3">
        <v>4846</v>
      </c>
      <c r="N1729" s="3">
        <v>91860</v>
      </c>
      <c r="O1729" s="2">
        <v>0.312</v>
      </c>
      <c r="P1729" s="2">
        <v>0.64300000000000002</v>
      </c>
      <c r="Q1729" s="2">
        <v>0.39200000000000002</v>
      </c>
      <c r="R1729" s="11">
        <v>471753186</v>
      </c>
      <c r="S1729" s="11">
        <v>1878835</v>
      </c>
      <c r="T1729">
        <v>2016</v>
      </c>
      <c r="U1729">
        <v>5</v>
      </c>
      <c r="V1729">
        <f t="shared" si="156"/>
        <v>600000</v>
      </c>
      <c r="W1729">
        <f t="shared" si="157"/>
        <v>18429897</v>
      </c>
      <c r="X1729">
        <f t="shared" si="158"/>
        <v>17829897</v>
      </c>
      <c r="Y1729">
        <f t="shared" si="159"/>
        <v>-26144845.5</v>
      </c>
      <c r="Z1729">
        <f t="shared" si="160"/>
        <v>45174742.5</v>
      </c>
      <c r="AA1729" t="str">
        <f t="shared" si="161"/>
        <v>Normal</v>
      </c>
      <c r="AE1729" s="2"/>
      <c r="AF1729" s="2"/>
    </row>
    <row r="1730" spans="1:32" x14ac:dyDescent="0.35">
      <c r="A1730">
        <v>1729</v>
      </c>
      <c r="B1730" s="1">
        <v>42515</v>
      </c>
      <c r="C1730" s="9" t="s">
        <v>2951</v>
      </c>
      <c r="D1730" s="9" t="s">
        <v>4988</v>
      </c>
      <c r="E1730" s="9" t="s">
        <v>7111</v>
      </c>
      <c r="F1730" s="9" t="s">
        <v>27</v>
      </c>
      <c r="G1730" s="9" t="s">
        <v>2952</v>
      </c>
      <c r="H1730" s="9" t="s">
        <v>86</v>
      </c>
      <c r="I1730" s="11">
        <v>18429897</v>
      </c>
      <c r="J1730" s="11">
        <v>540983</v>
      </c>
      <c r="K1730" s="11">
        <v>19748706</v>
      </c>
      <c r="L1730" s="3">
        <v>357</v>
      </c>
      <c r="M1730" s="3">
        <v>3114</v>
      </c>
      <c r="N1730" s="3">
        <v>1214457</v>
      </c>
      <c r="O1730" s="2">
        <v>1.6E-2</v>
      </c>
      <c r="P1730" s="2">
        <v>0.30199999999999999</v>
      </c>
      <c r="Q1730" s="2">
        <v>0.14799999999999999</v>
      </c>
      <c r="R1730" s="11">
        <v>5282900</v>
      </c>
      <c r="S1730" s="11">
        <v>234522</v>
      </c>
      <c r="T1730">
        <v>2016</v>
      </c>
      <c r="U1730">
        <v>5</v>
      </c>
      <c r="V1730">
        <f t="shared" ref="V1730:V1793" si="162">_xlfn.PERCENTILE.INC(I1730:I4773,0.25)</f>
        <v>600000</v>
      </c>
      <c r="W1730">
        <f t="shared" ref="W1730:W1793" si="163">_xlfn.PERCENTILE.INC(I1730:I4773,0.75)</f>
        <v>18429897</v>
      </c>
      <c r="X1730">
        <f t="shared" ref="X1730:X1793" si="164">W1730-V1730</f>
        <v>17829897</v>
      </c>
      <c r="Y1730">
        <f t="shared" ref="Y1730:Y1793" si="165">V1730-1.5*X1730</f>
        <v>-26144845.5</v>
      </c>
      <c r="Z1730">
        <f t="shared" ref="Z1730:Z1793" si="166">W1730+1.5*X1730</f>
        <v>45174742.5</v>
      </c>
      <c r="AA1730" t="str">
        <f t="shared" ref="AA1730:AA1793" si="167">IF(OR(I1730&lt;$Y$2, I1730&gt;$Z$2), "Outlier", "Normal")</f>
        <v>Normal</v>
      </c>
      <c r="AE1730" s="2"/>
      <c r="AF1730" s="2"/>
    </row>
    <row r="1731" spans="1:32" x14ac:dyDescent="0.35">
      <c r="A1731">
        <v>1730</v>
      </c>
      <c r="B1731" s="1">
        <v>42516</v>
      </c>
      <c r="C1731" s="9" t="s">
        <v>2781</v>
      </c>
      <c r="D1731" s="9" t="s">
        <v>4988</v>
      </c>
      <c r="E1731" s="9" t="s">
        <v>5182</v>
      </c>
      <c r="F1731" s="9" t="s">
        <v>15</v>
      </c>
      <c r="G1731" s="9" t="s">
        <v>2953</v>
      </c>
      <c r="H1731" s="9" t="s">
        <v>105</v>
      </c>
      <c r="I1731" s="11">
        <v>2000000</v>
      </c>
      <c r="J1731" s="11">
        <v>3897813</v>
      </c>
      <c r="K1731" s="11">
        <v>4173966</v>
      </c>
      <c r="L1731" s="3">
        <v>193</v>
      </c>
      <c r="M1731" s="3">
        <v>2786</v>
      </c>
      <c r="N1731" s="3">
        <v>520292</v>
      </c>
      <c r="O1731" s="2">
        <v>-8.9999999999999993E-3</v>
      </c>
      <c r="P1731" s="2">
        <v>0.63400000000000001</v>
      </c>
      <c r="Q1731" s="2">
        <v>-0.41799999999999998</v>
      </c>
      <c r="R1731" s="11">
        <v>373558805</v>
      </c>
      <c r="S1731" s="11">
        <v>713310</v>
      </c>
      <c r="T1731">
        <v>2016</v>
      </c>
      <c r="U1731">
        <v>5</v>
      </c>
      <c r="V1731">
        <f t="shared" si="162"/>
        <v>600000</v>
      </c>
      <c r="W1731">
        <f t="shared" si="163"/>
        <v>18429897</v>
      </c>
      <c r="X1731">
        <f t="shared" si="164"/>
        <v>17829897</v>
      </c>
      <c r="Y1731">
        <f t="shared" si="165"/>
        <v>-26144845.5</v>
      </c>
      <c r="Z1731">
        <f t="shared" si="166"/>
        <v>45174742.5</v>
      </c>
      <c r="AA1731" t="str">
        <f t="shared" si="167"/>
        <v>Normal</v>
      </c>
      <c r="AE1731" s="2"/>
      <c r="AF1731" s="2"/>
    </row>
    <row r="1732" spans="1:32" x14ac:dyDescent="0.35">
      <c r="A1732">
        <v>1731</v>
      </c>
      <c r="B1732" s="1">
        <v>42516</v>
      </c>
      <c r="C1732" s="9" t="s">
        <v>2954</v>
      </c>
      <c r="D1732" s="9" t="s">
        <v>2539</v>
      </c>
      <c r="E1732" s="9" t="s">
        <v>7112</v>
      </c>
      <c r="F1732" s="9" t="s">
        <v>27</v>
      </c>
      <c r="G1732" s="9" t="s">
        <v>2955</v>
      </c>
      <c r="H1732" s="9" t="s">
        <v>105</v>
      </c>
      <c r="I1732" s="11">
        <v>18429897</v>
      </c>
      <c r="J1732" s="11">
        <v>4521786</v>
      </c>
      <c r="K1732" s="11">
        <v>10205501</v>
      </c>
      <c r="L1732" s="3">
        <v>444</v>
      </c>
      <c r="M1732" s="3">
        <v>605</v>
      </c>
      <c r="N1732" s="3">
        <v>1018455</v>
      </c>
      <c r="O1732" s="2">
        <v>0.188</v>
      </c>
      <c r="P1732" s="2">
        <v>0.39700000000000002</v>
      </c>
      <c r="Q1732" s="2">
        <v>-0.18100000000000002</v>
      </c>
      <c r="R1732" s="11">
        <v>421210819</v>
      </c>
      <c r="S1732" s="11">
        <v>1366112</v>
      </c>
      <c r="T1732">
        <v>2016</v>
      </c>
      <c r="U1732">
        <v>5</v>
      </c>
      <c r="V1732">
        <f t="shared" si="162"/>
        <v>600000</v>
      </c>
      <c r="W1732">
        <f t="shared" si="163"/>
        <v>18429897</v>
      </c>
      <c r="X1732">
        <f t="shared" si="164"/>
        <v>17829897</v>
      </c>
      <c r="Y1732">
        <f t="shared" si="165"/>
        <v>-26144845.5</v>
      </c>
      <c r="Z1732">
        <f t="shared" si="166"/>
        <v>45174742.5</v>
      </c>
      <c r="AA1732" t="str">
        <f t="shared" si="167"/>
        <v>Normal</v>
      </c>
      <c r="AE1732" s="2"/>
      <c r="AF1732" s="2"/>
    </row>
    <row r="1733" spans="1:32" x14ac:dyDescent="0.35">
      <c r="A1733">
        <v>1732</v>
      </c>
      <c r="B1733" s="1">
        <v>42516</v>
      </c>
      <c r="C1733" s="9" t="s">
        <v>2956</v>
      </c>
      <c r="D1733" s="9" t="s">
        <v>4988</v>
      </c>
      <c r="E1733" s="9" t="s">
        <v>7113</v>
      </c>
      <c r="F1733" s="9" t="s">
        <v>27</v>
      </c>
      <c r="G1733" s="9" t="s">
        <v>2885</v>
      </c>
      <c r="H1733" s="9" t="s">
        <v>86</v>
      </c>
      <c r="I1733" s="11">
        <v>475000</v>
      </c>
      <c r="J1733" s="11">
        <v>3503460</v>
      </c>
      <c r="K1733" s="11">
        <v>10990313</v>
      </c>
      <c r="L1733" s="3">
        <v>363</v>
      </c>
      <c r="M1733" s="3">
        <v>4966</v>
      </c>
      <c r="N1733" s="3">
        <v>1410630</v>
      </c>
      <c r="O1733" s="2">
        <v>0.33700000000000002</v>
      </c>
      <c r="P1733" s="2">
        <v>0.68700000000000006</v>
      </c>
      <c r="Q1733" s="2">
        <v>0.221</v>
      </c>
      <c r="R1733" s="11">
        <v>241633596</v>
      </c>
      <c r="S1733" s="11">
        <v>959123</v>
      </c>
      <c r="T1733">
        <v>2016</v>
      </c>
      <c r="U1733">
        <v>5</v>
      </c>
      <c r="V1733">
        <f t="shared" si="162"/>
        <v>600000</v>
      </c>
      <c r="W1733">
        <f t="shared" si="163"/>
        <v>18429897</v>
      </c>
      <c r="X1733">
        <f t="shared" si="164"/>
        <v>17829897</v>
      </c>
      <c r="Y1733">
        <f t="shared" si="165"/>
        <v>-26144845.5</v>
      </c>
      <c r="Z1733">
        <f t="shared" si="166"/>
        <v>45174742.5</v>
      </c>
      <c r="AA1733" t="str">
        <f t="shared" si="167"/>
        <v>Normal</v>
      </c>
      <c r="AE1733" s="2"/>
      <c r="AF1733" s="2"/>
    </row>
    <row r="1734" spans="1:32" x14ac:dyDescent="0.35">
      <c r="A1734">
        <v>1733</v>
      </c>
      <c r="B1734" s="1">
        <v>42517</v>
      </c>
      <c r="C1734" s="9" t="s">
        <v>2957</v>
      </c>
      <c r="D1734" s="9" t="s">
        <v>4988</v>
      </c>
      <c r="E1734" s="9" t="s">
        <v>7114</v>
      </c>
      <c r="F1734" s="9" t="s">
        <v>15</v>
      </c>
      <c r="G1734" s="9" t="s">
        <v>2958</v>
      </c>
      <c r="H1734" s="9" t="s">
        <v>86</v>
      </c>
      <c r="I1734" s="11">
        <v>18429897</v>
      </c>
      <c r="J1734" s="11">
        <v>4330551</v>
      </c>
      <c r="K1734" s="11">
        <v>7260098</v>
      </c>
      <c r="L1734" s="3">
        <v>470</v>
      </c>
      <c r="M1734" s="3">
        <v>3607</v>
      </c>
      <c r="N1734" s="3">
        <v>1018455</v>
      </c>
      <c r="O1734" s="2">
        <v>-0.156</v>
      </c>
      <c r="P1734" s="2">
        <v>0.221</v>
      </c>
      <c r="Q1734" s="2">
        <v>-0.19699999999999998</v>
      </c>
      <c r="R1734" s="11">
        <v>2405345</v>
      </c>
      <c r="S1734" s="11">
        <v>1721896</v>
      </c>
      <c r="T1734">
        <v>2016</v>
      </c>
      <c r="U1734">
        <v>5</v>
      </c>
      <c r="V1734">
        <f t="shared" si="162"/>
        <v>600000</v>
      </c>
      <c r="W1734">
        <f t="shared" si="163"/>
        <v>18429897</v>
      </c>
      <c r="X1734">
        <f t="shared" si="164"/>
        <v>17829897</v>
      </c>
      <c r="Y1734">
        <f t="shared" si="165"/>
        <v>-26144845.5</v>
      </c>
      <c r="Z1734">
        <f t="shared" si="166"/>
        <v>45174742.5</v>
      </c>
      <c r="AA1734" t="str">
        <f t="shared" si="167"/>
        <v>Normal</v>
      </c>
      <c r="AE1734" s="2"/>
      <c r="AF1734" s="2"/>
    </row>
    <row r="1735" spans="1:32" x14ac:dyDescent="0.35">
      <c r="A1735">
        <v>1734</v>
      </c>
      <c r="B1735" s="1">
        <v>42520</v>
      </c>
      <c r="C1735" s="9" t="s">
        <v>2959</v>
      </c>
      <c r="D1735" s="9" t="s">
        <v>4930</v>
      </c>
      <c r="E1735" s="9" t="s">
        <v>7115</v>
      </c>
      <c r="F1735" s="9" t="s">
        <v>31</v>
      </c>
      <c r="G1735" s="9" t="s">
        <v>2960</v>
      </c>
      <c r="H1735" s="9" t="s">
        <v>86</v>
      </c>
      <c r="I1735" s="11">
        <v>200000</v>
      </c>
      <c r="J1735" s="11">
        <v>4308773</v>
      </c>
      <c r="K1735" s="11">
        <v>18383013</v>
      </c>
      <c r="L1735" s="3">
        <v>68</v>
      </c>
      <c r="M1735" s="3">
        <v>1127</v>
      </c>
      <c r="N1735" s="3">
        <v>894088</v>
      </c>
      <c r="O1735" s="2">
        <v>-0.157</v>
      </c>
      <c r="P1735" s="2">
        <v>0.68299999999999994</v>
      </c>
      <c r="Q1735" s="2">
        <v>-0.14599999999999999</v>
      </c>
      <c r="R1735" s="11">
        <v>481603339</v>
      </c>
      <c r="S1735" s="11">
        <v>565804</v>
      </c>
      <c r="T1735">
        <v>2016</v>
      </c>
      <c r="U1735">
        <v>5</v>
      </c>
      <c r="V1735">
        <f t="shared" si="162"/>
        <v>600000</v>
      </c>
      <c r="W1735">
        <f t="shared" si="163"/>
        <v>18429897</v>
      </c>
      <c r="X1735">
        <f t="shared" si="164"/>
        <v>17829897</v>
      </c>
      <c r="Y1735">
        <f t="shared" si="165"/>
        <v>-26144845.5</v>
      </c>
      <c r="Z1735">
        <f t="shared" si="166"/>
        <v>45174742.5</v>
      </c>
      <c r="AA1735" t="str">
        <f t="shared" si="167"/>
        <v>Normal</v>
      </c>
      <c r="AE1735" s="2"/>
      <c r="AF1735" s="2"/>
    </row>
    <row r="1736" spans="1:32" x14ac:dyDescent="0.35">
      <c r="A1736">
        <v>1735</v>
      </c>
      <c r="B1736" s="1">
        <v>42521</v>
      </c>
      <c r="C1736" s="9" t="s">
        <v>2961</v>
      </c>
      <c r="D1736" s="9" t="s">
        <v>4988</v>
      </c>
      <c r="E1736" s="9" t="s">
        <v>7116</v>
      </c>
      <c r="F1736" s="9" t="s">
        <v>27</v>
      </c>
      <c r="G1736" s="9" t="s">
        <v>2962</v>
      </c>
      <c r="H1736" s="9" t="s">
        <v>86</v>
      </c>
      <c r="I1736" s="11">
        <v>18429897</v>
      </c>
      <c r="J1736" s="11">
        <v>3994525</v>
      </c>
      <c r="K1736" s="11">
        <v>1955207</v>
      </c>
      <c r="L1736" s="3">
        <v>98</v>
      </c>
      <c r="M1736" s="3">
        <v>1850</v>
      </c>
      <c r="N1736" s="3">
        <v>171951</v>
      </c>
      <c r="O1736" s="2">
        <v>-0.16800000000000001</v>
      </c>
      <c r="P1736" s="2">
        <v>0.57700000000000007</v>
      </c>
      <c r="Q1736" s="2">
        <v>-0.13699999999999998</v>
      </c>
      <c r="R1736" s="11">
        <v>338180920</v>
      </c>
      <c r="S1736" s="11">
        <v>237732</v>
      </c>
      <c r="T1736">
        <v>2016</v>
      </c>
      <c r="U1736">
        <v>5</v>
      </c>
      <c r="V1736">
        <f t="shared" si="162"/>
        <v>600000</v>
      </c>
      <c r="W1736">
        <f t="shared" si="163"/>
        <v>18429897</v>
      </c>
      <c r="X1736">
        <f t="shared" si="164"/>
        <v>17829897</v>
      </c>
      <c r="Y1736">
        <f t="shared" si="165"/>
        <v>-26144845.5</v>
      </c>
      <c r="Z1736">
        <f t="shared" si="166"/>
        <v>45174742.5</v>
      </c>
      <c r="AA1736" t="str">
        <f t="shared" si="167"/>
        <v>Normal</v>
      </c>
      <c r="AE1736" s="2"/>
      <c r="AF1736" s="2"/>
    </row>
    <row r="1737" spans="1:32" x14ac:dyDescent="0.35">
      <c r="A1737">
        <v>1736</v>
      </c>
      <c r="B1737" s="1">
        <v>42521</v>
      </c>
      <c r="C1737" s="9" t="s">
        <v>2154</v>
      </c>
      <c r="D1737" s="9" t="s">
        <v>4925</v>
      </c>
      <c r="E1737" s="9" t="s">
        <v>7117</v>
      </c>
      <c r="F1737" s="9" t="s">
        <v>27</v>
      </c>
      <c r="G1737" s="9" t="s">
        <v>2963</v>
      </c>
      <c r="H1737" s="9" t="s">
        <v>105</v>
      </c>
      <c r="I1737" s="11">
        <v>4400000</v>
      </c>
      <c r="J1737" s="11">
        <v>2524344</v>
      </c>
      <c r="K1737" s="11">
        <v>17419716</v>
      </c>
      <c r="L1737" s="3">
        <v>452</v>
      </c>
      <c r="M1737" s="3">
        <v>1751</v>
      </c>
      <c r="N1737" s="3">
        <v>159936</v>
      </c>
      <c r="O1737" s="2">
        <v>-0.23699999999999999</v>
      </c>
      <c r="P1737" s="2">
        <v>0.214</v>
      </c>
      <c r="Q1737" s="2">
        <v>0.31900000000000001</v>
      </c>
      <c r="R1737" s="11">
        <v>250264963</v>
      </c>
      <c r="S1737" s="11">
        <v>425629</v>
      </c>
      <c r="T1737">
        <v>2016</v>
      </c>
      <c r="U1737">
        <v>5</v>
      </c>
      <c r="V1737">
        <f t="shared" si="162"/>
        <v>600000</v>
      </c>
      <c r="W1737">
        <f t="shared" si="163"/>
        <v>18429897</v>
      </c>
      <c r="X1737">
        <f t="shared" si="164"/>
        <v>17829897</v>
      </c>
      <c r="Y1737">
        <f t="shared" si="165"/>
        <v>-26144845.5</v>
      </c>
      <c r="Z1737">
        <f t="shared" si="166"/>
        <v>45174742.5</v>
      </c>
      <c r="AA1737" t="str">
        <f t="shared" si="167"/>
        <v>Normal</v>
      </c>
      <c r="AE1737" s="2"/>
      <c r="AF1737" s="2"/>
    </row>
    <row r="1738" spans="1:32" x14ac:dyDescent="0.35">
      <c r="A1738">
        <v>1737</v>
      </c>
      <c r="B1738" s="1">
        <v>42521</v>
      </c>
      <c r="C1738" s="9" t="s">
        <v>1829</v>
      </c>
      <c r="D1738" s="9" t="s">
        <v>4988</v>
      </c>
      <c r="E1738" s="9" t="s">
        <v>6009</v>
      </c>
      <c r="F1738" s="9" t="s">
        <v>31</v>
      </c>
      <c r="G1738" s="9" t="s">
        <v>2964</v>
      </c>
      <c r="H1738" s="9" t="s">
        <v>105</v>
      </c>
      <c r="I1738" s="11">
        <v>8900000</v>
      </c>
      <c r="J1738" s="11">
        <v>517315</v>
      </c>
      <c r="K1738" s="11">
        <v>14900107</v>
      </c>
      <c r="L1738" s="3">
        <v>198</v>
      </c>
      <c r="M1738" s="3">
        <v>4359</v>
      </c>
      <c r="N1738" s="3">
        <v>1838138</v>
      </c>
      <c r="O1738" s="2">
        <v>1.6E-2</v>
      </c>
      <c r="P1738" s="2">
        <v>0.50800000000000001</v>
      </c>
      <c r="Q1738" s="2">
        <v>9.8000000000000004E-2</v>
      </c>
      <c r="R1738" s="11">
        <v>376588056</v>
      </c>
      <c r="S1738" s="11">
        <v>1543090</v>
      </c>
      <c r="T1738">
        <v>2016</v>
      </c>
      <c r="U1738">
        <v>5</v>
      </c>
      <c r="V1738">
        <f t="shared" si="162"/>
        <v>600000</v>
      </c>
      <c r="W1738">
        <f t="shared" si="163"/>
        <v>18429897</v>
      </c>
      <c r="X1738">
        <f t="shared" si="164"/>
        <v>17829897</v>
      </c>
      <c r="Y1738">
        <f t="shared" si="165"/>
        <v>-26144845.5</v>
      </c>
      <c r="Z1738">
        <f t="shared" si="166"/>
        <v>45174742.5</v>
      </c>
      <c r="AA1738" t="str">
        <f t="shared" si="167"/>
        <v>Normal</v>
      </c>
      <c r="AE1738" s="2"/>
      <c r="AF1738" s="2"/>
    </row>
    <row r="1739" spans="1:32" x14ac:dyDescent="0.35">
      <c r="A1739">
        <v>1738</v>
      </c>
      <c r="B1739" s="1">
        <v>42521</v>
      </c>
      <c r="C1739" s="9" t="s">
        <v>652</v>
      </c>
      <c r="D1739" s="9" t="s">
        <v>4925</v>
      </c>
      <c r="E1739" s="9" t="s">
        <v>5243</v>
      </c>
      <c r="F1739" s="9" t="s">
        <v>19</v>
      </c>
      <c r="G1739" s="9" t="s">
        <v>2965</v>
      </c>
      <c r="H1739" s="9" t="s">
        <v>105</v>
      </c>
      <c r="I1739" s="11">
        <v>18429897</v>
      </c>
      <c r="J1739" s="11">
        <v>36163</v>
      </c>
      <c r="K1739" s="11">
        <v>6186000</v>
      </c>
      <c r="L1739" s="3">
        <v>408</v>
      </c>
      <c r="M1739" s="3">
        <v>2404</v>
      </c>
      <c r="N1739" s="3">
        <v>1199775</v>
      </c>
      <c r="O1739" s="2">
        <v>1.4999999999999999E-2</v>
      </c>
      <c r="P1739" s="2">
        <v>0.51300000000000001</v>
      </c>
      <c r="Q1739" s="2">
        <v>0.51900000000000002</v>
      </c>
      <c r="R1739" s="11">
        <v>250264963</v>
      </c>
      <c r="S1739" s="11">
        <v>1234583</v>
      </c>
      <c r="T1739">
        <v>2016</v>
      </c>
      <c r="U1739">
        <v>5</v>
      </c>
      <c r="V1739">
        <f t="shared" si="162"/>
        <v>600000</v>
      </c>
      <c r="W1739">
        <f t="shared" si="163"/>
        <v>18429897</v>
      </c>
      <c r="X1739">
        <f t="shared" si="164"/>
        <v>17829897</v>
      </c>
      <c r="Y1739">
        <f t="shared" si="165"/>
        <v>-26144845.5</v>
      </c>
      <c r="Z1739">
        <f t="shared" si="166"/>
        <v>45174742.5</v>
      </c>
      <c r="AA1739" t="str">
        <f t="shared" si="167"/>
        <v>Normal</v>
      </c>
      <c r="AE1739" s="2"/>
      <c r="AF1739" s="2"/>
    </row>
    <row r="1740" spans="1:32" x14ac:dyDescent="0.35">
      <c r="A1740">
        <v>1739</v>
      </c>
      <c r="B1740" s="1">
        <v>42521</v>
      </c>
      <c r="C1740" s="9" t="s">
        <v>2966</v>
      </c>
      <c r="D1740" s="9" t="s">
        <v>4939</v>
      </c>
      <c r="E1740" s="9" t="s">
        <v>5026</v>
      </c>
      <c r="F1740" s="9" t="s">
        <v>19</v>
      </c>
      <c r="G1740" s="9" t="s">
        <v>2967</v>
      </c>
      <c r="H1740" s="9" t="s">
        <v>86</v>
      </c>
      <c r="I1740" s="11">
        <v>18429897</v>
      </c>
      <c r="J1740" s="11">
        <v>1037898</v>
      </c>
      <c r="K1740" s="11">
        <v>15377701</v>
      </c>
      <c r="L1740" s="3">
        <v>344</v>
      </c>
      <c r="M1740" s="3">
        <v>4369</v>
      </c>
      <c r="N1740" s="3">
        <v>806967</v>
      </c>
      <c r="O1740" s="2">
        <v>0.42200000000000004</v>
      </c>
      <c r="P1740" s="2">
        <v>0.50800000000000001</v>
      </c>
      <c r="Q1740" s="2">
        <v>-7.0000000000000001E-3</v>
      </c>
      <c r="R1740" s="11">
        <v>49728639</v>
      </c>
      <c r="S1740" s="11">
        <v>843357</v>
      </c>
      <c r="T1740">
        <v>2016</v>
      </c>
      <c r="U1740">
        <v>5</v>
      </c>
      <c r="V1740">
        <f t="shared" si="162"/>
        <v>600000</v>
      </c>
      <c r="W1740">
        <f t="shared" si="163"/>
        <v>18429897</v>
      </c>
      <c r="X1740">
        <f t="shared" si="164"/>
        <v>17829897</v>
      </c>
      <c r="Y1740">
        <f t="shared" si="165"/>
        <v>-26144845.5</v>
      </c>
      <c r="Z1740">
        <f t="shared" si="166"/>
        <v>45174742.5</v>
      </c>
      <c r="AA1740" t="str">
        <f t="shared" si="167"/>
        <v>Normal</v>
      </c>
      <c r="AE1740" s="2"/>
      <c r="AF1740" s="2"/>
    </row>
    <row r="1741" spans="1:32" x14ac:dyDescent="0.35">
      <c r="A1741">
        <v>1740</v>
      </c>
      <c r="B1741" s="1">
        <v>42521</v>
      </c>
      <c r="C1741" s="9" t="s">
        <v>2968</v>
      </c>
      <c r="D1741" s="9" t="s">
        <v>4988</v>
      </c>
      <c r="E1741" s="9" t="s">
        <v>7118</v>
      </c>
      <c r="F1741" s="9" t="s">
        <v>31</v>
      </c>
      <c r="G1741" s="9" t="s">
        <v>856</v>
      </c>
      <c r="H1741" s="9" t="s">
        <v>86</v>
      </c>
      <c r="I1741" s="11">
        <v>175000</v>
      </c>
      <c r="J1741" s="11">
        <v>2166502</v>
      </c>
      <c r="K1741" s="11">
        <v>8629090</v>
      </c>
      <c r="L1741" s="3">
        <v>252</v>
      </c>
      <c r="M1741" s="3">
        <v>3455</v>
      </c>
      <c r="N1741" s="3">
        <v>1331787</v>
      </c>
      <c r="O1741" s="2">
        <v>3.3000000000000002E-2</v>
      </c>
      <c r="P1741" s="2">
        <v>1.0859999999999999</v>
      </c>
      <c r="Q1741" s="2">
        <v>4.7E-2</v>
      </c>
      <c r="R1741" s="11">
        <v>36490408</v>
      </c>
      <c r="S1741" s="11">
        <v>448826</v>
      </c>
      <c r="T1741">
        <v>2016</v>
      </c>
      <c r="U1741">
        <v>5</v>
      </c>
      <c r="V1741">
        <f t="shared" si="162"/>
        <v>600000</v>
      </c>
      <c r="W1741">
        <f t="shared" si="163"/>
        <v>18429897</v>
      </c>
      <c r="X1741">
        <f t="shared" si="164"/>
        <v>17829897</v>
      </c>
      <c r="Y1741">
        <f t="shared" si="165"/>
        <v>-26144845.5</v>
      </c>
      <c r="Z1741">
        <f t="shared" si="166"/>
        <v>45174742.5</v>
      </c>
      <c r="AA1741" t="str">
        <f t="shared" si="167"/>
        <v>Normal</v>
      </c>
      <c r="AE1741" s="2"/>
      <c r="AF1741" s="2"/>
    </row>
    <row r="1742" spans="1:32" x14ac:dyDescent="0.35">
      <c r="A1742">
        <v>1741</v>
      </c>
      <c r="B1742" s="1">
        <v>42461</v>
      </c>
      <c r="C1742" s="9" t="s">
        <v>2969</v>
      </c>
      <c r="D1742" s="9" t="s">
        <v>4988</v>
      </c>
      <c r="E1742" s="9" t="s">
        <v>7119</v>
      </c>
      <c r="F1742" s="9" t="s">
        <v>4910</v>
      </c>
      <c r="G1742" s="9" t="s">
        <v>2970</v>
      </c>
      <c r="H1742" s="9" t="s">
        <v>105</v>
      </c>
      <c r="I1742" s="11">
        <v>2700000</v>
      </c>
      <c r="J1742" s="11">
        <v>3723129</v>
      </c>
      <c r="K1742" s="11">
        <v>19416121</v>
      </c>
      <c r="L1742" s="3">
        <v>27</v>
      </c>
      <c r="M1742" s="3">
        <v>1872</v>
      </c>
      <c r="N1742" s="3">
        <v>1454061</v>
      </c>
      <c r="O1742" s="2">
        <v>-0.183</v>
      </c>
      <c r="P1742" s="2">
        <v>1.0640000000000001</v>
      </c>
      <c r="Q1742" s="2">
        <v>0.184</v>
      </c>
      <c r="R1742" s="11">
        <v>46582799</v>
      </c>
      <c r="S1742" s="11">
        <v>1578603</v>
      </c>
      <c r="T1742">
        <v>2016</v>
      </c>
      <c r="U1742">
        <v>4</v>
      </c>
      <c r="V1742">
        <f t="shared" si="162"/>
        <v>600000</v>
      </c>
      <c r="W1742">
        <f t="shared" si="163"/>
        <v>18429897</v>
      </c>
      <c r="X1742">
        <f t="shared" si="164"/>
        <v>17829897</v>
      </c>
      <c r="Y1742">
        <f t="shared" si="165"/>
        <v>-26144845.5</v>
      </c>
      <c r="Z1742">
        <f t="shared" si="166"/>
        <v>45174742.5</v>
      </c>
      <c r="AA1742" t="str">
        <f t="shared" si="167"/>
        <v>Normal</v>
      </c>
      <c r="AE1742" s="2"/>
      <c r="AF1742" s="2"/>
    </row>
    <row r="1743" spans="1:32" x14ac:dyDescent="0.35">
      <c r="A1743">
        <v>1742</v>
      </c>
      <c r="B1743" s="1">
        <v>42461</v>
      </c>
      <c r="C1743" s="9" t="s">
        <v>2971</v>
      </c>
      <c r="D1743" s="9" t="s">
        <v>4988</v>
      </c>
      <c r="E1743" s="9" t="s">
        <v>5405</v>
      </c>
      <c r="F1743" s="9" t="s">
        <v>94</v>
      </c>
      <c r="G1743" s="9" t="s">
        <v>2972</v>
      </c>
      <c r="H1743" s="9" t="s">
        <v>86</v>
      </c>
      <c r="I1743" s="11">
        <v>18429897</v>
      </c>
      <c r="J1743" s="11">
        <v>2289919</v>
      </c>
      <c r="K1743" s="11">
        <v>827189</v>
      </c>
      <c r="L1743" s="3">
        <v>41</v>
      </c>
      <c r="M1743" s="3">
        <v>2058</v>
      </c>
      <c r="N1743" s="3">
        <v>227625</v>
      </c>
      <c r="O1743" s="2">
        <v>0.153</v>
      </c>
      <c r="P1743" s="2">
        <v>0.70399999999999996</v>
      </c>
      <c r="Q1743" s="2">
        <v>-5.6000000000000001E-2</v>
      </c>
      <c r="R1743" s="11">
        <v>178042787</v>
      </c>
      <c r="S1743" s="11">
        <v>670825</v>
      </c>
      <c r="T1743">
        <v>2016</v>
      </c>
      <c r="U1743">
        <v>4</v>
      </c>
      <c r="V1743">
        <f t="shared" si="162"/>
        <v>600000</v>
      </c>
      <c r="W1743">
        <f t="shared" si="163"/>
        <v>18429897</v>
      </c>
      <c r="X1743">
        <f t="shared" si="164"/>
        <v>17829897</v>
      </c>
      <c r="Y1743">
        <f t="shared" si="165"/>
        <v>-26144845.5</v>
      </c>
      <c r="Z1743">
        <f t="shared" si="166"/>
        <v>45174742.5</v>
      </c>
      <c r="AA1743" t="str">
        <f t="shared" si="167"/>
        <v>Normal</v>
      </c>
      <c r="AE1743" s="2"/>
      <c r="AF1743" s="2"/>
    </row>
    <row r="1744" spans="1:32" x14ac:dyDescent="0.35">
      <c r="A1744">
        <v>1743</v>
      </c>
      <c r="B1744" s="1">
        <v>42461</v>
      </c>
      <c r="C1744" s="9" t="s">
        <v>2973</v>
      </c>
      <c r="D1744" s="9" t="s">
        <v>4988</v>
      </c>
      <c r="E1744" s="9" t="s">
        <v>2974</v>
      </c>
      <c r="F1744" s="9" t="s">
        <v>19</v>
      </c>
      <c r="G1744" s="9" t="s">
        <v>2975</v>
      </c>
      <c r="H1744" s="9" t="s">
        <v>86</v>
      </c>
      <c r="I1744" s="11">
        <v>18429897</v>
      </c>
      <c r="J1744" s="11">
        <v>135237</v>
      </c>
      <c r="K1744" s="11">
        <v>691881</v>
      </c>
      <c r="L1744" s="3">
        <v>359</v>
      </c>
      <c r="M1744" s="3">
        <v>4059</v>
      </c>
      <c r="N1744" s="3">
        <v>1841660</v>
      </c>
      <c r="O1744" s="2">
        <v>8.199999999999999E-2</v>
      </c>
      <c r="P1744" s="2">
        <v>0.67100000000000004</v>
      </c>
      <c r="Q1744" s="2">
        <v>-0.3</v>
      </c>
      <c r="R1744" s="11">
        <v>438369023</v>
      </c>
      <c r="S1744" s="11">
        <v>1013484</v>
      </c>
      <c r="T1744">
        <v>2016</v>
      </c>
      <c r="U1744">
        <v>4</v>
      </c>
      <c r="V1744">
        <f t="shared" si="162"/>
        <v>600000</v>
      </c>
      <c r="W1744">
        <f t="shared" si="163"/>
        <v>18429897</v>
      </c>
      <c r="X1744">
        <f t="shared" si="164"/>
        <v>17829897</v>
      </c>
      <c r="Y1744">
        <f t="shared" si="165"/>
        <v>-26144845.5</v>
      </c>
      <c r="Z1744">
        <f t="shared" si="166"/>
        <v>45174742.5</v>
      </c>
      <c r="AA1744" t="str">
        <f t="shared" si="167"/>
        <v>Normal</v>
      </c>
      <c r="AE1744" s="2"/>
      <c r="AF1744" s="2"/>
    </row>
    <row r="1745" spans="1:32" x14ac:dyDescent="0.35">
      <c r="A1745">
        <v>1744</v>
      </c>
      <c r="B1745" s="1">
        <v>42464</v>
      </c>
      <c r="C1745" s="9" t="s">
        <v>2170</v>
      </c>
      <c r="D1745" s="9" t="s">
        <v>4988</v>
      </c>
      <c r="E1745" s="9" t="s">
        <v>6680</v>
      </c>
      <c r="F1745" s="9" t="s">
        <v>31</v>
      </c>
      <c r="G1745" s="9" t="s">
        <v>2976</v>
      </c>
      <c r="H1745" s="9" t="s">
        <v>105</v>
      </c>
      <c r="I1745" s="11">
        <v>18429897</v>
      </c>
      <c r="J1745" s="11">
        <v>1067520</v>
      </c>
      <c r="K1745" s="11">
        <v>10928853</v>
      </c>
      <c r="L1745" s="3">
        <v>53</v>
      </c>
      <c r="M1745" s="3">
        <v>2522</v>
      </c>
      <c r="N1745" s="3">
        <v>1311208</v>
      </c>
      <c r="O1745" s="2">
        <v>-3.6000000000000004E-2</v>
      </c>
      <c r="P1745" s="2">
        <v>0.73299999999999998</v>
      </c>
      <c r="Q1745" s="2">
        <v>1.2E-2</v>
      </c>
      <c r="R1745" s="11">
        <v>250264963</v>
      </c>
      <c r="S1745" s="11">
        <v>1619891</v>
      </c>
      <c r="T1745">
        <v>2016</v>
      </c>
      <c r="U1745">
        <v>4</v>
      </c>
      <c r="V1745">
        <f t="shared" si="162"/>
        <v>600000</v>
      </c>
      <c r="W1745">
        <f t="shared" si="163"/>
        <v>18429897</v>
      </c>
      <c r="X1745">
        <f t="shared" si="164"/>
        <v>17829897</v>
      </c>
      <c r="Y1745">
        <f t="shared" si="165"/>
        <v>-26144845.5</v>
      </c>
      <c r="Z1745">
        <f t="shared" si="166"/>
        <v>45174742.5</v>
      </c>
      <c r="AA1745" t="str">
        <f t="shared" si="167"/>
        <v>Normal</v>
      </c>
      <c r="AE1745" s="2"/>
      <c r="AF1745" s="2"/>
    </row>
    <row r="1746" spans="1:32" x14ac:dyDescent="0.35">
      <c r="A1746">
        <v>1745</v>
      </c>
      <c r="B1746" s="1">
        <v>42464</v>
      </c>
      <c r="C1746" s="9" t="s">
        <v>2977</v>
      </c>
      <c r="D1746" s="9" t="s">
        <v>4939</v>
      </c>
      <c r="E1746" s="9" t="s">
        <v>7120</v>
      </c>
      <c r="F1746" s="9" t="s">
        <v>41</v>
      </c>
      <c r="G1746" s="9" t="s">
        <v>2978</v>
      </c>
      <c r="H1746" s="9" t="s">
        <v>86</v>
      </c>
      <c r="I1746" s="11">
        <v>18429897</v>
      </c>
      <c r="J1746" s="11">
        <v>4896538</v>
      </c>
      <c r="K1746" s="11">
        <v>18636072</v>
      </c>
      <c r="L1746" s="3">
        <v>7</v>
      </c>
      <c r="M1746" s="3">
        <v>3421</v>
      </c>
      <c r="N1746" s="3">
        <v>618943</v>
      </c>
      <c r="O1746" s="2">
        <v>0.2</v>
      </c>
      <c r="P1746" s="2">
        <v>0.59</v>
      </c>
      <c r="Q1746" s="2">
        <v>-8.6999999999999994E-2</v>
      </c>
      <c r="R1746" s="11">
        <v>123370861</v>
      </c>
      <c r="S1746" s="11">
        <v>450804</v>
      </c>
      <c r="T1746">
        <v>2016</v>
      </c>
      <c r="U1746">
        <v>4</v>
      </c>
      <c r="V1746">
        <f t="shared" si="162"/>
        <v>600000</v>
      </c>
      <c r="W1746">
        <f t="shared" si="163"/>
        <v>18429897</v>
      </c>
      <c r="X1746">
        <f t="shared" si="164"/>
        <v>17829897</v>
      </c>
      <c r="Y1746">
        <f t="shared" si="165"/>
        <v>-26144845.5</v>
      </c>
      <c r="Z1746">
        <f t="shared" si="166"/>
        <v>45174742.5</v>
      </c>
      <c r="AA1746" t="str">
        <f t="shared" si="167"/>
        <v>Normal</v>
      </c>
      <c r="AE1746" s="2"/>
      <c r="AF1746" s="2"/>
    </row>
    <row r="1747" spans="1:32" x14ac:dyDescent="0.35">
      <c r="A1747">
        <v>1746</v>
      </c>
      <c r="B1747" s="1">
        <v>42464</v>
      </c>
      <c r="C1747" s="9" t="s">
        <v>2979</v>
      </c>
      <c r="D1747" s="9" t="s">
        <v>4988</v>
      </c>
      <c r="E1747" s="9" t="s">
        <v>7121</v>
      </c>
      <c r="F1747" s="9" t="s">
        <v>31</v>
      </c>
      <c r="G1747" s="9" t="s">
        <v>2980</v>
      </c>
      <c r="H1747" s="9" t="s">
        <v>105</v>
      </c>
      <c r="I1747" s="11">
        <v>25000000</v>
      </c>
      <c r="J1747" s="11">
        <v>4940351</v>
      </c>
      <c r="K1747" s="11">
        <v>1361022</v>
      </c>
      <c r="L1747" s="3">
        <v>113</v>
      </c>
      <c r="M1747" s="3">
        <v>658</v>
      </c>
      <c r="N1747" s="3">
        <v>537626</v>
      </c>
      <c r="O1747" s="2">
        <v>0.33299999999999996</v>
      </c>
      <c r="P1747" s="2">
        <v>0.495</v>
      </c>
      <c r="Q1747" s="2">
        <v>6.8000000000000005E-2</v>
      </c>
      <c r="R1747" s="11">
        <v>250264963</v>
      </c>
      <c r="S1747" s="11">
        <v>785275</v>
      </c>
      <c r="T1747">
        <v>2016</v>
      </c>
      <c r="U1747">
        <v>4</v>
      </c>
      <c r="V1747">
        <f t="shared" si="162"/>
        <v>600000</v>
      </c>
      <c r="W1747">
        <f t="shared" si="163"/>
        <v>18429897</v>
      </c>
      <c r="X1747">
        <f t="shared" si="164"/>
        <v>17829897</v>
      </c>
      <c r="Y1747">
        <f t="shared" si="165"/>
        <v>-26144845.5</v>
      </c>
      <c r="Z1747">
        <f t="shared" si="166"/>
        <v>45174742.5</v>
      </c>
      <c r="AA1747" t="str">
        <f t="shared" si="167"/>
        <v>Normal</v>
      </c>
      <c r="AE1747" s="2"/>
      <c r="AF1747" s="2"/>
    </row>
    <row r="1748" spans="1:32" x14ac:dyDescent="0.35">
      <c r="A1748">
        <v>1747</v>
      </c>
      <c r="B1748" s="1">
        <v>42464</v>
      </c>
      <c r="C1748" s="9" t="s">
        <v>2981</v>
      </c>
      <c r="D1748" s="9" t="s">
        <v>4988</v>
      </c>
      <c r="E1748" s="9" t="s">
        <v>7122</v>
      </c>
      <c r="F1748" s="9" t="s">
        <v>15</v>
      </c>
      <c r="G1748" s="9" t="s">
        <v>2982</v>
      </c>
      <c r="H1748" s="9" t="s">
        <v>86</v>
      </c>
      <c r="I1748" s="11">
        <v>18429897</v>
      </c>
      <c r="J1748" s="11">
        <v>1898180</v>
      </c>
      <c r="K1748" s="11">
        <v>15580662</v>
      </c>
      <c r="L1748" s="3">
        <v>457</v>
      </c>
      <c r="M1748" s="3">
        <v>2161</v>
      </c>
      <c r="N1748" s="3">
        <v>175789</v>
      </c>
      <c r="O1748" s="2">
        <v>-0.16200000000000001</v>
      </c>
      <c r="P1748" s="2">
        <v>0.35799999999999998</v>
      </c>
      <c r="Q1748" s="2">
        <v>0.36749999999999999</v>
      </c>
      <c r="R1748" s="11">
        <v>215858067</v>
      </c>
      <c r="S1748" s="11">
        <v>827744</v>
      </c>
      <c r="T1748">
        <v>2016</v>
      </c>
      <c r="U1748">
        <v>4</v>
      </c>
      <c r="V1748">
        <f t="shared" si="162"/>
        <v>600000</v>
      </c>
      <c r="W1748">
        <f t="shared" si="163"/>
        <v>18429897</v>
      </c>
      <c r="X1748">
        <f t="shared" si="164"/>
        <v>17829897</v>
      </c>
      <c r="Y1748">
        <f t="shared" si="165"/>
        <v>-26144845.5</v>
      </c>
      <c r="Z1748">
        <f t="shared" si="166"/>
        <v>45174742.5</v>
      </c>
      <c r="AA1748" t="str">
        <f t="shared" si="167"/>
        <v>Normal</v>
      </c>
      <c r="AE1748" s="2"/>
      <c r="AF1748" s="2"/>
    </row>
    <row r="1749" spans="1:32" x14ac:dyDescent="0.35">
      <c r="A1749">
        <v>1748</v>
      </c>
      <c r="B1749" s="1">
        <v>42465</v>
      </c>
      <c r="C1749" s="9" t="s">
        <v>2983</v>
      </c>
      <c r="D1749" s="9" t="s">
        <v>2539</v>
      </c>
      <c r="E1749" s="9" t="s">
        <v>7123</v>
      </c>
      <c r="F1749" s="9" t="s">
        <v>15</v>
      </c>
      <c r="G1749" s="9" t="s">
        <v>2984</v>
      </c>
      <c r="H1749" s="9" t="s">
        <v>86</v>
      </c>
      <c r="I1749" s="11">
        <v>18429897</v>
      </c>
      <c r="J1749" s="11">
        <v>4028828</v>
      </c>
      <c r="K1749" s="11">
        <v>18778262</v>
      </c>
      <c r="L1749" s="3">
        <v>315</v>
      </c>
      <c r="M1749" s="3">
        <v>2905</v>
      </c>
      <c r="N1749" s="3">
        <v>513113</v>
      </c>
      <c r="O1749" s="2">
        <v>-0.21299999999999999</v>
      </c>
      <c r="P1749" s="2">
        <v>1.115</v>
      </c>
      <c r="Q1749" s="2">
        <v>0.21299999999999999</v>
      </c>
      <c r="R1749" s="11">
        <v>218480208</v>
      </c>
      <c r="S1749" s="11">
        <v>187736</v>
      </c>
      <c r="T1749">
        <v>2016</v>
      </c>
      <c r="U1749">
        <v>4</v>
      </c>
      <c r="V1749">
        <f t="shared" si="162"/>
        <v>600000</v>
      </c>
      <c r="W1749">
        <f t="shared" si="163"/>
        <v>18429897</v>
      </c>
      <c r="X1749">
        <f t="shared" si="164"/>
        <v>17829897</v>
      </c>
      <c r="Y1749">
        <f t="shared" si="165"/>
        <v>-26144845.5</v>
      </c>
      <c r="Z1749">
        <f t="shared" si="166"/>
        <v>45174742.5</v>
      </c>
      <c r="AA1749" t="str">
        <f t="shared" si="167"/>
        <v>Normal</v>
      </c>
      <c r="AE1749" s="2"/>
      <c r="AF1749" s="2"/>
    </row>
    <row r="1750" spans="1:32" x14ac:dyDescent="0.35">
      <c r="A1750">
        <v>1749</v>
      </c>
      <c r="B1750" s="1">
        <v>42465</v>
      </c>
      <c r="C1750" s="9" t="s">
        <v>2985</v>
      </c>
      <c r="D1750" s="9" t="s">
        <v>4930</v>
      </c>
      <c r="E1750" s="9" t="s">
        <v>7124</v>
      </c>
      <c r="F1750" s="9" t="s">
        <v>31</v>
      </c>
      <c r="G1750" s="9" t="s">
        <v>1727</v>
      </c>
      <c r="H1750" s="9" t="s">
        <v>105</v>
      </c>
      <c r="I1750" s="11">
        <v>18429897</v>
      </c>
      <c r="J1750" s="11">
        <v>3602176</v>
      </c>
      <c r="K1750" s="11">
        <v>9778857</v>
      </c>
      <c r="L1750" s="3">
        <v>360</v>
      </c>
      <c r="M1750" s="3">
        <v>1749</v>
      </c>
      <c r="N1750" s="3">
        <v>672498</v>
      </c>
      <c r="O1750" s="2">
        <v>0.21299999999999999</v>
      </c>
      <c r="P1750" s="2">
        <v>0.26200000000000001</v>
      </c>
      <c r="Q1750" s="2">
        <v>1.2E-2</v>
      </c>
      <c r="R1750" s="11">
        <v>57334371</v>
      </c>
      <c r="S1750" s="11">
        <v>252976</v>
      </c>
      <c r="T1750">
        <v>2016</v>
      </c>
      <c r="U1750">
        <v>4</v>
      </c>
      <c r="V1750">
        <f t="shared" si="162"/>
        <v>600000</v>
      </c>
      <c r="W1750">
        <f t="shared" si="163"/>
        <v>18429897</v>
      </c>
      <c r="X1750">
        <f t="shared" si="164"/>
        <v>17829897</v>
      </c>
      <c r="Y1750">
        <f t="shared" si="165"/>
        <v>-26144845.5</v>
      </c>
      <c r="Z1750">
        <f t="shared" si="166"/>
        <v>45174742.5</v>
      </c>
      <c r="AA1750" t="str">
        <f t="shared" si="167"/>
        <v>Normal</v>
      </c>
      <c r="AE1750" s="2"/>
      <c r="AF1750" s="2"/>
    </row>
    <row r="1751" spans="1:32" x14ac:dyDescent="0.35">
      <c r="A1751">
        <v>1750</v>
      </c>
      <c r="B1751" s="1">
        <v>42465</v>
      </c>
      <c r="C1751" s="9" t="s">
        <v>2191</v>
      </c>
      <c r="D1751" s="9" t="s">
        <v>4988</v>
      </c>
      <c r="E1751" s="9" t="s">
        <v>7125</v>
      </c>
      <c r="F1751" s="9" t="s">
        <v>31</v>
      </c>
      <c r="G1751" s="9" t="s">
        <v>2986</v>
      </c>
      <c r="H1751" s="9" t="s">
        <v>105</v>
      </c>
      <c r="I1751" s="11">
        <v>18429897</v>
      </c>
      <c r="J1751" s="11">
        <v>4657717</v>
      </c>
      <c r="K1751" s="11">
        <v>17351983</v>
      </c>
      <c r="L1751" s="3">
        <v>327</v>
      </c>
      <c r="M1751" s="3">
        <v>4246</v>
      </c>
      <c r="N1751" s="3">
        <v>426162</v>
      </c>
      <c r="O1751" s="2">
        <v>-0.3</v>
      </c>
      <c r="P1751" s="2">
        <v>0.54500000000000004</v>
      </c>
      <c r="Q1751" s="2">
        <v>-0.30399999999999999</v>
      </c>
      <c r="R1751" s="11">
        <v>182270565</v>
      </c>
      <c r="S1751" s="11">
        <v>486883</v>
      </c>
      <c r="T1751">
        <v>2016</v>
      </c>
      <c r="U1751">
        <v>4</v>
      </c>
      <c r="V1751">
        <f t="shared" si="162"/>
        <v>600000</v>
      </c>
      <c r="W1751">
        <f t="shared" si="163"/>
        <v>18429897</v>
      </c>
      <c r="X1751">
        <f t="shared" si="164"/>
        <v>17829897</v>
      </c>
      <c r="Y1751">
        <f t="shared" si="165"/>
        <v>-26144845.5</v>
      </c>
      <c r="Z1751">
        <f t="shared" si="166"/>
        <v>45174742.5</v>
      </c>
      <c r="AA1751" t="str">
        <f t="shared" si="167"/>
        <v>Normal</v>
      </c>
      <c r="AE1751" s="2"/>
      <c r="AF1751" s="2"/>
    </row>
    <row r="1752" spans="1:32" x14ac:dyDescent="0.35">
      <c r="A1752">
        <v>1751</v>
      </c>
      <c r="B1752" s="1">
        <v>42466</v>
      </c>
      <c r="C1752" s="9" t="s">
        <v>2987</v>
      </c>
      <c r="D1752" s="9" t="s">
        <v>4928</v>
      </c>
      <c r="E1752" s="9" t="s">
        <v>7126</v>
      </c>
      <c r="F1752" s="9" t="s">
        <v>19</v>
      </c>
      <c r="G1752" s="9" t="s">
        <v>2988</v>
      </c>
      <c r="H1752" s="9" t="s">
        <v>105</v>
      </c>
      <c r="I1752" s="11">
        <v>1000000</v>
      </c>
      <c r="J1752" s="11">
        <v>4440104</v>
      </c>
      <c r="K1752" s="11">
        <v>15163120</v>
      </c>
      <c r="L1752" s="3">
        <v>284</v>
      </c>
      <c r="M1752" s="3">
        <v>1091</v>
      </c>
      <c r="N1752" s="3">
        <v>1342007</v>
      </c>
      <c r="O1752" s="2">
        <v>0.43</v>
      </c>
      <c r="P1752" s="2">
        <v>0.36599999999999999</v>
      </c>
      <c r="Q1752" s="2">
        <v>-5.5999999999999994E-2</v>
      </c>
      <c r="R1752" s="11">
        <v>215052608</v>
      </c>
      <c r="S1752" s="11">
        <v>44329</v>
      </c>
      <c r="T1752">
        <v>2016</v>
      </c>
      <c r="U1752">
        <v>4</v>
      </c>
      <c r="V1752">
        <f t="shared" si="162"/>
        <v>600000</v>
      </c>
      <c r="W1752">
        <f t="shared" si="163"/>
        <v>18429897</v>
      </c>
      <c r="X1752">
        <f t="shared" si="164"/>
        <v>17829897</v>
      </c>
      <c r="Y1752">
        <f t="shared" si="165"/>
        <v>-26144845.5</v>
      </c>
      <c r="Z1752">
        <f t="shared" si="166"/>
        <v>45174742.5</v>
      </c>
      <c r="AA1752" t="str">
        <f t="shared" si="167"/>
        <v>Normal</v>
      </c>
      <c r="AE1752" s="2"/>
      <c r="AF1752" s="2"/>
    </row>
    <row r="1753" spans="1:32" x14ac:dyDescent="0.35">
      <c r="A1753">
        <v>1752</v>
      </c>
      <c r="B1753" s="1">
        <v>42466</v>
      </c>
      <c r="C1753" s="9" t="s">
        <v>2989</v>
      </c>
      <c r="D1753" s="9" t="s">
        <v>4988</v>
      </c>
      <c r="E1753" s="9" t="s">
        <v>7127</v>
      </c>
      <c r="F1753" s="9" t="s">
        <v>15</v>
      </c>
      <c r="G1753" s="9" t="s">
        <v>2990</v>
      </c>
      <c r="H1753" s="9" t="s">
        <v>86</v>
      </c>
      <c r="I1753" s="11">
        <v>500000</v>
      </c>
      <c r="J1753" s="11">
        <v>3151133</v>
      </c>
      <c r="K1753" s="11">
        <v>4362333</v>
      </c>
      <c r="L1753" s="3">
        <v>131</v>
      </c>
      <c r="M1753" s="3">
        <v>4254</v>
      </c>
      <c r="N1753" s="3">
        <v>505088</v>
      </c>
      <c r="O1753" s="2">
        <v>1.6E-2</v>
      </c>
      <c r="P1753" s="2">
        <v>0.26100000000000001</v>
      </c>
      <c r="Q1753" s="2">
        <v>-0.20100000000000001</v>
      </c>
      <c r="R1753" s="11">
        <v>121394128</v>
      </c>
      <c r="S1753" s="11">
        <v>859515</v>
      </c>
      <c r="T1753">
        <v>2016</v>
      </c>
      <c r="U1753">
        <v>4</v>
      </c>
      <c r="V1753">
        <f t="shared" si="162"/>
        <v>600000</v>
      </c>
      <c r="W1753">
        <f t="shared" si="163"/>
        <v>18429897</v>
      </c>
      <c r="X1753">
        <f t="shared" si="164"/>
        <v>17829897</v>
      </c>
      <c r="Y1753">
        <f t="shared" si="165"/>
        <v>-26144845.5</v>
      </c>
      <c r="Z1753">
        <f t="shared" si="166"/>
        <v>45174742.5</v>
      </c>
      <c r="AA1753" t="str">
        <f t="shared" si="167"/>
        <v>Normal</v>
      </c>
      <c r="AE1753" s="2"/>
      <c r="AF1753" s="2"/>
    </row>
    <row r="1754" spans="1:32" x14ac:dyDescent="0.35">
      <c r="A1754">
        <v>1753</v>
      </c>
      <c r="B1754" s="1">
        <v>42466</v>
      </c>
      <c r="C1754" s="9" t="s">
        <v>1750</v>
      </c>
      <c r="D1754" s="9" t="s">
        <v>4988</v>
      </c>
      <c r="E1754" s="9" t="s">
        <v>7128</v>
      </c>
      <c r="F1754" s="9" t="s">
        <v>31</v>
      </c>
      <c r="G1754" s="9" t="s">
        <v>4842</v>
      </c>
      <c r="H1754" s="9" t="s">
        <v>105</v>
      </c>
      <c r="I1754" s="11">
        <v>6000000</v>
      </c>
      <c r="J1754" s="11">
        <v>1985256</v>
      </c>
      <c r="K1754" s="11">
        <v>17098165</v>
      </c>
      <c r="L1754" s="3">
        <v>217</v>
      </c>
      <c r="M1754" s="3">
        <v>362</v>
      </c>
      <c r="N1754" s="3">
        <v>999644</v>
      </c>
      <c r="O1754" s="2">
        <v>0.1</v>
      </c>
      <c r="P1754" s="2">
        <v>0.373</v>
      </c>
      <c r="Q1754" s="2">
        <v>0.57999999999999996</v>
      </c>
      <c r="R1754" s="11">
        <v>212497319</v>
      </c>
      <c r="S1754" s="11">
        <v>70840</v>
      </c>
      <c r="T1754">
        <v>2016</v>
      </c>
      <c r="U1754">
        <v>4</v>
      </c>
      <c r="V1754">
        <f t="shared" si="162"/>
        <v>600000</v>
      </c>
      <c r="W1754">
        <f t="shared" si="163"/>
        <v>18429897</v>
      </c>
      <c r="X1754">
        <f t="shared" si="164"/>
        <v>17829897</v>
      </c>
      <c r="Y1754">
        <f t="shared" si="165"/>
        <v>-26144845.5</v>
      </c>
      <c r="Z1754">
        <f t="shared" si="166"/>
        <v>45174742.5</v>
      </c>
      <c r="AA1754" t="str">
        <f t="shared" si="167"/>
        <v>Normal</v>
      </c>
      <c r="AE1754" s="2"/>
      <c r="AF1754" s="2"/>
    </row>
    <row r="1755" spans="1:32" x14ac:dyDescent="0.35">
      <c r="A1755">
        <v>1754</v>
      </c>
      <c r="B1755" s="1">
        <v>42466</v>
      </c>
      <c r="C1755" s="9" t="s">
        <v>2478</v>
      </c>
      <c r="D1755" s="9" t="s">
        <v>4988</v>
      </c>
      <c r="E1755" s="9" t="s">
        <v>5690</v>
      </c>
      <c r="F1755" s="9" t="s">
        <v>15</v>
      </c>
      <c r="G1755" s="9" t="s">
        <v>998</v>
      </c>
      <c r="H1755" s="9" t="s">
        <v>105</v>
      </c>
      <c r="I1755" s="11">
        <v>1000000</v>
      </c>
      <c r="J1755" s="11">
        <v>3140760</v>
      </c>
      <c r="K1755" s="11">
        <v>14017436</v>
      </c>
      <c r="L1755" s="3">
        <v>274</v>
      </c>
      <c r="M1755" s="3">
        <v>2164</v>
      </c>
      <c r="N1755" s="3">
        <v>1117514</v>
      </c>
      <c r="O1755" s="2">
        <v>0.27699999999999997</v>
      </c>
      <c r="P1755" s="2">
        <v>0.65599999999999992</v>
      </c>
      <c r="Q1755" s="2">
        <v>0.11199999999999999</v>
      </c>
      <c r="R1755" s="11">
        <v>335491360</v>
      </c>
      <c r="S1755" s="11">
        <v>1238885</v>
      </c>
      <c r="T1755">
        <v>2016</v>
      </c>
      <c r="U1755">
        <v>4</v>
      </c>
      <c r="V1755">
        <f t="shared" si="162"/>
        <v>600000</v>
      </c>
      <c r="W1755">
        <f t="shared" si="163"/>
        <v>18429897</v>
      </c>
      <c r="X1755">
        <f t="shared" si="164"/>
        <v>17829897</v>
      </c>
      <c r="Y1755">
        <f t="shared" si="165"/>
        <v>-26144845.5</v>
      </c>
      <c r="Z1755">
        <f t="shared" si="166"/>
        <v>45174742.5</v>
      </c>
      <c r="AA1755" t="str">
        <f t="shared" si="167"/>
        <v>Normal</v>
      </c>
      <c r="AE1755" s="2"/>
      <c r="AF1755" s="2"/>
    </row>
    <row r="1756" spans="1:32" x14ac:dyDescent="0.35">
      <c r="A1756">
        <v>1755</v>
      </c>
      <c r="B1756" s="1">
        <v>42467</v>
      </c>
      <c r="C1756" s="9" t="s">
        <v>2991</v>
      </c>
      <c r="D1756" s="9" t="s">
        <v>4988</v>
      </c>
      <c r="E1756" s="9" t="s">
        <v>7129</v>
      </c>
      <c r="F1756" s="9" t="s">
        <v>2992</v>
      </c>
      <c r="G1756" s="9" t="s">
        <v>2993</v>
      </c>
      <c r="H1756" s="9" t="s">
        <v>105</v>
      </c>
      <c r="I1756" s="11">
        <v>18429897</v>
      </c>
      <c r="J1756" s="11">
        <v>1609279</v>
      </c>
      <c r="K1756" s="11">
        <v>350317</v>
      </c>
      <c r="L1756" s="3">
        <v>494</v>
      </c>
      <c r="M1756" s="3">
        <v>2610</v>
      </c>
      <c r="N1756" s="3">
        <v>149999</v>
      </c>
      <c r="O1756" s="2">
        <v>-0.214</v>
      </c>
      <c r="P1756" s="2">
        <v>0.75900000000000001</v>
      </c>
      <c r="Q1756" s="2">
        <v>0.26700000000000002</v>
      </c>
      <c r="R1756" s="11">
        <v>494108897</v>
      </c>
      <c r="S1756" s="11">
        <v>1920631</v>
      </c>
      <c r="T1756">
        <v>2016</v>
      </c>
      <c r="U1756">
        <v>4</v>
      </c>
      <c r="V1756">
        <f t="shared" si="162"/>
        <v>600000</v>
      </c>
      <c r="W1756">
        <f t="shared" si="163"/>
        <v>18429897</v>
      </c>
      <c r="X1756">
        <f t="shared" si="164"/>
        <v>17829897</v>
      </c>
      <c r="Y1756">
        <f t="shared" si="165"/>
        <v>-26144845.5</v>
      </c>
      <c r="Z1756">
        <f t="shared" si="166"/>
        <v>45174742.5</v>
      </c>
      <c r="AA1756" t="str">
        <f t="shared" si="167"/>
        <v>Normal</v>
      </c>
      <c r="AE1756" s="2"/>
      <c r="AF1756" s="2"/>
    </row>
    <row r="1757" spans="1:32" x14ac:dyDescent="0.35">
      <c r="A1757">
        <v>1756</v>
      </c>
      <c r="B1757" s="1">
        <v>42468</v>
      </c>
      <c r="C1757" s="9" t="s">
        <v>1024</v>
      </c>
      <c r="D1757" s="9" t="s">
        <v>4988</v>
      </c>
      <c r="E1757" s="9" t="s">
        <v>7130</v>
      </c>
      <c r="F1757" s="9" t="s">
        <v>27</v>
      </c>
      <c r="G1757" s="9" t="s">
        <v>2994</v>
      </c>
      <c r="H1757" s="9" t="s">
        <v>86</v>
      </c>
      <c r="I1757" s="11">
        <v>18429897</v>
      </c>
      <c r="J1757" s="11">
        <v>1753491</v>
      </c>
      <c r="K1757" s="11">
        <v>11403605</v>
      </c>
      <c r="L1757" s="3">
        <v>450</v>
      </c>
      <c r="M1757" s="3">
        <v>1305</v>
      </c>
      <c r="N1757" s="3">
        <v>337516</v>
      </c>
      <c r="O1757" s="2">
        <v>0.188</v>
      </c>
      <c r="P1757" s="2">
        <v>1.094E-2</v>
      </c>
      <c r="Q1757" s="2">
        <v>7.5999999999999998E-2</v>
      </c>
      <c r="R1757" s="11">
        <v>256403702</v>
      </c>
      <c r="S1757" s="11">
        <v>1060931</v>
      </c>
      <c r="T1757">
        <v>2016</v>
      </c>
      <c r="U1757">
        <v>4</v>
      </c>
      <c r="V1757">
        <f t="shared" si="162"/>
        <v>600000</v>
      </c>
      <c r="W1757">
        <f t="shared" si="163"/>
        <v>18429897</v>
      </c>
      <c r="X1757">
        <f t="shared" si="164"/>
        <v>17829897</v>
      </c>
      <c r="Y1757">
        <f t="shared" si="165"/>
        <v>-26144845.5</v>
      </c>
      <c r="Z1757">
        <f t="shared" si="166"/>
        <v>45174742.5</v>
      </c>
      <c r="AA1757" t="str">
        <f t="shared" si="167"/>
        <v>Normal</v>
      </c>
      <c r="AE1757" s="2"/>
      <c r="AF1757" s="2"/>
    </row>
    <row r="1758" spans="1:32" x14ac:dyDescent="0.35">
      <c r="A1758">
        <v>1757</v>
      </c>
      <c r="B1758" s="1">
        <v>42468</v>
      </c>
      <c r="C1758" s="9" t="s">
        <v>2995</v>
      </c>
      <c r="D1758" s="9" t="s">
        <v>4938</v>
      </c>
      <c r="E1758" s="9" t="s">
        <v>7131</v>
      </c>
      <c r="F1758" s="9" t="s">
        <v>35</v>
      </c>
      <c r="G1758" s="9" t="s">
        <v>2996</v>
      </c>
      <c r="H1758" s="9" t="s">
        <v>86</v>
      </c>
      <c r="I1758" s="11">
        <v>18429897</v>
      </c>
      <c r="J1758" s="11">
        <v>3051530</v>
      </c>
      <c r="K1758" s="11">
        <v>13122086</v>
      </c>
      <c r="L1758" s="3">
        <v>369</v>
      </c>
      <c r="M1758" s="3">
        <v>2723</v>
      </c>
      <c r="N1758" s="3">
        <v>140485</v>
      </c>
      <c r="O1758" s="2">
        <v>4.7E-2</v>
      </c>
      <c r="P1758" s="2">
        <v>0.88400000000000001</v>
      </c>
      <c r="Q1758" s="2">
        <v>0.55799999999999994</v>
      </c>
      <c r="R1758" s="11">
        <v>209628894</v>
      </c>
      <c r="S1758" s="11">
        <v>1980014</v>
      </c>
      <c r="T1758">
        <v>2016</v>
      </c>
      <c r="U1758">
        <v>4</v>
      </c>
      <c r="V1758">
        <f t="shared" si="162"/>
        <v>600000</v>
      </c>
      <c r="W1758">
        <f t="shared" si="163"/>
        <v>18429897</v>
      </c>
      <c r="X1758">
        <f t="shared" si="164"/>
        <v>17829897</v>
      </c>
      <c r="Y1758">
        <f t="shared" si="165"/>
        <v>-26144845.5</v>
      </c>
      <c r="Z1758">
        <f t="shared" si="166"/>
        <v>45174742.5</v>
      </c>
      <c r="AA1758" t="str">
        <f t="shared" si="167"/>
        <v>Normal</v>
      </c>
      <c r="AE1758" s="2"/>
      <c r="AF1758" s="2"/>
    </row>
    <row r="1759" spans="1:32" x14ac:dyDescent="0.35">
      <c r="A1759">
        <v>1758</v>
      </c>
      <c r="B1759" s="1">
        <v>42468</v>
      </c>
      <c r="C1759" s="9" t="s">
        <v>2997</v>
      </c>
      <c r="D1759" s="9" t="s">
        <v>4988</v>
      </c>
      <c r="E1759" s="9" t="s">
        <v>7132</v>
      </c>
      <c r="F1759" s="9" t="s">
        <v>27</v>
      </c>
      <c r="G1759" s="9" t="s">
        <v>2998</v>
      </c>
      <c r="H1759" s="9" t="s">
        <v>86</v>
      </c>
      <c r="I1759" s="11">
        <v>40000</v>
      </c>
      <c r="J1759" s="11">
        <v>2865565</v>
      </c>
      <c r="K1759" s="11">
        <v>16047018</v>
      </c>
      <c r="L1759" s="3">
        <v>407</v>
      </c>
      <c r="M1759" s="3">
        <v>4509</v>
      </c>
      <c r="N1759" s="3">
        <v>1381769</v>
      </c>
      <c r="O1759" s="2">
        <v>0.32500000000000001</v>
      </c>
      <c r="P1759" s="2">
        <v>1.002</v>
      </c>
      <c r="Q1759" s="2">
        <v>-0.215</v>
      </c>
      <c r="R1759" s="11">
        <v>44470292</v>
      </c>
      <c r="S1759" s="11">
        <v>1057144</v>
      </c>
      <c r="T1759">
        <v>2016</v>
      </c>
      <c r="U1759">
        <v>4</v>
      </c>
      <c r="V1759">
        <f t="shared" si="162"/>
        <v>600000</v>
      </c>
      <c r="W1759">
        <f t="shared" si="163"/>
        <v>18429897</v>
      </c>
      <c r="X1759">
        <f t="shared" si="164"/>
        <v>17829897</v>
      </c>
      <c r="Y1759">
        <f t="shared" si="165"/>
        <v>-26144845.5</v>
      </c>
      <c r="Z1759">
        <f t="shared" si="166"/>
        <v>45174742.5</v>
      </c>
      <c r="AA1759" t="str">
        <f t="shared" si="167"/>
        <v>Normal</v>
      </c>
      <c r="AE1759" s="2"/>
      <c r="AF1759" s="2"/>
    </row>
    <row r="1760" spans="1:32" x14ac:dyDescent="0.35">
      <c r="A1760">
        <v>1759</v>
      </c>
      <c r="B1760" s="1">
        <v>42471</v>
      </c>
      <c r="C1760" s="9" t="s">
        <v>2999</v>
      </c>
      <c r="D1760" s="9" t="s">
        <v>4988</v>
      </c>
      <c r="E1760" s="9" t="s">
        <v>7133</v>
      </c>
      <c r="F1760" s="9" t="s">
        <v>31</v>
      </c>
      <c r="G1760" s="9" t="s">
        <v>3000</v>
      </c>
      <c r="H1760" s="9" t="s">
        <v>86</v>
      </c>
      <c r="I1760" s="11">
        <v>200000</v>
      </c>
      <c r="J1760" s="11">
        <v>2913327</v>
      </c>
      <c r="K1760" s="11">
        <v>15448457</v>
      </c>
      <c r="L1760" s="3">
        <v>404</v>
      </c>
      <c r="M1760" s="3">
        <v>2247</v>
      </c>
      <c r="N1760" s="3">
        <v>1018455</v>
      </c>
      <c r="O1760" s="2">
        <v>-0.9</v>
      </c>
      <c r="P1760" s="2">
        <v>0.753</v>
      </c>
      <c r="Q1760" s="2">
        <v>-9.8000000000000004E-2</v>
      </c>
      <c r="R1760" s="11">
        <v>461070178</v>
      </c>
      <c r="S1760" s="11">
        <v>88565</v>
      </c>
      <c r="T1760">
        <v>2016</v>
      </c>
      <c r="U1760">
        <v>4</v>
      </c>
      <c r="V1760">
        <f t="shared" si="162"/>
        <v>600000</v>
      </c>
      <c r="W1760">
        <f t="shared" si="163"/>
        <v>18429897</v>
      </c>
      <c r="X1760">
        <f t="shared" si="164"/>
        <v>17829897</v>
      </c>
      <c r="Y1760">
        <f t="shared" si="165"/>
        <v>-26144845.5</v>
      </c>
      <c r="Z1760">
        <f t="shared" si="166"/>
        <v>45174742.5</v>
      </c>
      <c r="AA1760" t="str">
        <f t="shared" si="167"/>
        <v>Normal</v>
      </c>
      <c r="AE1760" s="2"/>
      <c r="AF1760" s="2"/>
    </row>
    <row r="1761" spans="1:32" x14ac:dyDescent="0.35">
      <c r="A1761">
        <v>1760</v>
      </c>
      <c r="B1761" s="1">
        <v>42471</v>
      </c>
      <c r="C1761" s="9" t="s">
        <v>3001</v>
      </c>
      <c r="D1761" s="9" t="s">
        <v>4925</v>
      </c>
      <c r="E1761" s="9" t="s">
        <v>7134</v>
      </c>
      <c r="F1761" s="9" t="s">
        <v>27</v>
      </c>
      <c r="G1761" s="9" t="s">
        <v>3002</v>
      </c>
      <c r="H1761" s="9" t="s">
        <v>86</v>
      </c>
      <c r="I1761" s="11">
        <v>18429897</v>
      </c>
      <c r="J1761" s="11">
        <v>1935685</v>
      </c>
      <c r="K1761" s="11">
        <v>9565476</v>
      </c>
      <c r="L1761" s="3">
        <v>335</v>
      </c>
      <c r="M1761" s="3">
        <v>2718</v>
      </c>
      <c r="N1761" s="3">
        <v>258778</v>
      </c>
      <c r="O1761" s="2">
        <v>0.155</v>
      </c>
      <c r="P1761" s="2">
        <v>0.50800000000000001</v>
      </c>
      <c r="Q1761" s="2">
        <v>0.37799999999999995</v>
      </c>
      <c r="R1761" s="11">
        <v>429182782</v>
      </c>
      <c r="S1761" s="11">
        <v>823362</v>
      </c>
      <c r="T1761">
        <v>2016</v>
      </c>
      <c r="U1761">
        <v>4</v>
      </c>
      <c r="V1761">
        <f t="shared" si="162"/>
        <v>600000</v>
      </c>
      <c r="W1761">
        <f t="shared" si="163"/>
        <v>18429897</v>
      </c>
      <c r="X1761">
        <f t="shared" si="164"/>
        <v>17829897</v>
      </c>
      <c r="Y1761">
        <f t="shared" si="165"/>
        <v>-26144845.5</v>
      </c>
      <c r="Z1761">
        <f t="shared" si="166"/>
        <v>45174742.5</v>
      </c>
      <c r="AA1761" t="str">
        <f t="shared" si="167"/>
        <v>Normal</v>
      </c>
      <c r="AE1761" s="2"/>
      <c r="AF1761" s="2"/>
    </row>
    <row r="1762" spans="1:32" x14ac:dyDescent="0.35">
      <c r="A1762">
        <v>1761</v>
      </c>
      <c r="B1762" s="1">
        <v>42471</v>
      </c>
      <c r="C1762" s="9" t="s">
        <v>3003</v>
      </c>
      <c r="D1762" s="9" t="s">
        <v>4988</v>
      </c>
      <c r="E1762" s="9" t="s">
        <v>7135</v>
      </c>
      <c r="F1762" s="9" t="s">
        <v>27</v>
      </c>
      <c r="G1762" s="9" t="s">
        <v>3004</v>
      </c>
      <c r="H1762" s="9" t="s">
        <v>105</v>
      </c>
      <c r="I1762" s="11">
        <v>100000000</v>
      </c>
      <c r="J1762" s="11">
        <v>2057517</v>
      </c>
      <c r="K1762" s="11">
        <v>6049867</v>
      </c>
      <c r="L1762" s="3">
        <v>413</v>
      </c>
      <c r="M1762" s="3">
        <v>4755</v>
      </c>
      <c r="N1762" s="3">
        <v>1473117</v>
      </c>
      <c r="O1762" s="2">
        <v>4.8000000000000001E-2</v>
      </c>
      <c r="P1762" s="2">
        <v>1.05</v>
      </c>
      <c r="Q1762" s="2">
        <v>-2.8999999999999998E-2</v>
      </c>
      <c r="R1762" s="11">
        <v>426933050</v>
      </c>
      <c r="S1762" s="11">
        <v>387714</v>
      </c>
      <c r="T1762">
        <v>2016</v>
      </c>
      <c r="U1762">
        <v>4</v>
      </c>
      <c r="V1762">
        <f t="shared" si="162"/>
        <v>600000</v>
      </c>
      <c r="W1762">
        <f t="shared" si="163"/>
        <v>18429897</v>
      </c>
      <c r="X1762">
        <f t="shared" si="164"/>
        <v>17829897</v>
      </c>
      <c r="Y1762">
        <f t="shared" si="165"/>
        <v>-26144845.5</v>
      </c>
      <c r="Z1762">
        <f t="shared" si="166"/>
        <v>45174742.5</v>
      </c>
      <c r="AA1762" t="str">
        <f t="shared" si="167"/>
        <v>Outlier</v>
      </c>
      <c r="AE1762" s="2"/>
      <c r="AF1762" s="2"/>
    </row>
    <row r="1763" spans="1:32" x14ac:dyDescent="0.35">
      <c r="A1763">
        <v>1762</v>
      </c>
      <c r="B1763" s="1">
        <v>42471</v>
      </c>
      <c r="C1763" s="9" t="s">
        <v>3005</v>
      </c>
      <c r="D1763" s="9" t="s">
        <v>4988</v>
      </c>
      <c r="E1763" s="9" t="s">
        <v>7136</v>
      </c>
      <c r="F1763" s="9" t="s">
        <v>19</v>
      </c>
      <c r="G1763" s="9" t="s">
        <v>3006</v>
      </c>
      <c r="H1763" s="9" t="s">
        <v>86</v>
      </c>
      <c r="I1763" s="11">
        <v>300000</v>
      </c>
      <c r="J1763" s="11">
        <v>70756</v>
      </c>
      <c r="K1763" s="11">
        <v>3916262</v>
      </c>
      <c r="L1763" s="3">
        <v>41</v>
      </c>
      <c r="M1763" s="3">
        <v>4622</v>
      </c>
      <c r="N1763" s="3">
        <v>1622659</v>
      </c>
      <c r="O1763" s="2">
        <v>0.20300000000000001</v>
      </c>
      <c r="P1763" s="2">
        <v>0.67500000000000004</v>
      </c>
      <c r="Q1763" s="2">
        <v>-8.6999999999999994E-2</v>
      </c>
      <c r="R1763" s="11">
        <v>318877402</v>
      </c>
      <c r="S1763" s="11">
        <v>976765</v>
      </c>
      <c r="T1763">
        <v>2016</v>
      </c>
      <c r="U1763">
        <v>4</v>
      </c>
      <c r="V1763">
        <f t="shared" si="162"/>
        <v>600000</v>
      </c>
      <c r="W1763">
        <f t="shared" si="163"/>
        <v>18429897</v>
      </c>
      <c r="X1763">
        <f t="shared" si="164"/>
        <v>17829897</v>
      </c>
      <c r="Y1763">
        <f t="shared" si="165"/>
        <v>-26144845.5</v>
      </c>
      <c r="Z1763">
        <f t="shared" si="166"/>
        <v>45174742.5</v>
      </c>
      <c r="AA1763" t="str">
        <f t="shared" si="167"/>
        <v>Normal</v>
      </c>
      <c r="AE1763" s="2"/>
      <c r="AF1763" s="2"/>
    </row>
    <row r="1764" spans="1:32" x14ac:dyDescent="0.35">
      <c r="A1764">
        <v>1763</v>
      </c>
      <c r="B1764" s="1">
        <v>42472</v>
      </c>
      <c r="C1764" s="9" t="s">
        <v>3007</v>
      </c>
      <c r="D1764" s="9" t="s">
        <v>4988</v>
      </c>
      <c r="E1764" s="9" t="s">
        <v>7137</v>
      </c>
      <c r="F1764" s="9" t="s">
        <v>15</v>
      </c>
      <c r="G1764" s="9" t="s">
        <v>3008</v>
      </c>
      <c r="H1764" s="9" t="s">
        <v>86</v>
      </c>
      <c r="I1764" s="11">
        <v>1000000</v>
      </c>
      <c r="J1764" s="11">
        <v>3016838</v>
      </c>
      <c r="K1764" s="11">
        <v>1871194</v>
      </c>
      <c r="L1764" s="3">
        <v>15</v>
      </c>
      <c r="M1764" s="3">
        <v>117</v>
      </c>
      <c r="N1764" s="3">
        <v>219104</v>
      </c>
      <c r="O1764" s="2">
        <v>7.0000000000000007E-2</v>
      </c>
      <c r="P1764" s="2">
        <v>0.97099999999999997</v>
      </c>
      <c r="Q1764" s="2">
        <v>-0.04</v>
      </c>
      <c r="R1764" s="11">
        <v>214166436</v>
      </c>
      <c r="S1764" s="11">
        <v>979964</v>
      </c>
      <c r="T1764">
        <v>2016</v>
      </c>
      <c r="U1764">
        <v>4</v>
      </c>
      <c r="V1764">
        <f t="shared" si="162"/>
        <v>600000</v>
      </c>
      <c r="W1764">
        <f t="shared" si="163"/>
        <v>18429897</v>
      </c>
      <c r="X1764">
        <f t="shared" si="164"/>
        <v>17829897</v>
      </c>
      <c r="Y1764">
        <f t="shared" si="165"/>
        <v>-26144845.5</v>
      </c>
      <c r="Z1764">
        <f t="shared" si="166"/>
        <v>45174742.5</v>
      </c>
      <c r="AA1764" t="str">
        <f t="shared" si="167"/>
        <v>Normal</v>
      </c>
      <c r="AE1764" s="2"/>
      <c r="AF1764" s="2"/>
    </row>
    <row r="1765" spans="1:32" x14ac:dyDescent="0.35">
      <c r="A1765">
        <v>1764</v>
      </c>
      <c r="B1765" s="1">
        <v>42472</v>
      </c>
      <c r="C1765" s="9" t="s">
        <v>3009</v>
      </c>
      <c r="D1765" s="9" t="s">
        <v>4988</v>
      </c>
      <c r="E1765" s="9" t="s">
        <v>7138</v>
      </c>
      <c r="F1765" s="9" t="s">
        <v>31</v>
      </c>
      <c r="G1765" s="9" t="s">
        <v>3010</v>
      </c>
      <c r="H1765" s="9" t="s">
        <v>86</v>
      </c>
      <c r="I1765" s="11">
        <v>18429897</v>
      </c>
      <c r="J1765" s="11">
        <v>2887409</v>
      </c>
      <c r="K1765" s="11">
        <v>12832883</v>
      </c>
      <c r="L1765" s="3">
        <v>224</v>
      </c>
      <c r="M1765" s="3">
        <v>3643</v>
      </c>
      <c r="N1765" s="3">
        <v>233909</v>
      </c>
      <c r="O1765" s="2">
        <v>0.17199999999999999</v>
      </c>
      <c r="P1765" s="2">
        <v>0.20600000000000002</v>
      </c>
      <c r="Q1765" s="2">
        <v>0.58299999999999996</v>
      </c>
      <c r="R1765" s="11">
        <v>35463479</v>
      </c>
      <c r="S1765" s="11">
        <v>1461762</v>
      </c>
      <c r="T1765">
        <v>2016</v>
      </c>
      <c r="U1765">
        <v>4</v>
      </c>
      <c r="V1765">
        <f t="shared" si="162"/>
        <v>600000</v>
      </c>
      <c r="W1765">
        <f t="shared" si="163"/>
        <v>18429897</v>
      </c>
      <c r="X1765">
        <f t="shared" si="164"/>
        <v>17829897</v>
      </c>
      <c r="Y1765">
        <f t="shared" si="165"/>
        <v>-26144845.5</v>
      </c>
      <c r="Z1765">
        <f t="shared" si="166"/>
        <v>45174742.5</v>
      </c>
      <c r="AA1765" t="str">
        <f t="shared" si="167"/>
        <v>Normal</v>
      </c>
      <c r="AE1765" s="2"/>
      <c r="AF1765" s="2"/>
    </row>
    <row r="1766" spans="1:32" x14ac:dyDescent="0.35">
      <c r="A1766">
        <v>1765</v>
      </c>
      <c r="B1766" s="1">
        <v>42472</v>
      </c>
      <c r="C1766" s="9" t="s">
        <v>3011</v>
      </c>
      <c r="D1766" s="9" t="s">
        <v>4933</v>
      </c>
      <c r="E1766" s="9" t="s">
        <v>2504</v>
      </c>
      <c r="F1766" s="9" t="s">
        <v>31</v>
      </c>
      <c r="G1766" s="9" t="s">
        <v>3012</v>
      </c>
      <c r="H1766" s="9" t="s">
        <v>86</v>
      </c>
      <c r="I1766" s="11">
        <v>18429897</v>
      </c>
      <c r="J1766" s="11">
        <v>4678199</v>
      </c>
      <c r="K1766" s="11">
        <v>19199426</v>
      </c>
      <c r="L1766" s="3">
        <v>32</v>
      </c>
      <c r="M1766" s="3">
        <v>4259</v>
      </c>
      <c r="N1766" s="3">
        <v>1589456</v>
      </c>
      <c r="O1766" s="2">
        <v>0.47100000000000003</v>
      </c>
      <c r="P1766" s="2">
        <v>0.64599999999999991</v>
      </c>
      <c r="Q1766" s="2">
        <v>0.61099999999999999</v>
      </c>
      <c r="R1766" s="11">
        <v>21624801</v>
      </c>
      <c r="S1766" s="11">
        <v>1293379</v>
      </c>
      <c r="T1766">
        <v>2016</v>
      </c>
      <c r="U1766">
        <v>4</v>
      </c>
      <c r="V1766">
        <f t="shared" si="162"/>
        <v>600000</v>
      </c>
      <c r="W1766">
        <f t="shared" si="163"/>
        <v>18429897</v>
      </c>
      <c r="X1766">
        <f t="shared" si="164"/>
        <v>17829897</v>
      </c>
      <c r="Y1766">
        <f t="shared" si="165"/>
        <v>-26144845.5</v>
      </c>
      <c r="Z1766">
        <f t="shared" si="166"/>
        <v>45174742.5</v>
      </c>
      <c r="AA1766" t="str">
        <f t="shared" si="167"/>
        <v>Normal</v>
      </c>
      <c r="AE1766" s="2"/>
      <c r="AF1766" s="2"/>
    </row>
    <row r="1767" spans="1:32" x14ac:dyDescent="0.35">
      <c r="A1767">
        <v>1766</v>
      </c>
      <c r="B1767" s="1">
        <v>42472</v>
      </c>
      <c r="C1767" s="9" t="s">
        <v>3013</v>
      </c>
      <c r="D1767" s="9" t="s">
        <v>4988</v>
      </c>
      <c r="E1767" s="9" t="s">
        <v>7139</v>
      </c>
      <c r="F1767" s="9" t="s">
        <v>15</v>
      </c>
      <c r="G1767" s="9" t="s">
        <v>3014</v>
      </c>
      <c r="H1767" s="9" t="s">
        <v>86</v>
      </c>
      <c r="I1767" s="11">
        <v>18429897</v>
      </c>
      <c r="J1767" s="11">
        <v>2531312</v>
      </c>
      <c r="K1767" s="11">
        <v>1697578</v>
      </c>
      <c r="L1767" s="3">
        <v>173</v>
      </c>
      <c r="M1767" s="3">
        <v>4715</v>
      </c>
      <c r="N1767" s="3">
        <v>617345</v>
      </c>
      <c r="O1767" s="2">
        <v>6.3E-2</v>
      </c>
      <c r="P1767" s="2">
        <v>0.53900000000000003</v>
      </c>
      <c r="Q1767" s="2">
        <v>0.20199999999999999</v>
      </c>
      <c r="R1767" s="11">
        <v>437002503</v>
      </c>
      <c r="S1767" s="11">
        <v>348578</v>
      </c>
      <c r="T1767">
        <v>2016</v>
      </c>
      <c r="U1767">
        <v>4</v>
      </c>
      <c r="V1767">
        <f t="shared" si="162"/>
        <v>600000</v>
      </c>
      <c r="W1767">
        <f t="shared" si="163"/>
        <v>18429897</v>
      </c>
      <c r="X1767">
        <f t="shared" si="164"/>
        <v>17829897</v>
      </c>
      <c r="Y1767">
        <f t="shared" si="165"/>
        <v>-26144845.5</v>
      </c>
      <c r="Z1767">
        <f t="shared" si="166"/>
        <v>45174742.5</v>
      </c>
      <c r="AA1767" t="str">
        <f t="shared" si="167"/>
        <v>Normal</v>
      </c>
      <c r="AE1767" s="2"/>
      <c r="AF1767" s="2"/>
    </row>
    <row r="1768" spans="1:32" x14ac:dyDescent="0.35">
      <c r="A1768">
        <v>1767</v>
      </c>
      <c r="B1768" s="1">
        <v>42473</v>
      </c>
      <c r="C1768" s="9" t="s">
        <v>3015</v>
      </c>
      <c r="D1768" s="9" t="s">
        <v>4988</v>
      </c>
      <c r="E1768" s="9" t="s">
        <v>7140</v>
      </c>
      <c r="F1768" s="9" t="s">
        <v>27</v>
      </c>
      <c r="G1768" s="9" t="s">
        <v>3016</v>
      </c>
      <c r="H1768" s="9" t="s">
        <v>86</v>
      </c>
      <c r="I1768" s="11">
        <v>1000000</v>
      </c>
      <c r="J1768" s="11">
        <v>2348848</v>
      </c>
      <c r="K1768" s="11">
        <v>14083928</v>
      </c>
      <c r="L1768" s="3">
        <v>103</v>
      </c>
      <c r="M1768" s="3">
        <v>4014</v>
      </c>
      <c r="N1768" s="3">
        <v>691183</v>
      </c>
      <c r="O1768" s="2">
        <v>0.20100000000000001</v>
      </c>
      <c r="P1768" s="2">
        <v>0.49700000000000005</v>
      </c>
      <c r="Q1768" s="2">
        <v>0.14899999999999999</v>
      </c>
      <c r="R1768" s="11">
        <v>424195140</v>
      </c>
      <c r="S1768" s="11">
        <v>353045</v>
      </c>
      <c r="T1768">
        <v>2016</v>
      </c>
      <c r="U1768">
        <v>4</v>
      </c>
      <c r="V1768">
        <f t="shared" si="162"/>
        <v>600000</v>
      </c>
      <c r="W1768">
        <f t="shared" si="163"/>
        <v>18429897</v>
      </c>
      <c r="X1768">
        <f t="shared" si="164"/>
        <v>17829897</v>
      </c>
      <c r="Y1768">
        <f t="shared" si="165"/>
        <v>-26144845.5</v>
      </c>
      <c r="Z1768">
        <f t="shared" si="166"/>
        <v>45174742.5</v>
      </c>
      <c r="AA1768" t="str">
        <f t="shared" si="167"/>
        <v>Normal</v>
      </c>
      <c r="AE1768" s="2"/>
      <c r="AF1768" s="2"/>
    </row>
    <row r="1769" spans="1:32" x14ac:dyDescent="0.35">
      <c r="A1769">
        <v>1768</v>
      </c>
      <c r="B1769" s="1">
        <v>42473</v>
      </c>
      <c r="C1769" s="9" t="s">
        <v>3017</v>
      </c>
      <c r="D1769" s="9" t="s">
        <v>4988</v>
      </c>
      <c r="E1769" s="9" t="s">
        <v>7141</v>
      </c>
      <c r="F1769" s="9" t="s">
        <v>41</v>
      </c>
      <c r="G1769" s="9" t="s">
        <v>3018</v>
      </c>
      <c r="H1769" s="9" t="s">
        <v>86</v>
      </c>
      <c r="I1769" s="11">
        <v>150000</v>
      </c>
      <c r="J1769" s="11">
        <v>357058</v>
      </c>
      <c r="K1769" s="11">
        <v>11733301</v>
      </c>
      <c r="L1769" s="3">
        <v>479</v>
      </c>
      <c r="M1769" s="3">
        <v>459</v>
      </c>
      <c r="N1769" s="3">
        <v>1176860</v>
      </c>
      <c r="O1769" s="2">
        <v>0.57700000000000007</v>
      </c>
      <c r="P1769" s="2">
        <v>0.875</v>
      </c>
      <c r="Q1769" s="2">
        <v>0.36749999999999999</v>
      </c>
      <c r="R1769" s="11">
        <v>365921126</v>
      </c>
      <c r="S1769" s="11">
        <v>326305</v>
      </c>
      <c r="T1769">
        <v>2016</v>
      </c>
      <c r="U1769">
        <v>4</v>
      </c>
      <c r="V1769">
        <f t="shared" si="162"/>
        <v>600000</v>
      </c>
      <c r="W1769">
        <f t="shared" si="163"/>
        <v>18429897</v>
      </c>
      <c r="X1769">
        <f t="shared" si="164"/>
        <v>17829897</v>
      </c>
      <c r="Y1769">
        <f t="shared" si="165"/>
        <v>-26144845.5</v>
      </c>
      <c r="Z1769">
        <f t="shared" si="166"/>
        <v>45174742.5</v>
      </c>
      <c r="AA1769" t="str">
        <f t="shared" si="167"/>
        <v>Normal</v>
      </c>
      <c r="AE1769" s="2"/>
      <c r="AF1769" s="2"/>
    </row>
    <row r="1770" spans="1:32" x14ac:dyDescent="0.35">
      <c r="A1770">
        <v>1769</v>
      </c>
      <c r="B1770" s="1">
        <v>42473</v>
      </c>
      <c r="C1770" s="9" t="s">
        <v>3019</v>
      </c>
      <c r="D1770" s="9" t="s">
        <v>4925</v>
      </c>
      <c r="E1770" s="9" t="s">
        <v>7142</v>
      </c>
      <c r="F1770" s="9" t="s">
        <v>31</v>
      </c>
      <c r="G1770" s="9" t="s">
        <v>3020</v>
      </c>
      <c r="H1770" s="9" t="s">
        <v>86</v>
      </c>
      <c r="I1770" s="11">
        <v>250000</v>
      </c>
      <c r="J1770" s="11">
        <v>999776</v>
      </c>
      <c r="K1770" s="11">
        <v>3520561</v>
      </c>
      <c r="L1770" s="3">
        <v>329</v>
      </c>
      <c r="M1770" s="3">
        <v>3805</v>
      </c>
      <c r="N1770" s="3">
        <v>136511</v>
      </c>
      <c r="O1770" s="2">
        <v>0.19800000000000001</v>
      </c>
      <c r="P1770" s="2">
        <v>1.0249999999999999E-2</v>
      </c>
      <c r="Q1770" s="2">
        <v>0.19800000000000001</v>
      </c>
      <c r="R1770" s="11">
        <v>106536947</v>
      </c>
      <c r="S1770" s="11">
        <v>433103</v>
      </c>
      <c r="T1770">
        <v>2016</v>
      </c>
      <c r="U1770">
        <v>4</v>
      </c>
      <c r="V1770">
        <f t="shared" si="162"/>
        <v>600000</v>
      </c>
      <c r="W1770">
        <f t="shared" si="163"/>
        <v>18429897</v>
      </c>
      <c r="X1770">
        <f t="shared" si="164"/>
        <v>17829897</v>
      </c>
      <c r="Y1770">
        <f t="shared" si="165"/>
        <v>-26144845.5</v>
      </c>
      <c r="Z1770">
        <f t="shared" si="166"/>
        <v>45174742.5</v>
      </c>
      <c r="AA1770" t="str">
        <f t="shared" si="167"/>
        <v>Normal</v>
      </c>
      <c r="AE1770" s="2"/>
      <c r="AF1770" s="2"/>
    </row>
    <row r="1771" spans="1:32" x14ac:dyDescent="0.35">
      <c r="A1771">
        <v>1770</v>
      </c>
      <c r="B1771" s="1">
        <v>42473</v>
      </c>
      <c r="C1771" s="9" t="s">
        <v>2329</v>
      </c>
      <c r="D1771" s="9" t="s">
        <v>4925</v>
      </c>
      <c r="E1771" s="9" t="s">
        <v>6762</v>
      </c>
      <c r="F1771" s="9" t="s">
        <v>15</v>
      </c>
      <c r="G1771" s="9" t="s">
        <v>3021</v>
      </c>
      <c r="H1771" s="9" t="s">
        <v>86</v>
      </c>
      <c r="I1771" s="11">
        <v>750000</v>
      </c>
      <c r="J1771" s="11">
        <v>2531926</v>
      </c>
      <c r="K1771" s="11">
        <v>4332825</v>
      </c>
      <c r="L1771" s="3">
        <v>25</v>
      </c>
      <c r="M1771" s="3">
        <v>4230</v>
      </c>
      <c r="N1771" s="3">
        <v>875740</v>
      </c>
      <c r="O1771" s="2">
        <v>-0.36700000000000005</v>
      </c>
      <c r="P1771" s="2">
        <v>1.064E-2</v>
      </c>
      <c r="Q1771" s="2">
        <v>0.14400000000000002</v>
      </c>
      <c r="R1771" s="11">
        <v>21170027</v>
      </c>
      <c r="S1771" s="11">
        <v>1953683</v>
      </c>
      <c r="T1771">
        <v>2016</v>
      </c>
      <c r="U1771">
        <v>4</v>
      </c>
      <c r="V1771">
        <f t="shared" si="162"/>
        <v>600000</v>
      </c>
      <c r="W1771">
        <f t="shared" si="163"/>
        <v>18429897</v>
      </c>
      <c r="X1771">
        <f t="shared" si="164"/>
        <v>17829897</v>
      </c>
      <c r="Y1771">
        <f t="shared" si="165"/>
        <v>-26144845.5</v>
      </c>
      <c r="Z1771">
        <f t="shared" si="166"/>
        <v>45174742.5</v>
      </c>
      <c r="AA1771" t="str">
        <f t="shared" si="167"/>
        <v>Normal</v>
      </c>
      <c r="AE1771" s="2"/>
      <c r="AF1771" s="2"/>
    </row>
    <row r="1772" spans="1:32" x14ac:dyDescent="0.35">
      <c r="A1772">
        <v>1771</v>
      </c>
      <c r="B1772" s="1">
        <v>42474</v>
      </c>
      <c r="C1772" s="9" t="s">
        <v>3022</v>
      </c>
      <c r="D1772" s="9" t="s">
        <v>4988</v>
      </c>
      <c r="E1772" s="9" t="s">
        <v>7143</v>
      </c>
      <c r="F1772" s="9" t="s">
        <v>27</v>
      </c>
      <c r="G1772" s="9" t="s">
        <v>3023</v>
      </c>
      <c r="H1772" s="9" t="s">
        <v>86</v>
      </c>
      <c r="I1772" s="11">
        <v>18429897</v>
      </c>
      <c r="J1772" s="11">
        <v>1898485</v>
      </c>
      <c r="K1772" s="11">
        <v>5760589</v>
      </c>
      <c r="L1772" s="3">
        <v>313</v>
      </c>
      <c r="M1772" s="3">
        <v>2648</v>
      </c>
      <c r="N1772" s="3">
        <v>667788</v>
      </c>
      <c r="O1772" s="2">
        <v>-1.2999999999999999E-2</v>
      </c>
      <c r="P1772" s="2">
        <v>1.0009999999999999</v>
      </c>
      <c r="Q1772" s="2">
        <v>-1.3000000000000001E-2</v>
      </c>
      <c r="R1772" s="11">
        <v>29711541</v>
      </c>
      <c r="S1772" s="11">
        <v>1033011</v>
      </c>
      <c r="T1772">
        <v>2016</v>
      </c>
      <c r="U1772">
        <v>4</v>
      </c>
      <c r="V1772">
        <f t="shared" si="162"/>
        <v>600000</v>
      </c>
      <c r="W1772">
        <f t="shared" si="163"/>
        <v>18429897</v>
      </c>
      <c r="X1772">
        <f t="shared" si="164"/>
        <v>17829897</v>
      </c>
      <c r="Y1772">
        <f t="shared" si="165"/>
        <v>-26144845.5</v>
      </c>
      <c r="Z1772">
        <f t="shared" si="166"/>
        <v>45174742.5</v>
      </c>
      <c r="AA1772" t="str">
        <f t="shared" si="167"/>
        <v>Normal</v>
      </c>
      <c r="AE1772" s="2"/>
      <c r="AF1772" s="2"/>
    </row>
    <row r="1773" spans="1:32" x14ac:dyDescent="0.35">
      <c r="A1773">
        <v>1772</v>
      </c>
      <c r="B1773" s="1">
        <v>42474</v>
      </c>
      <c r="C1773" s="9" t="s">
        <v>3024</v>
      </c>
      <c r="D1773" s="9" t="s">
        <v>4930</v>
      </c>
      <c r="E1773" s="9" t="s">
        <v>3025</v>
      </c>
      <c r="F1773" s="9" t="s">
        <v>31</v>
      </c>
      <c r="G1773" s="9" t="s">
        <v>3026</v>
      </c>
      <c r="H1773" s="9" t="s">
        <v>86</v>
      </c>
      <c r="I1773" s="11">
        <v>100000</v>
      </c>
      <c r="J1773" s="11">
        <v>2531926</v>
      </c>
      <c r="K1773" s="11">
        <v>13730235</v>
      </c>
      <c r="L1773" s="3">
        <v>367</v>
      </c>
      <c r="M1773" s="3">
        <v>153</v>
      </c>
      <c r="N1773" s="3">
        <v>1645474</v>
      </c>
      <c r="O1773" s="2">
        <v>-0.121</v>
      </c>
      <c r="P1773" s="2">
        <v>1.012</v>
      </c>
      <c r="Q1773" s="2">
        <v>-5.3999999999999999E-2</v>
      </c>
      <c r="R1773" s="11">
        <v>425229214</v>
      </c>
      <c r="S1773" s="11">
        <v>469676</v>
      </c>
      <c r="T1773">
        <v>2016</v>
      </c>
      <c r="U1773">
        <v>4</v>
      </c>
      <c r="V1773">
        <f t="shared" si="162"/>
        <v>600000</v>
      </c>
      <c r="W1773">
        <f t="shared" si="163"/>
        <v>18429897</v>
      </c>
      <c r="X1773">
        <f t="shared" si="164"/>
        <v>17829897</v>
      </c>
      <c r="Y1773">
        <f t="shared" si="165"/>
        <v>-26144845.5</v>
      </c>
      <c r="Z1773">
        <f t="shared" si="166"/>
        <v>45174742.5</v>
      </c>
      <c r="AA1773" t="str">
        <f t="shared" si="167"/>
        <v>Normal</v>
      </c>
      <c r="AE1773" s="2"/>
      <c r="AF1773" s="2"/>
    </row>
    <row r="1774" spans="1:32" x14ac:dyDescent="0.35">
      <c r="A1774">
        <v>1773</v>
      </c>
      <c r="B1774" s="1">
        <v>42475</v>
      </c>
      <c r="C1774" s="9" t="s">
        <v>3027</v>
      </c>
      <c r="D1774" s="9" t="s">
        <v>4988</v>
      </c>
      <c r="E1774" s="9" t="s">
        <v>7144</v>
      </c>
      <c r="F1774" s="9" t="s">
        <v>63</v>
      </c>
      <c r="G1774" s="9" t="s">
        <v>3028</v>
      </c>
      <c r="H1774" s="9" t="s">
        <v>86</v>
      </c>
      <c r="I1774" s="11">
        <v>18429897</v>
      </c>
      <c r="J1774" s="11">
        <v>1982652</v>
      </c>
      <c r="K1774" s="11">
        <v>6043443</v>
      </c>
      <c r="L1774" s="3">
        <v>165</v>
      </c>
      <c r="M1774" s="3">
        <v>992</v>
      </c>
      <c r="N1774" s="3">
        <v>1460977</v>
      </c>
      <c r="O1774" s="2">
        <v>0.30399999999999999</v>
      </c>
      <c r="P1774" s="2">
        <v>1.0349999999999999</v>
      </c>
      <c r="Q1774" s="2">
        <v>0.22399999999999998</v>
      </c>
      <c r="R1774" s="11">
        <v>435598047</v>
      </c>
      <c r="S1774" s="11">
        <v>108493</v>
      </c>
      <c r="T1774">
        <v>2016</v>
      </c>
      <c r="U1774">
        <v>4</v>
      </c>
      <c r="V1774">
        <f t="shared" si="162"/>
        <v>600000</v>
      </c>
      <c r="W1774">
        <f t="shared" si="163"/>
        <v>18429897</v>
      </c>
      <c r="X1774">
        <f t="shared" si="164"/>
        <v>17829897</v>
      </c>
      <c r="Y1774">
        <f t="shared" si="165"/>
        <v>-26144845.5</v>
      </c>
      <c r="Z1774">
        <f t="shared" si="166"/>
        <v>45174742.5</v>
      </c>
      <c r="AA1774" t="str">
        <f t="shared" si="167"/>
        <v>Normal</v>
      </c>
      <c r="AE1774" s="2"/>
      <c r="AF1774" s="2"/>
    </row>
    <row r="1775" spans="1:32" x14ac:dyDescent="0.35">
      <c r="A1775">
        <v>1774</v>
      </c>
      <c r="B1775" s="1">
        <v>42475</v>
      </c>
      <c r="C1775" s="9" t="s">
        <v>174</v>
      </c>
      <c r="D1775" s="9" t="s">
        <v>4988</v>
      </c>
      <c r="E1775" s="9" t="s">
        <v>7145</v>
      </c>
      <c r="F1775" s="9" t="s">
        <v>27</v>
      </c>
      <c r="G1775" s="9" t="s">
        <v>3029</v>
      </c>
      <c r="H1775" s="9" t="s">
        <v>86</v>
      </c>
      <c r="I1775" s="11">
        <v>1000000</v>
      </c>
      <c r="J1775" s="11">
        <v>3849210</v>
      </c>
      <c r="K1775" s="11">
        <v>16578058</v>
      </c>
      <c r="L1775" s="3">
        <v>441</v>
      </c>
      <c r="M1775" s="3">
        <v>1411</v>
      </c>
      <c r="N1775" s="3">
        <v>573425</v>
      </c>
      <c r="O1775" s="2">
        <v>0.10099999999999999</v>
      </c>
      <c r="P1775" s="2">
        <v>0.89400000000000002</v>
      </c>
      <c r="Q1775" s="2">
        <v>0.13500000000000001</v>
      </c>
      <c r="R1775" s="11">
        <v>303138055</v>
      </c>
      <c r="S1775" s="11">
        <v>1013675</v>
      </c>
      <c r="T1775">
        <v>2016</v>
      </c>
      <c r="U1775">
        <v>4</v>
      </c>
      <c r="V1775">
        <f t="shared" si="162"/>
        <v>600000</v>
      </c>
      <c r="W1775">
        <f t="shared" si="163"/>
        <v>18429897</v>
      </c>
      <c r="X1775">
        <f t="shared" si="164"/>
        <v>17829897</v>
      </c>
      <c r="Y1775">
        <f t="shared" si="165"/>
        <v>-26144845.5</v>
      </c>
      <c r="Z1775">
        <f t="shared" si="166"/>
        <v>45174742.5</v>
      </c>
      <c r="AA1775" t="str">
        <f t="shared" si="167"/>
        <v>Normal</v>
      </c>
      <c r="AE1775" s="2"/>
      <c r="AF1775" s="2"/>
    </row>
    <row r="1776" spans="1:32" x14ac:dyDescent="0.35">
      <c r="A1776">
        <v>1775</v>
      </c>
      <c r="B1776" s="1">
        <v>42475</v>
      </c>
      <c r="C1776" s="9" t="s">
        <v>3030</v>
      </c>
      <c r="D1776" s="9" t="s">
        <v>4988</v>
      </c>
      <c r="E1776" s="9" t="s">
        <v>7146</v>
      </c>
      <c r="F1776" s="9" t="s">
        <v>294</v>
      </c>
      <c r="G1776" s="9" t="s">
        <v>3031</v>
      </c>
      <c r="H1776" s="9" t="s">
        <v>86</v>
      </c>
      <c r="I1776" s="11">
        <v>18429897</v>
      </c>
      <c r="J1776" s="11">
        <v>672921</v>
      </c>
      <c r="K1776" s="11">
        <v>7458127</v>
      </c>
      <c r="L1776" s="3">
        <v>486</v>
      </c>
      <c r="M1776" s="3">
        <v>4321</v>
      </c>
      <c r="N1776" s="3">
        <v>1018455</v>
      </c>
      <c r="O1776" s="2">
        <v>0.33299999999999996</v>
      </c>
      <c r="P1776" s="2">
        <v>0.96</v>
      </c>
      <c r="Q1776" s="2">
        <v>0.46700000000000003</v>
      </c>
      <c r="R1776" s="11">
        <v>329341561</v>
      </c>
      <c r="S1776" s="11">
        <v>1071799</v>
      </c>
      <c r="T1776">
        <v>2016</v>
      </c>
      <c r="U1776">
        <v>4</v>
      </c>
      <c r="V1776">
        <f t="shared" si="162"/>
        <v>600000</v>
      </c>
      <c r="W1776">
        <f t="shared" si="163"/>
        <v>18429897</v>
      </c>
      <c r="X1776">
        <f t="shared" si="164"/>
        <v>17829897</v>
      </c>
      <c r="Y1776">
        <f t="shared" si="165"/>
        <v>-26144845.5</v>
      </c>
      <c r="Z1776">
        <f t="shared" si="166"/>
        <v>45174742.5</v>
      </c>
      <c r="AA1776" t="str">
        <f t="shared" si="167"/>
        <v>Normal</v>
      </c>
      <c r="AE1776" s="2"/>
      <c r="AF1776" s="2"/>
    </row>
    <row r="1777" spans="1:32" x14ac:dyDescent="0.35">
      <c r="A1777">
        <v>1776</v>
      </c>
      <c r="B1777" s="1">
        <v>42475</v>
      </c>
      <c r="C1777" s="9" t="s">
        <v>3032</v>
      </c>
      <c r="D1777" s="9" t="s">
        <v>4988</v>
      </c>
      <c r="E1777" s="9" t="s">
        <v>7147</v>
      </c>
      <c r="F1777" s="9" t="s">
        <v>27</v>
      </c>
      <c r="G1777" s="9" t="s">
        <v>3033</v>
      </c>
      <c r="H1777" s="9" t="s">
        <v>105</v>
      </c>
      <c r="I1777" s="11">
        <v>15000000</v>
      </c>
      <c r="J1777" s="11">
        <v>1674652</v>
      </c>
      <c r="K1777" s="11">
        <v>2279542</v>
      </c>
      <c r="L1777" s="3">
        <v>490</v>
      </c>
      <c r="M1777" s="3">
        <v>672</v>
      </c>
      <c r="N1777" s="3">
        <v>805630</v>
      </c>
      <c r="O1777" s="2">
        <v>0.24199999999999999</v>
      </c>
      <c r="P1777" s="2">
        <v>0.42100000000000004</v>
      </c>
      <c r="Q1777" s="2">
        <v>3.5000000000000003E-2</v>
      </c>
      <c r="R1777" s="11">
        <v>407708943</v>
      </c>
      <c r="S1777" s="11">
        <v>1250989</v>
      </c>
      <c r="T1777">
        <v>2016</v>
      </c>
      <c r="U1777">
        <v>4</v>
      </c>
      <c r="V1777">
        <f t="shared" si="162"/>
        <v>600000</v>
      </c>
      <c r="W1777">
        <f t="shared" si="163"/>
        <v>18429897</v>
      </c>
      <c r="X1777">
        <f t="shared" si="164"/>
        <v>17829897</v>
      </c>
      <c r="Y1777">
        <f t="shared" si="165"/>
        <v>-26144845.5</v>
      </c>
      <c r="Z1777">
        <f t="shared" si="166"/>
        <v>45174742.5</v>
      </c>
      <c r="AA1777" t="str">
        <f t="shared" si="167"/>
        <v>Normal</v>
      </c>
      <c r="AE1777" s="2"/>
      <c r="AF1777" s="2"/>
    </row>
    <row r="1778" spans="1:32" x14ac:dyDescent="0.35">
      <c r="A1778">
        <v>1777</v>
      </c>
      <c r="B1778" s="1">
        <v>42475</v>
      </c>
      <c r="C1778" s="9" t="s">
        <v>3034</v>
      </c>
      <c r="D1778" s="9" t="s">
        <v>4925</v>
      </c>
      <c r="E1778" s="9" t="s">
        <v>7148</v>
      </c>
      <c r="F1778" s="9" t="s">
        <v>294</v>
      </c>
      <c r="G1778" s="9" t="s">
        <v>3035</v>
      </c>
      <c r="H1778" s="9" t="s">
        <v>86</v>
      </c>
      <c r="I1778" s="11">
        <v>18429897</v>
      </c>
      <c r="J1778" s="11">
        <v>831100</v>
      </c>
      <c r="K1778" s="11">
        <v>1999955</v>
      </c>
      <c r="L1778" s="3">
        <v>51</v>
      </c>
      <c r="M1778" s="3">
        <v>3735</v>
      </c>
      <c r="N1778" s="3">
        <v>962993</v>
      </c>
      <c r="O1778" s="2">
        <v>0.24100000000000002</v>
      </c>
      <c r="P1778" s="2">
        <v>1.157</v>
      </c>
      <c r="Q1778" s="2">
        <v>-0.13100000000000001</v>
      </c>
      <c r="R1778" s="11">
        <v>89455332</v>
      </c>
      <c r="S1778" s="11">
        <v>1767257</v>
      </c>
      <c r="T1778">
        <v>2016</v>
      </c>
      <c r="U1778">
        <v>4</v>
      </c>
      <c r="V1778">
        <f t="shared" si="162"/>
        <v>600000</v>
      </c>
      <c r="W1778">
        <f t="shared" si="163"/>
        <v>18429897</v>
      </c>
      <c r="X1778">
        <f t="shared" si="164"/>
        <v>17829897</v>
      </c>
      <c r="Y1778">
        <f t="shared" si="165"/>
        <v>-26144845.5</v>
      </c>
      <c r="Z1778">
        <f t="shared" si="166"/>
        <v>45174742.5</v>
      </c>
      <c r="AA1778" t="str">
        <f t="shared" si="167"/>
        <v>Normal</v>
      </c>
      <c r="AE1778" s="2"/>
      <c r="AF1778" s="2"/>
    </row>
    <row r="1779" spans="1:32" x14ac:dyDescent="0.35">
      <c r="A1779">
        <v>1778</v>
      </c>
      <c r="B1779" s="1">
        <v>42475</v>
      </c>
      <c r="C1779" s="9" t="s">
        <v>3036</v>
      </c>
      <c r="D1779" s="9" t="s">
        <v>4988</v>
      </c>
      <c r="E1779" s="9" t="s">
        <v>7149</v>
      </c>
      <c r="F1779" s="9" t="s">
        <v>63</v>
      </c>
      <c r="G1779" s="9" t="s">
        <v>856</v>
      </c>
      <c r="H1779" s="9" t="s">
        <v>86</v>
      </c>
      <c r="I1779" s="11">
        <v>18429897</v>
      </c>
      <c r="J1779" s="11">
        <v>1552821</v>
      </c>
      <c r="K1779" s="11">
        <v>8065344</v>
      </c>
      <c r="L1779" s="3">
        <v>227</v>
      </c>
      <c r="M1779" s="3">
        <v>936</v>
      </c>
      <c r="N1779" s="3">
        <v>1470462</v>
      </c>
      <c r="O1779" s="2">
        <v>-0.125</v>
      </c>
      <c r="P1779" s="2">
        <v>0.70299999999999996</v>
      </c>
      <c r="Q1779" s="2">
        <v>-0.26500000000000001</v>
      </c>
      <c r="R1779" s="11">
        <v>423443894</v>
      </c>
      <c r="S1779" s="11">
        <v>792628</v>
      </c>
      <c r="T1779">
        <v>2016</v>
      </c>
      <c r="U1779">
        <v>4</v>
      </c>
      <c r="V1779">
        <f t="shared" si="162"/>
        <v>600000</v>
      </c>
      <c r="W1779">
        <f t="shared" si="163"/>
        <v>18429897</v>
      </c>
      <c r="X1779">
        <f t="shared" si="164"/>
        <v>17829897</v>
      </c>
      <c r="Y1779">
        <f t="shared" si="165"/>
        <v>-26144845.5</v>
      </c>
      <c r="Z1779">
        <f t="shared" si="166"/>
        <v>45174742.5</v>
      </c>
      <c r="AA1779" t="str">
        <f t="shared" si="167"/>
        <v>Normal</v>
      </c>
      <c r="AE1779" s="2"/>
      <c r="AF1779" s="2"/>
    </row>
    <row r="1780" spans="1:32" x14ac:dyDescent="0.35">
      <c r="A1780">
        <v>1779</v>
      </c>
      <c r="B1780" s="1">
        <v>42475</v>
      </c>
      <c r="C1780" s="9" t="s">
        <v>3037</v>
      </c>
      <c r="D1780" s="9" t="s">
        <v>4988</v>
      </c>
      <c r="E1780" s="9" t="s">
        <v>7150</v>
      </c>
      <c r="F1780" s="9" t="s">
        <v>15</v>
      </c>
      <c r="G1780" s="9" t="s">
        <v>322</v>
      </c>
      <c r="H1780" s="9" t="s">
        <v>105</v>
      </c>
      <c r="I1780" s="11">
        <v>30000000</v>
      </c>
      <c r="J1780" s="11">
        <v>3429119</v>
      </c>
      <c r="K1780" s="11">
        <v>8217203</v>
      </c>
      <c r="L1780" s="3">
        <v>389</v>
      </c>
      <c r="M1780" s="3">
        <v>4172</v>
      </c>
      <c r="N1780" s="3">
        <v>559377</v>
      </c>
      <c r="O1780" s="2">
        <v>1.6E-2</v>
      </c>
      <c r="P1780" s="2">
        <v>0.46299999999999997</v>
      </c>
      <c r="Q1780" s="2">
        <v>-9.1999999999999998E-2</v>
      </c>
      <c r="R1780" s="11">
        <v>144847686</v>
      </c>
      <c r="S1780" s="11">
        <v>1974108</v>
      </c>
      <c r="T1780">
        <v>2016</v>
      </c>
      <c r="U1780">
        <v>4</v>
      </c>
      <c r="V1780">
        <f t="shared" si="162"/>
        <v>600000</v>
      </c>
      <c r="W1780">
        <f t="shared" si="163"/>
        <v>18429897</v>
      </c>
      <c r="X1780">
        <f t="shared" si="164"/>
        <v>17829897</v>
      </c>
      <c r="Y1780">
        <f t="shared" si="165"/>
        <v>-26144845.5</v>
      </c>
      <c r="Z1780">
        <f t="shared" si="166"/>
        <v>45174742.5</v>
      </c>
      <c r="AA1780" t="str">
        <f t="shared" si="167"/>
        <v>Normal</v>
      </c>
      <c r="AE1780" s="2"/>
      <c r="AF1780" s="2"/>
    </row>
    <row r="1781" spans="1:32" x14ac:dyDescent="0.35">
      <c r="A1781">
        <v>1780</v>
      </c>
      <c r="B1781" s="1">
        <v>42475</v>
      </c>
      <c r="C1781" s="9" t="s">
        <v>2198</v>
      </c>
      <c r="D1781" s="9" t="s">
        <v>4988</v>
      </c>
      <c r="E1781" s="9" t="s">
        <v>7151</v>
      </c>
      <c r="F1781" s="9" t="s">
        <v>15</v>
      </c>
      <c r="G1781" s="9" t="s">
        <v>107</v>
      </c>
      <c r="H1781" s="9" t="s">
        <v>86</v>
      </c>
      <c r="I1781" s="11">
        <v>150000</v>
      </c>
      <c r="J1781" s="11">
        <v>252883</v>
      </c>
      <c r="K1781" s="11">
        <v>14697079</v>
      </c>
      <c r="L1781" s="3">
        <v>224</v>
      </c>
      <c r="M1781" s="3">
        <v>106</v>
      </c>
      <c r="N1781" s="3">
        <v>1156375</v>
      </c>
      <c r="O1781" s="2">
        <v>0.39300000000000002</v>
      </c>
      <c r="P1781" s="2">
        <v>0.65500000000000003</v>
      </c>
      <c r="Q1781" s="2">
        <v>-0.26</v>
      </c>
      <c r="R1781" s="11">
        <v>85642064</v>
      </c>
      <c r="S1781" s="11">
        <v>1008193.5</v>
      </c>
      <c r="T1781">
        <v>2016</v>
      </c>
      <c r="U1781">
        <v>4</v>
      </c>
      <c r="V1781">
        <f t="shared" si="162"/>
        <v>600000</v>
      </c>
      <c r="W1781">
        <f t="shared" si="163"/>
        <v>18429897</v>
      </c>
      <c r="X1781">
        <f t="shared" si="164"/>
        <v>17829897</v>
      </c>
      <c r="Y1781">
        <f t="shared" si="165"/>
        <v>-26144845.5</v>
      </c>
      <c r="Z1781">
        <f t="shared" si="166"/>
        <v>45174742.5</v>
      </c>
      <c r="AA1781" t="str">
        <f t="shared" si="167"/>
        <v>Normal</v>
      </c>
      <c r="AE1781" s="2"/>
      <c r="AF1781" s="2"/>
    </row>
    <row r="1782" spans="1:32" x14ac:dyDescent="0.35">
      <c r="A1782">
        <v>1781</v>
      </c>
      <c r="B1782" s="1">
        <v>42478</v>
      </c>
      <c r="C1782" s="9" t="s">
        <v>984</v>
      </c>
      <c r="D1782" s="9" t="s">
        <v>4988</v>
      </c>
      <c r="E1782" s="9" t="s">
        <v>7152</v>
      </c>
      <c r="F1782" s="9" t="s">
        <v>15</v>
      </c>
      <c r="G1782" s="9" t="s">
        <v>3038</v>
      </c>
      <c r="H1782" s="9" t="s">
        <v>105</v>
      </c>
      <c r="I1782" s="11">
        <v>18429897</v>
      </c>
      <c r="J1782" s="11">
        <v>1710599</v>
      </c>
      <c r="K1782" s="11">
        <v>9623609</v>
      </c>
      <c r="L1782" s="3">
        <v>243</v>
      </c>
      <c r="M1782" s="3">
        <v>1217</v>
      </c>
      <c r="N1782" s="3">
        <v>835920</v>
      </c>
      <c r="O1782" s="2">
        <v>1.6E-2</v>
      </c>
      <c r="P1782" s="2">
        <v>0.50800000000000001</v>
      </c>
      <c r="Q1782" s="2">
        <v>0.38700000000000001</v>
      </c>
      <c r="R1782" s="11">
        <v>372975163</v>
      </c>
      <c r="S1782" s="11">
        <v>1086415</v>
      </c>
      <c r="T1782">
        <v>2016</v>
      </c>
      <c r="U1782">
        <v>4</v>
      </c>
      <c r="V1782">
        <f t="shared" si="162"/>
        <v>600000</v>
      </c>
      <c r="W1782">
        <f t="shared" si="163"/>
        <v>18429897</v>
      </c>
      <c r="X1782">
        <f t="shared" si="164"/>
        <v>17829897</v>
      </c>
      <c r="Y1782">
        <f t="shared" si="165"/>
        <v>-26144845.5</v>
      </c>
      <c r="Z1782">
        <f t="shared" si="166"/>
        <v>45174742.5</v>
      </c>
      <c r="AA1782" t="str">
        <f t="shared" si="167"/>
        <v>Normal</v>
      </c>
      <c r="AE1782" s="2"/>
      <c r="AF1782" s="2"/>
    </row>
    <row r="1783" spans="1:32" x14ac:dyDescent="0.35">
      <c r="A1783">
        <v>1782</v>
      </c>
      <c r="B1783" s="1">
        <v>42478</v>
      </c>
      <c r="C1783" s="9" t="s">
        <v>3039</v>
      </c>
      <c r="D1783" s="9" t="s">
        <v>4925</v>
      </c>
      <c r="E1783" s="9" t="s">
        <v>7153</v>
      </c>
      <c r="F1783" s="9" t="s">
        <v>15</v>
      </c>
      <c r="G1783" s="9" t="s">
        <v>3040</v>
      </c>
      <c r="H1783" s="9" t="s">
        <v>86</v>
      </c>
      <c r="I1783" s="11">
        <v>18429897</v>
      </c>
      <c r="J1783" s="11">
        <v>137958</v>
      </c>
      <c r="K1783" s="11">
        <v>3357690</v>
      </c>
      <c r="L1783" s="3">
        <v>167</v>
      </c>
      <c r="M1783" s="3">
        <v>553</v>
      </c>
      <c r="N1783" s="3">
        <v>1300168</v>
      </c>
      <c r="O1783" s="2">
        <v>5.7000000000000002E-2</v>
      </c>
      <c r="P1783" s="2">
        <v>0.89200000000000002</v>
      </c>
      <c r="Q1783" s="2">
        <v>-0.6</v>
      </c>
      <c r="R1783" s="11">
        <v>456117745</v>
      </c>
      <c r="S1783" s="11">
        <v>1904088</v>
      </c>
      <c r="T1783">
        <v>2016</v>
      </c>
      <c r="U1783">
        <v>4</v>
      </c>
      <c r="V1783">
        <f t="shared" si="162"/>
        <v>600000</v>
      </c>
      <c r="W1783">
        <f t="shared" si="163"/>
        <v>18429897</v>
      </c>
      <c r="X1783">
        <f t="shared" si="164"/>
        <v>17829897</v>
      </c>
      <c r="Y1783">
        <f t="shared" si="165"/>
        <v>-26144845.5</v>
      </c>
      <c r="Z1783">
        <f t="shared" si="166"/>
        <v>45174742.5</v>
      </c>
      <c r="AA1783" t="str">
        <f t="shared" si="167"/>
        <v>Normal</v>
      </c>
      <c r="AE1783" s="2"/>
      <c r="AF1783" s="2"/>
    </row>
    <row r="1784" spans="1:32" x14ac:dyDescent="0.35">
      <c r="A1784">
        <v>1783</v>
      </c>
      <c r="B1784" s="1">
        <v>42478</v>
      </c>
      <c r="C1784" s="9" t="s">
        <v>3041</v>
      </c>
      <c r="D1784" s="9" t="s">
        <v>4925</v>
      </c>
      <c r="E1784" s="9" t="s">
        <v>7154</v>
      </c>
      <c r="F1784" s="9" t="s">
        <v>19</v>
      </c>
      <c r="G1784" s="9" t="s">
        <v>2283</v>
      </c>
      <c r="H1784" s="9" t="s">
        <v>86</v>
      </c>
      <c r="I1784" s="11">
        <v>18429897</v>
      </c>
      <c r="J1784" s="11">
        <v>4775393</v>
      </c>
      <c r="K1784" s="11">
        <v>4344338</v>
      </c>
      <c r="L1784" s="3">
        <v>212</v>
      </c>
      <c r="M1784" s="3">
        <v>2794</v>
      </c>
      <c r="N1784" s="3">
        <v>763283</v>
      </c>
      <c r="O1784" s="2">
        <v>0.191</v>
      </c>
      <c r="P1784" s="2">
        <v>0.35299999999999998</v>
      </c>
      <c r="Q1784" s="2">
        <v>-9.1999999999999998E-2</v>
      </c>
      <c r="R1784" s="11">
        <v>250264963</v>
      </c>
      <c r="S1784" s="11">
        <v>746865</v>
      </c>
      <c r="T1784">
        <v>2016</v>
      </c>
      <c r="U1784">
        <v>4</v>
      </c>
      <c r="V1784">
        <f t="shared" si="162"/>
        <v>600000</v>
      </c>
      <c r="W1784">
        <f t="shared" si="163"/>
        <v>18429897</v>
      </c>
      <c r="X1784">
        <f t="shared" si="164"/>
        <v>17829897</v>
      </c>
      <c r="Y1784">
        <f t="shared" si="165"/>
        <v>-26144845.5</v>
      </c>
      <c r="Z1784">
        <f t="shared" si="166"/>
        <v>45174742.5</v>
      </c>
      <c r="AA1784" t="str">
        <f t="shared" si="167"/>
        <v>Normal</v>
      </c>
      <c r="AE1784" s="2"/>
      <c r="AF1784" s="2"/>
    </row>
    <row r="1785" spans="1:32" x14ac:dyDescent="0.35">
      <c r="A1785">
        <v>1784</v>
      </c>
      <c r="B1785" s="1">
        <v>42478</v>
      </c>
      <c r="C1785" s="9" t="s">
        <v>3042</v>
      </c>
      <c r="D1785" s="9" t="s">
        <v>4988</v>
      </c>
      <c r="E1785" s="9" t="s">
        <v>3043</v>
      </c>
      <c r="F1785" s="9" t="s">
        <v>294</v>
      </c>
      <c r="G1785" s="9" t="s">
        <v>3044</v>
      </c>
      <c r="H1785" s="9" t="s">
        <v>86</v>
      </c>
      <c r="I1785" s="11">
        <v>18429897</v>
      </c>
      <c r="J1785" s="11">
        <v>3641749</v>
      </c>
      <c r="K1785" s="11">
        <v>11373821</v>
      </c>
      <c r="L1785" s="3">
        <v>348</v>
      </c>
      <c r="M1785" s="3">
        <v>3916</v>
      </c>
      <c r="N1785" s="3">
        <v>1870668</v>
      </c>
      <c r="O1785" s="2">
        <v>0.14000000000000001</v>
      </c>
      <c r="P1785" s="2">
        <v>0.63900000000000001</v>
      </c>
      <c r="Q1785" s="2">
        <v>0.22</v>
      </c>
      <c r="R1785" s="11">
        <v>155675783</v>
      </c>
      <c r="S1785" s="11">
        <v>95273</v>
      </c>
      <c r="T1785">
        <v>2016</v>
      </c>
      <c r="U1785">
        <v>4</v>
      </c>
      <c r="V1785">
        <f t="shared" si="162"/>
        <v>600000</v>
      </c>
      <c r="W1785">
        <f t="shared" si="163"/>
        <v>18429897</v>
      </c>
      <c r="X1785">
        <f t="shared" si="164"/>
        <v>17829897</v>
      </c>
      <c r="Y1785">
        <f t="shared" si="165"/>
        <v>-26144845.5</v>
      </c>
      <c r="Z1785">
        <f t="shared" si="166"/>
        <v>45174742.5</v>
      </c>
      <c r="AA1785" t="str">
        <f t="shared" si="167"/>
        <v>Normal</v>
      </c>
      <c r="AE1785" s="2"/>
      <c r="AF1785" s="2"/>
    </row>
    <row r="1786" spans="1:32" x14ac:dyDescent="0.35">
      <c r="A1786">
        <v>1785</v>
      </c>
      <c r="B1786" s="1">
        <v>42478</v>
      </c>
      <c r="C1786" s="9" t="s">
        <v>3045</v>
      </c>
      <c r="D1786" s="9" t="s">
        <v>4988</v>
      </c>
      <c r="E1786" s="9" t="s">
        <v>7155</v>
      </c>
      <c r="F1786" s="9" t="s">
        <v>526</v>
      </c>
      <c r="G1786" s="9" t="s">
        <v>3046</v>
      </c>
      <c r="H1786" s="9" t="s">
        <v>105</v>
      </c>
      <c r="I1786" s="11">
        <v>10000000</v>
      </c>
      <c r="J1786" s="11">
        <v>1233111</v>
      </c>
      <c r="K1786" s="11">
        <v>6749935</v>
      </c>
      <c r="L1786" s="3">
        <v>17</v>
      </c>
      <c r="M1786" s="3">
        <v>2108</v>
      </c>
      <c r="N1786" s="3">
        <v>780106</v>
      </c>
      <c r="O1786" s="2">
        <v>0.40700000000000003</v>
      </c>
      <c r="P1786" s="2">
        <v>0.95499999999999996</v>
      </c>
      <c r="Q1786" s="2">
        <v>0.58700000000000008</v>
      </c>
      <c r="R1786" s="11">
        <v>361461576</v>
      </c>
      <c r="S1786" s="11">
        <v>1539929</v>
      </c>
      <c r="T1786">
        <v>2016</v>
      </c>
      <c r="U1786">
        <v>4</v>
      </c>
      <c r="V1786">
        <f t="shared" si="162"/>
        <v>600000</v>
      </c>
      <c r="W1786">
        <f t="shared" si="163"/>
        <v>18429897</v>
      </c>
      <c r="X1786">
        <f t="shared" si="164"/>
        <v>17829897</v>
      </c>
      <c r="Y1786">
        <f t="shared" si="165"/>
        <v>-26144845.5</v>
      </c>
      <c r="Z1786">
        <f t="shared" si="166"/>
        <v>45174742.5</v>
      </c>
      <c r="AA1786" t="str">
        <f t="shared" si="167"/>
        <v>Normal</v>
      </c>
      <c r="AE1786" s="2"/>
      <c r="AF1786" s="2"/>
    </row>
    <row r="1787" spans="1:32" x14ac:dyDescent="0.35">
      <c r="A1787">
        <v>1786</v>
      </c>
      <c r="B1787" s="1">
        <v>42478</v>
      </c>
      <c r="C1787" s="9" t="s">
        <v>3047</v>
      </c>
      <c r="D1787" s="9" t="s">
        <v>5003</v>
      </c>
      <c r="E1787" s="9" t="s">
        <v>6485</v>
      </c>
      <c r="F1787" s="9" t="s">
        <v>41</v>
      </c>
      <c r="G1787" s="9" t="s">
        <v>3048</v>
      </c>
      <c r="H1787" s="9" t="s">
        <v>86</v>
      </c>
      <c r="I1787" s="11">
        <v>18429897</v>
      </c>
      <c r="J1787" s="11">
        <v>1007022</v>
      </c>
      <c r="K1787" s="11">
        <v>13469595</v>
      </c>
      <c r="L1787" s="3">
        <v>400</v>
      </c>
      <c r="M1787" s="3">
        <v>2691</v>
      </c>
      <c r="N1787" s="3">
        <v>219215</v>
      </c>
      <c r="O1787" s="2">
        <v>1.6E-2</v>
      </c>
      <c r="P1787" s="2">
        <v>0.89400000000000002</v>
      </c>
      <c r="Q1787" s="2">
        <v>-0.7</v>
      </c>
      <c r="R1787" s="11">
        <v>365866877</v>
      </c>
      <c r="S1787" s="11">
        <v>1235860</v>
      </c>
      <c r="T1787">
        <v>2016</v>
      </c>
      <c r="U1787">
        <v>4</v>
      </c>
      <c r="V1787">
        <f t="shared" si="162"/>
        <v>600000</v>
      </c>
      <c r="W1787">
        <f t="shared" si="163"/>
        <v>18429897</v>
      </c>
      <c r="X1787">
        <f t="shared" si="164"/>
        <v>17829897</v>
      </c>
      <c r="Y1787">
        <f t="shared" si="165"/>
        <v>-26144845.5</v>
      </c>
      <c r="Z1787">
        <f t="shared" si="166"/>
        <v>45174742.5</v>
      </c>
      <c r="AA1787" t="str">
        <f t="shared" si="167"/>
        <v>Normal</v>
      </c>
      <c r="AE1787" s="2"/>
      <c r="AF1787" s="2"/>
    </row>
    <row r="1788" spans="1:32" x14ac:dyDescent="0.35">
      <c r="A1788">
        <v>1787</v>
      </c>
      <c r="B1788" s="1">
        <v>42479</v>
      </c>
      <c r="C1788" s="9" t="s">
        <v>1969</v>
      </c>
      <c r="D1788" s="9" t="s">
        <v>4925</v>
      </c>
      <c r="E1788" s="9" t="s">
        <v>3049</v>
      </c>
      <c r="F1788" s="9" t="s">
        <v>63</v>
      </c>
      <c r="G1788" s="9" t="s">
        <v>3050</v>
      </c>
      <c r="H1788" s="9" t="s">
        <v>105</v>
      </c>
      <c r="I1788" s="11">
        <v>1500000</v>
      </c>
      <c r="J1788" s="11">
        <v>512644</v>
      </c>
      <c r="K1788" s="11">
        <v>18468015</v>
      </c>
      <c r="L1788" s="3">
        <v>365</v>
      </c>
      <c r="M1788" s="3">
        <v>3216</v>
      </c>
      <c r="N1788" s="3">
        <v>979436</v>
      </c>
      <c r="O1788" s="2">
        <v>1.6E-2</v>
      </c>
      <c r="P1788" s="2">
        <v>0.39</v>
      </c>
      <c r="Q1788" s="2">
        <v>-0.184</v>
      </c>
      <c r="R1788" s="11">
        <v>250264963</v>
      </c>
      <c r="S1788" s="11">
        <v>1804803</v>
      </c>
      <c r="T1788">
        <v>2016</v>
      </c>
      <c r="U1788">
        <v>4</v>
      </c>
      <c r="V1788">
        <f t="shared" si="162"/>
        <v>600000</v>
      </c>
      <c r="W1788">
        <f t="shared" si="163"/>
        <v>18429897</v>
      </c>
      <c r="X1788">
        <f t="shared" si="164"/>
        <v>17829897</v>
      </c>
      <c r="Y1788">
        <f t="shared" si="165"/>
        <v>-26144845.5</v>
      </c>
      <c r="Z1788">
        <f t="shared" si="166"/>
        <v>45174742.5</v>
      </c>
      <c r="AA1788" t="str">
        <f t="shared" si="167"/>
        <v>Normal</v>
      </c>
      <c r="AE1788" s="2"/>
      <c r="AF1788" s="2"/>
    </row>
    <row r="1789" spans="1:32" x14ac:dyDescent="0.35">
      <c r="A1789">
        <v>1788</v>
      </c>
      <c r="B1789" s="1">
        <v>42479</v>
      </c>
      <c r="C1789" s="9" t="s">
        <v>3051</v>
      </c>
      <c r="D1789" s="9" t="s">
        <v>4988</v>
      </c>
      <c r="E1789" s="9" t="s">
        <v>3052</v>
      </c>
      <c r="F1789" s="9" t="s">
        <v>35</v>
      </c>
      <c r="G1789" s="9" t="s">
        <v>2912</v>
      </c>
      <c r="H1789" s="9" t="s">
        <v>86</v>
      </c>
      <c r="I1789" s="11">
        <v>450000</v>
      </c>
      <c r="J1789" s="11">
        <v>2374941</v>
      </c>
      <c r="K1789" s="11">
        <v>7160392</v>
      </c>
      <c r="L1789" s="3">
        <v>73</v>
      </c>
      <c r="M1789" s="3">
        <v>2302</v>
      </c>
      <c r="N1789" s="3">
        <v>477452</v>
      </c>
      <c r="O1789" s="2">
        <v>0.28399999999999997</v>
      </c>
      <c r="P1789" s="2">
        <v>0.94299999999999995</v>
      </c>
      <c r="Q1789" s="2">
        <v>0.1</v>
      </c>
      <c r="R1789" s="11">
        <v>274912526</v>
      </c>
      <c r="S1789" s="11">
        <v>1816985</v>
      </c>
      <c r="T1789">
        <v>2016</v>
      </c>
      <c r="U1789">
        <v>4</v>
      </c>
      <c r="V1789">
        <f t="shared" si="162"/>
        <v>600000</v>
      </c>
      <c r="W1789">
        <f t="shared" si="163"/>
        <v>18429897</v>
      </c>
      <c r="X1789">
        <f t="shared" si="164"/>
        <v>17829897</v>
      </c>
      <c r="Y1789">
        <f t="shared" si="165"/>
        <v>-26144845.5</v>
      </c>
      <c r="Z1789">
        <f t="shared" si="166"/>
        <v>45174742.5</v>
      </c>
      <c r="AA1789" t="str">
        <f t="shared" si="167"/>
        <v>Normal</v>
      </c>
      <c r="AE1789" s="2"/>
      <c r="AF1789" s="2"/>
    </row>
    <row r="1790" spans="1:32" x14ac:dyDescent="0.35">
      <c r="A1790">
        <v>1789</v>
      </c>
      <c r="B1790" s="1">
        <v>42479</v>
      </c>
      <c r="C1790" s="9" t="s">
        <v>65</v>
      </c>
      <c r="D1790" s="9" t="s">
        <v>4925</v>
      </c>
      <c r="E1790" s="9" t="s">
        <v>7156</v>
      </c>
      <c r="F1790" s="9" t="s">
        <v>27</v>
      </c>
      <c r="G1790" s="9" t="s">
        <v>715</v>
      </c>
      <c r="H1790" s="9" t="s">
        <v>105</v>
      </c>
      <c r="I1790" s="11">
        <v>18429897</v>
      </c>
      <c r="J1790" s="11">
        <v>3772452</v>
      </c>
      <c r="K1790" s="11">
        <v>11082340</v>
      </c>
      <c r="L1790" s="3">
        <v>386</v>
      </c>
      <c r="M1790" s="3">
        <v>3775</v>
      </c>
      <c r="N1790" s="3">
        <v>910622</v>
      </c>
      <c r="O1790" s="2">
        <v>0.27300000000000002</v>
      </c>
      <c r="P1790" s="2">
        <v>0.875</v>
      </c>
      <c r="Q1790" s="2">
        <v>-0.36499999999999999</v>
      </c>
      <c r="R1790" s="11">
        <v>418659742</v>
      </c>
      <c r="S1790" s="11">
        <v>971515</v>
      </c>
      <c r="T1790">
        <v>2016</v>
      </c>
      <c r="U1790">
        <v>4</v>
      </c>
      <c r="V1790">
        <f t="shared" si="162"/>
        <v>600000</v>
      </c>
      <c r="W1790">
        <f t="shared" si="163"/>
        <v>18429897</v>
      </c>
      <c r="X1790">
        <f t="shared" si="164"/>
        <v>17829897</v>
      </c>
      <c r="Y1790">
        <f t="shared" si="165"/>
        <v>-26144845.5</v>
      </c>
      <c r="Z1790">
        <f t="shared" si="166"/>
        <v>45174742.5</v>
      </c>
      <c r="AA1790" t="str">
        <f t="shared" si="167"/>
        <v>Normal</v>
      </c>
      <c r="AE1790" s="2"/>
      <c r="AF1790" s="2"/>
    </row>
    <row r="1791" spans="1:32" x14ac:dyDescent="0.35">
      <c r="A1791">
        <v>1790</v>
      </c>
      <c r="B1791" s="1">
        <v>42479</v>
      </c>
      <c r="C1791" s="9" t="s">
        <v>723</v>
      </c>
      <c r="D1791" s="9" t="s">
        <v>4988</v>
      </c>
      <c r="E1791" s="9" t="s">
        <v>7157</v>
      </c>
      <c r="F1791" s="9" t="s">
        <v>27</v>
      </c>
      <c r="G1791" s="9" t="s">
        <v>3053</v>
      </c>
      <c r="H1791" s="9" t="s">
        <v>105</v>
      </c>
      <c r="I1791" s="11">
        <v>2000000</v>
      </c>
      <c r="J1791" s="11">
        <v>2929366</v>
      </c>
      <c r="K1791" s="11">
        <v>16656447</v>
      </c>
      <c r="L1791" s="3">
        <v>263</v>
      </c>
      <c r="M1791" s="3">
        <v>1454</v>
      </c>
      <c r="N1791" s="3">
        <v>1841342</v>
      </c>
      <c r="O1791" s="2">
        <v>0.128</v>
      </c>
      <c r="P1791" s="2">
        <v>0.44400000000000001</v>
      </c>
      <c r="Q1791" s="2">
        <v>0.22899999999999998</v>
      </c>
      <c r="R1791" s="11">
        <v>321694942</v>
      </c>
      <c r="S1791" s="11">
        <v>1411095</v>
      </c>
      <c r="T1791">
        <v>2016</v>
      </c>
      <c r="U1791">
        <v>4</v>
      </c>
      <c r="V1791">
        <f t="shared" si="162"/>
        <v>600000</v>
      </c>
      <c r="W1791">
        <f t="shared" si="163"/>
        <v>18429897</v>
      </c>
      <c r="X1791">
        <f t="shared" si="164"/>
        <v>17829897</v>
      </c>
      <c r="Y1791">
        <f t="shared" si="165"/>
        <v>-26144845.5</v>
      </c>
      <c r="Z1791">
        <f t="shared" si="166"/>
        <v>45174742.5</v>
      </c>
      <c r="AA1791" t="str">
        <f t="shared" si="167"/>
        <v>Normal</v>
      </c>
      <c r="AE1791" s="2"/>
      <c r="AF1791" s="2"/>
    </row>
    <row r="1792" spans="1:32" x14ac:dyDescent="0.35">
      <c r="A1792">
        <v>1791</v>
      </c>
      <c r="B1792" s="1">
        <v>42479</v>
      </c>
      <c r="C1792" s="9" t="s">
        <v>3054</v>
      </c>
      <c r="D1792" s="9" t="s">
        <v>4988</v>
      </c>
      <c r="E1792" s="9" t="s">
        <v>7158</v>
      </c>
      <c r="F1792" s="9" t="s">
        <v>15</v>
      </c>
      <c r="G1792" s="9" t="s">
        <v>3055</v>
      </c>
      <c r="H1792" s="9" t="s">
        <v>86</v>
      </c>
      <c r="I1792" s="11">
        <v>18429897</v>
      </c>
      <c r="J1792" s="11">
        <v>4407559</v>
      </c>
      <c r="K1792" s="11">
        <v>4286005</v>
      </c>
      <c r="L1792" s="3">
        <v>162</v>
      </c>
      <c r="M1792" s="3">
        <v>2505.5</v>
      </c>
      <c r="N1792" s="3">
        <v>205027</v>
      </c>
      <c r="O1792" s="2">
        <v>4.9000000000000002E-2</v>
      </c>
      <c r="P1792" s="2">
        <v>0.50800000000000001</v>
      </c>
      <c r="Q1792" s="2">
        <v>0.24399999999999999</v>
      </c>
      <c r="R1792" s="11">
        <v>148400191</v>
      </c>
      <c r="S1792" s="11">
        <v>1692177</v>
      </c>
      <c r="T1792">
        <v>2016</v>
      </c>
      <c r="U1792">
        <v>4</v>
      </c>
      <c r="V1792">
        <f t="shared" si="162"/>
        <v>600000</v>
      </c>
      <c r="W1792">
        <f t="shared" si="163"/>
        <v>18429897</v>
      </c>
      <c r="X1792">
        <f t="shared" si="164"/>
        <v>17829897</v>
      </c>
      <c r="Y1792">
        <f t="shared" si="165"/>
        <v>-26144845.5</v>
      </c>
      <c r="Z1792">
        <f t="shared" si="166"/>
        <v>45174742.5</v>
      </c>
      <c r="AA1792" t="str">
        <f t="shared" si="167"/>
        <v>Normal</v>
      </c>
      <c r="AE1792" s="2"/>
      <c r="AF1792" s="2"/>
    </row>
    <row r="1793" spans="1:32" x14ac:dyDescent="0.35">
      <c r="A1793">
        <v>1792</v>
      </c>
      <c r="B1793" s="1">
        <v>42479</v>
      </c>
      <c r="C1793" s="9" t="s">
        <v>3056</v>
      </c>
      <c r="D1793" s="9" t="s">
        <v>4988</v>
      </c>
      <c r="E1793" s="9" t="s">
        <v>7159</v>
      </c>
      <c r="F1793" s="9" t="s">
        <v>15</v>
      </c>
      <c r="G1793" s="9" t="s">
        <v>1961</v>
      </c>
      <c r="H1793" s="9" t="s">
        <v>105</v>
      </c>
      <c r="I1793" s="11">
        <v>18429897</v>
      </c>
      <c r="J1793" s="11">
        <v>1732212</v>
      </c>
      <c r="K1793" s="11">
        <v>10262097</v>
      </c>
      <c r="L1793" s="3">
        <v>230</v>
      </c>
      <c r="M1793" s="3">
        <v>977</v>
      </c>
      <c r="N1793" s="3">
        <v>85251</v>
      </c>
      <c r="O1793" s="2">
        <v>0.318</v>
      </c>
      <c r="P1793" s="2">
        <v>0.61899999999999999</v>
      </c>
      <c r="Q1793" s="2">
        <v>-1</v>
      </c>
      <c r="R1793" s="11">
        <v>491044665</v>
      </c>
      <c r="S1793" s="11">
        <v>1531437</v>
      </c>
      <c r="T1793">
        <v>2016</v>
      </c>
      <c r="U1793">
        <v>4</v>
      </c>
      <c r="V1793">
        <f t="shared" si="162"/>
        <v>600000</v>
      </c>
      <c r="W1793">
        <f t="shared" si="163"/>
        <v>18429897</v>
      </c>
      <c r="X1793">
        <f t="shared" si="164"/>
        <v>17829897</v>
      </c>
      <c r="Y1793">
        <f t="shared" si="165"/>
        <v>-26144845.5</v>
      </c>
      <c r="Z1793">
        <f t="shared" si="166"/>
        <v>45174742.5</v>
      </c>
      <c r="AA1793" t="str">
        <f t="shared" si="167"/>
        <v>Normal</v>
      </c>
      <c r="AE1793" s="2"/>
      <c r="AF1793" s="2"/>
    </row>
    <row r="1794" spans="1:32" x14ac:dyDescent="0.35">
      <c r="A1794">
        <v>1793</v>
      </c>
      <c r="B1794" s="1">
        <v>42479</v>
      </c>
      <c r="C1794" s="9" t="s">
        <v>2368</v>
      </c>
      <c r="D1794" s="9" t="s">
        <v>4988</v>
      </c>
      <c r="E1794" s="9" t="s">
        <v>7160</v>
      </c>
      <c r="F1794" s="9" t="s">
        <v>15</v>
      </c>
      <c r="G1794" s="9" t="s">
        <v>522</v>
      </c>
      <c r="H1794" s="9" t="s">
        <v>105</v>
      </c>
      <c r="I1794" s="11">
        <v>18429897</v>
      </c>
      <c r="J1794" s="11">
        <v>1405004</v>
      </c>
      <c r="K1794" s="11">
        <v>6174383</v>
      </c>
      <c r="L1794" s="3">
        <v>260</v>
      </c>
      <c r="M1794" s="3">
        <v>911</v>
      </c>
      <c r="N1794" s="3">
        <v>580410</v>
      </c>
      <c r="O1794" s="2">
        <v>-2.8999999999999998E-2</v>
      </c>
      <c r="P1794" s="2">
        <v>0.874</v>
      </c>
      <c r="Q1794" s="2">
        <v>-0.18</v>
      </c>
      <c r="R1794" s="11">
        <v>428613305</v>
      </c>
      <c r="S1794" s="11">
        <v>859729</v>
      </c>
      <c r="T1794">
        <v>2016</v>
      </c>
      <c r="U1794">
        <v>4</v>
      </c>
      <c r="V1794">
        <f t="shared" ref="V1794:V1857" si="168">_xlfn.PERCENTILE.INC(I1794:I4837,0.25)</f>
        <v>600000</v>
      </c>
      <c r="W1794">
        <f t="shared" ref="W1794:W1857" si="169">_xlfn.PERCENTILE.INC(I1794:I4837,0.75)</f>
        <v>18429897</v>
      </c>
      <c r="X1794">
        <f t="shared" ref="X1794:X1857" si="170">W1794-V1794</f>
        <v>17829897</v>
      </c>
      <c r="Y1794">
        <f t="shared" ref="Y1794:Y1857" si="171">V1794-1.5*X1794</f>
        <v>-26144845.5</v>
      </c>
      <c r="Z1794">
        <f t="shared" ref="Z1794:Z1857" si="172">W1794+1.5*X1794</f>
        <v>45174742.5</v>
      </c>
      <c r="AA1794" t="str">
        <f t="shared" ref="AA1794:AA1857" si="173">IF(OR(I1794&lt;$Y$2, I1794&gt;$Z$2), "Outlier", "Normal")</f>
        <v>Normal</v>
      </c>
      <c r="AE1794" s="2"/>
      <c r="AF1794" s="2"/>
    </row>
    <row r="1795" spans="1:32" x14ac:dyDescent="0.35">
      <c r="A1795">
        <v>1794</v>
      </c>
      <c r="B1795" s="1">
        <v>42480</v>
      </c>
      <c r="C1795" s="9" t="s">
        <v>652</v>
      </c>
      <c r="D1795" s="9" t="s">
        <v>4925</v>
      </c>
      <c r="E1795" s="9" t="s">
        <v>5243</v>
      </c>
      <c r="F1795" s="9" t="s">
        <v>19</v>
      </c>
      <c r="G1795" s="9" t="s">
        <v>3057</v>
      </c>
      <c r="H1795" s="9" t="s">
        <v>105</v>
      </c>
      <c r="I1795" s="11">
        <v>15000000</v>
      </c>
      <c r="J1795" s="11">
        <v>2400697</v>
      </c>
      <c r="K1795" s="11">
        <v>12577197</v>
      </c>
      <c r="L1795" s="3">
        <v>109</v>
      </c>
      <c r="M1795" s="3">
        <v>236</v>
      </c>
      <c r="N1795" s="3">
        <v>871800</v>
      </c>
      <c r="O1795" s="2">
        <v>0.106</v>
      </c>
      <c r="P1795" s="2">
        <v>1.1509999999999999E-2</v>
      </c>
      <c r="Q1795" s="2">
        <v>0.7</v>
      </c>
      <c r="R1795" s="11">
        <v>213355101</v>
      </c>
      <c r="S1795" s="11">
        <v>848739</v>
      </c>
      <c r="T1795">
        <v>2016</v>
      </c>
      <c r="U1795">
        <v>4</v>
      </c>
      <c r="V1795">
        <f t="shared" si="168"/>
        <v>600000</v>
      </c>
      <c r="W1795">
        <f t="shared" si="169"/>
        <v>18429897</v>
      </c>
      <c r="X1795">
        <f t="shared" si="170"/>
        <v>17829897</v>
      </c>
      <c r="Y1795">
        <f t="shared" si="171"/>
        <v>-26144845.5</v>
      </c>
      <c r="Z1795">
        <f t="shared" si="172"/>
        <v>45174742.5</v>
      </c>
      <c r="AA1795" t="str">
        <f t="shared" si="173"/>
        <v>Normal</v>
      </c>
      <c r="AE1795" s="2"/>
      <c r="AF1795" s="2"/>
    </row>
    <row r="1796" spans="1:32" x14ac:dyDescent="0.35">
      <c r="A1796">
        <v>1795</v>
      </c>
      <c r="B1796" s="1">
        <v>42480</v>
      </c>
      <c r="C1796" s="9" t="s">
        <v>1197</v>
      </c>
      <c r="D1796" s="9" t="s">
        <v>4988</v>
      </c>
      <c r="E1796" s="9" t="s">
        <v>7161</v>
      </c>
      <c r="F1796" s="9" t="s">
        <v>27</v>
      </c>
      <c r="G1796" s="9" t="s">
        <v>3058</v>
      </c>
      <c r="H1796" s="9" t="s">
        <v>86</v>
      </c>
      <c r="I1796" s="11">
        <v>18429897</v>
      </c>
      <c r="J1796" s="11">
        <v>1026398</v>
      </c>
      <c r="K1796" s="11">
        <v>14887322</v>
      </c>
      <c r="L1796" s="3">
        <v>305</v>
      </c>
      <c r="M1796" s="3">
        <v>265</v>
      </c>
      <c r="N1796" s="3">
        <v>258305</v>
      </c>
      <c r="O1796" s="2">
        <v>-0.111</v>
      </c>
      <c r="P1796" s="2">
        <v>1.1950000000000001</v>
      </c>
      <c r="Q1796" s="2">
        <v>-0.20699999999999999</v>
      </c>
      <c r="R1796" s="11">
        <v>172181760</v>
      </c>
      <c r="S1796" s="11">
        <v>905700</v>
      </c>
      <c r="T1796">
        <v>2016</v>
      </c>
      <c r="U1796">
        <v>4</v>
      </c>
      <c r="V1796">
        <f t="shared" si="168"/>
        <v>600000</v>
      </c>
      <c r="W1796">
        <f t="shared" si="169"/>
        <v>18429897</v>
      </c>
      <c r="X1796">
        <f t="shared" si="170"/>
        <v>17829897</v>
      </c>
      <c r="Y1796">
        <f t="shared" si="171"/>
        <v>-26144845.5</v>
      </c>
      <c r="Z1796">
        <f t="shared" si="172"/>
        <v>45174742.5</v>
      </c>
      <c r="AA1796" t="str">
        <f t="shared" si="173"/>
        <v>Normal</v>
      </c>
      <c r="AE1796" s="2"/>
      <c r="AF1796" s="2"/>
    </row>
    <row r="1797" spans="1:32" x14ac:dyDescent="0.35">
      <c r="A1797">
        <v>1796</v>
      </c>
      <c r="B1797" s="1">
        <v>42480</v>
      </c>
      <c r="C1797" s="9" t="s">
        <v>3059</v>
      </c>
      <c r="D1797" s="9" t="s">
        <v>4988</v>
      </c>
      <c r="E1797" s="9" t="s">
        <v>7162</v>
      </c>
      <c r="F1797" s="9" t="s">
        <v>27</v>
      </c>
      <c r="G1797" s="9" t="s">
        <v>3060</v>
      </c>
      <c r="H1797" s="9" t="s">
        <v>86</v>
      </c>
      <c r="I1797" s="11">
        <v>18429897</v>
      </c>
      <c r="J1797" s="11">
        <v>4878711</v>
      </c>
      <c r="K1797" s="11">
        <v>2903368</v>
      </c>
      <c r="L1797" s="3">
        <v>316</v>
      </c>
      <c r="M1797" s="3">
        <v>310</v>
      </c>
      <c r="N1797" s="3">
        <v>1391762</v>
      </c>
      <c r="O1797" s="2">
        <v>0.26600000000000001</v>
      </c>
      <c r="P1797" s="2">
        <v>0.88900000000000001</v>
      </c>
      <c r="Q1797" s="2">
        <v>-8.8000000000000009E-2</v>
      </c>
      <c r="R1797" s="11">
        <v>111554061</v>
      </c>
      <c r="S1797" s="11">
        <v>1443253</v>
      </c>
      <c r="T1797">
        <v>2016</v>
      </c>
      <c r="U1797">
        <v>4</v>
      </c>
      <c r="V1797">
        <f t="shared" si="168"/>
        <v>600000</v>
      </c>
      <c r="W1797">
        <f t="shared" si="169"/>
        <v>18429897</v>
      </c>
      <c r="X1797">
        <f t="shared" si="170"/>
        <v>17829897</v>
      </c>
      <c r="Y1797">
        <f t="shared" si="171"/>
        <v>-26144845.5</v>
      </c>
      <c r="Z1797">
        <f t="shared" si="172"/>
        <v>45174742.5</v>
      </c>
      <c r="AA1797" t="str">
        <f t="shared" si="173"/>
        <v>Normal</v>
      </c>
      <c r="AE1797" s="2"/>
      <c r="AF1797" s="2"/>
    </row>
    <row r="1798" spans="1:32" x14ac:dyDescent="0.35">
      <c r="A1798">
        <v>1797</v>
      </c>
      <c r="B1798" s="1">
        <v>42481</v>
      </c>
      <c r="C1798" s="9" t="s">
        <v>3061</v>
      </c>
      <c r="D1798" s="9" t="s">
        <v>4988</v>
      </c>
      <c r="E1798" s="9" t="s">
        <v>7163</v>
      </c>
      <c r="F1798" s="9" t="s">
        <v>31</v>
      </c>
      <c r="G1798" s="9" t="s">
        <v>3062</v>
      </c>
      <c r="H1798" s="9" t="s">
        <v>86</v>
      </c>
      <c r="I1798" s="11">
        <v>18429897</v>
      </c>
      <c r="J1798" s="11">
        <v>945115</v>
      </c>
      <c r="K1798" s="11">
        <v>10153449</v>
      </c>
      <c r="L1798" s="3">
        <v>186</v>
      </c>
      <c r="M1798" s="3">
        <v>828</v>
      </c>
      <c r="N1798" s="3">
        <v>1204232</v>
      </c>
      <c r="O1798" s="2">
        <v>0.36700000000000005</v>
      </c>
      <c r="P1798" s="2">
        <v>0.61199999999999999</v>
      </c>
      <c r="Q1798" s="2">
        <v>0.109</v>
      </c>
      <c r="R1798" s="11">
        <v>241049824</v>
      </c>
      <c r="S1798" s="11">
        <v>1159680</v>
      </c>
      <c r="T1798">
        <v>2016</v>
      </c>
      <c r="U1798">
        <v>4</v>
      </c>
      <c r="V1798">
        <f t="shared" si="168"/>
        <v>600000</v>
      </c>
      <c r="W1798">
        <f t="shared" si="169"/>
        <v>18429897</v>
      </c>
      <c r="X1798">
        <f t="shared" si="170"/>
        <v>17829897</v>
      </c>
      <c r="Y1798">
        <f t="shared" si="171"/>
        <v>-26144845.5</v>
      </c>
      <c r="Z1798">
        <f t="shared" si="172"/>
        <v>45174742.5</v>
      </c>
      <c r="AA1798" t="str">
        <f t="shared" si="173"/>
        <v>Normal</v>
      </c>
      <c r="AE1798" s="2"/>
      <c r="AF1798" s="2"/>
    </row>
    <row r="1799" spans="1:32" x14ac:dyDescent="0.35">
      <c r="A1799">
        <v>1798</v>
      </c>
      <c r="B1799" s="1">
        <v>42481</v>
      </c>
      <c r="C1799" s="9" t="s">
        <v>3039</v>
      </c>
      <c r="D1799" s="9" t="s">
        <v>4925</v>
      </c>
      <c r="E1799" s="9" t="s">
        <v>3063</v>
      </c>
      <c r="F1799" s="9" t="s">
        <v>294</v>
      </c>
      <c r="G1799" s="9" t="s">
        <v>3064</v>
      </c>
      <c r="H1799" s="9" t="s">
        <v>86</v>
      </c>
      <c r="I1799" s="11">
        <v>18429897</v>
      </c>
      <c r="J1799" s="11">
        <v>2404756</v>
      </c>
      <c r="K1799" s="11">
        <v>560887</v>
      </c>
      <c r="L1799" s="3">
        <v>232</v>
      </c>
      <c r="M1799" s="3">
        <v>3188</v>
      </c>
      <c r="N1799" s="3">
        <v>1403595</v>
      </c>
      <c r="O1799" s="2">
        <v>1.6E-2</v>
      </c>
      <c r="P1799" s="2">
        <v>0.26800000000000002</v>
      </c>
      <c r="Q1799" s="2">
        <v>0.315</v>
      </c>
      <c r="R1799" s="11">
        <v>1000000000</v>
      </c>
      <c r="S1799" s="11">
        <v>271067</v>
      </c>
      <c r="T1799">
        <v>2016</v>
      </c>
      <c r="U1799">
        <v>4</v>
      </c>
      <c r="V1799">
        <f t="shared" si="168"/>
        <v>600000</v>
      </c>
      <c r="W1799">
        <f t="shared" si="169"/>
        <v>18429897</v>
      </c>
      <c r="X1799">
        <f t="shared" si="170"/>
        <v>17829897</v>
      </c>
      <c r="Y1799">
        <f t="shared" si="171"/>
        <v>-26144845.5</v>
      </c>
      <c r="Z1799">
        <f t="shared" si="172"/>
        <v>45174742.5</v>
      </c>
      <c r="AA1799" t="str">
        <f t="shared" si="173"/>
        <v>Normal</v>
      </c>
      <c r="AE1799" s="2"/>
      <c r="AF1799" s="2"/>
    </row>
    <row r="1800" spans="1:32" x14ac:dyDescent="0.35">
      <c r="A1800">
        <v>1799</v>
      </c>
      <c r="B1800" s="1">
        <v>42481</v>
      </c>
      <c r="C1800" s="9" t="s">
        <v>3065</v>
      </c>
      <c r="D1800" s="9" t="s">
        <v>4988</v>
      </c>
      <c r="E1800" s="9" t="s">
        <v>7164</v>
      </c>
      <c r="F1800" s="9" t="s">
        <v>27</v>
      </c>
      <c r="G1800" s="9" t="s">
        <v>3066</v>
      </c>
      <c r="H1800" s="9" t="s">
        <v>86</v>
      </c>
      <c r="I1800" s="11">
        <v>18429897</v>
      </c>
      <c r="J1800" s="11">
        <v>2619621</v>
      </c>
      <c r="K1800" s="11">
        <v>339917</v>
      </c>
      <c r="L1800" s="3">
        <v>309</v>
      </c>
      <c r="M1800" s="3">
        <v>2505.5</v>
      </c>
      <c r="N1800" s="3">
        <v>845687</v>
      </c>
      <c r="O1800" s="2">
        <v>1.6E-2</v>
      </c>
      <c r="P1800" s="2">
        <v>0.79299999999999993</v>
      </c>
      <c r="Q1800" s="2">
        <v>6.2E-2</v>
      </c>
      <c r="R1800" s="11">
        <v>469776265</v>
      </c>
      <c r="S1800" s="11">
        <v>870341</v>
      </c>
      <c r="T1800">
        <v>2016</v>
      </c>
      <c r="U1800">
        <v>4</v>
      </c>
      <c r="V1800">
        <f t="shared" si="168"/>
        <v>600000</v>
      </c>
      <c r="W1800">
        <f t="shared" si="169"/>
        <v>18429897</v>
      </c>
      <c r="X1800">
        <f t="shared" si="170"/>
        <v>17829897</v>
      </c>
      <c r="Y1800">
        <f t="shared" si="171"/>
        <v>-26144845.5</v>
      </c>
      <c r="Z1800">
        <f t="shared" si="172"/>
        <v>45174742.5</v>
      </c>
      <c r="AA1800" t="str">
        <f t="shared" si="173"/>
        <v>Normal</v>
      </c>
      <c r="AE1800" s="2"/>
      <c r="AF1800" s="2"/>
    </row>
    <row r="1801" spans="1:32" x14ac:dyDescent="0.35">
      <c r="A1801">
        <v>1800</v>
      </c>
      <c r="B1801" s="1">
        <v>42481</v>
      </c>
      <c r="C1801" s="9" t="s">
        <v>3067</v>
      </c>
      <c r="D1801" s="9" t="s">
        <v>5003</v>
      </c>
      <c r="E1801" s="9" t="s">
        <v>7165</v>
      </c>
      <c r="F1801" s="9" t="s">
        <v>15</v>
      </c>
      <c r="G1801" s="9" t="s">
        <v>3068</v>
      </c>
      <c r="H1801" s="9" t="s">
        <v>105</v>
      </c>
      <c r="I1801" s="11">
        <v>18429897</v>
      </c>
      <c r="J1801" s="11">
        <v>304090</v>
      </c>
      <c r="K1801" s="11">
        <v>1109896</v>
      </c>
      <c r="L1801" s="3">
        <v>254</v>
      </c>
      <c r="M1801" s="3">
        <v>2943</v>
      </c>
      <c r="N1801" s="3">
        <v>1018455</v>
      </c>
      <c r="O1801" s="2">
        <v>2.4E-2</v>
      </c>
      <c r="P1801" s="2">
        <v>0.68200000000000005</v>
      </c>
      <c r="Q1801" s="2">
        <v>0.109</v>
      </c>
      <c r="R1801" s="11">
        <v>76493202</v>
      </c>
      <c r="S1801" s="11">
        <v>675906</v>
      </c>
      <c r="T1801">
        <v>2016</v>
      </c>
      <c r="U1801">
        <v>4</v>
      </c>
      <c r="V1801">
        <f t="shared" si="168"/>
        <v>600000</v>
      </c>
      <c r="W1801">
        <f t="shared" si="169"/>
        <v>18429897</v>
      </c>
      <c r="X1801">
        <f t="shared" si="170"/>
        <v>17829897</v>
      </c>
      <c r="Y1801">
        <f t="shared" si="171"/>
        <v>-26144845.5</v>
      </c>
      <c r="Z1801">
        <f t="shared" si="172"/>
        <v>45174742.5</v>
      </c>
      <c r="AA1801" t="str">
        <f t="shared" si="173"/>
        <v>Normal</v>
      </c>
      <c r="AE1801" s="2"/>
      <c r="AF1801" s="2"/>
    </row>
    <row r="1802" spans="1:32" x14ac:dyDescent="0.35">
      <c r="A1802">
        <v>1801</v>
      </c>
      <c r="B1802" s="1">
        <v>42482</v>
      </c>
      <c r="C1802" s="9" t="s">
        <v>54</v>
      </c>
      <c r="D1802" s="9" t="s">
        <v>4925</v>
      </c>
      <c r="E1802" s="9" t="s">
        <v>7166</v>
      </c>
      <c r="F1802" s="9" t="s">
        <v>15</v>
      </c>
      <c r="G1802" s="9" t="s">
        <v>3069</v>
      </c>
      <c r="H1802" s="9" t="s">
        <v>105</v>
      </c>
      <c r="I1802" s="11">
        <v>3000000</v>
      </c>
      <c r="J1802" s="11">
        <v>2352714</v>
      </c>
      <c r="K1802" s="11">
        <v>14165533</v>
      </c>
      <c r="L1802" s="3">
        <v>254</v>
      </c>
      <c r="M1802" s="3">
        <v>408</v>
      </c>
      <c r="N1802" s="3">
        <v>1343884</v>
      </c>
      <c r="O1802" s="2">
        <v>0.33500000000000002</v>
      </c>
      <c r="P1802" s="2">
        <v>0.871</v>
      </c>
      <c r="Q1802" s="2">
        <v>0.253</v>
      </c>
      <c r="R1802" s="11">
        <v>38992184</v>
      </c>
      <c r="S1802" s="11">
        <v>509959</v>
      </c>
      <c r="T1802">
        <v>2016</v>
      </c>
      <c r="U1802">
        <v>4</v>
      </c>
      <c r="V1802">
        <f t="shared" si="168"/>
        <v>600000</v>
      </c>
      <c r="W1802">
        <f t="shared" si="169"/>
        <v>18429897</v>
      </c>
      <c r="X1802">
        <f t="shared" si="170"/>
        <v>17829897</v>
      </c>
      <c r="Y1802">
        <f t="shared" si="171"/>
        <v>-26144845.5</v>
      </c>
      <c r="Z1802">
        <f t="shared" si="172"/>
        <v>45174742.5</v>
      </c>
      <c r="AA1802" t="str">
        <f t="shared" si="173"/>
        <v>Normal</v>
      </c>
      <c r="AE1802" s="2"/>
      <c r="AF1802" s="2"/>
    </row>
    <row r="1803" spans="1:32" x14ac:dyDescent="0.35">
      <c r="A1803">
        <v>1802</v>
      </c>
      <c r="B1803" s="1">
        <v>42482</v>
      </c>
      <c r="C1803" s="9" t="s">
        <v>3070</v>
      </c>
      <c r="D1803" s="9" t="s">
        <v>4988</v>
      </c>
      <c r="E1803" s="9" t="s">
        <v>7167</v>
      </c>
      <c r="F1803" s="9" t="s">
        <v>15</v>
      </c>
      <c r="G1803" s="9" t="s">
        <v>3071</v>
      </c>
      <c r="H1803" s="9" t="s">
        <v>105</v>
      </c>
      <c r="I1803" s="11">
        <v>18429897</v>
      </c>
      <c r="J1803" s="11">
        <v>2284417</v>
      </c>
      <c r="K1803" s="11">
        <v>18088010</v>
      </c>
      <c r="L1803" s="3">
        <v>478</v>
      </c>
      <c r="M1803" s="3">
        <v>4012</v>
      </c>
      <c r="N1803" s="3">
        <v>1018455</v>
      </c>
      <c r="O1803" s="2">
        <v>0.40299999999999997</v>
      </c>
      <c r="P1803" s="2">
        <v>1.1639999999999999E-2</v>
      </c>
      <c r="Q1803" s="2">
        <v>0.36749999999999999</v>
      </c>
      <c r="R1803" s="11">
        <v>208873761</v>
      </c>
      <c r="S1803" s="11">
        <v>1810306</v>
      </c>
      <c r="T1803">
        <v>2016</v>
      </c>
      <c r="U1803">
        <v>4</v>
      </c>
      <c r="V1803">
        <f t="shared" si="168"/>
        <v>600000</v>
      </c>
      <c r="W1803">
        <f t="shared" si="169"/>
        <v>18429897</v>
      </c>
      <c r="X1803">
        <f t="shared" si="170"/>
        <v>17829897</v>
      </c>
      <c r="Y1803">
        <f t="shared" si="171"/>
        <v>-26144845.5</v>
      </c>
      <c r="Z1803">
        <f t="shared" si="172"/>
        <v>45174742.5</v>
      </c>
      <c r="AA1803" t="str">
        <f t="shared" si="173"/>
        <v>Normal</v>
      </c>
      <c r="AE1803" s="2"/>
      <c r="AF1803" s="2"/>
    </row>
    <row r="1804" spans="1:32" x14ac:dyDescent="0.35">
      <c r="A1804">
        <v>1803</v>
      </c>
      <c r="B1804" s="1">
        <v>42482</v>
      </c>
      <c r="C1804" s="9" t="s">
        <v>2450</v>
      </c>
      <c r="D1804" s="9" t="s">
        <v>4930</v>
      </c>
      <c r="E1804" s="9" t="s">
        <v>7168</v>
      </c>
      <c r="F1804" s="9" t="s">
        <v>41</v>
      </c>
      <c r="G1804" s="9" t="s">
        <v>3072</v>
      </c>
      <c r="H1804" s="9" t="s">
        <v>105</v>
      </c>
      <c r="I1804" s="11">
        <v>18429897</v>
      </c>
      <c r="J1804" s="11">
        <v>2531926</v>
      </c>
      <c r="K1804" s="11">
        <v>8253118</v>
      </c>
      <c r="L1804" s="3">
        <v>439</v>
      </c>
      <c r="M1804" s="3">
        <v>1810</v>
      </c>
      <c r="N1804" s="3">
        <v>175297</v>
      </c>
      <c r="O1804" s="2">
        <v>2.4E-2</v>
      </c>
      <c r="P1804" s="2">
        <v>0.36700000000000005</v>
      </c>
      <c r="Q1804" s="2">
        <v>-4.4999999999999998E-2</v>
      </c>
      <c r="R1804" s="11">
        <v>464018095</v>
      </c>
      <c r="S1804" s="11">
        <v>1749687</v>
      </c>
      <c r="T1804">
        <v>2016</v>
      </c>
      <c r="U1804">
        <v>4</v>
      </c>
      <c r="V1804">
        <f t="shared" si="168"/>
        <v>600000</v>
      </c>
      <c r="W1804">
        <f t="shared" si="169"/>
        <v>18429897</v>
      </c>
      <c r="X1804">
        <f t="shared" si="170"/>
        <v>17829897</v>
      </c>
      <c r="Y1804">
        <f t="shared" si="171"/>
        <v>-26144845.5</v>
      </c>
      <c r="Z1804">
        <f t="shared" si="172"/>
        <v>45174742.5</v>
      </c>
      <c r="AA1804" t="str">
        <f t="shared" si="173"/>
        <v>Normal</v>
      </c>
      <c r="AE1804" s="2"/>
      <c r="AF1804" s="2"/>
    </row>
    <row r="1805" spans="1:32" x14ac:dyDescent="0.35">
      <c r="A1805">
        <v>1804</v>
      </c>
      <c r="B1805" s="1">
        <v>42482</v>
      </c>
      <c r="C1805" s="9" t="s">
        <v>3073</v>
      </c>
      <c r="D1805" s="9" t="s">
        <v>4988</v>
      </c>
      <c r="E1805" s="9" t="s">
        <v>7169</v>
      </c>
      <c r="F1805" s="9" t="s">
        <v>27</v>
      </c>
      <c r="G1805" s="9" t="s">
        <v>3074</v>
      </c>
      <c r="H1805" s="9" t="s">
        <v>86</v>
      </c>
      <c r="I1805" s="11">
        <v>450000</v>
      </c>
      <c r="J1805" s="11">
        <v>2531926</v>
      </c>
      <c r="K1805" s="11">
        <v>17664583</v>
      </c>
      <c r="L1805" s="3">
        <v>192</v>
      </c>
      <c r="M1805" s="3">
        <v>2233</v>
      </c>
      <c r="N1805" s="3">
        <v>1018455</v>
      </c>
      <c r="O1805" s="2">
        <v>-0.498</v>
      </c>
      <c r="P1805" s="2">
        <v>0.57100000000000006</v>
      </c>
      <c r="Q1805" s="2">
        <v>-2.7E-2</v>
      </c>
      <c r="R1805" s="11">
        <v>288370905</v>
      </c>
      <c r="S1805" s="11">
        <v>1242931</v>
      </c>
      <c r="T1805">
        <v>2016</v>
      </c>
      <c r="U1805">
        <v>4</v>
      </c>
      <c r="V1805">
        <f t="shared" si="168"/>
        <v>600000</v>
      </c>
      <c r="W1805">
        <f t="shared" si="169"/>
        <v>18429897</v>
      </c>
      <c r="X1805">
        <f t="shared" si="170"/>
        <v>17829897</v>
      </c>
      <c r="Y1805">
        <f t="shared" si="171"/>
        <v>-26144845.5</v>
      </c>
      <c r="Z1805">
        <f t="shared" si="172"/>
        <v>45174742.5</v>
      </c>
      <c r="AA1805" t="str">
        <f t="shared" si="173"/>
        <v>Normal</v>
      </c>
      <c r="AE1805" s="2"/>
      <c r="AF1805" s="2"/>
    </row>
    <row r="1806" spans="1:32" x14ac:dyDescent="0.35">
      <c r="A1806">
        <v>1805</v>
      </c>
      <c r="B1806" s="1">
        <v>42485</v>
      </c>
      <c r="C1806" s="9" t="s">
        <v>3075</v>
      </c>
      <c r="D1806" s="9" t="s">
        <v>4988</v>
      </c>
      <c r="E1806" s="9" t="s">
        <v>7170</v>
      </c>
      <c r="F1806" s="9" t="s">
        <v>124</v>
      </c>
      <c r="G1806" s="9" t="s">
        <v>1483</v>
      </c>
      <c r="H1806" s="9" t="s">
        <v>86</v>
      </c>
      <c r="I1806" s="11">
        <v>200000</v>
      </c>
      <c r="J1806" s="11">
        <v>244962</v>
      </c>
      <c r="K1806" s="11">
        <v>10153449</v>
      </c>
      <c r="L1806" s="3">
        <v>360</v>
      </c>
      <c r="M1806" s="3">
        <v>3392</v>
      </c>
      <c r="N1806" s="3">
        <v>689883</v>
      </c>
      <c r="O1806" s="2">
        <v>0.35099999999999998</v>
      </c>
      <c r="P1806" s="2">
        <v>0.50800000000000001</v>
      </c>
      <c r="Q1806" s="2">
        <v>7.2999999999999995E-2</v>
      </c>
      <c r="R1806" s="11">
        <v>250264963</v>
      </c>
      <c r="S1806" s="11">
        <v>1909175</v>
      </c>
      <c r="T1806">
        <v>2016</v>
      </c>
      <c r="U1806">
        <v>4</v>
      </c>
      <c r="V1806">
        <f t="shared" si="168"/>
        <v>600000</v>
      </c>
      <c r="W1806">
        <f t="shared" si="169"/>
        <v>18429897</v>
      </c>
      <c r="X1806">
        <f t="shared" si="170"/>
        <v>17829897</v>
      </c>
      <c r="Y1806">
        <f t="shared" si="171"/>
        <v>-26144845.5</v>
      </c>
      <c r="Z1806">
        <f t="shared" si="172"/>
        <v>45174742.5</v>
      </c>
      <c r="AA1806" t="str">
        <f t="shared" si="173"/>
        <v>Normal</v>
      </c>
      <c r="AE1806" s="2"/>
      <c r="AF1806" s="2"/>
    </row>
    <row r="1807" spans="1:32" x14ac:dyDescent="0.35">
      <c r="A1807">
        <v>1806</v>
      </c>
      <c r="B1807" s="1">
        <v>42485</v>
      </c>
      <c r="C1807" s="9" t="s">
        <v>3076</v>
      </c>
      <c r="D1807" s="9" t="s">
        <v>4988</v>
      </c>
      <c r="E1807" s="9" t="s">
        <v>7012</v>
      </c>
      <c r="F1807" s="9" t="s">
        <v>41</v>
      </c>
      <c r="G1807" s="9" t="s">
        <v>198</v>
      </c>
      <c r="H1807" s="9" t="s">
        <v>86</v>
      </c>
      <c r="I1807" s="11">
        <v>18429897</v>
      </c>
      <c r="J1807" s="11">
        <v>62736</v>
      </c>
      <c r="K1807" s="11">
        <v>16171069</v>
      </c>
      <c r="L1807" s="3">
        <v>406</v>
      </c>
      <c r="M1807" s="3">
        <v>4987</v>
      </c>
      <c r="N1807" s="3">
        <v>385742</v>
      </c>
      <c r="O1807" s="2">
        <v>0.129</v>
      </c>
      <c r="P1807" s="2">
        <v>0.55100000000000005</v>
      </c>
      <c r="Q1807" s="2">
        <v>0.27</v>
      </c>
      <c r="R1807" s="11">
        <v>175920932</v>
      </c>
      <c r="S1807" s="11">
        <v>404603</v>
      </c>
      <c r="T1807">
        <v>2016</v>
      </c>
      <c r="U1807">
        <v>4</v>
      </c>
      <c r="V1807">
        <f t="shared" si="168"/>
        <v>600000</v>
      </c>
      <c r="W1807">
        <f t="shared" si="169"/>
        <v>18429897</v>
      </c>
      <c r="X1807">
        <f t="shared" si="170"/>
        <v>17829897</v>
      </c>
      <c r="Y1807">
        <f t="shared" si="171"/>
        <v>-26144845.5</v>
      </c>
      <c r="Z1807">
        <f t="shared" si="172"/>
        <v>45174742.5</v>
      </c>
      <c r="AA1807" t="str">
        <f t="shared" si="173"/>
        <v>Normal</v>
      </c>
      <c r="AE1807" s="2"/>
      <c r="AF1807" s="2"/>
    </row>
    <row r="1808" spans="1:32" x14ac:dyDescent="0.35">
      <c r="A1808">
        <v>1807</v>
      </c>
      <c r="B1808" s="1">
        <v>42485</v>
      </c>
      <c r="C1808" s="9" t="s">
        <v>3077</v>
      </c>
      <c r="D1808" s="9" t="s">
        <v>4939</v>
      </c>
      <c r="E1808" s="9" t="s">
        <v>7171</v>
      </c>
      <c r="F1808" s="9" t="s">
        <v>15</v>
      </c>
      <c r="G1808" s="9" t="s">
        <v>3078</v>
      </c>
      <c r="H1808" s="9" t="s">
        <v>86</v>
      </c>
      <c r="I1808" s="11">
        <v>550000</v>
      </c>
      <c r="J1808" s="11">
        <v>2417826</v>
      </c>
      <c r="K1808" s="11">
        <v>14823918</v>
      </c>
      <c r="L1808" s="3">
        <v>59</v>
      </c>
      <c r="M1808" s="3">
        <v>3975</v>
      </c>
      <c r="N1808" s="3">
        <v>360785</v>
      </c>
      <c r="O1808" s="2">
        <v>0.13</v>
      </c>
      <c r="P1808" s="2">
        <v>0.376</v>
      </c>
      <c r="Q1808" s="2">
        <v>0.73099999999999998</v>
      </c>
      <c r="R1808" s="11">
        <v>227626665</v>
      </c>
      <c r="S1808" s="11">
        <v>1094147</v>
      </c>
      <c r="T1808">
        <v>2016</v>
      </c>
      <c r="U1808">
        <v>4</v>
      </c>
      <c r="V1808">
        <f t="shared" si="168"/>
        <v>600000</v>
      </c>
      <c r="W1808">
        <f t="shared" si="169"/>
        <v>18429897</v>
      </c>
      <c r="X1808">
        <f t="shared" si="170"/>
        <v>17829897</v>
      </c>
      <c r="Y1808">
        <f t="shared" si="171"/>
        <v>-26144845.5</v>
      </c>
      <c r="Z1808">
        <f t="shared" si="172"/>
        <v>45174742.5</v>
      </c>
      <c r="AA1808" t="str">
        <f t="shared" si="173"/>
        <v>Normal</v>
      </c>
      <c r="AE1808" s="2"/>
      <c r="AF1808" s="2"/>
    </row>
    <row r="1809" spans="1:32" x14ac:dyDescent="0.35">
      <c r="A1809">
        <v>1808</v>
      </c>
      <c r="B1809" s="1">
        <v>42486</v>
      </c>
      <c r="C1809" s="9" t="s">
        <v>3079</v>
      </c>
      <c r="D1809" s="9" t="s">
        <v>4988</v>
      </c>
      <c r="E1809" s="9" t="s">
        <v>7172</v>
      </c>
      <c r="F1809" s="9" t="s">
        <v>31</v>
      </c>
      <c r="G1809" s="9" t="s">
        <v>3080</v>
      </c>
      <c r="H1809" s="9" t="s">
        <v>105</v>
      </c>
      <c r="I1809" s="11">
        <v>15000000</v>
      </c>
      <c r="J1809" s="11">
        <v>467408</v>
      </c>
      <c r="K1809" s="11">
        <v>10153449</v>
      </c>
      <c r="L1809" s="3">
        <v>297</v>
      </c>
      <c r="M1809" s="3">
        <v>2036</v>
      </c>
      <c r="N1809" s="3">
        <v>393158</v>
      </c>
      <c r="O1809" s="2">
        <v>0.313</v>
      </c>
      <c r="P1809" s="2">
        <v>0.79900000000000004</v>
      </c>
      <c r="Q1809" s="2">
        <v>7.2000000000000008E-2</v>
      </c>
      <c r="R1809" s="11">
        <v>47532348</v>
      </c>
      <c r="S1809" s="11">
        <v>1383824</v>
      </c>
      <c r="T1809">
        <v>2016</v>
      </c>
      <c r="U1809">
        <v>4</v>
      </c>
      <c r="V1809">
        <f t="shared" si="168"/>
        <v>600000</v>
      </c>
      <c r="W1809">
        <f t="shared" si="169"/>
        <v>18429897</v>
      </c>
      <c r="X1809">
        <f t="shared" si="170"/>
        <v>17829897</v>
      </c>
      <c r="Y1809">
        <f t="shared" si="171"/>
        <v>-26144845.5</v>
      </c>
      <c r="Z1809">
        <f t="shared" si="172"/>
        <v>45174742.5</v>
      </c>
      <c r="AA1809" t="str">
        <f t="shared" si="173"/>
        <v>Normal</v>
      </c>
      <c r="AE1809" s="2"/>
      <c r="AF1809" s="2"/>
    </row>
    <row r="1810" spans="1:32" x14ac:dyDescent="0.35">
      <c r="A1810">
        <v>1809</v>
      </c>
      <c r="B1810" s="1">
        <v>42486</v>
      </c>
      <c r="C1810" s="9" t="s">
        <v>2781</v>
      </c>
      <c r="D1810" s="9" t="s">
        <v>4988</v>
      </c>
      <c r="E1810" s="9" t="s">
        <v>7173</v>
      </c>
      <c r="F1810" s="9" t="s">
        <v>15</v>
      </c>
      <c r="G1810" s="9" t="s">
        <v>3081</v>
      </c>
      <c r="H1810" s="9" t="s">
        <v>105</v>
      </c>
      <c r="I1810" s="11">
        <v>1300000</v>
      </c>
      <c r="J1810" s="11">
        <v>4797475</v>
      </c>
      <c r="K1810" s="11">
        <v>10514931</v>
      </c>
      <c r="L1810" s="3">
        <v>400</v>
      </c>
      <c r="M1810" s="3">
        <v>1761</v>
      </c>
      <c r="N1810" s="3">
        <v>184266</v>
      </c>
      <c r="O1810" s="2">
        <v>4.7E-2</v>
      </c>
      <c r="P1810" s="2">
        <v>0.23899999999999999</v>
      </c>
      <c r="Q1810" s="2">
        <v>0.23899999999999999</v>
      </c>
      <c r="R1810" s="11">
        <v>483945750</v>
      </c>
      <c r="S1810" s="11">
        <v>1579973</v>
      </c>
      <c r="T1810">
        <v>2016</v>
      </c>
      <c r="U1810">
        <v>4</v>
      </c>
      <c r="V1810">
        <f t="shared" si="168"/>
        <v>600000</v>
      </c>
      <c r="W1810">
        <f t="shared" si="169"/>
        <v>18429897</v>
      </c>
      <c r="X1810">
        <f t="shared" si="170"/>
        <v>17829897</v>
      </c>
      <c r="Y1810">
        <f t="shared" si="171"/>
        <v>-26144845.5</v>
      </c>
      <c r="Z1810">
        <f t="shared" si="172"/>
        <v>45174742.5</v>
      </c>
      <c r="AA1810" t="str">
        <f t="shared" si="173"/>
        <v>Normal</v>
      </c>
      <c r="AE1810" s="2"/>
      <c r="AF1810" s="2"/>
    </row>
    <row r="1811" spans="1:32" x14ac:dyDescent="0.35">
      <c r="A1811">
        <v>1810</v>
      </c>
      <c r="B1811" s="1">
        <v>42486</v>
      </c>
      <c r="C1811" s="9" t="s">
        <v>346</v>
      </c>
      <c r="D1811" s="9" t="s">
        <v>4925</v>
      </c>
      <c r="E1811" s="9" t="s">
        <v>7174</v>
      </c>
      <c r="F1811" s="9" t="s">
        <v>19</v>
      </c>
      <c r="G1811" s="9" t="s">
        <v>347</v>
      </c>
      <c r="H1811" s="9" t="s">
        <v>105</v>
      </c>
      <c r="I1811" s="11">
        <v>15000000</v>
      </c>
      <c r="J1811" s="11">
        <v>1238840</v>
      </c>
      <c r="K1811" s="11">
        <v>10556627</v>
      </c>
      <c r="L1811" s="3">
        <v>33</v>
      </c>
      <c r="M1811" s="3">
        <v>1726</v>
      </c>
      <c r="N1811" s="3">
        <v>908909</v>
      </c>
      <c r="O1811" s="2">
        <v>1.6E-2</v>
      </c>
      <c r="P1811" s="2">
        <v>0.57700000000000007</v>
      </c>
      <c r="Q1811" s="2">
        <v>-0.44</v>
      </c>
      <c r="R1811" s="11">
        <v>103602049</v>
      </c>
      <c r="S1811" s="11">
        <v>787518</v>
      </c>
      <c r="T1811">
        <v>2016</v>
      </c>
      <c r="U1811">
        <v>4</v>
      </c>
      <c r="V1811">
        <f t="shared" si="168"/>
        <v>600000</v>
      </c>
      <c r="W1811">
        <f t="shared" si="169"/>
        <v>18429897</v>
      </c>
      <c r="X1811">
        <f t="shared" si="170"/>
        <v>17829897</v>
      </c>
      <c r="Y1811">
        <f t="shared" si="171"/>
        <v>-26144845.5</v>
      </c>
      <c r="Z1811">
        <f t="shared" si="172"/>
        <v>45174742.5</v>
      </c>
      <c r="AA1811" t="str">
        <f t="shared" si="173"/>
        <v>Normal</v>
      </c>
      <c r="AE1811" s="2"/>
      <c r="AF1811" s="2"/>
    </row>
    <row r="1812" spans="1:32" x14ac:dyDescent="0.35">
      <c r="A1812">
        <v>1811</v>
      </c>
      <c r="B1812" s="1">
        <v>42487</v>
      </c>
      <c r="C1812" s="9" t="s">
        <v>323</v>
      </c>
      <c r="D1812" s="9" t="s">
        <v>4988</v>
      </c>
      <c r="E1812" s="9" t="s">
        <v>7175</v>
      </c>
      <c r="F1812" s="9" t="s">
        <v>19</v>
      </c>
      <c r="G1812" s="9" t="s">
        <v>2760</v>
      </c>
      <c r="H1812" s="9" t="s">
        <v>86</v>
      </c>
      <c r="I1812" s="11">
        <v>500000</v>
      </c>
      <c r="J1812" s="11">
        <v>3269545</v>
      </c>
      <c r="K1812" s="11">
        <v>12867994</v>
      </c>
      <c r="L1812" s="3">
        <v>172</v>
      </c>
      <c r="M1812" s="3">
        <v>464</v>
      </c>
      <c r="N1812" s="3">
        <v>1546916</v>
      </c>
      <c r="O1812" s="2">
        <v>4.9000000000000002E-2</v>
      </c>
      <c r="P1812" s="2">
        <v>1.1730000000000001E-2</v>
      </c>
      <c r="Q1812" s="2">
        <v>0.11600000000000001</v>
      </c>
      <c r="R1812" s="11">
        <v>63347370</v>
      </c>
      <c r="S1812" s="11">
        <v>462474</v>
      </c>
      <c r="T1812">
        <v>2016</v>
      </c>
      <c r="U1812">
        <v>4</v>
      </c>
      <c r="V1812">
        <f t="shared" si="168"/>
        <v>600000</v>
      </c>
      <c r="W1812">
        <f t="shared" si="169"/>
        <v>18429897</v>
      </c>
      <c r="X1812">
        <f t="shared" si="170"/>
        <v>17829897</v>
      </c>
      <c r="Y1812">
        <f t="shared" si="171"/>
        <v>-26144845.5</v>
      </c>
      <c r="Z1812">
        <f t="shared" si="172"/>
        <v>45174742.5</v>
      </c>
      <c r="AA1812" t="str">
        <f t="shared" si="173"/>
        <v>Normal</v>
      </c>
      <c r="AE1812" s="2"/>
      <c r="AF1812" s="2"/>
    </row>
    <row r="1813" spans="1:32" x14ac:dyDescent="0.35">
      <c r="A1813">
        <v>1812</v>
      </c>
      <c r="B1813" s="1">
        <v>42487</v>
      </c>
      <c r="C1813" s="9" t="s">
        <v>3082</v>
      </c>
      <c r="D1813" s="9" t="s">
        <v>4988</v>
      </c>
      <c r="E1813" s="9" t="s">
        <v>5243</v>
      </c>
      <c r="F1813" s="9" t="s">
        <v>15</v>
      </c>
      <c r="G1813" s="9" t="s">
        <v>3083</v>
      </c>
      <c r="H1813" s="9" t="s">
        <v>86</v>
      </c>
      <c r="I1813" s="11">
        <v>18429897</v>
      </c>
      <c r="J1813" s="11">
        <v>3373971</v>
      </c>
      <c r="K1813" s="11">
        <v>15942730</v>
      </c>
      <c r="L1813" s="3">
        <v>399</v>
      </c>
      <c r="M1813" s="3">
        <v>1722</v>
      </c>
      <c r="N1813" s="3">
        <v>927094</v>
      </c>
      <c r="O1813" s="2">
        <v>0.218</v>
      </c>
      <c r="P1813" s="2">
        <v>0.67799999999999994</v>
      </c>
      <c r="Q1813" s="2">
        <v>9.6000000000000002E-2</v>
      </c>
      <c r="R1813" s="11">
        <v>216777036</v>
      </c>
      <c r="S1813" s="11">
        <v>827140</v>
      </c>
      <c r="T1813">
        <v>2016</v>
      </c>
      <c r="U1813">
        <v>4</v>
      </c>
      <c r="V1813">
        <f t="shared" si="168"/>
        <v>600000</v>
      </c>
      <c r="W1813">
        <f t="shared" si="169"/>
        <v>18429897</v>
      </c>
      <c r="X1813">
        <f t="shared" si="170"/>
        <v>17829897</v>
      </c>
      <c r="Y1813">
        <f t="shared" si="171"/>
        <v>-26144845.5</v>
      </c>
      <c r="Z1813">
        <f t="shared" si="172"/>
        <v>45174742.5</v>
      </c>
      <c r="AA1813" t="str">
        <f t="shared" si="173"/>
        <v>Normal</v>
      </c>
      <c r="AE1813" s="2"/>
      <c r="AF1813" s="2"/>
    </row>
    <row r="1814" spans="1:32" x14ac:dyDescent="0.35">
      <c r="A1814">
        <v>1813</v>
      </c>
      <c r="B1814" s="1">
        <v>42487</v>
      </c>
      <c r="C1814" s="9" t="s">
        <v>650</v>
      </c>
      <c r="D1814" s="9" t="s">
        <v>4988</v>
      </c>
      <c r="E1814" s="9" t="s">
        <v>7176</v>
      </c>
      <c r="F1814" s="9" t="s">
        <v>63</v>
      </c>
      <c r="G1814" s="9" t="s">
        <v>3084</v>
      </c>
      <c r="H1814" s="9" t="s">
        <v>105</v>
      </c>
      <c r="I1814" s="11">
        <v>18429897</v>
      </c>
      <c r="J1814" s="11">
        <v>2487622</v>
      </c>
      <c r="K1814" s="11">
        <v>2341634</v>
      </c>
      <c r="L1814" s="3">
        <v>468</v>
      </c>
      <c r="M1814" s="3">
        <v>3808</v>
      </c>
      <c r="N1814" s="3">
        <v>261960</v>
      </c>
      <c r="O1814" s="2">
        <v>0.29600000000000004</v>
      </c>
      <c r="P1814" s="2">
        <v>0.30199999999999999</v>
      </c>
      <c r="Q1814" s="2">
        <v>0.35499999999999998</v>
      </c>
      <c r="R1814" s="11">
        <v>282226246</v>
      </c>
      <c r="S1814" s="11">
        <v>1390507</v>
      </c>
      <c r="T1814">
        <v>2016</v>
      </c>
      <c r="U1814">
        <v>4</v>
      </c>
      <c r="V1814">
        <f t="shared" si="168"/>
        <v>600000</v>
      </c>
      <c r="W1814">
        <f t="shared" si="169"/>
        <v>18429897</v>
      </c>
      <c r="X1814">
        <f t="shared" si="170"/>
        <v>17829897</v>
      </c>
      <c r="Y1814">
        <f t="shared" si="171"/>
        <v>-26144845.5</v>
      </c>
      <c r="Z1814">
        <f t="shared" si="172"/>
        <v>45174742.5</v>
      </c>
      <c r="AA1814" t="str">
        <f t="shared" si="173"/>
        <v>Normal</v>
      </c>
      <c r="AE1814" s="2"/>
      <c r="AF1814" s="2"/>
    </row>
    <row r="1815" spans="1:32" x14ac:dyDescent="0.35">
      <c r="A1815">
        <v>1814</v>
      </c>
      <c r="B1815" s="1">
        <v>42487</v>
      </c>
      <c r="C1815" s="9" t="s">
        <v>3085</v>
      </c>
      <c r="D1815" s="9" t="s">
        <v>4988</v>
      </c>
      <c r="E1815" s="9" t="s">
        <v>7177</v>
      </c>
      <c r="F1815" s="9" t="s">
        <v>27</v>
      </c>
      <c r="G1815" s="9" t="s">
        <v>193</v>
      </c>
      <c r="H1815" s="9" t="s">
        <v>86</v>
      </c>
      <c r="I1815" s="11">
        <v>450000</v>
      </c>
      <c r="J1815" s="11">
        <v>4420390</v>
      </c>
      <c r="K1815" s="11">
        <v>13525916</v>
      </c>
      <c r="L1815" s="3">
        <v>496</v>
      </c>
      <c r="M1815" s="3">
        <v>1417</v>
      </c>
      <c r="N1815" s="3">
        <v>1414346</v>
      </c>
      <c r="O1815" s="2">
        <v>1.6E-2</v>
      </c>
      <c r="P1815" s="2">
        <v>1.034</v>
      </c>
      <c r="Q1815" s="2">
        <v>-2.8999999999999998E-2</v>
      </c>
      <c r="R1815" s="11">
        <v>436172566</v>
      </c>
      <c r="S1815" s="11">
        <v>1900230</v>
      </c>
      <c r="T1815">
        <v>2016</v>
      </c>
      <c r="U1815">
        <v>4</v>
      </c>
      <c r="V1815">
        <f t="shared" si="168"/>
        <v>600000</v>
      </c>
      <c r="W1815">
        <f t="shared" si="169"/>
        <v>18429897</v>
      </c>
      <c r="X1815">
        <f t="shared" si="170"/>
        <v>17829897</v>
      </c>
      <c r="Y1815">
        <f t="shared" si="171"/>
        <v>-26144845.5</v>
      </c>
      <c r="Z1815">
        <f t="shared" si="172"/>
        <v>45174742.5</v>
      </c>
      <c r="AA1815" t="str">
        <f t="shared" si="173"/>
        <v>Normal</v>
      </c>
      <c r="AE1815" s="2"/>
      <c r="AF1815" s="2"/>
    </row>
    <row r="1816" spans="1:32" x14ac:dyDescent="0.35">
      <c r="A1816">
        <v>1815</v>
      </c>
      <c r="B1816" s="1">
        <v>42487</v>
      </c>
      <c r="C1816" s="9" t="s">
        <v>2923</v>
      </c>
      <c r="D1816" s="9" t="s">
        <v>4988</v>
      </c>
      <c r="E1816" s="9" t="s">
        <v>7096</v>
      </c>
      <c r="F1816" s="9" t="s">
        <v>31</v>
      </c>
      <c r="G1816" s="9" t="s">
        <v>998</v>
      </c>
      <c r="H1816" s="9" t="s">
        <v>105</v>
      </c>
      <c r="I1816" s="11">
        <v>18429897</v>
      </c>
      <c r="J1816" s="11">
        <v>571246</v>
      </c>
      <c r="K1816" s="11">
        <v>16677384</v>
      </c>
      <c r="L1816" s="3">
        <v>303</v>
      </c>
      <c r="M1816" s="3">
        <v>1986</v>
      </c>
      <c r="N1816" s="3">
        <v>349912</v>
      </c>
      <c r="O1816" s="2">
        <v>0.20100000000000001</v>
      </c>
      <c r="P1816" s="2">
        <v>0.379</v>
      </c>
      <c r="Q1816" s="2">
        <v>-0.20599999999999999</v>
      </c>
      <c r="R1816" s="11">
        <v>80689153</v>
      </c>
      <c r="S1816" s="11">
        <v>623331</v>
      </c>
      <c r="T1816">
        <v>2016</v>
      </c>
      <c r="U1816">
        <v>4</v>
      </c>
      <c r="V1816">
        <f t="shared" si="168"/>
        <v>600000</v>
      </c>
      <c r="W1816">
        <f t="shared" si="169"/>
        <v>18429897</v>
      </c>
      <c r="X1816">
        <f t="shared" si="170"/>
        <v>17829897</v>
      </c>
      <c r="Y1816">
        <f t="shared" si="171"/>
        <v>-26144845.5</v>
      </c>
      <c r="Z1816">
        <f t="shared" si="172"/>
        <v>45174742.5</v>
      </c>
      <c r="AA1816" t="str">
        <f t="shared" si="173"/>
        <v>Normal</v>
      </c>
      <c r="AE1816" s="2"/>
      <c r="AF1816" s="2"/>
    </row>
    <row r="1817" spans="1:32" x14ac:dyDescent="0.35">
      <c r="A1817">
        <v>1816</v>
      </c>
      <c r="B1817" s="1">
        <v>42488</v>
      </c>
      <c r="C1817" s="9" t="s">
        <v>849</v>
      </c>
      <c r="D1817" s="9" t="s">
        <v>4988</v>
      </c>
      <c r="E1817" s="9" t="s">
        <v>7178</v>
      </c>
      <c r="F1817" s="9" t="s">
        <v>31</v>
      </c>
      <c r="G1817" s="9" t="s">
        <v>3086</v>
      </c>
      <c r="H1817" s="9" t="s">
        <v>86</v>
      </c>
      <c r="I1817" s="11">
        <v>600000</v>
      </c>
      <c r="J1817" s="11">
        <v>1185477</v>
      </c>
      <c r="K1817" s="11">
        <v>1000000000</v>
      </c>
      <c r="L1817" s="3">
        <v>26</v>
      </c>
      <c r="M1817" s="3">
        <v>392</v>
      </c>
      <c r="N1817" s="3">
        <v>1737721</v>
      </c>
      <c r="O1817" s="2">
        <v>9.0999999999999998E-2</v>
      </c>
      <c r="P1817" s="2">
        <v>0.45100000000000001</v>
      </c>
      <c r="Q1817" s="2">
        <v>0.157</v>
      </c>
      <c r="R1817" s="11">
        <v>286226550</v>
      </c>
      <c r="S1817" s="11">
        <v>700937</v>
      </c>
      <c r="T1817">
        <v>2016</v>
      </c>
      <c r="U1817">
        <v>4</v>
      </c>
      <c r="V1817">
        <f t="shared" si="168"/>
        <v>600000</v>
      </c>
      <c r="W1817">
        <f t="shared" si="169"/>
        <v>18429897</v>
      </c>
      <c r="X1817">
        <f t="shared" si="170"/>
        <v>17829897</v>
      </c>
      <c r="Y1817">
        <f t="shared" si="171"/>
        <v>-26144845.5</v>
      </c>
      <c r="Z1817">
        <f t="shared" si="172"/>
        <v>45174742.5</v>
      </c>
      <c r="AA1817" t="str">
        <f t="shared" si="173"/>
        <v>Normal</v>
      </c>
      <c r="AE1817" s="2"/>
      <c r="AF1817" s="2"/>
    </row>
    <row r="1818" spans="1:32" x14ac:dyDescent="0.35">
      <c r="A1818">
        <v>1817</v>
      </c>
      <c r="B1818" s="1">
        <v>42488</v>
      </c>
      <c r="C1818" s="9" t="s">
        <v>897</v>
      </c>
      <c r="D1818" s="9" t="s">
        <v>4988</v>
      </c>
      <c r="E1818" s="9" t="s">
        <v>7179</v>
      </c>
      <c r="F1818" s="9" t="s">
        <v>15</v>
      </c>
      <c r="G1818" s="9" t="s">
        <v>3087</v>
      </c>
      <c r="H1818" s="9" t="s">
        <v>105</v>
      </c>
      <c r="I1818" s="11">
        <v>1200000</v>
      </c>
      <c r="J1818" s="11">
        <v>1277132</v>
      </c>
      <c r="K1818" s="11">
        <v>10153449</v>
      </c>
      <c r="L1818" s="3">
        <v>18</v>
      </c>
      <c r="M1818" s="3">
        <v>1294</v>
      </c>
      <c r="N1818" s="3">
        <v>733618</v>
      </c>
      <c r="O1818" s="2">
        <v>0.29699999999999999</v>
      </c>
      <c r="P1818" s="2">
        <v>1.1619999999999999</v>
      </c>
      <c r="Q1818" s="2">
        <v>-0.28999999999999998</v>
      </c>
      <c r="R1818" s="11">
        <v>306553635</v>
      </c>
      <c r="S1818" s="11">
        <v>352613</v>
      </c>
      <c r="T1818">
        <v>2016</v>
      </c>
      <c r="U1818">
        <v>4</v>
      </c>
      <c r="V1818">
        <f t="shared" si="168"/>
        <v>600000</v>
      </c>
      <c r="W1818">
        <f t="shared" si="169"/>
        <v>18429897</v>
      </c>
      <c r="X1818">
        <f t="shared" si="170"/>
        <v>17829897</v>
      </c>
      <c r="Y1818">
        <f t="shared" si="171"/>
        <v>-26144845.5</v>
      </c>
      <c r="Z1818">
        <f t="shared" si="172"/>
        <v>45174742.5</v>
      </c>
      <c r="AA1818" t="str">
        <f t="shared" si="173"/>
        <v>Normal</v>
      </c>
      <c r="AE1818" s="2"/>
      <c r="AF1818" s="2"/>
    </row>
    <row r="1819" spans="1:32" x14ac:dyDescent="0.35">
      <c r="A1819">
        <v>1818</v>
      </c>
      <c r="B1819" s="1">
        <v>42489</v>
      </c>
      <c r="C1819" s="9" t="s">
        <v>3088</v>
      </c>
      <c r="D1819" s="9" t="s">
        <v>4988</v>
      </c>
      <c r="E1819" s="9" t="s">
        <v>7180</v>
      </c>
      <c r="F1819" s="9" t="s">
        <v>31</v>
      </c>
      <c r="G1819" s="9" t="s">
        <v>3089</v>
      </c>
      <c r="H1819" s="9" t="s">
        <v>86</v>
      </c>
      <c r="I1819" s="11">
        <v>500000</v>
      </c>
      <c r="J1819" s="11">
        <v>694363</v>
      </c>
      <c r="K1819" s="11">
        <v>17921269</v>
      </c>
      <c r="L1819" s="3">
        <v>406</v>
      </c>
      <c r="M1819" s="3">
        <v>390</v>
      </c>
      <c r="N1819" s="3">
        <v>2728</v>
      </c>
      <c r="O1819" s="2">
        <v>-7.400000000000001E-2</v>
      </c>
      <c r="P1819" s="2">
        <v>0.97499999999999998</v>
      </c>
      <c r="Q1819" s="2">
        <v>-0.10099999999999999</v>
      </c>
      <c r="R1819" s="11">
        <v>250264963</v>
      </c>
      <c r="S1819" s="11">
        <v>737361</v>
      </c>
      <c r="T1819">
        <v>2016</v>
      </c>
      <c r="U1819">
        <v>4</v>
      </c>
      <c r="V1819">
        <f t="shared" si="168"/>
        <v>600000</v>
      </c>
      <c r="W1819">
        <f t="shared" si="169"/>
        <v>18429897</v>
      </c>
      <c r="X1819">
        <f t="shared" si="170"/>
        <v>17829897</v>
      </c>
      <c r="Y1819">
        <f t="shared" si="171"/>
        <v>-26144845.5</v>
      </c>
      <c r="Z1819">
        <f t="shared" si="172"/>
        <v>45174742.5</v>
      </c>
      <c r="AA1819" t="str">
        <f t="shared" si="173"/>
        <v>Normal</v>
      </c>
      <c r="AE1819" s="2"/>
      <c r="AF1819" s="2"/>
    </row>
    <row r="1820" spans="1:32" x14ac:dyDescent="0.35">
      <c r="A1820">
        <v>1819</v>
      </c>
      <c r="B1820" s="1">
        <v>42489</v>
      </c>
      <c r="C1820" s="9" t="s">
        <v>2841</v>
      </c>
      <c r="D1820" s="9" t="s">
        <v>4925</v>
      </c>
      <c r="E1820" s="9" t="s">
        <v>7051</v>
      </c>
      <c r="F1820" s="9" t="s">
        <v>27</v>
      </c>
      <c r="G1820" s="9" t="s">
        <v>2842</v>
      </c>
      <c r="H1820" s="9" t="s">
        <v>105</v>
      </c>
      <c r="I1820" s="11">
        <v>100000</v>
      </c>
      <c r="J1820" s="11">
        <v>1487974</v>
      </c>
      <c r="K1820" s="11">
        <v>3297579</v>
      </c>
      <c r="L1820" s="3">
        <v>254</v>
      </c>
      <c r="M1820" s="3">
        <v>2379</v>
      </c>
      <c r="N1820" s="3">
        <v>1018455</v>
      </c>
      <c r="O1820" s="2">
        <v>0.40399999999999997</v>
      </c>
      <c r="P1820" s="2">
        <v>0.52200000000000002</v>
      </c>
      <c r="Q1820" s="2">
        <v>0.114</v>
      </c>
      <c r="R1820" s="11">
        <v>115252318</v>
      </c>
      <c r="S1820" s="11">
        <v>979790</v>
      </c>
      <c r="T1820">
        <v>2016</v>
      </c>
      <c r="U1820">
        <v>4</v>
      </c>
      <c r="V1820">
        <f t="shared" si="168"/>
        <v>600000</v>
      </c>
      <c r="W1820">
        <f t="shared" si="169"/>
        <v>18429897</v>
      </c>
      <c r="X1820">
        <f t="shared" si="170"/>
        <v>17829897</v>
      </c>
      <c r="Y1820">
        <f t="shared" si="171"/>
        <v>-26144845.5</v>
      </c>
      <c r="Z1820">
        <f t="shared" si="172"/>
        <v>45174742.5</v>
      </c>
      <c r="AA1820" t="str">
        <f t="shared" si="173"/>
        <v>Normal</v>
      </c>
      <c r="AE1820" s="2"/>
      <c r="AF1820" s="2"/>
    </row>
    <row r="1821" spans="1:32" x14ac:dyDescent="0.35">
      <c r="A1821">
        <v>1820</v>
      </c>
      <c r="B1821" s="1">
        <v>42430</v>
      </c>
      <c r="C1821" s="9" t="s">
        <v>325</v>
      </c>
      <c r="D1821" s="9" t="s">
        <v>4988</v>
      </c>
      <c r="E1821" s="9" t="s">
        <v>7181</v>
      </c>
      <c r="F1821" s="9" t="s">
        <v>15</v>
      </c>
      <c r="G1821" s="9" t="s">
        <v>791</v>
      </c>
      <c r="H1821" s="9" t="s">
        <v>86</v>
      </c>
      <c r="I1821" s="11">
        <v>18429897</v>
      </c>
      <c r="J1821" s="11">
        <v>1577182</v>
      </c>
      <c r="K1821" s="11">
        <v>16097981</v>
      </c>
      <c r="L1821" s="3">
        <v>100</v>
      </c>
      <c r="M1821" s="3">
        <v>1520</v>
      </c>
      <c r="N1821" s="3">
        <v>1664908</v>
      </c>
      <c r="O1821" s="2">
        <v>0.16200000000000001</v>
      </c>
      <c r="P1821" s="2">
        <v>0.84699999999999998</v>
      </c>
      <c r="Q1821" s="2">
        <v>-0.499</v>
      </c>
      <c r="R1821" s="11">
        <v>84424579</v>
      </c>
      <c r="S1821" s="11">
        <v>1125868</v>
      </c>
      <c r="T1821">
        <v>2016</v>
      </c>
      <c r="U1821">
        <v>3</v>
      </c>
      <c r="V1821">
        <f t="shared" si="168"/>
        <v>600000</v>
      </c>
      <c r="W1821">
        <f t="shared" si="169"/>
        <v>18429897</v>
      </c>
      <c r="X1821">
        <f t="shared" si="170"/>
        <v>17829897</v>
      </c>
      <c r="Y1821">
        <f t="shared" si="171"/>
        <v>-26144845.5</v>
      </c>
      <c r="Z1821">
        <f t="shared" si="172"/>
        <v>45174742.5</v>
      </c>
      <c r="AA1821" t="str">
        <f t="shared" si="173"/>
        <v>Normal</v>
      </c>
      <c r="AE1821" s="2"/>
      <c r="AF1821" s="2"/>
    </row>
    <row r="1822" spans="1:32" x14ac:dyDescent="0.35">
      <c r="A1822">
        <v>1821</v>
      </c>
      <c r="B1822" s="1">
        <v>42430</v>
      </c>
      <c r="C1822" s="9" t="s">
        <v>1355</v>
      </c>
      <c r="D1822" s="9" t="s">
        <v>4988</v>
      </c>
      <c r="E1822" s="9" t="s">
        <v>7182</v>
      </c>
      <c r="F1822" s="9" t="s">
        <v>15</v>
      </c>
      <c r="G1822" s="9" t="s">
        <v>1357</v>
      </c>
      <c r="H1822" s="9" t="s">
        <v>105</v>
      </c>
      <c r="I1822" s="11">
        <v>18429897</v>
      </c>
      <c r="J1822" s="11">
        <v>3828721</v>
      </c>
      <c r="K1822" s="11">
        <v>3518734</v>
      </c>
      <c r="L1822" s="3">
        <v>69</v>
      </c>
      <c r="M1822" s="3">
        <v>4850</v>
      </c>
      <c r="N1822" s="3">
        <v>1839645</v>
      </c>
      <c r="O1822" s="2">
        <v>7.400000000000001E-2</v>
      </c>
      <c r="P1822" s="2">
        <v>0.68799999999999994</v>
      </c>
      <c r="Q1822" s="2">
        <v>0.36749999999999999</v>
      </c>
      <c r="R1822" s="11">
        <v>212881666</v>
      </c>
      <c r="S1822" s="11">
        <v>71045</v>
      </c>
      <c r="T1822">
        <v>2016</v>
      </c>
      <c r="U1822">
        <v>3</v>
      </c>
      <c r="V1822">
        <f t="shared" si="168"/>
        <v>600000</v>
      </c>
      <c r="W1822">
        <f t="shared" si="169"/>
        <v>18429897</v>
      </c>
      <c r="X1822">
        <f t="shared" si="170"/>
        <v>17829897</v>
      </c>
      <c r="Y1822">
        <f t="shared" si="171"/>
        <v>-26144845.5</v>
      </c>
      <c r="Z1822">
        <f t="shared" si="172"/>
        <v>45174742.5</v>
      </c>
      <c r="AA1822" t="str">
        <f t="shared" si="173"/>
        <v>Normal</v>
      </c>
      <c r="AE1822" s="2"/>
      <c r="AF1822" s="2"/>
    </row>
    <row r="1823" spans="1:32" x14ac:dyDescent="0.35">
      <c r="A1823">
        <v>1822</v>
      </c>
      <c r="B1823" s="1">
        <v>42430</v>
      </c>
      <c r="C1823" s="9" t="s">
        <v>1570</v>
      </c>
      <c r="D1823" s="9" t="s">
        <v>4988</v>
      </c>
      <c r="E1823" s="9" t="s">
        <v>6371</v>
      </c>
      <c r="F1823" s="9" t="s">
        <v>31</v>
      </c>
      <c r="G1823" s="9" t="s">
        <v>3090</v>
      </c>
      <c r="H1823" s="9" t="s">
        <v>105</v>
      </c>
      <c r="I1823" s="11">
        <v>18429897</v>
      </c>
      <c r="J1823" s="11">
        <v>1522100</v>
      </c>
      <c r="K1823" s="11">
        <v>14069477</v>
      </c>
      <c r="L1823" s="3">
        <v>77</v>
      </c>
      <c r="M1823" s="3">
        <v>2969</v>
      </c>
      <c r="N1823" s="3">
        <v>843852</v>
      </c>
      <c r="O1823" s="2">
        <v>-7.400000000000001E-2</v>
      </c>
      <c r="P1823" s="2">
        <v>1.0920000000000001</v>
      </c>
      <c r="Q1823" s="2">
        <v>0.495</v>
      </c>
      <c r="R1823" s="11">
        <v>228523365</v>
      </c>
      <c r="S1823" s="11">
        <v>333440</v>
      </c>
      <c r="T1823">
        <v>2016</v>
      </c>
      <c r="U1823">
        <v>3</v>
      </c>
      <c r="V1823">
        <f t="shared" si="168"/>
        <v>600000</v>
      </c>
      <c r="W1823">
        <f t="shared" si="169"/>
        <v>18429897</v>
      </c>
      <c r="X1823">
        <f t="shared" si="170"/>
        <v>17829897</v>
      </c>
      <c r="Y1823">
        <f t="shared" si="171"/>
        <v>-26144845.5</v>
      </c>
      <c r="Z1823">
        <f t="shared" si="172"/>
        <v>45174742.5</v>
      </c>
      <c r="AA1823" t="str">
        <f t="shared" si="173"/>
        <v>Normal</v>
      </c>
      <c r="AE1823" s="2"/>
      <c r="AF1823" s="2"/>
    </row>
    <row r="1824" spans="1:32" x14ac:dyDescent="0.35">
      <c r="A1824">
        <v>1823</v>
      </c>
      <c r="B1824" s="1">
        <v>42430</v>
      </c>
      <c r="C1824" s="9" t="s">
        <v>477</v>
      </c>
      <c r="D1824" s="9" t="s">
        <v>4930</v>
      </c>
      <c r="E1824" s="9" t="s">
        <v>5160</v>
      </c>
      <c r="F1824" s="9" t="s">
        <v>15</v>
      </c>
      <c r="G1824" s="9" t="s">
        <v>3091</v>
      </c>
      <c r="H1824" s="9" t="s">
        <v>105</v>
      </c>
      <c r="I1824" s="11">
        <v>18429897</v>
      </c>
      <c r="J1824" s="11">
        <v>4386019</v>
      </c>
      <c r="K1824" s="11">
        <v>18030071</v>
      </c>
      <c r="L1824" s="3">
        <v>439</v>
      </c>
      <c r="M1824" s="3">
        <v>1894</v>
      </c>
      <c r="N1824" s="3">
        <v>1977294</v>
      </c>
      <c r="O1824" s="2">
        <v>0.245</v>
      </c>
      <c r="P1824" s="2">
        <v>0.76</v>
      </c>
      <c r="Q1824" s="2">
        <v>-0.30299999999999999</v>
      </c>
      <c r="R1824" s="11">
        <v>90739881</v>
      </c>
      <c r="S1824" s="11">
        <v>589985</v>
      </c>
      <c r="T1824">
        <v>2016</v>
      </c>
      <c r="U1824">
        <v>3</v>
      </c>
      <c r="V1824">
        <f t="shared" si="168"/>
        <v>600000</v>
      </c>
      <c r="W1824">
        <f t="shared" si="169"/>
        <v>18429897</v>
      </c>
      <c r="X1824">
        <f t="shared" si="170"/>
        <v>17829897</v>
      </c>
      <c r="Y1824">
        <f t="shared" si="171"/>
        <v>-26144845.5</v>
      </c>
      <c r="Z1824">
        <f t="shared" si="172"/>
        <v>45174742.5</v>
      </c>
      <c r="AA1824" t="str">
        <f t="shared" si="173"/>
        <v>Normal</v>
      </c>
      <c r="AE1824" s="2"/>
      <c r="AF1824" s="2"/>
    </row>
    <row r="1825" spans="1:32" x14ac:dyDescent="0.35">
      <c r="A1825">
        <v>1824</v>
      </c>
      <c r="B1825" s="1">
        <v>42431</v>
      </c>
      <c r="C1825" s="9" t="s">
        <v>3092</v>
      </c>
      <c r="D1825" s="9" t="s">
        <v>4988</v>
      </c>
      <c r="E1825" s="9" t="s">
        <v>7183</v>
      </c>
      <c r="F1825" s="9" t="s">
        <v>63</v>
      </c>
      <c r="G1825" s="9" t="s">
        <v>1106</v>
      </c>
      <c r="H1825" s="9" t="s">
        <v>105</v>
      </c>
      <c r="I1825" s="11">
        <v>600000</v>
      </c>
      <c r="J1825" s="11">
        <v>3867917</v>
      </c>
      <c r="K1825" s="11">
        <v>10021559</v>
      </c>
      <c r="L1825" s="3">
        <v>383</v>
      </c>
      <c r="M1825" s="3">
        <v>2710</v>
      </c>
      <c r="N1825" s="3">
        <v>463657</v>
      </c>
      <c r="O1825" s="2">
        <v>6.4000000000000001E-2</v>
      </c>
      <c r="P1825" s="2">
        <v>0.86099999999999999</v>
      </c>
      <c r="Q1825" s="2">
        <v>-7.0999999999999994E-2</v>
      </c>
      <c r="R1825" s="11">
        <v>147269865</v>
      </c>
      <c r="S1825" s="11">
        <v>988193</v>
      </c>
      <c r="T1825">
        <v>2016</v>
      </c>
      <c r="U1825">
        <v>3</v>
      </c>
      <c r="V1825">
        <f t="shared" si="168"/>
        <v>600000</v>
      </c>
      <c r="W1825">
        <f t="shared" si="169"/>
        <v>18429897</v>
      </c>
      <c r="X1825">
        <f t="shared" si="170"/>
        <v>17829897</v>
      </c>
      <c r="Y1825">
        <f t="shared" si="171"/>
        <v>-26144845.5</v>
      </c>
      <c r="Z1825">
        <f t="shared" si="172"/>
        <v>45174742.5</v>
      </c>
      <c r="AA1825" t="str">
        <f t="shared" si="173"/>
        <v>Normal</v>
      </c>
      <c r="AE1825" s="2"/>
      <c r="AF1825" s="2"/>
    </row>
    <row r="1826" spans="1:32" x14ac:dyDescent="0.35">
      <c r="A1826">
        <v>1825</v>
      </c>
      <c r="B1826" s="1">
        <v>42431</v>
      </c>
      <c r="C1826" s="9" t="s">
        <v>3093</v>
      </c>
      <c r="D1826" s="9" t="s">
        <v>4988</v>
      </c>
      <c r="E1826" s="9" t="s">
        <v>7184</v>
      </c>
      <c r="F1826" s="9" t="s">
        <v>3094</v>
      </c>
      <c r="G1826" s="9" t="s">
        <v>4859</v>
      </c>
      <c r="H1826" s="9" t="s">
        <v>86</v>
      </c>
      <c r="I1826" s="11">
        <v>18429897</v>
      </c>
      <c r="J1826" s="11">
        <v>4510176</v>
      </c>
      <c r="K1826" s="11">
        <v>9743877</v>
      </c>
      <c r="L1826" s="3">
        <v>474</v>
      </c>
      <c r="M1826" s="3">
        <v>4799</v>
      </c>
      <c r="N1826" s="3">
        <v>844859</v>
      </c>
      <c r="O1826" s="2">
        <v>0.10100000000000001</v>
      </c>
      <c r="P1826" s="2">
        <v>0.34899999999999998</v>
      </c>
      <c r="Q1826" s="2">
        <v>0.247</v>
      </c>
      <c r="R1826" s="11">
        <v>35834763</v>
      </c>
      <c r="S1826" s="11">
        <v>455933</v>
      </c>
      <c r="T1826">
        <v>2016</v>
      </c>
      <c r="U1826">
        <v>3</v>
      </c>
      <c r="V1826">
        <f t="shared" si="168"/>
        <v>600000</v>
      </c>
      <c r="W1826">
        <f t="shared" si="169"/>
        <v>18429897</v>
      </c>
      <c r="X1826">
        <f t="shared" si="170"/>
        <v>17829897</v>
      </c>
      <c r="Y1826">
        <f t="shared" si="171"/>
        <v>-26144845.5</v>
      </c>
      <c r="Z1826">
        <f t="shared" si="172"/>
        <v>45174742.5</v>
      </c>
      <c r="AA1826" t="str">
        <f t="shared" si="173"/>
        <v>Normal</v>
      </c>
      <c r="AE1826" s="2"/>
      <c r="AF1826" s="2"/>
    </row>
    <row r="1827" spans="1:32" x14ac:dyDescent="0.35">
      <c r="A1827">
        <v>1826</v>
      </c>
      <c r="B1827" s="1">
        <v>42431</v>
      </c>
      <c r="C1827" s="9" t="s">
        <v>3095</v>
      </c>
      <c r="D1827" s="9" t="s">
        <v>4930</v>
      </c>
      <c r="E1827" s="9" t="s">
        <v>7185</v>
      </c>
      <c r="F1827" s="9" t="s">
        <v>15</v>
      </c>
      <c r="G1827" s="9" t="s">
        <v>3096</v>
      </c>
      <c r="H1827" s="9" t="s">
        <v>105</v>
      </c>
      <c r="I1827" s="11">
        <v>1400000</v>
      </c>
      <c r="J1827" s="11">
        <v>544018</v>
      </c>
      <c r="K1827" s="11">
        <v>8632115</v>
      </c>
      <c r="L1827" s="3">
        <v>61</v>
      </c>
      <c r="M1827" s="3">
        <v>943</v>
      </c>
      <c r="N1827" s="3">
        <v>916858</v>
      </c>
      <c r="O1827" s="2">
        <v>-0.214</v>
      </c>
      <c r="P1827" s="2">
        <v>0.50800000000000001</v>
      </c>
      <c r="Q1827" s="2">
        <v>0.30399999999999999</v>
      </c>
      <c r="R1827" s="11">
        <v>167171884</v>
      </c>
      <c r="S1827" s="11">
        <v>232689</v>
      </c>
      <c r="T1827">
        <v>2016</v>
      </c>
      <c r="U1827">
        <v>3</v>
      </c>
      <c r="V1827">
        <f t="shared" si="168"/>
        <v>600000</v>
      </c>
      <c r="W1827">
        <f t="shared" si="169"/>
        <v>18429897</v>
      </c>
      <c r="X1827">
        <f t="shared" si="170"/>
        <v>17829897</v>
      </c>
      <c r="Y1827">
        <f t="shared" si="171"/>
        <v>-26144845.5</v>
      </c>
      <c r="Z1827">
        <f t="shared" si="172"/>
        <v>45174742.5</v>
      </c>
      <c r="AA1827" t="str">
        <f t="shared" si="173"/>
        <v>Normal</v>
      </c>
      <c r="AE1827" s="2"/>
      <c r="AF1827" s="2"/>
    </row>
    <row r="1828" spans="1:32" x14ac:dyDescent="0.35">
      <c r="A1828">
        <v>1827</v>
      </c>
      <c r="B1828" s="1">
        <v>42432</v>
      </c>
      <c r="C1828" s="9" t="s">
        <v>3097</v>
      </c>
      <c r="D1828" s="9" t="s">
        <v>4930</v>
      </c>
      <c r="E1828" s="9" t="s">
        <v>7186</v>
      </c>
      <c r="F1828" s="9" t="s">
        <v>31</v>
      </c>
      <c r="G1828" s="9" t="s">
        <v>3098</v>
      </c>
      <c r="H1828" s="9" t="s">
        <v>86</v>
      </c>
      <c r="I1828" s="11">
        <v>18429897</v>
      </c>
      <c r="J1828" s="11">
        <v>4923151</v>
      </c>
      <c r="K1828" s="11">
        <v>7520547</v>
      </c>
      <c r="L1828" s="3">
        <v>349</v>
      </c>
      <c r="M1828" s="3">
        <v>1303</v>
      </c>
      <c r="N1828" s="3">
        <v>402349</v>
      </c>
      <c r="O1828" s="2">
        <v>3.3000000000000002E-2</v>
      </c>
      <c r="P1828" s="2">
        <v>0.22699999999999998</v>
      </c>
      <c r="Q1828" s="2">
        <v>0.114</v>
      </c>
      <c r="R1828" s="11">
        <v>381287784</v>
      </c>
      <c r="S1828" s="11">
        <v>1008193.5</v>
      </c>
      <c r="T1828">
        <v>2016</v>
      </c>
      <c r="U1828">
        <v>3</v>
      </c>
      <c r="V1828">
        <f t="shared" si="168"/>
        <v>600000</v>
      </c>
      <c r="W1828">
        <f t="shared" si="169"/>
        <v>18429897</v>
      </c>
      <c r="X1828">
        <f t="shared" si="170"/>
        <v>17829897</v>
      </c>
      <c r="Y1828">
        <f t="shared" si="171"/>
        <v>-26144845.5</v>
      </c>
      <c r="Z1828">
        <f t="shared" si="172"/>
        <v>45174742.5</v>
      </c>
      <c r="AA1828" t="str">
        <f t="shared" si="173"/>
        <v>Normal</v>
      </c>
      <c r="AE1828" s="2"/>
      <c r="AF1828" s="2"/>
    </row>
    <row r="1829" spans="1:32" x14ac:dyDescent="0.35">
      <c r="A1829">
        <v>1828</v>
      </c>
      <c r="B1829" s="1">
        <v>42432</v>
      </c>
      <c r="C1829" s="9" t="s">
        <v>3099</v>
      </c>
      <c r="D1829" s="9" t="s">
        <v>4938</v>
      </c>
      <c r="E1829" s="9" t="s">
        <v>7187</v>
      </c>
      <c r="F1829" s="9" t="s">
        <v>31</v>
      </c>
      <c r="G1829" s="9" t="s">
        <v>3100</v>
      </c>
      <c r="H1829" s="9" t="s">
        <v>105</v>
      </c>
      <c r="I1829" s="11">
        <v>1000000</v>
      </c>
      <c r="J1829" s="11">
        <v>3077534</v>
      </c>
      <c r="K1829" s="11">
        <v>7663051</v>
      </c>
      <c r="L1829" s="3">
        <v>462</v>
      </c>
      <c r="M1829" s="3">
        <v>2749</v>
      </c>
      <c r="N1829" s="3">
        <v>766292</v>
      </c>
      <c r="O1829" s="2">
        <v>0.6</v>
      </c>
      <c r="P1829" s="2">
        <v>0.50800000000000001</v>
      </c>
      <c r="Q1829" s="2">
        <v>5.2999999999999999E-2</v>
      </c>
      <c r="R1829" s="11">
        <v>348998461</v>
      </c>
      <c r="S1829" s="11">
        <v>1945705</v>
      </c>
      <c r="T1829">
        <v>2016</v>
      </c>
      <c r="U1829">
        <v>3</v>
      </c>
      <c r="V1829">
        <f t="shared" si="168"/>
        <v>600000</v>
      </c>
      <c r="W1829">
        <f t="shared" si="169"/>
        <v>18429897</v>
      </c>
      <c r="X1829">
        <f t="shared" si="170"/>
        <v>17829897</v>
      </c>
      <c r="Y1829">
        <f t="shared" si="171"/>
        <v>-26144845.5</v>
      </c>
      <c r="Z1829">
        <f t="shared" si="172"/>
        <v>45174742.5</v>
      </c>
      <c r="AA1829" t="str">
        <f t="shared" si="173"/>
        <v>Normal</v>
      </c>
      <c r="AE1829" s="2"/>
      <c r="AF1829" s="2"/>
    </row>
    <row r="1830" spans="1:32" x14ac:dyDescent="0.35">
      <c r="A1830">
        <v>1829</v>
      </c>
      <c r="B1830" s="1">
        <v>42432</v>
      </c>
      <c r="C1830" s="9" t="s">
        <v>3101</v>
      </c>
      <c r="D1830" s="9" t="s">
        <v>4988</v>
      </c>
      <c r="E1830" s="9" t="s">
        <v>7188</v>
      </c>
      <c r="F1830" s="9" t="s">
        <v>27</v>
      </c>
      <c r="G1830" s="9" t="s">
        <v>1953</v>
      </c>
      <c r="H1830" s="9" t="s">
        <v>86</v>
      </c>
      <c r="I1830" s="11">
        <v>500000</v>
      </c>
      <c r="J1830" s="11">
        <v>4912186</v>
      </c>
      <c r="K1830" s="11">
        <v>11117769</v>
      </c>
      <c r="L1830" s="3">
        <v>268</v>
      </c>
      <c r="M1830" s="3">
        <v>572</v>
      </c>
      <c r="N1830" s="3">
        <v>996273</v>
      </c>
      <c r="O1830" s="2">
        <v>0.20399999999999999</v>
      </c>
      <c r="P1830" s="2">
        <v>0.76300000000000001</v>
      </c>
      <c r="Q1830" s="2">
        <v>0.51300000000000001</v>
      </c>
      <c r="R1830" s="11">
        <v>309723708</v>
      </c>
      <c r="S1830" s="11">
        <v>997229</v>
      </c>
      <c r="T1830">
        <v>2016</v>
      </c>
      <c r="U1830">
        <v>3</v>
      </c>
      <c r="V1830">
        <f t="shared" si="168"/>
        <v>600000</v>
      </c>
      <c r="W1830">
        <f t="shared" si="169"/>
        <v>18429897</v>
      </c>
      <c r="X1830">
        <f t="shared" si="170"/>
        <v>17829897</v>
      </c>
      <c r="Y1830">
        <f t="shared" si="171"/>
        <v>-26144845.5</v>
      </c>
      <c r="Z1830">
        <f t="shared" si="172"/>
        <v>45174742.5</v>
      </c>
      <c r="AA1830" t="str">
        <f t="shared" si="173"/>
        <v>Normal</v>
      </c>
      <c r="AE1830" s="2"/>
      <c r="AF1830" s="2"/>
    </row>
    <row r="1831" spans="1:32" x14ac:dyDescent="0.35">
      <c r="A1831">
        <v>1830</v>
      </c>
      <c r="B1831" s="1">
        <v>42433</v>
      </c>
      <c r="C1831" s="9" t="s">
        <v>1924</v>
      </c>
      <c r="D1831" s="9" t="s">
        <v>4988</v>
      </c>
      <c r="E1831" s="9" t="s">
        <v>7189</v>
      </c>
      <c r="F1831" s="9" t="s">
        <v>15</v>
      </c>
      <c r="G1831" s="9" t="s">
        <v>3102</v>
      </c>
      <c r="H1831" s="9" t="s">
        <v>105</v>
      </c>
      <c r="I1831" s="11">
        <v>18429897</v>
      </c>
      <c r="J1831" s="11">
        <v>1787114</v>
      </c>
      <c r="K1831" s="11">
        <v>17921360</v>
      </c>
      <c r="L1831" s="3">
        <v>254</v>
      </c>
      <c r="M1831" s="3">
        <v>2622</v>
      </c>
      <c r="N1831" s="3">
        <v>1399042</v>
      </c>
      <c r="O1831" s="2">
        <v>6.6000000000000003E-2</v>
      </c>
      <c r="P1831" s="2">
        <v>0.50800000000000001</v>
      </c>
      <c r="Q1831" s="2">
        <v>0.153</v>
      </c>
      <c r="R1831" s="11">
        <v>443243738</v>
      </c>
      <c r="S1831" s="11">
        <v>1816756</v>
      </c>
      <c r="T1831">
        <v>2016</v>
      </c>
      <c r="U1831">
        <v>3</v>
      </c>
      <c r="V1831">
        <f t="shared" si="168"/>
        <v>600000</v>
      </c>
      <c r="W1831">
        <f t="shared" si="169"/>
        <v>18429897</v>
      </c>
      <c r="X1831">
        <f t="shared" si="170"/>
        <v>17829897</v>
      </c>
      <c r="Y1831">
        <f t="shared" si="171"/>
        <v>-26144845.5</v>
      </c>
      <c r="Z1831">
        <f t="shared" si="172"/>
        <v>45174742.5</v>
      </c>
      <c r="AA1831" t="str">
        <f t="shared" si="173"/>
        <v>Normal</v>
      </c>
      <c r="AE1831" s="2"/>
      <c r="AF1831" s="2"/>
    </row>
    <row r="1832" spans="1:32" x14ac:dyDescent="0.35">
      <c r="A1832">
        <v>1831</v>
      </c>
      <c r="B1832" s="1">
        <v>42433</v>
      </c>
      <c r="C1832" s="9" t="s">
        <v>3103</v>
      </c>
      <c r="D1832" s="9" t="s">
        <v>4925</v>
      </c>
      <c r="E1832" s="9" t="s">
        <v>7190</v>
      </c>
      <c r="F1832" s="9" t="s">
        <v>35</v>
      </c>
      <c r="G1832" s="9" t="s">
        <v>3104</v>
      </c>
      <c r="H1832" s="9" t="s">
        <v>105</v>
      </c>
      <c r="I1832" s="11">
        <v>1000000</v>
      </c>
      <c r="J1832" s="11">
        <v>4765935</v>
      </c>
      <c r="K1832" s="11">
        <v>19629806</v>
      </c>
      <c r="L1832" s="3">
        <v>303</v>
      </c>
      <c r="M1832" s="3">
        <v>828</v>
      </c>
      <c r="N1832" s="3">
        <v>991387</v>
      </c>
      <c r="O1832" s="2">
        <v>-0.41</v>
      </c>
      <c r="P1832" s="2">
        <v>0.43200000000000005</v>
      </c>
      <c r="Q1832" s="2">
        <v>-0.16399999999999998</v>
      </c>
      <c r="R1832" s="11">
        <v>299068005</v>
      </c>
      <c r="S1832" s="11">
        <v>1365354</v>
      </c>
      <c r="T1832">
        <v>2016</v>
      </c>
      <c r="U1832">
        <v>3</v>
      </c>
      <c r="V1832">
        <f t="shared" si="168"/>
        <v>600000</v>
      </c>
      <c r="W1832">
        <f t="shared" si="169"/>
        <v>18429897</v>
      </c>
      <c r="X1832">
        <f t="shared" si="170"/>
        <v>17829897</v>
      </c>
      <c r="Y1832">
        <f t="shared" si="171"/>
        <v>-26144845.5</v>
      </c>
      <c r="Z1832">
        <f t="shared" si="172"/>
        <v>45174742.5</v>
      </c>
      <c r="AA1832" t="str">
        <f t="shared" si="173"/>
        <v>Normal</v>
      </c>
      <c r="AE1832" s="2"/>
      <c r="AF1832" s="2"/>
    </row>
    <row r="1833" spans="1:32" x14ac:dyDescent="0.35">
      <c r="A1833">
        <v>1832</v>
      </c>
      <c r="B1833" s="1">
        <v>42433</v>
      </c>
      <c r="C1833" s="9" t="s">
        <v>2949</v>
      </c>
      <c r="D1833" s="9" t="s">
        <v>4930</v>
      </c>
      <c r="E1833" s="9" t="s">
        <v>7191</v>
      </c>
      <c r="F1833" s="9" t="s">
        <v>41</v>
      </c>
      <c r="G1833" s="9" t="s">
        <v>3105</v>
      </c>
      <c r="H1833" s="9" t="s">
        <v>86</v>
      </c>
      <c r="I1833" s="11">
        <v>18429897</v>
      </c>
      <c r="J1833" s="11">
        <v>2951256</v>
      </c>
      <c r="K1833" s="11">
        <v>17330839</v>
      </c>
      <c r="L1833" s="3">
        <v>8</v>
      </c>
      <c r="M1833" s="3">
        <v>4327</v>
      </c>
      <c r="N1833" s="3">
        <v>206973</v>
      </c>
      <c r="O1833" s="2">
        <v>3.7000000000000005E-2</v>
      </c>
      <c r="P1833" s="2">
        <v>0.65300000000000002</v>
      </c>
      <c r="Q1833" s="2">
        <v>0.13</v>
      </c>
      <c r="R1833" s="11">
        <v>265307910</v>
      </c>
      <c r="S1833" s="11">
        <v>1583625</v>
      </c>
      <c r="T1833">
        <v>2016</v>
      </c>
      <c r="U1833">
        <v>3</v>
      </c>
      <c r="V1833">
        <f t="shared" si="168"/>
        <v>600000</v>
      </c>
      <c r="W1833">
        <f t="shared" si="169"/>
        <v>18429897</v>
      </c>
      <c r="X1833">
        <f t="shared" si="170"/>
        <v>17829897</v>
      </c>
      <c r="Y1833">
        <f t="shared" si="171"/>
        <v>-26144845.5</v>
      </c>
      <c r="Z1833">
        <f t="shared" si="172"/>
        <v>45174742.5</v>
      </c>
      <c r="AA1833" t="str">
        <f t="shared" si="173"/>
        <v>Normal</v>
      </c>
      <c r="AE1833" s="2"/>
      <c r="AF1833" s="2"/>
    </row>
    <row r="1834" spans="1:32" x14ac:dyDescent="0.35">
      <c r="A1834">
        <v>1833</v>
      </c>
      <c r="B1834" s="1">
        <v>42433</v>
      </c>
      <c r="C1834" s="9" t="s">
        <v>1370</v>
      </c>
      <c r="D1834" s="9" t="s">
        <v>4988</v>
      </c>
      <c r="E1834" s="9" t="s">
        <v>6274</v>
      </c>
      <c r="F1834" s="9" t="s">
        <v>554</v>
      </c>
      <c r="G1834" s="9" t="s">
        <v>1973</v>
      </c>
      <c r="H1834" s="9" t="s">
        <v>86</v>
      </c>
      <c r="I1834" s="11">
        <v>150000</v>
      </c>
      <c r="J1834" s="11">
        <v>377674</v>
      </c>
      <c r="K1834" s="11">
        <v>2480646</v>
      </c>
      <c r="L1834" s="3">
        <v>217</v>
      </c>
      <c r="M1834" s="3">
        <v>3880</v>
      </c>
      <c r="N1834" s="3">
        <v>932130</v>
      </c>
      <c r="O1834" s="2">
        <v>1.6E-2</v>
      </c>
      <c r="P1834" s="2">
        <v>0.30399999999999999</v>
      </c>
      <c r="Q1834" s="2">
        <v>6.6000000000000003E-2</v>
      </c>
      <c r="R1834" s="11">
        <v>139932284</v>
      </c>
      <c r="S1834" s="11">
        <v>251921</v>
      </c>
      <c r="T1834">
        <v>2016</v>
      </c>
      <c r="U1834">
        <v>3</v>
      </c>
      <c r="V1834">
        <f t="shared" si="168"/>
        <v>600000</v>
      </c>
      <c r="W1834">
        <f t="shared" si="169"/>
        <v>18429897</v>
      </c>
      <c r="X1834">
        <f t="shared" si="170"/>
        <v>17829897</v>
      </c>
      <c r="Y1834">
        <f t="shared" si="171"/>
        <v>-26144845.5</v>
      </c>
      <c r="Z1834">
        <f t="shared" si="172"/>
        <v>45174742.5</v>
      </c>
      <c r="AA1834" t="str">
        <f t="shared" si="173"/>
        <v>Normal</v>
      </c>
      <c r="AE1834" s="2"/>
      <c r="AF1834" s="2"/>
    </row>
    <row r="1835" spans="1:32" x14ac:dyDescent="0.35">
      <c r="A1835">
        <v>1834</v>
      </c>
      <c r="B1835" s="1">
        <v>42433</v>
      </c>
      <c r="C1835" s="9" t="s">
        <v>3106</v>
      </c>
      <c r="D1835" s="9" t="s">
        <v>4988</v>
      </c>
      <c r="E1835" s="9" t="s">
        <v>7192</v>
      </c>
      <c r="F1835" s="9" t="s">
        <v>27</v>
      </c>
      <c r="G1835" s="9" t="s">
        <v>3107</v>
      </c>
      <c r="H1835" s="9" t="s">
        <v>86</v>
      </c>
      <c r="I1835" s="11">
        <v>18429897</v>
      </c>
      <c r="J1835" s="11">
        <v>2062419</v>
      </c>
      <c r="K1835" s="11">
        <v>6204718</v>
      </c>
      <c r="L1835" s="3">
        <v>134</v>
      </c>
      <c r="M1835" s="3">
        <v>290</v>
      </c>
      <c r="N1835" s="3">
        <v>1696989</v>
      </c>
      <c r="O1835" s="2">
        <v>-8.8999999999999996E-2</v>
      </c>
      <c r="P1835" s="2">
        <v>1.0529999999999999E-2</v>
      </c>
      <c r="Q1835" s="2">
        <v>-1</v>
      </c>
      <c r="R1835" s="11">
        <v>242686183</v>
      </c>
      <c r="S1835" s="11">
        <v>1567605</v>
      </c>
      <c r="T1835">
        <v>2016</v>
      </c>
      <c r="U1835">
        <v>3</v>
      </c>
      <c r="V1835">
        <f t="shared" si="168"/>
        <v>600000</v>
      </c>
      <c r="W1835">
        <f t="shared" si="169"/>
        <v>18429897</v>
      </c>
      <c r="X1835">
        <f t="shared" si="170"/>
        <v>17829897</v>
      </c>
      <c r="Y1835">
        <f t="shared" si="171"/>
        <v>-26144845.5</v>
      </c>
      <c r="Z1835">
        <f t="shared" si="172"/>
        <v>45174742.5</v>
      </c>
      <c r="AA1835" t="str">
        <f t="shared" si="173"/>
        <v>Normal</v>
      </c>
      <c r="AE1835" s="2"/>
      <c r="AF1835" s="2"/>
    </row>
    <row r="1836" spans="1:32" x14ac:dyDescent="0.35">
      <c r="A1836">
        <v>1835</v>
      </c>
      <c r="B1836" s="1">
        <v>42433</v>
      </c>
      <c r="C1836" s="9" t="s">
        <v>3108</v>
      </c>
      <c r="D1836" s="9" t="s">
        <v>4988</v>
      </c>
      <c r="E1836" s="9" t="s">
        <v>7193</v>
      </c>
      <c r="F1836" s="9" t="s">
        <v>19</v>
      </c>
      <c r="G1836" s="9" t="s">
        <v>3109</v>
      </c>
      <c r="H1836" s="9" t="s">
        <v>86</v>
      </c>
      <c r="I1836" s="11">
        <v>100000</v>
      </c>
      <c r="J1836" s="11">
        <v>706211</v>
      </c>
      <c r="K1836" s="11">
        <v>15163282</v>
      </c>
      <c r="L1836" s="3">
        <v>46</v>
      </c>
      <c r="M1836" s="3">
        <v>2711</v>
      </c>
      <c r="N1836" s="3">
        <v>40770</v>
      </c>
      <c r="O1836" s="2">
        <v>0.32100000000000001</v>
      </c>
      <c r="P1836" s="2">
        <v>1.032</v>
      </c>
      <c r="Q1836" s="2">
        <v>-0.32</v>
      </c>
      <c r="R1836" s="11">
        <v>102573302</v>
      </c>
      <c r="S1836" s="11">
        <v>887941</v>
      </c>
      <c r="T1836">
        <v>2016</v>
      </c>
      <c r="U1836">
        <v>3</v>
      </c>
      <c r="V1836">
        <f t="shared" si="168"/>
        <v>600000</v>
      </c>
      <c r="W1836">
        <f t="shared" si="169"/>
        <v>18429897</v>
      </c>
      <c r="X1836">
        <f t="shared" si="170"/>
        <v>17829897</v>
      </c>
      <c r="Y1836">
        <f t="shared" si="171"/>
        <v>-26144845.5</v>
      </c>
      <c r="Z1836">
        <f t="shared" si="172"/>
        <v>45174742.5</v>
      </c>
      <c r="AA1836" t="str">
        <f t="shared" si="173"/>
        <v>Normal</v>
      </c>
      <c r="AE1836" s="2"/>
      <c r="AF1836" s="2"/>
    </row>
    <row r="1837" spans="1:32" x14ac:dyDescent="0.35">
      <c r="A1837">
        <v>1836</v>
      </c>
      <c r="B1837" s="1">
        <v>42433</v>
      </c>
      <c r="C1837" s="9" t="s">
        <v>3110</v>
      </c>
      <c r="D1837" s="9" t="s">
        <v>4925</v>
      </c>
      <c r="E1837" s="9" t="s">
        <v>7194</v>
      </c>
      <c r="F1837" s="9" t="s">
        <v>31</v>
      </c>
      <c r="G1837" s="9" t="s">
        <v>3111</v>
      </c>
      <c r="H1837" s="9" t="s">
        <v>86</v>
      </c>
      <c r="I1837" s="11">
        <v>18429897</v>
      </c>
      <c r="J1837" s="11">
        <v>4707572</v>
      </c>
      <c r="K1837" s="11">
        <v>10956033</v>
      </c>
      <c r="L1837" s="3">
        <v>299</v>
      </c>
      <c r="M1837" s="3">
        <v>1089</v>
      </c>
      <c r="N1837" s="3">
        <v>1996271</v>
      </c>
      <c r="O1837" s="2">
        <v>-0.218</v>
      </c>
      <c r="P1837" s="2">
        <v>0.79599999999999993</v>
      </c>
      <c r="Q1837" s="2">
        <v>9.8000000000000004E-2</v>
      </c>
      <c r="R1837" s="11">
        <v>227701478</v>
      </c>
      <c r="S1837" s="11">
        <v>1623380</v>
      </c>
      <c r="T1837">
        <v>2016</v>
      </c>
      <c r="U1837">
        <v>3</v>
      </c>
      <c r="V1837">
        <f t="shared" si="168"/>
        <v>600000</v>
      </c>
      <c r="W1837">
        <f t="shared" si="169"/>
        <v>18429897</v>
      </c>
      <c r="X1837">
        <f t="shared" si="170"/>
        <v>17829897</v>
      </c>
      <c r="Y1837">
        <f t="shared" si="171"/>
        <v>-26144845.5</v>
      </c>
      <c r="Z1837">
        <f t="shared" si="172"/>
        <v>45174742.5</v>
      </c>
      <c r="AA1837" t="str">
        <f t="shared" si="173"/>
        <v>Normal</v>
      </c>
      <c r="AE1837" s="2"/>
      <c r="AF1837" s="2"/>
    </row>
    <row r="1838" spans="1:32" x14ac:dyDescent="0.35">
      <c r="A1838">
        <v>1837</v>
      </c>
      <c r="B1838" s="1">
        <v>42433</v>
      </c>
      <c r="C1838" s="9" t="s">
        <v>3112</v>
      </c>
      <c r="D1838" s="9" t="s">
        <v>2539</v>
      </c>
      <c r="E1838" s="9" t="s">
        <v>7195</v>
      </c>
      <c r="F1838" s="9" t="s">
        <v>19</v>
      </c>
      <c r="G1838" s="9" t="s">
        <v>3113</v>
      </c>
      <c r="H1838" s="9" t="s">
        <v>105</v>
      </c>
      <c r="I1838" s="11">
        <v>4000000</v>
      </c>
      <c r="J1838" s="11">
        <v>1536243</v>
      </c>
      <c r="K1838" s="11">
        <v>6753084</v>
      </c>
      <c r="L1838" s="3">
        <v>464</v>
      </c>
      <c r="M1838" s="3">
        <v>2505.5</v>
      </c>
      <c r="N1838" s="3">
        <v>256841</v>
      </c>
      <c r="O1838" s="2">
        <v>0.17899999999999999</v>
      </c>
      <c r="P1838" s="2">
        <v>1.1020000000000001</v>
      </c>
      <c r="Q1838" s="2">
        <v>0.246</v>
      </c>
      <c r="R1838" s="11">
        <v>138532379</v>
      </c>
      <c r="S1838" s="11">
        <v>99135</v>
      </c>
      <c r="T1838">
        <v>2016</v>
      </c>
      <c r="U1838">
        <v>3</v>
      </c>
      <c r="V1838">
        <f t="shared" si="168"/>
        <v>600000</v>
      </c>
      <c r="W1838">
        <f t="shared" si="169"/>
        <v>18429897</v>
      </c>
      <c r="X1838">
        <f t="shared" si="170"/>
        <v>17829897</v>
      </c>
      <c r="Y1838">
        <f t="shared" si="171"/>
        <v>-26144845.5</v>
      </c>
      <c r="Z1838">
        <f t="shared" si="172"/>
        <v>45174742.5</v>
      </c>
      <c r="AA1838" t="str">
        <f t="shared" si="173"/>
        <v>Normal</v>
      </c>
      <c r="AE1838" s="2"/>
      <c r="AF1838" s="2"/>
    </row>
    <row r="1839" spans="1:32" x14ac:dyDescent="0.35">
      <c r="A1839">
        <v>1838</v>
      </c>
      <c r="B1839" s="1">
        <v>42436</v>
      </c>
      <c r="C1839" s="9" t="s">
        <v>3114</v>
      </c>
      <c r="D1839" s="9" t="s">
        <v>4988</v>
      </c>
      <c r="E1839" s="9" t="s">
        <v>7196</v>
      </c>
      <c r="F1839" s="9" t="s">
        <v>63</v>
      </c>
      <c r="G1839" s="9" t="s">
        <v>3115</v>
      </c>
      <c r="H1839" s="9" t="s">
        <v>86</v>
      </c>
      <c r="I1839" s="11">
        <v>500000</v>
      </c>
      <c r="J1839" s="11">
        <v>1127358</v>
      </c>
      <c r="K1839" s="11">
        <v>6292685</v>
      </c>
      <c r="L1839" s="3">
        <v>31</v>
      </c>
      <c r="M1839" s="3">
        <v>2746</v>
      </c>
      <c r="N1839" s="3">
        <v>18321</v>
      </c>
      <c r="O1839" s="2">
        <v>1.9E-2</v>
      </c>
      <c r="P1839" s="2">
        <v>0.81299999999999994</v>
      </c>
      <c r="Q1839" s="2">
        <v>0.28799999999999998</v>
      </c>
      <c r="R1839" s="11">
        <v>123809146</v>
      </c>
      <c r="S1839" s="11">
        <v>568233</v>
      </c>
      <c r="T1839">
        <v>2016</v>
      </c>
      <c r="U1839">
        <v>3</v>
      </c>
      <c r="V1839">
        <f t="shared" si="168"/>
        <v>600000</v>
      </c>
      <c r="W1839">
        <f t="shared" si="169"/>
        <v>18429897</v>
      </c>
      <c r="X1839">
        <f t="shared" si="170"/>
        <v>17829897</v>
      </c>
      <c r="Y1839">
        <f t="shared" si="171"/>
        <v>-26144845.5</v>
      </c>
      <c r="Z1839">
        <f t="shared" si="172"/>
        <v>45174742.5</v>
      </c>
      <c r="AA1839" t="str">
        <f t="shared" si="173"/>
        <v>Normal</v>
      </c>
      <c r="AE1839" s="2"/>
      <c r="AF1839" s="2"/>
    </row>
    <row r="1840" spans="1:32" x14ac:dyDescent="0.35">
      <c r="A1840">
        <v>1839</v>
      </c>
      <c r="B1840" s="1">
        <v>42436</v>
      </c>
      <c r="C1840" s="9" t="s">
        <v>81</v>
      </c>
      <c r="D1840" s="9" t="s">
        <v>4925</v>
      </c>
      <c r="E1840" s="9" t="s">
        <v>7197</v>
      </c>
      <c r="F1840" s="9" t="s">
        <v>15</v>
      </c>
      <c r="G1840" s="9" t="s">
        <v>3116</v>
      </c>
      <c r="H1840" s="9" t="s">
        <v>105</v>
      </c>
      <c r="I1840" s="11">
        <v>3000000</v>
      </c>
      <c r="J1840" s="11">
        <v>2773433</v>
      </c>
      <c r="K1840" s="11">
        <v>2429280</v>
      </c>
      <c r="L1840" s="3">
        <v>167</v>
      </c>
      <c r="M1840" s="3">
        <v>4840</v>
      </c>
      <c r="N1840" s="3">
        <v>282103</v>
      </c>
      <c r="O1840" s="2">
        <v>-0.02</v>
      </c>
      <c r="P1840" s="2">
        <v>0.69099999999999995</v>
      </c>
      <c r="Q1840" s="2">
        <v>0.10300000000000001</v>
      </c>
      <c r="R1840" s="11">
        <v>152933644</v>
      </c>
      <c r="S1840" s="11">
        <v>1603679</v>
      </c>
      <c r="T1840">
        <v>2016</v>
      </c>
      <c r="U1840">
        <v>3</v>
      </c>
      <c r="V1840">
        <f t="shared" si="168"/>
        <v>600000</v>
      </c>
      <c r="W1840">
        <f t="shared" si="169"/>
        <v>18429897</v>
      </c>
      <c r="X1840">
        <f t="shared" si="170"/>
        <v>17829897</v>
      </c>
      <c r="Y1840">
        <f t="shared" si="171"/>
        <v>-26144845.5</v>
      </c>
      <c r="Z1840">
        <f t="shared" si="172"/>
        <v>45174742.5</v>
      </c>
      <c r="AA1840" t="str">
        <f t="shared" si="173"/>
        <v>Normal</v>
      </c>
      <c r="AE1840" s="2"/>
      <c r="AF1840" s="2"/>
    </row>
    <row r="1841" spans="1:32" x14ac:dyDescent="0.35">
      <c r="A1841">
        <v>1840</v>
      </c>
      <c r="B1841" s="1">
        <v>42436</v>
      </c>
      <c r="C1841" s="9" t="s">
        <v>3117</v>
      </c>
      <c r="D1841" s="9" t="s">
        <v>4988</v>
      </c>
      <c r="E1841" s="9" t="s">
        <v>7198</v>
      </c>
      <c r="F1841" s="9" t="s">
        <v>15</v>
      </c>
      <c r="G1841" s="9" t="s">
        <v>3118</v>
      </c>
      <c r="H1841" s="9" t="s">
        <v>86</v>
      </c>
      <c r="I1841" s="11">
        <v>500000</v>
      </c>
      <c r="J1841" s="11">
        <v>2137304</v>
      </c>
      <c r="K1841" s="11">
        <v>6715126</v>
      </c>
      <c r="L1841" s="3">
        <v>336</v>
      </c>
      <c r="M1841" s="3">
        <v>929</v>
      </c>
      <c r="N1841" s="3">
        <v>500573</v>
      </c>
      <c r="O1841" s="2">
        <v>-7.5999999999999998E-2</v>
      </c>
      <c r="P1841" s="2">
        <v>0.50800000000000001</v>
      </c>
      <c r="Q1841" s="2">
        <v>0.109</v>
      </c>
      <c r="R1841" s="11">
        <v>49376162</v>
      </c>
      <c r="S1841" s="11">
        <v>140635</v>
      </c>
      <c r="T1841">
        <v>2016</v>
      </c>
      <c r="U1841">
        <v>3</v>
      </c>
      <c r="V1841">
        <f t="shared" si="168"/>
        <v>600000</v>
      </c>
      <c r="W1841">
        <f t="shared" si="169"/>
        <v>18429897</v>
      </c>
      <c r="X1841">
        <f t="shared" si="170"/>
        <v>17829897</v>
      </c>
      <c r="Y1841">
        <f t="shared" si="171"/>
        <v>-26144845.5</v>
      </c>
      <c r="Z1841">
        <f t="shared" si="172"/>
        <v>45174742.5</v>
      </c>
      <c r="AA1841" t="str">
        <f t="shared" si="173"/>
        <v>Normal</v>
      </c>
      <c r="AE1841" s="2"/>
      <c r="AF1841" s="2"/>
    </row>
    <row r="1842" spans="1:32" x14ac:dyDescent="0.35">
      <c r="A1842">
        <v>1841</v>
      </c>
      <c r="B1842" s="1">
        <v>42436</v>
      </c>
      <c r="C1842" s="9" t="s">
        <v>3119</v>
      </c>
      <c r="D1842" s="9" t="s">
        <v>4988</v>
      </c>
      <c r="E1842" s="9" t="s">
        <v>7199</v>
      </c>
      <c r="F1842" s="9" t="s">
        <v>27</v>
      </c>
      <c r="G1842" s="9" t="s">
        <v>3120</v>
      </c>
      <c r="H1842" s="9" t="s">
        <v>86</v>
      </c>
      <c r="I1842" s="11">
        <v>250000</v>
      </c>
      <c r="J1842" s="11">
        <v>502949</v>
      </c>
      <c r="K1842" s="11">
        <v>8496473</v>
      </c>
      <c r="L1842" s="3">
        <v>159</v>
      </c>
      <c r="M1842" s="3">
        <v>2548</v>
      </c>
      <c r="N1842" s="3">
        <v>703587</v>
      </c>
      <c r="O1842" s="2">
        <v>0.184</v>
      </c>
      <c r="P1842" s="2">
        <v>0.28499999999999998</v>
      </c>
      <c r="Q1842" s="2">
        <v>-0.04</v>
      </c>
      <c r="R1842" s="11">
        <v>302157519</v>
      </c>
      <c r="S1842" s="11">
        <v>1786800</v>
      </c>
      <c r="T1842">
        <v>2016</v>
      </c>
      <c r="U1842">
        <v>3</v>
      </c>
      <c r="V1842">
        <f t="shared" si="168"/>
        <v>600000</v>
      </c>
      <c r="W1842">
        <f t="shared" si="169"/>
        <v>18429897</v>
      </c>
      <c r="X1842">
        <f t="shared" si="170"/>
        <v>17829897</v>
      </c>
      <c r="Y1842">
        <f t="shared" si="171"/>
        <v>-26144845.5</v>
      </c>
      <c r="Z1842">
        <f t="shared" si="172"/>
        <v>45174742.5</v>
      </c>
      <c r="AA1842" t="str">
        <f t="shared" si="173"/>
        <v>Normal</v>
      </c>
      <c r="AE1842" s="2"/>
      <c r="AF1842" s="2"/>
    </row>
    <row r="1843" spans="1:32" x14ac:dyDescent="0.35">
      <c r="A1843">
        <v>1842</v>
      </c>
      <c r="B1843" s="1">
        <v>42436</v>
      </c>
      <c r="C1843" s="9" t="s">
        <v>1644</v>
      </c>
      <c r="D1843" s="9" t="s">
        <v>4925</v>
      </c>
      <c r="E1843" s="9" t="s">
        <v>7200</v>
      </c>
      <c r="F1843" s="9" t="s">
        <v>15</v>
      </c>
      <c r="G1843" s="9" t="s">
        <v>3121</v>
      </c>
      <c r="H1843" s="9" t="s">
        <v>86</v>
      </c>
      <c r="I1843" s="11">
        <v>18429897</v>
      </c>
      <c r="J1843" s="11">
        <v>4086140</v>
      </c>
      <c r="K1843" s="11">
        <v>8376921</v>
      </c>
      <c r="L1843" s="3">
        <v>62</v>
      </c>
      <c r="M1843" s="3">
        <v>4829</v>
      </c>
      <c r="N1843" s="3">
        <v>1659237</v>
      </c>
      <c r="O1843" s="2">
        <v>0.20600000000000002</v>
      </c>
      <c r="P1843" s="2">
        <v>0.41700000000000004</v>
      </c>
      <c r="Q1843" s="2">
        <v>0.34200000000000003</v>
      </c>
      <c r="R1843" s="11">
        <v>76041331</v>
      </c>
      <c r="S1843" s="11">
        <v>354732</v>
      </c>
      <c r="T1843">
        <v>2016</v>
      </c>
      <c r="U1843">
        <v>3</v>
      </c>
      <c r="V1843">
        <f t="shared" si="168"/>
        <v>600000</v>
      </c>
      <c r="W1843">
        <f t="shared" si="169"/>
        <v>18429897</v>
      </c>
      <c r="X1843">
        <f t="shared" si="170"/>
        <v>17829897</v>
      </c>
      <c r="Y1843">
        <f t="shared" si="171"/>
        <v>-26144845.5</v>
      </c>
      <c r="Z1843">
        <f t="shared" si="172"/>
        <v>45174742.5</v>
      </c>
      <c r="AA1843" t="str">
        <f t="shared" si="173"/>
        <v>Normal</v>
      </c>
      <c r="AE1843" s="2"/>
      <c r="AF1843" s="2"/>
    </row>
    <row r="1844" spans="1:32" x14ac:dyDescent="0.35">
      <c r="A1844">
        <v>1843</v>
      </c>
      <c r="B1844" s="1">
        <v>42436</v>
      </c>
      <c r="C1844" s="9" t="s">
        <v>3122</v>
      </c>
      <c r="D1844" s="9" t="s">
        <v>4988</v>
      </c>
      <c r="E1844" s="9" t="s">
        <v>7201</v>
      </c>
      <c r="F1844" s="9" t="s">
        <v>15</v>
      </c>
      <c r="G1844" s="9" t="s">
        <v>3123</v>
      </c>
      <c r="H1844" s="9" t="s">
        <v>86</v>
      </c>
      <c r="I1844" s="11">
        <v>100000</v>
      </c>
      <c r="J1844" s="11">
        <v>4232068</v>
      </c>
      <c r="K1844" s="11">
        <v>11020182</v>
      </c>
      <c r="L1844" s="3">
        <v>99</v>
      </c>
      <c r="M1844" s="3">
        <v>629</v>
      </c>
      <c r="N1844" s="3">
        <v>1161617</v>
      </c>
      <c r="O1844" s="2">
        <v>-0.22500000000000001</v>
      </c>
      <c r="P1844" s="2">
        <v>0.75800000000000001</v>
      </c>
      <c r="Q1844" s="2">
        <v>-0.19699999999999998</v>
      </c>
      <c r="R1844" s="11">
        <v>461778189</v>
      </c>
      <c r="S1844" s="11">
        <v>1981426</v>
      </c>
      <c r="T1844">
        <v>2016</v>
      </c>
      <c r="U1844">
        <v>3</v>
      </c>
      <c r="V1844">
        <f t="shared" si="168"/>
        <v>600000</v>
      </c>
      <c r="W1844">
        <f t="shared" si="169"/>
        <v>18429897</v>
      </c>
      <c r="X1844">
        <f t="shared" si="170"/>
        <v>17829897</v>
      </c>
      <c r="Y1844">
        <f t="shared" si="171"/>
        <v>-26144845.5</v>
      </c>
      <c r="Z1844">
        <f t="shared" si="172"/>
        <v>45174742.5</v>
      </c>
      <c r="AA1844" t="str">
        <f t="shared" si="173"/>
        <v>Normal</v>
      </c>
      <c r="AE1844" s="2"/>
      <c r="AF1844" s="2"/>
    </row>
    <row r="1845" spans="1:32" x14ac:dyDescent="0.35">
      <c r="A1845">
        <v>1844</v>
      </c>
      <c r="B1845" s="1">
        <v>42437</v>
      </c>
      <c r="C1845" s="9" t="s">
        <v>3124</v>
      </c>
      <c r="D1845" s="9" t="s">
        <v>4930</v>
      </c>
      <c r="E1845" s="9" t="s">
        <v>7202</v>
      </c>
      <c r="F1845" s="9" t="s">
        <v>27</v>
      </c>
      <c r="G1845" s="9" t="s">
        <v>1571</v>
      </c>
      <c r="H1845" s="9" t="s">
        <v>105</v>
      </c>
      <c r="I1845" s="11">
        <v>18429897</v>
      </c>
      <c r="J1845" s="11">
        <v>3719951</v>
      </c>
      <c r="K1845" s="11">
        <v>5532523</v>
      </c>
      <c r="L1845" s="3">
        <v>17</v>
      </c>
      <c r="M1845" s="3">
        <v>1307</v>
      </c>
      <c r="N1845" s="3">
        <v>1277389</v>
      </c>
      <c r="O1845" s="2">
        <v>0.35</v>
      </c>
      <c r="P1845" s="2">
        <v>0.312</v>
      </c>
      <c r="Q1845" s="2">
        <v>-0.03</v>
      </c>
      <c r="R1845" s="11">
        <v>253453472</v>
      </c>
      <c r="S1845" s="11">
        <v>1680092</v>
      </c>
      <c r="T1845">
        <v>2016</v>
      </c>
      <c r="U1845">
        <v>3</v>
      </c>
      <c r="V1845">
        <f t="shared" si="168"/>
        <v>600000</v>
      </c>
      <c r="W1845">
        <f t="shared" si="169"/>
        <v>18429897</v>
      </c>
      <c r="X1845">
        <f t="shared" si="170"/>
        <v>17829897</v>
      </c>
      <c r="Y1845">
        <f t="shared" si="171"/>
        <v>-26144845.5</v>
      </c>
      <c r="Z1845">
        <f t="shared" si="172"/>
        <v>45174742.5</v>
      </c>
      <c r="AA1845" t="str">
        <f t="shared" si="173"/>
        <v>Normal</v>
      </c>
      <c r="AE1845" s="2"/>
      <c r="AF1845" s="2"/>
    </row>
    <row r="1846" spans="1:32" x14ac:dyDescent="0.35">
      <c r="A1846">
        <v>1845</v>
      </c>
      <c r="B1846" s="1">
        <v>42437</v>
      </c>
      <c r="C1846" s="9" t="s">
        <v>3125</v>
      </c>
      <c r="D1846" s="9" t="s">
        <v>4988</v>
      </c>
      <c r="E1846" s="9" t="s">
        <v>5267</v>
      </c>
      <c r="F1846" s="9" t="s">
        <v>15</v>
      </c>
      <c r="G1846" s="9" t="s">
        <v>3126</v>
      </c>
      <c r="H1846" s="9" t="s">
        <v>86</v>
      </c>
      <c r="I1846" s="11">
        <v>18429897</v>
      </c>
      <c r="J1846" s="11">
        <v>3091445</v>
      </c>
      <c r="K1846" s="11">
        <v>4198636</v>
      </c>
      <c r="L1846" s="3">
        <v>496</v>
      </c>
      <c r="M1846" s="3">
        <v>3606</v>
      </c>
      <c r="N1846" s="3">
        <v>1755699</v>
      </c>
      <c r="O1846" s="2">
        <v>-0.11699999999999999</v>
      </c>
      <c r="P1846" s="2">
        <v>0.50800000000000001</v>
      </c>
      <c r="Q1846" s="2">
        <v>-0.10099999999999999</v>
      </c>
      <c r="R1846" s="11">
        <v>112443042</v>
      </c>
      <c r="S1846" s="11">
        <v>1043493</v>
      </c>
      <c r="T1846">
        <v>2016</v>
      </c>
      <c r="U1846">
        <v>3</v>
      </c>
      <c r="V1846">
        <f t="shared" si="168"/>
        <v>600000</v>
      </c>
      <c r="W1846">
        <f t="shared" si="169"/>
        <v>18429897</v>
      </c>
      <c r="X1846">
        <f t="shared" si="170"/>
        <v>17829897</v>
      </c>
      <c r="Y1846">
        <f t="shared" si="171"/>
        <v>-26144845.5</v>
      </c>
      <c r="Z1846">
        <f t="shared" si="172"/>
        <v>45174742.5</v>
      </c>
      <c r="AA1846" t="str">
        <f t="shared" si="173"/>
        <v>Normal</v>
      </c>
      <c r="AE1846" s="2"/>
      <c r="AF1846" s="2"/>
    </row>
    <row r="1847" spans="1:32" x14ac:dyDescent="0.35">
      <c r="A1847">
        <v>1846</v>
      </c>
      <c r="B1847" s="1">
        <v>42437</v>
      </c>
      <c r="C1847" s="9" t="s">
        <v>3127</v>
      </c>
      <c r="D1847" s="9" t="s">
        <v>4930</v>
      </c>
      <c r="E1847" s="9" t="s">
        <v>7203</v>
      </c>
      <c r="F1847" s="9" t="s">
        <v>31</v>
      </c>
      <c r="G1847" s="9" t="s">
        <v>3128</v>
      </c>
      <c r="H1847" s="9" t="s">
        <v>86</v>
      </c>
      <c r="I1847" s="11">
        <v>18429897</v>
      </c>
      <c r="J1847" s="11">
        <v>2024737</v>
      </c>
      <c r="K1847" s="11">
        <v>17761606</v>
      </c>
      <c r="L1847" s="3">
        <v>248</v>
      </c>
      <c r="M1847" s="3">
        <v>585</v>
      </c>
      <c r="N1847" s="3">
        <v>263071</v>
      </c>
      <c r="O1847" s="2">
        <v>0.19800000000000001</v>
      </c>
      <c r="P1847" s="2">
        <v>0.37</v>
      </c>
      <c r="Q1847" s="2">
        <v>7.1999999999999995E-2</v>
      </c>
      <c r="R1847" s="11">
        <v>480737408</v>
      </c>
      <c r="S1847" s="11">
        <v>88955</v>
      </c>
      <c r="T1847">
        <v>2016</v>
      </c>
      <c r="U1847">
        <v>3</v>
      </c>
      <c r="V1847">
        <f t="shared" si="168"/>
        <v>600000</v>
      </c>
      <c r="W1847">
        <f t="shared" si="169"/>
        <v>18429897</v>
      </c>
      <c r="X1847">
        <f t="shared" si="170"/>
        <v>17829897</v>
      </c>
      <c r="Y1847">
        <f t="shared" si="171"/>
        <v>-26144845.5</v>
      </c>
      <c r="Z1847">
        <f t="shared" si="172"/>
        <v>45174742.5</v>
      </c>
      <c r="AA1847" t="str">
        <f t="shared" si="173"/>
        <v>Normal</v>
      </c>
      <c r="AE1847" s="2"/>
      <c r="AF1847" s="2"/>
    </row>
    <row r="1848" spans="1:32" x14ac:dyDescent="0.35">
      <c r="A1848">
        <v>1847</v>
      </c>
      <c r="B1848" s="1">
        <v>42437</v>
      </c>
      <c r="C1848" s="9" t="s">
        <v>3129</v>
      </c>
      <c r="D1848" s="9" t="s">
        <v>4988</v>
      </c>
      <c r="E1848" s="9" t="s">
        <v>7204</v>
      </c>
      <c r="F1848" s="9" t="s">
        <v>15</v>
      </c>
      <c r="G1848" s="9" t="s">
        <v>2685</v>
      </c>
      <c r="H1848" s="9" t="s">
        <v>86</v>
      </c>
      <c r="I1848" s="11">
        <v>750000</v>
      </c>
      <c r="J1848" s="11">
        <v>2720974</v>
      </c>
      <c r="K1848" s="11">
        <v>8164862</v>
      </c>
      <c r="L1848" s="3">
        <v>471</v>
      </c>
      <c r="M1848" s="3">
        <v>1078</v>
      </c>
      <c r="N1848" s="3">
        <v>446790</v>
      </c>
      <c r="O1848" s="2">
        <v>-0.11600000000000001</v>
      </c>
      <c r="P1848" s="2">
        <v>0.61799999999999999</v>
      </c>
      <c r="Q1848" s="2">
        <v>0.42799999999999999</v>
      </c>
      <c r="R1848" s="11">
        <v>179966750</v>
      </c>
      <c r="S1848" s="11">
        <v>1699267</v>
      </c>
      <c r="T1848">
        <v>2016</v>
      </c>
      <c r="U1848">
        <v>3</v>
      </c>
      <c r="V1848">
        <f t="shared" si="168"/>
        <v>600000</v>
      </c>
      <c r="W1848">
        <f t="shared" si="169"/>
        <v>18429897</v>
      </c>
      <c r="X1848">
        <f t="shared" si="170"/>
        <v>17829897</v>
      </c>
      <c r="Y1848">
        <f t="shared" si="171"/>
        <v>-26144845.5</v>
      </c>
      <c r="Z1848">
        <f t="shared" si="172"/>
        <v>45174742.5</v>
      </c>
      <c r="AA1848" t="str">
        <f t="shared" si="173"/>
        <v>Normal</v>
      </c>
      <c r="AE1848" s="2"/>
      <c r="AF1848" s="2"/>
    </row>
    <row r="1849" spans="1:32" x14ac:dyDescent="0.35">
      <c r="A1849">
        <v>1848</v>
      </c>
      <c r="B1849" s="1">
        <v>42437</v>
      </c>
      <c r="C1849" s="9" t="s">
        <v>3130</v>
      </c>
      <c r="D1849" s="9" t="s">
        <v>4925</v>
      </c>
      <c r="E1849" s="9" t="s">
        <v>7205</v>
      </c>
      <c r="F1849" s="9" t="s">
        <v>27</v>
      </c>
      <c r="G1849" s="9" t="s">
        <v>3131</v>
      </c>
      <c r="H1849" s="9" t="s">
        <v>105</v>
      </c>
      <c r="I1849" s="11">
        <v>8000000</v>
      </c>
      <c r="J1849" s="11">
        <v>2614562</v>
      </c>
      <c r="K1849" s="11">
        <v>5169541</v>
      </c>
      <c r="L1849" s="3">
        <v>344</v>
      </c>
      <c r="M1849" s="3">
        <v>4787</v>
      </c>
      <c r="N1849" s="3">
        <v>1936306</v>
      </c>
      <c r="O1849" s="2">
        <v>2.7999999999999997E-2</v>
      </c>
      <c r="P1849" s="2">
        <v>0.68500000000000005</v>
      </c>
      <c r="Q1849" s="2">
        <v>0.36749999999999999</v>
      </c>
      <c r="R1849" s="11">
        <v>277391468</v>
      </c>
      <c r="S1849" s="11">
        <v>78585</v>
      </c>
      <c r="T1849">
        <v>2016</v>
      </c>
      <c r="U1849">
        <v>3</v>
      </c>
      <c r="V1849">
        <f t="shared" si="168"/>
        <v>600000</v>
      </c>
      <c r="W1849">
        <f t="shared" si="169"/>
        <v>18429897</v>
      </c>
      <c r="X1849">
        <f t="shared" si="170"/>
        <v>17829897</v>
      </c>
      <c r="Y1849">
        <f t="shared" si="171"/>
        <v>-26144845.5</v>
      </c>
      <c r="Z1849">
        <f t="shared" si="172"/>
        <v>45174742.5</v>
      </c>
      <c r="AA1849" t="str">
        <f t="shared" si="173"/>
        <v>Normal</v>
      </c>
      <c r="AE1849" s="2"/>
      <c r="AF1849" s="2"/>
    </row>
    <row r="1850" spans="1:32" x14ac:dyDescent="0.35">
      <c r="A1850">
        <v>1849</v>
      </c>
      <c r="B1850" s="1">
        <v>42437</v>
      </c>
      <c r="C1850" s="9" t="s">
        <v>109</v>
      </c>
      <c r="D1850" s="9" t="s">
        <v>4988</v>
      </c>
      <c r="E1850" s="9" t="s">
        <v>7206</v>
      </c>
      <c r="F1850" s="9" t="s">
        <v>15</v>
      </c>
      <c r="G1850" s="9" t="s">
        <v>3132</v>
      </c>
      <c r="H1850" s="9" t="s">
        <v>86</v>
      </c>
      <c r="I1850" s="11">
        <v>650000</v>
      </c>
      <c r="J1850" s="11">
        <v>843250</v>
      </c>
      <c r="K1850" s="11">
        <v>12749952</v>
      </c>
      <c r="L1850" s="3">
        <v>177</v>
      </c>
      <c r="M1850" s="3">
        <v>2928</v>
      </c>
      <c r="N1850" s="3">
        <v>1542422</v>
      </c>
      <c r="O1850" s="2">
        <v>-0.13600000000000001</v>
      </c>
      <c r="P1850" s="2">
        <v>0.35799999999999998</v>
      </c>
      <c r="Q1850" s="2">
        <v>0.17</v>
      </c>
      <c r="R1850" s="11">
        <v>297472577</v>
      </c>
      <c r="S1850" s="11">
        <v>923658</v>
      </c>
      <c r="T1850">
        <v>2016</v>
      </c>
      <c r="U1850">
        <v>3</v>
      </c>
      <c r="V1850">
        <f t="shared" si="168"/>
        <v>600000</v>
      </c>
      <c r="W1850">
        <f t="shared" si="169"/>
        <v>18429897</v>
      </c>
      <c r="X1850">
        <f t="shared" si="170"/>
        <v>17829897</v>
      </c>
      <c r="Y1850">
        <f t="shared" si="171"/>
        <v>-26144845.5</v>
      </c>
      <c r="Z1850">
        <f t="shared" si="172"/>
        <v>45174742.5</v>
      </c>
      <c r="AA1850" t="str">
        <f t="shared" si="173"/>
        <v>Normal</v>
      </c>
      <c r="AE1850" s="2"/>
      <c r="AF1850" s="2"/>
    </row>
    <row r="1851" spans="1:32" x14ac:dyDescent="0.35">
      <c r="A1851">
        <v>1850</v>
      </c>
      <c r="B1851" s="1">
        <v>42438</v>
      </c>
      <c r="C1851" s="9" t="s">
        <v>3133</v>
      </c>
      <c r="D1851" s="9" t="s">
        <v>4925</v>
      </c>
      <c r="E1851" s="9" t="s">
        <v>7207</v>
      </c>
      <c r="F1851" s="9" t="s">
        <v>63</v>
      </c>
      <c r="G1851" s="9" t="s">
        <v>3134</v>
      </c>
      <c r="H1851" s="9" t="s">
        <v>105</v>
      </c>
      <c r="I1851" s="11">
        <v>18429897</v>
      </c>
      <c r="J1851" s="11">
        <v>427429</v>
      </c>
      <c r="K1851" s="11">
        <v>10892116</v>
      </c>
      <c r="L1851" s="3">
        <v>254</v>
      </c>
      <c r="M1851" s="3">
        <v>327</v>
      </c>
      <c r="N1851" s="3">
        <v>118523</v>
      </c>
      <c r="O1851" s="2">
        <v>1.4E-2</v>
      </c>
      <c r="P1851" s="2">
        <v>0.442</v>
      </c>
      <c r="Q1851" s="2">
        <v>0.17499999999999999</v>
      </c>
      <c r="R1851" s="11">
        <v>250264963</v>
      </c>
      <c r="S1851" s="11">
        <v>1494318</v>
      </c>
      <c r="T1851">
        <v>2016</v>
      </c>
      <c r="U1851">
        <v>3</v>
      </c>
      <c r="V1851">
        <f t="shared" si="168"/>
        <v>600000</v>
      </c>
      <c r="W1851">
        <f t="shared" si="169"/>
        <v>18429897</v>
      </c>
      <c r="X1851">
        <f t="shared" si="170"/>
        <v>17829897</v>
      </c>
      <c r="Y1851">
        <f t="shared" si="171"/>
        <v>-26144845.5</v>
      </c>
      <c r="Z1851">
        <f t="shared" si="172"/>
        <v>45174742.5</v>
      </c>
      <c r="AA1851" t="str">
        <f t="shared" si="173"/>
        <v>Normal</v>
      </c>
      <c r="AE1851" s="2"/>
      <c r="AF1851" s="2"/>
    </row>
    <row r="1852" spans="1:32" x14ac:dyDescent="0.35">
      <c r="A1852">
        <v>1851</v>
      </c>
      <c r="B1852" s="1">
        <v>42438</v>
      </c>
      <c r="C1852" s="9" t="s">
        <v>3135</v>
      </c>
      <c r="D1852" s="9" t="s">
        <v>4930</v>
      </c>
      <c r="E1852" s="9" t="s">
        <v>7208</v>
      </c>
      <c r="F1852" s="9" t="s">
        <v>63</v>
      </c>
      <c r="G1852" s="9" t="s">
        <v>3136</v>
      </c>
      <c r="H1852" s="9" t="s">
        <v>86</v>
      </c>
      <c r="I1852" s="11">
        <v>500000</v>
      </c>
      <c r="J1852" s="11">
        <v>1281212</v>
      </c>
      <c r="K1852" s="11">
        <v>11571315</v>
      </c>
      <c r="L1852" s="3">
        <v>254</v>
      </c>
      <c r="M1852" s="3">
        <v>4279</v>
      </c>
      <c r="N1852" s="3">
        <v>452493</v>
      </c>
      <c r="O1852" s="2">
        <v>0.08</v>
      </c>
      <c r="P1852" s="2">
        <v>0.68400000000000005</v>
      </c>
      <c r="Q1852" s="2">
        <v>-0.14099999999999999</v>
      </c>
      <c r="R1852" s="11">
        <v>221826322</v>
      </c>
      <c r="S1852" s="11">
        <v>413992</v>
      </c>
      <c r="T1852">
        <v>2016</v>
      </c>
      <c r="U1852">
        <v>3</v>
      </c>
      <c r="V1852">
        <f t="shared" si="168"/>
        <v>600000</v>
      </c>
      <c r="W1852">
        <f t="shared" si="169"/>
        <v>18429897</v>
      </c>
      <c r="X1852">
        <f t="shared" si="170"/>
        <v>17829897</v>
      </c>
      <c r="Y1852">
        <f t="shared" si="171"/>
        <v>-26144845.5</v>
      </c>
      <c r="Z1852">
        <f t="shared" si="172"/>
        <v>45174742.5</v>
      </c>
      <c r="AA1852" t="str">
        <f t="shared" si="173"/>
        <v>Normal</v>
      </c>
      <c r="AE1852" s="2"/>
      <c r="AF1852" s="2"/>
    </row>
    <row r="1853" spans="1:32" x14ac:dyDescent="0.35">
      <c r="A1853">
        <v>1852</v>
      </c>
      <c r="B1853" s="1">
        <v>42438</v>
      </c>
      <c r="C1853" s="9" t="s">
        <v>1041</v>
      </c>
      <c r="D1853" s="9" t="s">
        <v>4986</v>
      </c>
      <c r="E1853" s="9" t="s">
        <v>7209</v>
      </c>
      <c r="F1853" s="9" t="s">
        <v>15</v>
      </c>
      <c r="G1853" s="9" t="s">
        <v>3137</v>
      </c>
      <c r="H1853" s="9" t="s">
        <v>86</v>
      </c>
      <c r="I1853" s="11">
        <v>2500000</v>
      </c>
      <c r="J1853" s="11">
        <v>2531926</v>
      </c>
      <c r="K1853" s="11">
        <v>4508160</v>
      </c>
      <c r="L1853" s="3">
        <v>94</v>
      </c>
      <c r="M1853" s="3">
        <v>2641</v>
      </c>
      <c r="N1853" s="3">
        <v>747214</v>
      </c>
      <c r="O1853" s="2">
        <v>-0.11</v>
      </c>
      <c r="P1853" s="2">
        <v>0.307</v>
      </c>
      <c r="Q1853" s="2">
        <v>5.1999999999999998E-2</v>
      </c>
      <c r="R1853" s="11">
        <v>403723822</v>
      </c>
      <c r="S1853" s="11">
        <v>108511</v>
      </c>
      <c r="T1853">
        <v>2016</v>
      </c>
      <c r="U1853">
        <v>3</v>
      </c>
      <c r="V1853">
        <f t="shared" si="168"/>
        <v>600000</v>
      </c>
      <c r="W1853">
        <f t="shared" si="169"/>
        <v>18429897</v>
      </c>
      <c r="X1853">
        <f t="shared" si="170"/>
        <v>17829897</v>
      </c>
      <c r="Y1853">
        <f t="shared" si="171"/>
        <v>-26144845.5</v>
      </c>
      <c r="Z1853">
        <f t="shared" si="172"/>
        <v>45174742.5</v>
      </c>
      <c r="AA1853" t="str">
        <f t="shared" si="173"/>
        <v>Normal</v>
      </c>
      <c r="AE1853" s="2"/>
      <c r="AF1853" s="2"/>
    </row>
    <row r="1854" spans="1:32" x14ac:dyDescent="0.35">
      <c r="A1854">
        <v>1853</v>
      </c>
      <c r="B1854" s="1">
        <v>42438</v>
      </c>
      <c r="C1854" s="9" t="s">
        <v>3138</v>
      </c>
      <c r="D1854" s="9" t="s">
        <v>4988</v>
      </c>
      <c r="E1854" s="9" t="s">
        <v>5072</v>
      </c>
      <c r="F1854" s="9" t="s">
        <v>124</v>
      </c>
      <c r="G1854" s="9" t="s">
        <v>3139</v>
      </c>
      <c r="H1854" s="9" t="s">
        <v>86</v>
      </c>
      <c r="I1854" s="11">
        <v>1000000</v>
      </c>
      <c r="J1854" s="11">
        <v>818353</v>
      </c>
      <c r="K1854" s="11">
        <v>14490895</v>
      </c>
      <c r="L1854" s="3">
        <v>403</v>
      </c>
      <c r="M1854" s="3">
        <v>2411</v>
      </c>
      <c r="N1854" s="3">
        <v>65330</v>
      </c>
      <c r="O1854" s="2">
        <v>0.183</v>
      </c>
      <c r="P1854" s="2">
        <v>0.38700000000000001</v>
      </c>
      <c r="Q1854" s="2">
        <v>0.36749999999999999</v>
      </c>
      <c r="R1854" s="11">
        <v>58756434</v>
      </c>
      <c r="S1854" s="11">
        <v>1679567</v>
      </c>
      <c r="T1854">
        <v>2016</v>
      </c>
      <c r="U1854">
        <v>3</v>
      </c>
      <c r="V1854">
        <f t="shared" si="168"/>
        <v>600000</v>
      </c>
      <c r="W1854">
        <f t="shared" si="169"/>
        <v>18429897</v>
      </c>
      <c r="X1854">
        <f t="shared" si="170"/>
        <v>17829897</v>
      </c>
      <c r="Y1854">
        <f t="shared" si="171"/>
        <v>-26144845.5</v>
      </c>
      <c r="Z1854">
        <f t="shared" si="172"/>
        <v>45174742.5</v>
      </c>
      <c r="AA1854" t="str">
        <f t="shared" si="173"/>
        <v>Normal</v>
      </c>
      <c r="AE1854" s="2"/>
      <c r="AF1854" s="2"/>
    </row>
    <row r="1855" spans="1:32" x14ac:dyDescent="0.35">
      <c r="A1855">
        <v>1854</v>
      </c>
      <c r="B1855" s="1">
        <v>42438</v>
      </c>
      <c r="C1855" s="9" t="s">
        <v>3140</v>
      </c>
      <c r="D1855" s="9" t="s">
        <v>4988</v>
      </c>
      <c r="E1855" s="9" t="s">
        <v>7210</v>
      </c>
      <c r="F1855" s="9" t="s">
        <v>41</v>
      </c>
      <c r="G1855" s="9" t="s">
        <v>3141</v>
      </c>
      <c r="H1855" s="9" t="s">
        <v>86</v>
      </c>
      <c r="I1855" s="11">
        <v>18429897</v>
      </c>
      <c r="J1855" s="11">
        <v>551204</v>
      </c>
      <c r="K1855" s="11">
        <v>3926642</v>
      </c>
      <c r="L1855" s="3">
        <v>278</v>
      </c>
      <c r="M1855" s="3">
        <v>4962</v>
      </c>
      <c r="N1855" s="3">
        <v>1165936</v>
      </c>
      <c r="O1855" s="2">
        <v>0.20899999999999999</v>
      </c>
      <c r="P1855" s="2">
        <v>0.223</v>
      </c>
      <c r="Q1855" s="2">
        <v>0.125</v>
      </c>
      <c r="R1855" s="11">
        <v>250264963</v>
      </c>
      <c r="S1855" s="11">
        <v>1680192</v>
      </c>
      <c r="T1855">
        <v>2016</v>
      </c>
      <c r="U1855">
        <v>3</v>
      </c>
      <c r="V1855">
        <f t="shared" si="168"/>
        <v>600000</v>
      </c>
      <c r="W1855">
        <f t="shared" si="169"/>
        <v>18429897</v>
      </c>
      <c r="X1855">
        <f t="shared" si="170"/>
        <v>17829897</v>
      </c>
      <c r="Y1855">
        <f t="shared" si="171"/>
        <v>-26144845.5</v>
      </c>
      <c r="Z1855">
        <f t="shared" si="172"/>
        <v>45174742.5</v>
      </c>
      <c r="AA1855" t="str">
        <f t="shared" si="173"/>
        <v>Normal</v>
      </c>
      <c r="AE1855" s="2"/>
      <c r="AF1855" s="2"/>
    </row>
    <row r="1856" spans="1:32" x14ac:dyDescent="0.35">
      <c r="A1856">
        <v>1855</v>
      </c>
      <c r="B1856" s="1">
        <v>42438</v>
      </c>
      <c r="C1856" s="9" t="s">
        <v>2132</v>
      </c>
      <c r="D1856" s="9" t="s">
        <v>4988</v>
      </c>
      <c r="E1856" s="9" t="s">
        <v>7211</v>
      </c>
      <c r="F1856" s="9" t="s">
        <v>31</v>
      </c>
      <c r="G1856" s="9" t="s">
        <v>3142</v>
      </c>
      <c r="H1856" s="9" t="s">
        <v>86</v>
      </c>
      <c r="I1856" s="11">
        <v>400000</v>
      </c>
      <c r="J1856" s="11">
        <v>4262627</v>
      </c>
      <c r="K1856" s="11">
        <v>16744450</v>
      </c>
      <c r="L1856" s="3">
        <v>214</v>
      </c>
      <c r="M1856" s="3">
        <v>1605</v>
      </c>
      <c r="N1856" s="3">
        <v>1299751</v>
      </c>
      <c r="O1856" s="2">
        <v>0.66099999999999992</v>
      </c>
      <c r="P1856" s="2">
        <v>0.70599999999999996</v>
      </c>
      <c r="Q1856" s="2">
        <v>7.0000000000000007E-2</v>
      </c>
      <c r="R1856" s="11">
        <v>78704441</v>
      </c>
      <c r="S1856" s="11">
        <v>102590</v>
      </c>
      <c r="T1856">
        <v>2016</v>
      </c>
      <c r="U1856">
        <v>3</v>
      </c>
      <c r="V1856">
        <f t="shared" si="168"/>
        <v>600000</v>
      </c>
      <c r="W1856">
        <f t="shared" si="169"/>
        <v>18429897</v>
      </c>
      <c r="X1856">
        <f t="shared" si="170"/>
        <v>17829897</v>
      </c>
      <c r="Y1856">
        <f t="shared" si="171"/>
        <v>-26144845.5</v>
      </c>
      <c r="Z1856">
        <f t="shared" si="172"/>
        <v>45174742.5</v>
      </c>
      <c r="AA1856" t="str">
        <f t="shared" si="173"/>
        <v>Normal</v>
      </c>
      <c r="AE1856" s="2"/>
      <c r="AF1856" s="2"/>
    </row>
    <row r="1857" spans="1:32" x14ac:dyDescent="0.35">
      <c r="A1857">
        <v>1856</v>
      </c>
      <c r="B1857" s="1">
        <v>42438</v>
      </c>
      <c r="C1857" s="9" t="s">
        <v>3143</v>
      </c>
      <c r="D1857" s="9" t="s">
        <v>4988</v>
      </c>
      <c r="E1857" s="9" t="s">
        <v>7212</v>
      </c>
      <c r="F1857" s="9" t="s">
        <v>19</v>
      </c>
      <c r="G1857" s="9" t="s">
        <v>3144</v>
      </c>
      <c r="H1857" s="9" t="s">
        <v>86</v>
      </c>
      <c r="I1857" s="11">
        <v>18429897</v>
      </c>
      <c r="J1857" s="11">
        <v>1887483</v>
      </c>
      <c r="K1857" s="11">
        <v>8538600</v>
      </c>
      <c r="L1857" s="3">
        <v>296</v>
      </c>
      <c r="M1857" s="3">
        <v>1924</v>
      </c>
      <c r="N1857" s="3">
        <v>671701</v>
      </c>
      <c r="O1857" s="2">
        <v>0.30599999999999999</v>
      </c>
      <c r="P1857" s="2">
        <v>1.022</v>
      </c>
      <c r="Q1857" s="2">
        <v>0.47599999999999998</v>
      </c>
      <c r="R1857" s="11">
        <v>479552360</v>
      </c>
      <c r="S1857" s="11">
        <v>265702</v>
      </c>
      <c r="T1857">
        <v>2016</v>
      </c>
      <c r="U1857">
        <v>3</v>
      </c>
      <c r="V1857">
        <f t="shared" si="168"/>
        <v>600000</v>
      </c>
      <c r="W1857">
        <f t="shared" si="169"/>
        <v>18429897</v>
      </c>
      <c r="X1857">
        <f t="shared" si="170"/>
        <v>17829897</v>
      </c>
      <c r="Y1857">
        <f t="shared" si="171"/>
        <v>-26144845.5</v>
      </c>
      <c r="Z1857">
        <f t="shared" si="172"/>
        <v>45174742.5</v>
      </c>
      <c r="AA1857" t="str">
        <f t="shared" si="173"/>
        <v>Normal</v>
      </c>
      <c r="AE1857" s="2"/>
      <c r="AF1857" s="2"/>
    </row>
    <row r="1858" spans="1:32" x14ac:dyDescent="0.35">
      <c r="A1858">
        <v>1857</v>
      </c>
      <c r="B1858" s="1">
        <v>42439</v>
      </c>
      <c r="C1858" s="9" t="s">
        <v>3145</v>
      </c>
      <c r="D1858" s="9" t="s">
        <v>4939</v>
      </c>
      <c r="E1858" s="9" t="s">
        <v>7213</v>
      </c>
      <c r="F1858" s="9" t="s">
        <v>27</v>
      </c>
      <c r="G1858" s="9" t="s">
        <v>856</v>
      </c>
      <c r="H1858" s="9" t="s">
        <v>105</v>
      </c>
      <c r="I1858" s="11">
        <v>11100000</v>
      </c>
      <c r="J1858" s="11">
        <v>2929454</v>
      </c>
      <c r="K1858" s="11">
        <v>8241892</v>
      </c>
      <c r="L1858" s="3">
        <v>484</v>
      </c>
      <c r="M1858" s="3">
        <v>2898</v>
      </c>
      <c r="N1858" s="3">
        <v>429344</v>
      </c>
      <c r="O1858" s="2">
        <v>0.35499999999999998</v>
      </c>
      <c r="P1858" s="2">
        <v>1.0109999999999999</v>
      </c>
      <c r="Q1858" s="2">
        <v>-9.0999999999999998E-2</v>
      </c>
      <c r="R1858" s="11">
        <v>237765695</v>
      </c>
      <c r="S1858" s="11">
        <v>1192181</v>
      </c>
      <c r="T1858">
        <v>2016</v>
      </c>
      <c r="U1858">
        <v>3</v>
      </c>
      <c r="V1858">
        <f t="shared" ref="V1858:V1921" si="174">_xlfn.PERCENTILE.INC(I1858:I4901,0.25)</f>
        <v>600000</v>
      </c>
      <c r="W1858">
        <f t="shared" ref="W1858:W1921" si="175">_xlfn.PERCENTILE.INC(I1858:I4901,0.75)</f>
        <v>18429897</v>
      </c>
      <c r="X1858">
        <f t="shared" ref="X1858:X1921" si="176">W1858-V1858</f>
        <v>17829897</v>
      </c>
      <c r="Y1858">
        <f t="shared" ref="Y1858:Y1921" si="177">V1858-1.5*X1858</f>
        <v>-26144845.5</v>
      </c>
      <c r="Z1858">
        <f t="shared" ref="Z1858:Z1921" si="178">W1858+1.5*X1858</f>
        <v>45174742.5</v>
      </c>
      <c r="AA1858" t="str">
        <f t="shared" ref="AA1858:AA1921" si="179">IF(OR(I1858&lt;$Y$2, I1858&gt;$Z$2), "Outlier", "Normal")</f>
        <v>Normal</v>
      </c>
      <c r="AE1858" s="2"/>
      <c r="AF1858" s="2"/>
    </row>
    <row r="1859" spans="1:32" x14ac:dyDescent="0.35">
      <c r="A1859">
        <v>1858</v>
      </c>
      <c r="B1859" s="1">
        <v>42439</v>
      </c>
      <c r="C1859" s="9" t="s">
        <v>3146</v>
      </c>
      <c r="D1859" s="9" t="s">
        <v>4925</v>
      </c>
      <c r="E1859" s="9" t="s">
        <v>7214</v>
      </c>
      <c r="F1859" s="9" t="s">
        <v>31</v>
      </c>
      <c r="G1859" s="9" t="s">
        <v>3147</v>
      </c>
      <c r="H1859" s="9" t="s">
        <v>86</v>
      </c>
      <c r="I1859" s="11">
        <v>18429897</v>
      </c>
      <c r="J1859" s="11">
        <v>2629660</v>
      </c>
      <c r="K1859" s="11">
        <v>7830963</v>
      </c>
      <c r="L1859" s="3">
        <v>143</v>
      </c>
      <c r="M1859" s="3">
        <v>1246</v>
      </c>
      <c r="N1859" s="3">
        <v>850889</v>
      </c>
      <c r="O1859" s="2">
        <v>-0.23399999999999999</v>
      </c>
      <c r="P1859" s="2">
        <v>0.50800000000000001</v>
      </c>
      <c r="Q1859" s="2">
        <v>5.7000000000000002E-2</v>
      </c>
      <c r="R1859" s="11">
        <v>304474532</v>
      </c>
      <c r="S1859" s="11">
        <v>17461</v>
      </c>
      <c r="T1859">
        <v>2016</v>
      </c>
      <c r="U1859">
        <v>3</v>
      </c>
      <c r="V1859">
        <f t="shared" si="174"/>
        <v>600000</v>
      </c>
      <c r="W1859">
        <f t="shared" si="175"/>
        <v>18429897</v>
      </c>
      <c r="X1859">
        <f t="shared" si="176"/>
        <v>17829897</v>
      </c>
      <c r="Y1859">
        <f t="shared" si="177"/>
        <v>-26144845.5</v>
      </c>
      <c r="Z1859">
        <f t="shared" si="178"/>
        <v>45174742.5</v>
      </c>
      <c r="AA1859" t="str">
        <f t="shared" si="179"/>
        <v>Normal</v>
      </c>
      <c r="AE1859" s="2"/>
      <c r="AF1859" s="2"/>
    </row>
    <row r="1860" spans="1:32" x14ac:dyDescent="0.35">
      <c r="A1860">
        <v>1859</v>
      </c>
      <c r="B1860" s="1">
        <v>42439</v>
      </c>
      <c r="C1860" s="9" t="s">
        <v>732</v>
      </c>
      <c r="D1860" s="9" t="s">
        <v>4930</v>
      </c>
      <c r="E1860" s="9" t="s">
        <v>7215</v>
      </c>
      <c r="F1860" s="9" t="s">
        <v>3148</v>
      </c>
      <c r="G1860" s="9" t="s">
        <v>3149</v>
      </c>
      <c r="H1860" s="9" t="s">
        <v>105</v>
      </c>
      <c r="I1860" s="11">
        <v>15000000</v>
      </c>
      <c r="J1860" s="11">
        <v>3680944</v>
      </c>
      <c r="K1860" s="11">
        <v>8517048</v>
      </c>
      <c r="L1860" s="3">
        <v>254</v>
      </c>
      <c r="M1860" s="3">
        <v>678</v>
      </c>
      <c r="N1860" s="3">
        <v>1839318</v>
      </c>
      <c r="O1860" s="2">
        <v>-0.27200000000000002</v>
      </c>
      <c r="P1860" s="2">
        <v>0.88700000000000001</v>
      </c>
      <c r="Q1860" s="2">
        <v>0.7</v>
      </c>
      <c r="R1860" s="11">
        <v>178668672</v>
      </c>
      <c r="S1860" s="11">
        <v>1873391</v>
      </c>
      <c r="T1860">
        <v>2016</v>
      </c>
      <c r="U1860">
        <v>3</v>
      </c>
      <c r="V1860">
        <f t="shared" si="174"/>
        <v>600000</v>
      </c>
      <c r="W1860">
        <f t="shared" si="175"/>
        <v>18429897</v>
      </c>
      <c r="X1860">
        <f t="shared" si="176"/>
        <v>17829897</v>
      </c>
      <c r="Y1860">
        <f t="shared" si="177"/>
        <v>-26144845.5</v>
      </c>
      <c r="Z1860">
        <f t="shared" si="178"/>
        <v>45174742.5</v>
      </c>
      <c r="AA1860" t="str">
        <f t="shared" si="179"/>
        <v>Normal</v>
      </c>
      <c r="AE1860" s="2"/>
      <c r="AF1860" s="2"/>
    </row>
    <row r="1861" spans="1:32" x14ac:dyDescent="0.35">
      <c r="A1861">
        <v>1860</v>
      </c>
      <c r="B1861" s="1">
        <v>42439</v>
      </c>
      <c r="C1861" s="9" t="s">
        <v>3150</v>
      </c>
      <c r="D1861" s="9" t="s">
        <v>4925</v>
      </c>
      <c r="E1861" s="9" t="s">
        <v>7216</v>
      </c>
      <c r="F1861" s="9" t="s">
        <v>27</v>
      </c>
      <c r="G1861" s="9" t="s">
        <v>3151</v>
      </c>
      <c r="H1861" s="9" t="s">
        <v>86</v>
      </c>
      <c r="I1861" s="11">
        <v>1000000</v>
      </c>
      <c r="J1861" s="11">
        <v>3704264</v>
      </c>
      <c r="K1861" s="11">
        <v>13339826</v>
      </c>
      <c r="L1861" s="3">
        <v>455</v>
      </c>
      <c r="M1861" s="3">
        <v>733</v>
      </c>
      <c r="N1861" s="3">
        <v>1437103</v>
      </c>
      <c r="O1861" s="2">
        <v>1.6E-2</v>
      </c>
      <c r="P1861" s="2">
        <v>1.1899999999999999E-2</v>
      </c>
      <c r="Q1861" s="2">
        <v>0.439</v>
      </c>
      <c r="R1861" s="11">
        <v>294489159</v>
      </c>
      <c r="S1861" s="11">
        <v>839863</v>
      </c>
      <c r="T1861">
        <v>2016</v>
      </c>
      <c r="U1861">
        <v>3</v>
      </c>
      <c r="V1861">
        <f t="shared" si="174"/>
        <v>600000</v>
      </c>
      <c r="W1861">
        <f t="shared" si="175"/>
        <v>18429897</v>
      </c>
      <c r="X1861">
        <f t="shared" si="176"/>
        <v>17829897</v>
      </c>
      <c r="Y1861">
        <f t="shared" si="177"/>
        <v>-26144845.5</v>
      </c>
      <c r="Z1861">
        <f t="shared" si="178"/>
        <v>45174742.5</v>
      </c>
      <c r="AA1861" t="str">
        <f t="shared" si="179"/>
        <v>Normal</v>
      </c>
      <c r="AE1861" s="2"/>
      <c r="AF1861" s="2"/>
    </row>
    <row r="1862" spans="1:32" x14ac:dyDescent="0.35">
      <c r="A1862">
        <v>1861</v>
      </c>
      <c r="B1862" s="1">
        <v>42440</v>
      </c>
      <c r="C1862" s="9" t="s">
        <v>3152</v>
      </c>
      <c r="D1862" s="9" t="s">
        <v>4930</v>
      </c>
      <c r="E1862" s="9" t="s">
        <v>7217</v>
      </c>
      <c r="F1862" s="9" t="s">
        <v>408</v>
      </c>
      <c r="G1862" s="9" t="s">
        <v>3153</v>
      </c>
      <c r="H1862" s="9" t="s">
        <v>86</v>
      </c>
      <c r="I1862" s="11">
        <v>18429897</v>
      </c>
      <c r="J1862" s="11">
        <v>1494243</v>
      </c>
      <c r="K1862" s="11">
        <v>9984173</v>
      </c>
      <c r="L1862" s="3">
        <v>380</v>
      </c>
      <c r="M1862" s="3">
        <v>1572</v>
      </c>
      <c r="N1862" s="3">
        <v>1866845</v>
      </c>
      <c r="O1862" s="2">
        <v>0.47699999999999998</v>
      </c>
      <c r="P1862" s="2">
        <v>0.623</v>
      </c>
      <c r="Q1862" s="2">
        <v>0.36749999999999999</v>
      </c>
      <c r="R1862" s="11">
        <v>275816426</v>
      </c>
      <c r="S1862" s="11">
        <v>549856</v>
      </c>
      <c r="T1862">
        <v>2016</v>
      </c>
      <c r="U1862">
        <v>3</v>
      </c>
      <c r="V1862">
        <f t="shared" si="174"/>
        <v>600000</v>
      </c>
      <c r="W1862">
        <f t="shared" si="175"/>
        <v>18429897</v>
      </c>
      <c r="X1862">
        <f t="shared" si="176"/>
        <v>17829897</v>
      </c>
      <c r="Y1862">
        <f t="shared" si="177"/>
        <v>-26144845.5</v>
      </c>
      <c r="Z1862">
        <f t="shared" si="178"/>
        <v>45174742.5</v>
      </c>
      <c r="AA1862" t="str">
        <f t="shared" si="179"/>
        <v>Normal</v>
      </c>
      <c r="AE1862" s="2"/>
      <c r="AF1862" s="2"/>
    </row>
    <row r="1863" spans="1:32" x14ac:dyDescent="0.35">
      <c r="A1863">
        <v>1862</v>
      </c>
      <c r="B1863" s="1">
        <v>42443</v>
      </c>
      <c r="C1863" s="9" t="s">
        <v>3154</v>
      </c>
      <c r="D1863" s="9" t="s">
        <v>4925</v>
      </c>
      <c r="E1863" s="9" t="s">
        <v>7069</v>
      </c>
      <c r="F1863" s="9" t="s">
        <v>15</v>
      </c>
      <c r="G1863" s="9" t="s">
        <v>3155</v>
      </c>
      <c r="H1863" s="9" t="s">
        <v>86</v>
      </c>
      <c r="I1863" s="11">
        <v>223608</v>
      </c>
      <c r="J1863" s="11">
        <v>4242578</v>
      </c>
      <c r="K1863" s="11">
        <v>2623558</v>
      </c>
      <c r="L1863" s="3">
        <v>82</v>
      </c>
      <c r="M1863" s="3">
        <v>2505.5</v>
      </c>
      <c r="N1863" s="3">
        <v>1105950</v>
      </c>
      <c r="O1863" s="2">
        <v>0.61499999999999999</v>
      </c>
      <c r="P1863" s="2">
        <v>1.1140000000000001E-2</v>
      </c>
      <c r="Q1863" s="2">
        <v>-0.12300000000000001</v>
      </c>
      <c r="R1863" s="11">
        <v>407690239</v>
      </c>
      <c r="S1863" s="11">
        <v>471055</v>
      </c>
      <c r="T1863">
        <v>2016</v>
      </c>
      <c r="U1863">
        <v>3</v>
      </c>
      <c r="V1863">
        <f t="shared" si="174"/>
        <v>600000</v>
      </c>
      <c r="W1863">
        <f t="shared" si="175"/>
        <v>18429897</v>
      </c>
      <c r="X1863">
        <f t="shared" si="176"/>
        <v>17829897</v>
      </c>
      <c r="Y1863">
        <f t="shared" si="177"/>
        <v>-26144845.5</v>
      </c>
      <c r="Z1863">
        <f t="shared" si="178"/>
        <v>45174742.5</v>
      </c>
      <c r="AA1863" t="str">
        <f t="shared" si="179"/>
        <v>Normal</v>
      </c>
      <c r="AE1863" s="2"/>
      <c r="AF1863" s="2"/>
    </row>
    <row r="1864" spans="1:32" x14ac:dyDescent="0.35">
      <c r="A1864">
        <v>1863</v>
      </c>
      <c r="B1864" s="1">
        <v>42443</v>
      </c>
      <c r="C1864" s="9" t="s">
        <v>3156</v>
      </c>
      <c r="D1864" s="9" t="s">
        <v>4928</v>
      </c>
      <c r="E1864" s="9" t="s">
        <v>7218</v>
      </c>
      <c r="F1864" s="9" t="s">
        <v>27</v>
      </c>
      <c r="G1864" s="9" t="s">
        <v>3157</v>
      </c>
      <c r="H1864" s="9" t="s">
        <v>105</v>
      </c>
      <c r="I1864" s="11">
        <v>14900000</v>
      </c>
      <c r="J1864" s="11">
        <v>1868838</v>
      </c>
      <c r="K1864" s="11">
        <v>11370432</v>
      </c>
      <c r="L1864" s="3">
        <v>49</v>
      </c>
      <c r="M1864" s="3">
        <v>2545</v>
      </c>
      <c r="N1864" s="3">
        <v>210153</v>
      </c>
      <c r="O1864" s="2">
        <v>-1.7999999999999999E-2</v>
      </c>
      <c r="P1864" s="2">
        <v>0.97900000000000009</v>
      </c>
      <c r="Q1864" s="2">
        <v>-9.4E-2</v>
      </c>
      <c r="R1864" s="11">
        <v>96619195</v>
      </c>
      <c r="S1864" s="11">
        <v>512294</v>
      </c>
      <c r="T1864">
        <v>2016</v>
      </c>
      <c r="U1864">
        <v>3</v>
      </c>
      <c r="V1864">
        <f t="shared" si="174"/>
        <v>600000</v>
      </c>
      <c r="W1864">
        <f t="shared" si="175"/>
        <v>18429897</v>
      </c>
      <c r="X1864">
        <f t="shared" si="176"/>
        <v>17829897</v>
      </c>
      <c r="Y1864">
        <f t="shared" si="177"/>
        <v>-26144845.5</v>
      </c>
      <c r="Z1864">
        <f t="shared" si="178"/>
        <v>45174742.5</v>
      </c>
      <c r="AA1864" t="str">
        <f t="shared" si="179"/>
        <v>Normal</v>
      </c>
      <c r="AE1864" s="2"/>
      <c r="AF1864" s="2"/>
    </row>
    <row r="1865" spans="1:32" x14ac:dyDescent="0.35">
      <c r="A1865">
        <v>1864</v>
      </c>
      <c r="B1865" s="1">
        <v>42443</v>
      </c>
      <c r="C1865" s="9" t="s">
        <v>3158</v>
      </c>
      <c r="D1865" s="9" t="s">
        <v>4988</v>
      </c>
      <c r="E1865" s="9" t="s">
        <v>7219</v>
      </c>
      <c r="F1865" s="9" t="s">
        <v>408</v>
      </c>
      <c r="G1865" s="9" t="s">
        <v>3159</v>
      </c>
      <c r="H1865" s="9" t="s">
        <v>86</v>
      </c>
      <c r="I1865" s="11">
        <v>18429897</v>
      </c>
      <c r="J1865" s="11">
        <v>4179327</v>
      </c>
      <c r="K1865" s="11">
        <v>5413429</v>
      </c>
      <c r="L1865" s="3">
        <v>64</v>
      </c>
      <c r="M1865" s="3">
        <v>4968</v>
      </c>
      <c r="N1865" s="3">
        <v>119805</v>
      </c>
      <c r="O1865" s="2">
        <v>3.0000000000000001E-3</v>
      </c>
      <c r="P1865" s="2">
        <v>0.377</v>
      </c>
      <c r="Q1865" s="2">
        <v>-9.8000000000000004E-2</v>
      </c>
      <c r="R1865" s="11">
        <v>158482848</v>
      </c>
      <c r="S1865" s="11">
        <v>1512967</v>
      </c>
      <c r="T1865">
        <v>2016</v>
      </c>
      <c r="U1865">
        <v>3</v>
      </c>
      <c r="V1865">
        <f t="shared" si="174"/>
        <v>600000</v>
      </c>
      <c r="W1865">
        <f t="shared" si="175"/>
        <v>18429897</v>
      </c>
      <c r="X1865">
        <f t="shared" si="176"/>
        <v>17829897</v>
      </c>
      <c r="Y1865">
        <f t="shared" si="177"/>
        <v>-26144845.5</v>
      </c>
      <c r="Z1865">
        <f t="shared" si="178"/>
        <v>45174742.5</v>
      </c>
      <c r="AA1865" t="str">
        <f t="shared" si="179"/>
        <v>Normal</v>
      </c>
      <c r="AE1865" s="2"/>
      <c r="AF1865" s="2"/>
    </row>
    <row r="1866" spans="1:32" x14ac:dyDescent="0.35">
      <c r="A1866">
        <v>1865</v>
      </c>
      <c r="B1866" s="1">
        <v>42444</v>
      </c>
      <c r="C1866" s="9" t="s">
        <v>3160</v>
      </c>
      <c r="D1866" s="9" t="s">
        <v>4988</v>
      </c>
      <c r="E1866" s="9" t="s">
        <v>7220</v>
      </c>
      <c r="F1866" s="9" t="s">
        <v>15</v>
      </c>
      <c r="G1866" s="9" t="s">
        <v>3161</v>
      </c>
      <c r="H1866" s="9" t="s">
        <v>105</v>
      </c>
      <c r="I1866" s="11">
        <v>1000000</v>
      </c>
      <c r="J1866" s="11">
        <v>2036177</v>
      </c>
      <c r="K1866" s="11">
        <v>2255621</v>
      </c>
      <c r="L1866" s="3">
        <v>352</v>
      </c>
      <c r="M1866" s="3">
        <v>1308</v>
      </c>
      <c r="N1866" s="3">
        <v>389517</v>
      </c>
      <c r="O1866" s="2">
        <v>0.22899999999999998</v>
      </c>
      <c r="P1866" s="2">
        <v>0.64400000000000002</v>
      </c>
      <c r="Q1866" s="2">
        <v>-4.4999999999999998E-2</v>
      </c>
      <c r="R1866" s="11">
        <v>225729594</v>
      </c>
      <c r="S1866" s="11">
        <v>1008193.5</v>
      </c>
      <c r="T1866">
        <v>2016</v>
      </c>
      <c r="U1866">
        <v>3</v>
      </c>
      <c r="V1866">
        <f t="shared" si="174"/>
        <v>600000</v>
      </c>
      <c r="W1866">
        <f t="shared" si="175"/>
        <v>18429897</v>
      </c>
      <c r="X1866">
        <f t="shared" si="176"/>
        <v>17829897</v>
      </c>
      <c r="Y1866">
        <f t="shared" si="177"/>
        <v>-26144845.5</v>
      </c>
      <c r="Z1866">
        <f t="shared" si="178"/>
        <v>45174742.5</v>
      </c>
      <c r="AA1866" t="str">
        <f t="shared" si="179"/>
        <v>Normal</v>
      </c>
      <c r="AE1866" s="2"/>
      <c r="AF1866" s="2"/>
    </row>
    <row r="1867" spans="1:32" x14ac:dyDescent="0.35">
      <c r="A1867">
        <v>1866</v>
      </c>
      <c r="B1867" s="1">
        <v>42444</v>
      </c>
      <c r="C1867" s="9" t="s">
        <v>3162</v>
      </c>
      <c r="D1867" s="9" t="s">
        <v>4930</v>
      </c>
      <c r="E1867" s="9" t="s">
        <v>7221</v>
      </c>
      <c r="F1867" s="9" t="s">
        <v>41</v>
      </c>
      <c r="G1867" s="9" t="s">
        <v>3163</v>
      </c>
      <c r="H1867" s="9" t="s">
        <v>86</v>
      </c>
      <c r="I1867" s="11">
        <v>150000</v>
      </c>
      <c r="J1867" s="11">
        <v>572750</v>
      </c>
      <c r="K1867" s="11">
        <v>16814627</v>
      </c>
      <c r="L1867" s="3">
        <v>202</v>
      </c>
      <c r="M1867" s="3">
        <v>251</v>
      </c>
      <c r="N1867" s="3">
        <v>1042090</v>
      </c>
      <c r="O1867" s="2">
        <v>8.1000000000000003E-2</v>
      </c>
      <c r="P1867" s="2">
        <v>1.131</v>
      </c>
      <c r="Q1867" s="2">
        <v>0.36749999999999999</v>
      </c>
      <c r="R1867" s="11">
        <v>471521844</v>
      </c>
      <c r="S1867" s="11">
        <v>1149529</v>
      </c>
      <c r="T1867">
        <v>2016</v>
      </c>
      <c r="U1867">
        <v>3</v>
      </c>
      <c r="V1867">
        <f t="shared" si="174"/>
        <v>600000</v>
      </c>
      <c r="W1867">
        <f t="shared" si="175"/>
        <v>18429897</v>
      </c>
      <c r="X1867">
        <f t="shared" si="176"/>
        <v>17829897</v>
      </c>
      <c r="Y1867">
        <f t="shared" si="177"/>
        <v>-26144845.5</v>
      </c>
      <c r="Z1867">
        <f t="shared" si="178"/>
        <v>45174742.5</v>
      </c>
      <c r="AA1867" t="str">
        <f t="shared" si="179"/>
        <v>Normal</v>
      </c>
      <c r="AE1867" s="2"/>
      <c r="AF1867" s="2"/>
    </row>
    <row r="1868" spans="1:32" x14ac:dyDescent="0.35">
      <c r="A1868">
        <v>1867</v>
      </c>
      <c r="B1868" s="1">
        <v>42444</v>
      </c>
      <c r="C1868" s="9" t="s">
        <v>3164</v>
      </c>
      <c r="D1868" s="9" t="s">
        <v>4988</v>
      </c>
      <c r="E1868" s="9" t="s">
        <v>7222</v>
      </c>
      <c r="F1868" s="9" t="s">
        <v>19</v>
      </c>
      <c r="G1868" s="9" t="s">
        <v>3165</v>
      </c>
      <c r="H1868" s="9" t="s">
        <v>86</v>
      </c>
      <c r="I1868" s="11">
        <v>250000</v>
      </c>
      <c r="J1868" s="11">
        <v>3804874</v>
      </c>
      <c r="K1868" s="11">
        <v>6321443</v>
      </c>
      <c r="L1868" s="3">
        <v>254</v>
      </c>
      <c r="M1868" s="3">
        <v>244</v>
      </c>
      <c r="N1868" s="3">
        <v>420906</v>
      </c>
      <c r="O1868" s="2">
        <v>1.6E-2</v>
      </c>
      <c r="P1868" s="2">
        <v>0.36799999999999999</v>
      </c>
      <c r="Q1868" s="2">
        <v>0.104</v>
      </c>
      <c r="R1868" s="11">
        <v>233021099</v>
      </c>
      <c r="S1868" s="11">
        <v>1011445</v>
      </c>
      <c r="T1868">
        <v>2016</v>
      </c>
      <c r="U1868">
        <v>3</v>
      </c>
      <c r="V1868">
        <f t="shared" si="174"/>
        <v>600000</v>
      </c>
      <c r="W1868">
        <f t="shared" si="175"/>
        <v>18429897</v>
      </c>
      <c r="X1868">
        <f t="shared" si="176"/>
        <v>17829897</v>
      </c>
      <c r="Y1868">
        <f t="shared" si="177"/>
        <v>-26144845.5</v>
      </c>
      <c r="Z1868">
        <f t="shared" si="178"/>
        <v>45174742.5</v>
      </c>
      <c r="AA1868" t="str">
        <f t="shared" si="179"/>
        <v>Normal</v>
      </c>
      <c r="AE1868" s="2"/>
      <c r="AF1868" s="2"/>
    </row>
    <row r="1869" spans="1:32" x14ac:dyDescent="0.35">
      <c r="A1869">
        <v>1868</v>
      </c>
      <c r="B1869" s="1">
        <v>42445</v>
      </c>
      <c r="C1869" s="9" t="s">
        <v>1061</v>
      </c>
      <c r="D1869" s="9" t="s">
        <v>4988</v>
      </c>
      <c r="E1869" s="9" t="s">
        <v>7223</v>
      </c>
      <c r="F1869" s="9" t="s">
        <v>15</v>
      </c>
      <c r="G1869" s="9" t="s">
        <v>3166</v>
      </c>
      <c r="H1869" s="9" t="s">
        <v>86</v>
      </c>
      <c r="I1869" s="11">
        <v>180000</v>
      </c>
      <c r="J1869" s="11">
        <v>170203</v>
      </c>
      <c r="K1869" s="11">
        <v>11941364</v>
      </c>
      <c r="L1869" s="3">
        <v>8</v>
      </c>
      <c r="M1869" s="3">
        <v>873</v>
      </c>
      <c r="N1869" s="3">
        <v>634584</v>
      </c>
      <c r="O1869" s="2">
        <v>0.247</v>
      </c>
      <c r="P1869" s="2">
        <v>0.25800000000000001</v>
      </c>
      <c r="Q1869" s="2">
        <v>-0.22500000000000001</v>
      </c>
      <c r="R1869" s="11">
        <v>230016786</v>
      </c>
      <c r="S1869" s="11">
        <v>435879</v>
      </c>
      <c r="T1869">
        <v>2016</v>
      </c>
      <c r="U1869">
        <v>3</v>
      </c>
      <c r="V1869">
        <f t="shared" si="174"/>
        <v>600000</v>
      </c>
      <c r="W1869">
        <f t="shared" si="175"/>
        <v>18429897</v>
      </c>
      <c r="X1869">
        <f t="shared" si="176"/>
        <v>17829897</v>
      </c>
      <c r="Y1869">
        <f t="shared" si="177"/>
        <v>-26144845.5</v>
      </c>
      <c r="Z1869">
        <f t="shared" si="178"/>
        <v>45174742.5</v>
      </c>
      <c r="AA1869" t="str">
        <f t="shared" si="179"/>
        <v>Normal</v>
      </c>
      <c r="AE1869" s="2"/>
      <c r="AF1869" s="2"/>
    </row>
    <row r="1870" spans="1:32" x14ac:dyDescent="0.35">
      <c r="A1870">
        <v>1869</v>
      </c>
      <c r="B1870" s="1">
        <v>42445</v>
      </c>
      <c r="C1870" s="9" t="s">
        <v>3167</v>
      </c>
      <c r="D1870" s="9" t="s">
        <v>4988</v>
      </c>
      <c r="E1870" s="9" t="s">
        <v>6500</v>
      </c>
      <c r="F1870" s="9" t="s">
        <v>15</v>
      </c>
      <c r="G1870" s="9" t="s">
        <v>3168</v>
      </c>
      <c r="H1870" s="9" t="s">
        <v>86</v>
      </c>
      <c r="I1870" s="11">
        <v>18429897</v>
      </c>
      <c r="J1870" s="11">
        <v>3866317</v>
      </c>
      <c r="K1870" s="11">
        <v>3520646</v>
      </c>
      <c r="L1870" s="3">
        <v>189</v>
      </c>
      <c r="M1870" s="3">
        <v>2946</v>
      </c>
      <c r="N1870" s="3">
        <v>1822885</v>
      </c>
      <c r="O1870" s="2">
        <v>0.66300000000000003</v>
      </c>
      <c r="P1870" s="2">
        <v>0.46700000000000003</v>
      </c>
      <c r="Q1870" s="2">
        <v>0.24399999999999999</v>
      </c>
      <c r="R1870" s="11">
        <v>107981670</v>
      </c>
      <c r="S1870" s="11">
        <v>1277790</v>
      </c>
      <c r="T1870">
        <v>2016</v>
      </c>
      <c r="U1870">
        <v>3</v>
      </c>
      <c r="V1870">
        <f t="shared" si="174"/>
        <v>600000</v>
      </c>
      <c r="W1870">
        <f t="shared" si="175"/>
        <v>18429897</v>
      </c>
      <c r="X1870">
        <f t="shared" si="176"/>
        <v>17829897</v>
      </c>
      <c r="Y1870">
        <f t="shared" si="177"/>
        <v>-26144845.5</v>
      </c>
      <c r="Z1870">
        <f t="shared" si="178"/>
        <v>45174742.5</v>
      </c>
      <c r="AA1870" t="str">
        <f t="shared" si="179"/>
        <v>Normal</v>
      </c>
      <c r="AE1870" s="2"/>
      <c r="AF1870" s="2"/>
    </row>
    <row r="1871" spans="1:32" x14ac:dyDescent="0.35">
      <c r="A1871">
        <v>1870</v>
      </c>
      <c r="B1871" s="1">
        <v>42445</v>
      </c>
      <c r="C1871" s="9" t="s">
        <v>2164</v>
      </c>
      <c r="D1871" s="9" t="s">
        <v>4988</v>
      </c>
      <c r="E1871" s="9" t="s">
        <v>7224</v>
      </c>
      <c r="F1871" s="9" t="s">
        <v>31</v>
      </c>
      <c r="G1871" s="9" t="s">
        <v>1185</v>
      </c>
      <c r="H1871" s="9" t="s">
        <v>86</v>
      </c>
      <c r="I1871" s="11">
        <v>18429897</v>
      </c>
      <c r="J1871" s="11">
        <v>234949</v>
      </c>
      <c r="K1871" s="11">
        <v>6852183</v>
      </c>
      <c r="L1871" s="3">
        <v>135</v>
      </c>
      <c r="M1871" s="3">
        <v>2379</v>
      </c>
      <c r="N1871" s="3">
        <v>87002</v>
      </c>
      <c r="O1871" s="2">
        <v>0.38100000000000001</v>
      </c>
      <c r="P1871" s="2">
        <v>0.50800000000000001</v>
      </c>
      <c r="Q1871" s="2">
        <v>0.11</v>
      </c>
      <c r="R1871" s="11">
        <v>33290501</v>
      </c>
      <c r="S1871" s="11">
        <v>715766</v>
      </c>
      <c r="T1871">
        <v>2016</v>
      </c>
      <c r="U1871">
        <v>3</v>
      </c>
      <c r="V1871">
        <f t="shared" si="174"/>
        <v>600000</v>
      </c>
      <c r="W1871">
        <f t="shared" si="175"/>
        <v>18429897</v>
      </c>
      <c r="X1871">
        <f t="shared" si="176"/>
        <v>17829897</v>
      </c>
      <c r="Y1871">
        <f t="shared" si="177"/>
        <v>-26144845.5</v>
      </c>
      <c r="Z1871">
        <f t="shared" si="178"/>
        <v>45174742.5</v>
      </c>
      <c r="AA1871" t="str">
        <f t="shared" si="179"/>
        <v>Normal</v>
      </c>
      <c r="AE1871" s="2"/>
      <c r="AF1871" s="2"/>
    </row>
    <row r="1872" spans="1:32" x14ac:dyDescent="0.35">
      <c r="A1872">
        <v>1871</v>
      </c>
      <c r="B1872" s="1">
        <v>42445</v>
      </c>
      <c r="C1872" s="9" t="s">
        <v>3169</v>
      </c>
      <c r="D1872" s="9" t="s">
        <v>4988</v>
      </c>
      <c r="E1872" s="9" t="s">
        <v>7225</v>
      </c>
      <c r="F1872" s="9" t="s">
        <v>15</v>
      </c>
      <c r="G1872" s="9" t="s">
        <v>3170</v>
      </c>
      <c r="H1872" s="9" t="s">
        <v>86</v>
      </c>
      <c r="I1872" s="11">
        <v>250000</v>
      </c>
      <c r="J1872" s="11">
        <v>1049931</v>
      </c>
      <c r="K1872" s="11">
        <v>7778469</v>
      </c>
      <c r="L1872" s="3">
        <v>441</v>
      </c>
      <c r="M1872" s="3">
        <v>2036</v>
      </c>
      <c r="N1872" s="3">
        <v>156139</v>
      </c>
      <c r="O1872" s="2">
        <v>0.49399999999999999</v>
      </c>
      <c r="P1872" s="2">
        <v>0.32700000000000001</v>
      </c>
      <c r="Q1872" s="2">
        <v>0.505</v>
      </c>
      <c r="R1872" s="11">
        <v>354934075</v>
      </c>
      <c r="S1872" s="11">
        <v>1025732</v>
      </c>
      <c r="T1872">
        <v>2016</v>
      </c>
      <c r="U1872">
        <v>3</v>
      </c>
      <c r="V1872">
        <f t="shared" si="174"/>
        <v>600000</v>
      </c>
      <c r="W1872">
        <f t="shared" si="175"/>
        <v>18429897</v>
      </c>
      <c r="X1872">
        <f t="shared" si="176"/>
        <v>17829897</v>
      </c>
      <c r="Y1872">
        <f t="shared" si="177"/>
        <v>-26144845.5</v>
      </c>
      <c r="Z1872">
        <f t="shared" si="178"/>
        <v>45174742.5</v>
      </c>
      <c r="AA1872" t="str">
        <f t="shared" si="179"/>
        <v>Normal</v>
      </c>
      <c r="AE1872" s="2"/>
      <c r="AF1872" s="2"/>
    </row>
    <row r="1873" spans="1:32" x14ac:dyDescent="0.35">
      <c r="A1873">
        <v>1872</v>
      </c>
      <c r="B1873" s="1">
        <v>42446</v>
      </c>
      <c r="C1873" s="9" t="s">
        <v>3171</v>
      </c>
      <c r="D1873" s="9" t="s">
        <v>2539</v>
      </c>
      <c r="E1873" s="9" t="s">
        <v>7226</v>
      </c>
      <c r="F1873" s="9" t="s">
        <v>63</v>
      </c>
      <c r="G1873" s="9" t="s">
        <v>856</v>
      </c>
      <c r="H1873" s="9" t="s">
        <v>86</v>
      </c>
      <c r="I1873" s="11">
        <v>200000</v>
      </c>
      <c r="J1873" s="11">
        <v>3024756</v>
      </c>
      <c r="K1873" s="11">
        <v>10153449</v>
      </c>
      <c r="L1873" s="3">
        <v>64</v>
      </c>
      <c r="M1873" s="3">
        <v>2505.5</v>
      </c>
      <c r="N1873" s="3">
        <v>779412</v>
      </c>
      <c r="O1873" s="2">
        <v>-0.249</v>
      </c>
      <c r="P1873" s="2">
        <v>0.626</v>
      </c>
      <c r="Q1873" s="2">
        <v>0.217</v>
      </c>
      <c r="R1873" s="11">
        <v>466382300</v>
      </c>
      <c r="S1873" s="11">
        <v>435886</v>
      </c>
      <c r="T1873">
        <v>2016</v>
      </c>
      <c r="U1873">
        <v>3</v>
      </c>
      <c r="V1873">
        <f t="shared" si="174"/>
        <v>600000</v>
      </c>
      <c r="W1873">
        <f t="shared" si="175"/>
        <v>18429897</v>
      </c>
      <c r="X1873">
        <f t="shared" si="176"/>
        <v>17829897</v>
      </c>
      <c r="Y1873">
        <f t="shared" si="177"/>
        <v>-26144845.5</v>
      </c>
      <c r="Z1873">
        <f t="shared" si="178"/>
        <v>45174742.5</v>
      </c>
      <c r="AA1873" t="str">
        <f t="shared" si="179"/>
        <v>Normal</v>
      </c>
      <c r="AE1873" s="2"/>
      <c r="AF1873" s="2"/>
    </row>
    <row r="1874" spans="1:32" x14ac:dyDescent="0.35">
      <c r="A1874">
        <v>1873</v>
      </c>
      <c r="B1874" s="1">
        <v>42446</v>
      </c>
      <c r="C1874" s="9" t="s">
        <v>3172</v>
      </c>
      <c r="D1874" s="9" t="s">
        <v>4988</v>
      </c>
      <c r="E1874" s="9" t="s">
        <v>7227</v>
      </c>
      <c r="F1874" s="9" t="s">
        <v>19</v>
      </c>
      <c r="G1874" s="9" t="s">
        <v>2332</v>
      </c>
      <c r="H1874" s="9" t="s">
        <v>86</v>
      </c>
      <c r="I1874" s="11">
        <v>230000</v>
      </c>
      <c r="J1874" s="11">
        <v>4708863</v>
      </c>
      <c r="K1874" s="11">
        <v>19469746</v>
      </c>
      <c r="L1874" s="3">
        <v>207</v>
      </c>
      <c r="M1874" s="3">
        <v>1983</v>
      </c>
      <c r="N1874" s="3">
        <v>1502360</v>
      </c>
      <c r="O1874" s="2">
        <v>0.33500000000000002</v>
      </c>
      <c r="P1874" s="2">
        <v>0.96399999999999997</v>
      </c>
      <c r="Q1874" s="2">
        <v>0.191</v>
      </c>
      <c r="R1874" s="11">
        <v>156478569</v>
      </c>
      <c r="S1874" s="11">
        <v>682942</v>
      </c>
      <c r="T1874">
        <v>2016</v>
      </c>
      <c r="U1874">
        <v>3</v>
      </c>
      <c r="V1874">
        <f t="shared" si="174"/>
        <v>600000</v>
      </c>
      <c r="W1874">
        <f t="shared" si="175"/>
        <v>18429897</v>
      </c>
      <c r="X1874">
        <f t="shared" si="176"/>
        <v>17829897</v>
      </c>
      <c r="Y1874">
        <f t="shared" si="177"/>
        <v>-26144845.5</v>
      </c>
      <c r="Z1874">
        <f t="shared" si="178"/>
        <v>45174742.5</v>
      </c>
      <c r="AA1874" t="str">
        <f t="shared" si="179"/>
        <v>Normal</v>
      </c>
      <c r="AE1874" s="2"/>
      <c r="AF1874" s="2"/>
    </row>
    <row r="1875" spans="1:32" x14ac:dyDescent="0.35">
      <c r="A1875">
        <v>1874</v>
      </c>
      <c r="B1875" s="1">
        <v>42446</v>
      </c>
      <c r="C1875" s="9" t="s">
        <v>3173</v>
      </c>
      <c r="D1875" s="9" t="s">
        <v>4988</v>
      </c>
      <c r="E1875" s="9" t="s">
        <v>7228</v>
      </c>
      <c r="F1875" s="9" t="s">
        <v>31</v>
      </c>
      <c r="G1875" s="9" t="s">
        <v>856</v>
      </c>
      <c r="H1875" s="9" t="s">
        <v>86</v>
      </c>
      <c r="I1875" s="11">
        <v>800000</v>
      </c>
      <c r="J1875" s="11">
        <v>2054219</v>
      </c>
      <c r="K1875" s="11">
        <v>6300857</v>
      </c>
      <c r="L1875" s="3">
        <v>434</v>
      </c>
      <c r="M1875" s="3">
        <v>3099</v>
      </c>
      <c r="N1875" s="3">
        <v>1647505</v>
      </c>
      <c r="O1875" s="2">
        <v>-7.0000000000000007E-2</v>
      </c>
      <c r="P1875" s="2">
        <v>0.41399999999999998</v>
      </c>
      <c r="Q1875" s="2">
        <v>0.60199999999999998</v>
      </c>
      <c r="R1875" s="11">
        <v>114085606</v>
      </c>
      <c r="S1875" s="11">
        <v>1481186</v>
      </c>
      <c r="T1875">
        <v>2016</v>
      </c>
      <c r="U1875">
        <v>3</v>
      </c>
      <c r="V1875">
        <f t="shared" si="174"/>
        <v>600000</v>
      </c>
      <c r="W1875">
        <f t="shared" si="175"/>
        <v>18429897</v>
      </c>
      <c r="X1875">
        <f t="shared" si="176"/>
        <v>17829897</v>
      </c>
      <c r="Y1875">
        <f t="shared" si="177"/>
        <v>-26144845.5</v>
      </c>
      <c r="Z1875">
        <f t="shared" si="178"/>
        <v>45174742.5</v>
      </c>
      <c r="AA1875" t="str">
        <f t="shared" si="179"/>
        <v>Normal</v>
      </c>
      <c r="AE1875" s="2"/>
      <c r="AF1875" s="2"/>
    </row>
    <row r="1876" spans="1:32" x14ac:dyDescent="0.35">
      <c r="A1876">
        <v>1875</v>
      </c>
      <c r="B1876" s="1">
        <v>42446</v>
      </c>
      <c r="C1876" s="9" t="s">
        <v>3174</v>
      </c>
      <c r="D1876" s="9" t="s">
        <v>4988</v>
      </c>
      <c r="E1876" s="9" t="s">
        <v>7229</v>
      </c>
      <c r="F1876" s="9" t="s">
        <v>31</v>
      </c>
      <c r="G1876" s="9" t="s">
        <v>3175</v>
      </c>
      <c r="H1876" s="9" t="s">
        <v>86</v>
      </c>
      <c r="I1876" s="11">
        <v>108000</v>
      </c>
      <c r="J1876" s="11">
        <v>620863</v>
      </c>
      <c r="K1876" s="11">
        <v>11696346</v>
      </c>
      <c r="L1876" s="3">
        <v>485</v>
      </c>
      <c r="M1876" s="3">
        <v>4984</v>
      </c>
      <c r="N1876" s="3">
        <v>575480</v>
      </c>
      <c r="O1876" s="2">
        <v>1.6E-2</v>
      </c>
      <c r="P1876" s="2">
        <v>1.05</v>
      </c>
      <c r="Q1876" s="2">
        <v>0.20899999999999999</v>
      </c>
      <c r="R1876" s="11">
        <v>309708676</v>
      </c>
      <c r="S1876" s="11">
        <v>864686</v>
      </c>
      <c r="T1876">
        <v>2016</v>
      </c>
      <c r="U1876">
        <v>3</v>
      </c>
      <c r="V1876">
        <f t="shared" si="174"/>
        <v>600000</v>
      </c>
      <c r="W1876">
        <f t="shared" si="175"/>
        <v>18429897</v>
      </c>
      <c r="X1876">
        <f t="shared" si="176"/>
        <v>17829897</v>
      </c>
      <c r="Y1876">
        <f t="shared" si="177"/>
        <v>-26144845.5</v>
      </c>
      <c r="Z1876">
        <f t="shared" si="178"/>
        <v>45174742.5</v>
      </c>
      <c r="AA1876" t="str">
        <f t="shared" si="179"/>
        <v>Normal</v>
      </c>
      <c r="AE1876" s="2"/>
      <c r="AF1876" s="2"/>
    </row>
    <row r="1877" spans="1:32" x14ac:dyDescent="0.35">
      <c r="A1877">
        <v>1876</v>
      </c>
      <c r="B1877" s="1">
        <v>42447</v>
      </c>
      <c r="C1877" s="9" t="s">
        <v>3176</v>
      </c>
      <c r="D1877" s="9" t="s">
        <v>4939</v>
      </c>
      <c r="E1877" s="9" t="s">
        <v>5375</v>
      </c>
      <c r="F1877" s="9" t="s">
        <v>124</v>
      </c>
      <c r="G1877" s="9" t="s">
        <v>3177</v>
      </c>
      <c r="H1877" s="9" t="s">
        <v>105</v>
      </c>
      <c r="I1877" s="11">
        <v>1500000</v>
      </c>
      <c r="J1877" s="11">
        <v>1179887</v>
      </c>
      <c r="K1877" s="11">
        <v>11353832</v>
      </c>
      <c r="L1877" s="3">
        <v>458</v>
      </c>
      <c r="M1877" s="3">
        <v>889</v>
      </c>
      <c r="N1877" s="3">
        <v>581497</v>
      </c>
      <c r="O1877" s="2">
        <v>1.6E-2</v>
      </c>
      <c r="P1877" s="2">
        <v>1.1879999999999999</v>
      </c>
      <c r="Q1877" s="2">
        <v>4.5999999999999999E-2</v>
      </c>
      <c r="R1877" s="11">
        <v>489188642</v>
      </c>
      <c r="S1877" s="11">
        <v>1220702</v>
      </c>
      <c r="T1877">
        <v>2016</v>
      </c>
      <c r="U1877">
        <v>3</v>
      </c>
      <c r="V1877">
        <f t="shared" si="174"/>
        <v>600000</v>
      </c>
      <c r="W1877">
        <f t="shared" si="175"/>
        <v>18429897</v>
      </c>
      <c r="X1877">
        <f t="shared" si="176"/>
        <v>17829897</v>
      </c>
      <c r="Y1877">
        <f t="shared" si="177"/>
        <v>-26144845.5</v>
      </c>
      <c r="Z1877">
        <f t="shared" si="178"/>
        <v>45174742.5</v>
      </c>
      <c r="AA1877" t="str">
        <f t="shared" si="179"/>
        <v>Normal</v>
      </c>
      <c r="AE1877" s="2"/>
      <c r="AF1877" s="2"/>
    </row>
    <row r="1878" spans="1:32" x14ac:dyDescent="0.35">
      <c r="A1878">
        <v>1877</v>
      </c>
      <c r="B1878" s="1">
        <v>42448</v>
      </c>
      <c r="C1878" s="9" t="s">
        <v>3178</v>
      </c>
      <c r="D1878" s="9" t="s">
        <v>4988</v>
      </c>
      <c r="E1878" s="9" t="s">
        <v>7230</v>
      </c>
      <c r="F1878" s="9" t="s">
        <v>27</v>
      </c>
      <c r="G1878" s="9" t="s">
        <v>3179</v>
      </c>
      <c r="H1878" s="9" t="s">
        <v>86</v>
      </c>
      <c r="I1878" s="11">
        <v>30000</v>
      </c>
      <c r="J1878" s="11">
        <v>4482687</v>
      </c>
      <c r="K1878" s="11">
        <v>8644692</v>
      </c>
      <c r="L1878" s="3">
        <v>328</v>
      </c>
      <c r="M1878" s="3">
        <v>603</v>
      </c>
      <c r="N1878" s="3">
        <v>1164910</v>
      </c>
      <c r="O1878" s="2">
        <v>0.24100000000000002</v>
      </c>
      <c r="P1878" s="2">
        <v>0.66400000000000003</v>
      </c>
      <c r="Q1878" s="2">
        <v>-0.11700000000000001</v>
      </c>
      <c r="R1878" s="11">
        <v>210920432</v>
      </c>
      <c r="S1878" s="11">
        <v>1669200</v>
      </c>
      <c r="T1878">
        <v>2016</v>
      </c>
      <c r="U1878">
        <v>3</v>
      </c>
      <c r="V1878">
        <f t="shared" si="174"/>
        <v>600000</v>
      </c>
      <c r="W1878">
        <f t="shared" si="175"/>
        <v>18429897</v>
      </c>
      <c r="X1878">
        <f t="shared" si="176"/>
        <v>17829897</v>
      </c>
      <c r="Y1878">
        <f t="shared" si="177"/>
        <v>-26144845.5</v>
      </c>
      <c r="Z1878">
        <f t="shared" si="178"/>
        <v>45174742.5</v>
      </c>
      <c r="AA1878" t="str">
        <f t="shared" si="179"/>
        <v>Normal</v>
      </c>
      <c r="AE1878" s="2"/>
      <c r="AF1878" s="2"/>
    </row>
    <row r="1879" spans="1:32" x14ac:dyDescent="0.35">
      <c r="A1879">
        <v>1878</v>
      </c>
      <c r="B1879" s="1">
        <v>42450</v>
      </c>
      <c r="C1879" s="9" t="s">
        <v>3180</v>
      </c>
      <c r="D1879" s="9" t="s">
        <v>4988</v>
      </c>
      <c r="E1879" s="9" t="s">
        <v>7231</v>
      </c>
      <c r="F1879" s="9" t="s">
        <v>19</v>
      </c>
      <c r="G1879" s="9" t="s">
        <v>791</v>
      </c>
      <c r="H1879" s="9" t="s">
        <v>86</v>
      </c>
      <c r="I1879" s="11">
        <v>18429897</v>
      </c>
      <c r="J1879" s="11">
        <v>3639144</v>
      </c>
      <c r="K1879" s="11">
        <v>11753602</v>
      </c>
      <c r="L1879" s="3">
        <v>85</v>
      </c>
      <c r="M1879" s="3">
        <v>1127</v>
      </c>
      <c r="N1879" s="3">
        <v>1731995</v>
      </c>
      <c r="O1879" s="2">
        <v>-2.9000000000000001E-2</v>
      </c>
      <c r="P1879" s="2">
        <v>1.1919999999999999</v>
      </c>
      <c r="Q1879" s="2">
        <v>0.46299999999999997</v>
      </c>
      <c r="R1879" s="11">
        <v>470957120</v>
      </c>
      <c r="S1879" s="11">
        <v>1329156</v>
      </c>
      <c r="T1879">
        <v>2016</v>
      </c>
      <c r="U1879">
        <v>3</v>
      </c>
      <c r="V1879">
        <f t="shared" si="174"/>
        <v>600000</v>
      </c>
      <c r="W1879">
        <f t="shared" si="175"/>
        <v>18429897</v>
      </c>
      <c r="X1879">
        <f t="shared" si="176"/>
        <v>17829897</v>
      </c>
      <c r="Y1879">
        <f t="shared" si="177"/>
        <v>-26144845.5</v>
      </c>
      <c r="Z1879">
        <f t="shared" si="178"/>
        <v>45174742.5</v>
      </c>
      <c r="AA1879" t="str">
        <f t="shared" si="179"/>
        <v>Normal</v>
      </c>
      <c r="AE1879" s="2"/>
      <c r="AF1879" s="2"/>
    </row>
    <row r="1880" spans="1:32" x14ac:dyDescent="0.35">
      <c r="A1880">
        <v>1879</v>
      </c>
      <c r="B1880" s="1">
        <v>42450</v>
      </c>
      <c r="C1880" s="9" t="s">
        <v>3181</v>
      </c>
      <c r="D1880" s="9" t="s">
        <v>4988</v>
      </c>
      <c r="E1880" s="9" t="s">
        <v>7232</v>
      </c>
      <c r="F1880" s="9" t="s">
        <v>294</v>
      </c>
      <c r="G1880" s="9" t="s">
        <v>3182</v>
      </c>
      <c r="H1880" s="9" t="s">
        <v>105</v>
      </c>
      <c r="I1880" s="11">
        <v>18429897</v>
      </c>
      <c r="J1880" s="11">
        <v>519970</v>
      </c>
      <c r="K1880" s="11">
        <v>11362144</v>
      </c>
      <c r="L1880" s="3">
        <v>52</v>
      </c>
      <c r="M1880" s="3">
        <v>813</v>
      </c>
      <c r="N1880" s="3">
        <v>354646</v>
      </c>
      <c r="O1880" s="2">
        <v>2.3E-2</v>
      </c>
      <c r="P1880" s="2">
        <v>0.77800000000000002</v>
      </c>
      <c r="Q1880" s="2">
        <v>-0.152</v>
      </c>
      <c r="R1880" s="11">
        <v>120392282</v>
      </c>
      <c r="S1880" s="11">
        <v>1888347</v>
      </c>
      <c r="T1880">
        <v>2016</v>
      </c>
      <c r="U1880">
        <v>3</v>
      </c>
      <c r="V1880">
        <f t="shared" si="174"/>
        <v>600000</v>
      </c>
      <c r="W1880">
        <f t="shared" si="175"/>
        <v>18429897</v>
      </c>
      <c r="X1880">
        <f t="shared" si="176"/>
        <v>17829897</v>
      </c>
      <c r="Y1880">
        <f t="shared" si="177"/>
        <v>-26144845.5</v>
      </c>
      <c r="Z1880">
        <f t="shared" si="178"/>
        <v>45174742.5</v>
      </c>
      <c r="AA1880" t="str">
        <f t="shared" si="179"/>
        <v>Normal</v>
      </c>
      <c r="AE1880" s="2"/>
      <c r="AF1880" s="2"/>
    </row>
    <row r="1881" spans="1:32" x14ac:dyDescent="0.35">
      <c r="A1881">
        <v>1880</v>
      </c>
      <c r="B1881" s="1">
        <v>42450</v>
      </c>
      <c r="C1881" s="9" t="s">
        <v>3183</v>
      </c>
      <c r="D1881" s="9" t="s">
        <v>4988</v>
      </c>
      <c r="E1881" s="9" t="s">
        <v>7233</v>
      </c>
      <c r="F1881" s="9" t="s">
        <v>19</v>
      </c>
      <c r="G1881" s="9" t="s">
        <v>3184</v>
      </c>
      <c r="H1881" s="9" t="s">
        <v>105</v>
      </c>
      <c r="I1881" s="11">
        <v>2000000</v>
      </c>
      <c r="J1881" s="11">
        <v>1936788</v>
      </c>
      <c r="K1881" s="11">
        <v>1693319</v>
      </c>
      <c r="L1881" s="3">
        <v>208</v>
      </c>
      <c r="M1881" s="3">
        <v>4154</v>
      </c>
      <c r="N1881" s="3">
        <v>1784653</v>
      </c>
      <c r="O1881" s="2">
        <v>3.9E-2</v>
      </c>
      <c r="P1881" s="2">
        <v>0.26</v>
      </c>
      <c r="Q1881" s="2">
        <v>-0.185</v>
      </c>
      <c r="R1881" s="11">
        <v>486450946</v>
      </c>
      <c r="S1881" s="11">
        <v>606834</v>
      </c>
      <c r="T1881">
        <v>2016</v>
      </c>
      <c r="U1881">
        <v>3</v>
      </c>
      <c r="V1881">
        <f t="shared" si="174"/>
        <v>600000</v>
      </c>
      <c r="W1881">
        <f t="shared" si="175"/>
        <v>18429897</v>
      </c>
      <c r="X1881">
        <f t="shared" si="176"/>
        <v>17829897</v>
      </c>
      <c r="Y1881">
        <f t="shared" si="177"/>
        <v>-26144845.5</v>
      </c>
      <c r="Z1881">
        <f t="shared" si="178"/>
        <v>45174742.5</v>
      </c>
      <c r="AA1881" t="str">
        <f t="shared" si="179"/>
        <v>Normal</v>
      </c>
      <c r="AE1881" s="2"/>
      <c r="AF1881" s="2"/>
    </row>
    <row r="1882" spans="1:32" x14ac:dyDescent="0.35">
      <c r="A1882">
        <v>1881</v>
      </c>
      <c r="B1882" s="1">
        <v>42451</v>
      </c>
      <c r="C1882" s="9" t="s">
        <v>188</v>
      </c>
      <c r="D1882" s="9" t="s">
        <v>4988</v>
      </c>
      <c r="E1882" s="9" t="s">
        <v>7234</v>
      </c>
      <c r="F1882" s="9" t="s">
        <v>15</v>
      </c>
      <c r="G1882" s="9" t="s">
        <v>3185</v>
      </c>
      <c r="H1882" s="9" t="s">
        <v>105</v>
      </c>
      <c r="I1882" s="11">
        <v>75000000</v>
      </c>
      <c r="J1882" s="11">
        <v>2531926</v>
      </c>
      <c r="K1882" s="11">
        <v>13414623</v>
      </c>
      <c r="L1882" s="3">
        <v>242</v>
      </c>
      <c r="M1882" s="3">
        <v>2505.5</v>
      </c>
      <c r="N1882" s="3">
        <v>1613078</v>
      </c>
      <c r="O1882" s="2">
        <v>0.27200000000000002</v>
      </c>
      <c r="P1882" s="2">
        <v>0.311</v>
      </c>
      <c r="Q1882" s="2">
        <v>-0.184</v>
      </c>
      <c r="R1882" s="11">
        <v>103839409</v>
      </c>
      <c r="S1882" s="11">
        <v>658150</v>
      </c>
      <c r="T1882">
        <v>2016</v>
      </c>
      <c r="U1882">
        <v>3</v>
      </c>
      <c r="V1882">
        <f t="shared" si="174"/>
        <v>600000</v>
      </c>
      <c r="W1882">
        <f t="shared" si="175"/>
        <v>18429897</v>
      </c>
      <c r="X1882">
        <f t="shared" si="176"/>
        <v>17829897</v>
      </c>
      <c r="Y1882">
        <f t="shared" si="177"/>
        <v>-26144845.5</v>
      </c>
      <c r="Z1882">
        <f t="shared" si="178"/>
        <v>45174742.5</v>
      </c>
      <c r="AA1882" t="str">
        <f t="shared" si="179"/>
        <v>Outlier</v>
      </c>
      <c r="AE1882" s="2"/>
      <c r="AF1882" s="2"/>
    </row>
    <row r="1883" spans="1:32" x14ac:dyDescent="0.35">
      <c r="A1883">
        <v>1882</v>
      </c>
      <c r="B1883" s="1">
        <v>42451</v>
      </c>
      <c r="C1883" s="9" t="s">
        <v>719</v>
      </c>
      <c r="D1883" s="9" t="s">
        <v>4925</v>
      </c>
      <c r="E1883" s="9" t="s">
        <v>5957</v>
      </c>
      <c r="F1883" s="9" t="s">
        <v>15</v>
      </c>
      <c r="G1883" s="9" t="s">
        <v>3186</v>
      </c>
      <c r="H1883" s="9" t="s">
        <v>105</v>
      </c>
      <c r="I1883" s="11">
        <v>150000000</v>
      </c>
      <c r="J1883" s="11">
        <v>905603</v>
      </c>
      <c r="K1883" s="11">
        <v>2372755</v>
      </c>
      <c r="L1883" s="3">
        <v>259</v>
      </c>
      <c r="M1883" s="3">
        <v>2821</v>
      </c>
      <c r="N1883" s="3">
        <v>535561</v>
      </c>
      <c r="O1883" s="2">
        <v>0.20100000000000001</v>
      </c>
      <c r="P1883" s="2">
        <v>0.71299999999999997</v>
      </c>
      <c r="Q1883" s="2">
        <v>-8.8000000000000009E-2</v>
      </c>
      <c r="R1883" s="11">
        <v>1263430</v>
      </c>
      <c r="S1883" s="11">
        <v>496279</v>
      </c>
      <c r="T1883">
        <v>2016</v>
      </c>
      <c r="U1883">
        <v>3</v>
      </c>
      <c r="V1883">
        <f t="shared" si="174"/>
        <v>600000</v>
      </c>
      <c r="W1883">
        <f t="shared" si="175"/>
        <v>18429897</v>
      </c>
      <c r="X1883">
        <f t="shared" si="176"/>
        <v>17829897</v>
      </c>
      <c r="Y1883">
        <f t="shared" si="177"/>
        <v>-26144845.5</v>
      </c>
      <c r="Z1883">
        <f t="shared" si="178"/>
        <v>45174742.5</v>
      </c>
      <c r="AA1883" t="str">
        <f t="shared" si="179"/>
        <v>Outlier</v>
      </c>
      <c r="AE1883" s="2"/>
      <c r="AF1883" s="2"/>
    </row>
    <row r="1884" spans="1:32" x14ac:dyDescent="0.35">
      <c r="A1884">
        <v>1883</v>
      </c>
      <c r="B1884" s="1">
        <v>42451</v>
      </c>
      <c r="C1884" s="9" t="s">
        <v>3187</v>
      </c>
      <c r="D1884" s="9" t="s">
        <v>4988</v>
      </c>
      <c r="E1884" s="9" t="s">
        <v>7235</v>
      </c>
      <c r="F1884" s="9" t="s">
        <v>15</v>
      </c>
      <c r="G1884" s="9" t="s">
        <v>3188</v>
      </c>
      <c r="H1884" s="9" t="s">
        <v>86</v>
      </c>
      <c r="I1884" s="11">
        <v>600000</v>
      </c>
      <c r="J1884" s="11">
        <v>4235463</v>
      </c>
      <c r="K1884" s="11">
        <v>8755573</v>
      </c>
      <c r="L1884" s="3">
        <v>29</v>
      </c>
      <c r="M1884" s="3">
        <v>694</v>
      </c>
      <c r="N1884" s="3">
        <v>1341576</v>
      </c>
      <c r="O1884" s="2">
        <v>0.40399999999999997</v>
      </c>
      <c r="P1884" s="2">
        <v>1.1220000000000001</v>
      </c>
      <c r="Q1884" s="2">
        <v>0.111</v>
      </c>
      <c r="R1884" s="11">
        <v>246202581</v>
      </c>
      <c r="S1884" s="11">
        <v>1277658</v>
      </c>
      <c r="T1884">
        <v>2016</v>
      </c>
      <c r="U1884">
        <v>3</v>
      </c>
      <c r="V1884">
        <f t="shared" si="174"/>
        <v>600000</v>
      </c>
      <c r="W1884">
        <f t="shared" si="175"/>
        <v>18429897</v>
      </c>
      <c r="X1884">
        <f t="shared" si="176"/>
        <v>17829897</v>
      </c>
      <c r="Y1884">
        <f t="shared" si="177"/>
        <v>-26144845.5</v>
      </c>
      <c r="Z1884">
        <f t="shared" si="178"/>
        <v>45174742.5</v>
      </c>
      <c r="AA1884" t="str">
        <f t="shared" si="179"/>
        <v>Normal</v>
      </c>
      <c r="AE1884" s="2"/>
      <c r="AF1884" s="2"/>
    </row>
    <row r="1885" spans="1:32" x14ac:dyDescent="0.35">
      <c r="A1885">
        <v>1884</v>
      </c>
      <c r="B1885" s="1">
        <v>42451</v>
      </c>
      <c r="C1885" s="9" t="s">
        <v>3189</v>
      </c>
      <c r="D1885" s="9" t="s">
        <v>4930</v>
      </c>
      <c r="E1885" s="9" t="s">
        <v>7236</v>
      </c>
      <c r="F1885" s="9" t="s">
        <v>15</v>
      </c>
      <c r="G1885" s="9" t="s">
        <v>3190</v>
      </c>
      <c r="H1885" s="9" t="s">
        <v>105</v>
      </c>
      <c r="I1885" s="11">
        <v>18429897</v>
      </c>
      <c r="J1885" s="11">
        <v>3096203</v>
      </c>
      <c r="K1885" s="11">
        <v>7357779</v>
      </c>
      <c r="L1885" s="3">
        <v>339</v>
      </c>
      <c r="M1885" s="3">
        <v>4263</v>
      </c>
      <c r="N1885" s="3">
        <v>1257741</v>
      </c>
      <c r="O1885" s="2">
        <v>0.442</v>
      </c>
      <c r="P1885" s="2">
        <v>0.29799999999999999</v>
      </c>
      <c r="Q1885" s="2">
        <v>3.4000000000000002E-2</v>
      </c>
      <c r="R1885" s="11">
        <v>93532774</v>
      </c>
      <c r="S1885" s="11">
        <v>1535051</v>
      </c>
      <c r="T1885">
        <v>2016</v>
      </c>
      <c r="U1885">
        <v>3</v>
      </c>
      <c r="V1885">
        <f t="shared" si="174"/>
        <v>600000</v>
      </c>
      <c r="W1885">
        <f t="shared" si="175"/>
        <v>18429897</v>
      </c>
      <c r="X1885">
        <f t="shared" si="176"/>
        <v>17829897</v>
      </c>
      <c r="Y1885">
        <f t="shared" si="177"/>
        <v>-26144845.5</v>
      </c>
      <c r="Z1885">
        <f t="shared" si="178"/>
        <v>45174742.5</v>
      </c>
      <c r="AA1885" t="str">
        <f t="shared" si="179"/>
        <v>Normal</v>
      </c>
      <c r="AE1885" s="2"/>
      <c r="AF1885" s="2"/>
    </row>
    <row r="1886" spans="1:32" x14ac:dyDescent="0.35">
      <c r="A1886">
        <v>1885</v>
      </c>
      <c r="B1886" s="1">
        <v>42451</v>
      </c>
      <c r="C1886" s="9" t="s">
        <v>3191</v>
      </c>
      <c r="D1886" s="9" t="s">
        <v>4988</v>
      </c>
      <c r="E1886" s="9" t="s">
        <v>7237</v>
      </c>
      <c r="F1886" s="9" t="s">
        <v>294</v>
      </c>
      <c r="G1886" s="9" t="s">
        <v>3192</v>
      </c>
      <c r="H1886" s="9" t="s">
        <v>86</v>
      </c>
      <c r="I1886" s="11">
        <v>18429897</v>
      </c>
      <c r="J1886" s="11">
        <v>913870</v>
      </c>
      <c r="K1886" s="11">
        <v>9009425</v>
      </c>
      <c r="L1886" s="3">
        <v>254</v>
      </c>
      <c r="M1886" s="3">
        <v>4592</v>
      </c>
      <c r="N1886" s="3">
        <v>42391</v>
      </c>
      <c r="O1886" s="2">
        <v>-4.9000000000000002E-2</v>
      </c>
      <c r="P1886" s="2">
        <v>0.77200000000000002</v>
      </c>
      <c r="Q1886" s="2">
        <v>0.23100000000000001</v>
      </c>
      <c r="R1886" s="11">
        <v>120629720</v>
      </c>
      <c r="S1886" s="11">
        <v>1651129</v>
      </c>
      <c r="T1886">
        <v>2016</v>
      </c>
      <c r="U1886">
        <v>3</v>
      </c>
      <c r="V1886">
        <f t="shared" si="174"/>
        <v>600000</v>
      </c>
      <c r="W1886">
        <f t="shared" si="175"/>
        <v>18429897</v>
      </c>
      <c r="X1886">
        <f t="shared" si="176"/>
        <v>17829897</v>
      </c>
      <c r="Y1886">
        <f t="shared" si="177"/>
        <v>-26144845.5</v>
      </c>
      <c r="Z1886">
        <f t="shared" si="178"/>
        <v>45174742.5</v>
      </c>
      <c r="AA1886" t="str">
        <f t="shared" si="179"/>
        <v>Normal</v>
      </c>
      <c r="AE1886" s="2"/>
      <c r="AF1886" s="2"/>
    </row>
    <row r="1887" spans="1:32" x14ac:dyDescent="0.35">
      <c r="A1887">
        <v>1886</v>
      </c>
      <c r="B1887" s="1">
        <v>42451</v>
      </c>
      <c r="C1887" s="9" t="s">
        <v>3193</v>
      </c>
      <c r="D1887" s="9" t="s">
        <v>4988</v>
      </c>
      <c r="E1887" s="9" t="s">
        <v>7238</v>
      </c>
      <c r="F1887" s="9" t="s">
        <v>124</v>
      </c>
      <c r="G1887" s="9" t="s">
        <v>3194</v>
      </c>
      <c r="H1887" s="9" t="s">
        <v>86</v>
      </c>
      <c r="I1887" s="11">
        <v>360000</v>
      </c>
      <c r="J1887" s="11">
        <v>3260461</v>
      </c>
      <c r="K1887" s="11">
        <v>1530874</v>
      </c>
      <c r="L1887" s="3">
        <v>58</v>
      </c>
      <c r="M1887" s="3">
        <v>2067</v>
      </c>
      <c r="N1887" s="3">
        <v>803493</v>
      </c>
      <c r="O1887" s="2">
        <v>0.215</v>
      </c>
      <c r="P1887" s="2">
        <v>1.0109999999999999</v>
      </c>
      <c r="Q1887" s="2">
        <v>-0.17299999999999999</v>
      </c>
      <c r="R1887" s="11">
        <v>244653357</v>
      </c>
      <c r="S1887" s="11">
        <v>662134</v>
      </c>
      <c r="T1887">
        <v>2016</v>
      </c>
      <c r="U1887">
        <v>3</v>
      </c>
      <c r="V1887">
        <f t="shared" si="174"/>
        <v>600000</v>
      </c>
      <c r="W1887">
        <f t="shared" si="175"/>
        <v>18429897</v>
      </c>
      <c r="X1887">
        <f t="shared" si="176"/>
        <v>17829897</v>
      </c>
      <c r="Y1887">
        <f t="shared" si="177"/>
        <v>-26144845.5</v>
      </c>
      <c r="Z1887">
        <f t="shared" si="178"/>
        <v>45174742.5</v>
      </c>
      <c r="AA1887" t="str">
        <f t="shared" si="179"/>
        <v>Normal</v>
      </c>
      <c r="AE1887" s="2"/>
      <c r="AF1887" s="2"/>
    </row>
    <row r="1888" spans="1:32" x14ac:dyDescent="0.35">
      <c r="A1888">
        <v>1887</v>
      </c>
      <c r="B1888" s="1">
        <v>42451</v>
      </c>
      <c r="C1888" s="9" t="s">
        <v>3195</v>
      </c>
      <c r="D1888" s="9" t="s">
        <v>4988</v>
      </c>
      <c r="E1888" s="9" t="s">
        <v>3196</v>
      </c>
      <c r="F1888" s="9" t="s">
        <v>408</v>
      </c>
      <c r="G1888" s="9" t="s">
        <v>3197</v>
      </c>
      <c r="H1888" s="9" t="s">
        <v>86</v>
      </c>
      <c r="I1888" s="11">
        <v>18429897</v>
      </c>
      <c r="J1888" s="11">
        <v>2079568</v>
      </c>
      <c r="K1888" s="11">
        <v>14057882</v>
      </c>
      <c r="L1888" s="3">
        <v>458</v>
      </c>
      <c r="M1888" s="3">
        <v>3376</v>
      </c>
      <c r="N1888" s="3">
        <v>474341</v>
      </c>
      <c r="O1888" s="2">
        <v>0.21299999999999999</v>
      </c>
      <c r="P1888" s="2">
        <v>1.183E-2</v>
      </c>
      <c r="Q1888" s="2">
        <v>-0.11800000000000001</v>
      </c>
      <c r="R1888" s="11">
        <v>337213956</v>
      </c>
      <c r="S1888" s="11">
        <v>1271770</v>
      </c>
      <c r="T1888">
        <v>2016</v>
      </c>
      <c r="U1888">
        <v>3</v>
      </c>
      <c r="V1888">
        <f t="shared" si="174"/>
        <v>600000</v>
      </c>
      <c r="W1888">
        <f t="shared" si="175"/>
        <v>18429897</v>
      </c>
      <c r="X1888">
        <f t="shared" si="176"/>
        <v>17829897</v>
      </c>
      <c r="Y1888">
        <f t="shared" si="177"/>
        <v>-26144845.5</v>
      </c>
      <c r="Z1888">
        <f t="shared" si="178"/>
        <v>45174742.5</v>
      </c>
      <c r="AA1888" t="str">
        <f t="shared" si="179"/>
        <v>Normal</v>
      </c>
      <c r="AE1888" s="2"/>
      <c r="AF1888" s="2"/>
    </row>
    <row r="1889" spans="1:32" x14ac:dyDescent="0.35">
      <c r="A1889">
        <v>1888</v>
      </c>
      <c r="B1889" s="1">
        <v>42452</v>
      </c>
      <c r="C1889" s="9" t="s">
        <v>3198</v>
      </c>
      <c r="D1889" s="9" t="s">
        <v>4930</v>
      </c>
      <c r="E1889" s="9" t="s">
        <v>7239</v>
      </c>
      <c r="F1889" s="9" t="s">
        <v>124</v>
      </c>
      <c r="G1889" s="9" t="s">
        <v>3199</v>
      </c>
      <c r="H1889" s="9" t="s">
        <v>86</v>
      </c>
      <c r="I1889" s="11">
        <v>100000</v>
      </c>
      <c r="J1889" s="11">
        <v>326154</v>
      </c>
      <c r="K1889" s="11">
        <v>8429462</v>
      </c>
      <c r="L1889" s="3">
        <v>181</v>
      </c>
      <c r="M1889" s="3">
        <v>3061</v>
      </c>
      <c r="N1889" s="3">
        <v>136153</v>
      </c>
      <c r="O1889" s="2">
        <v>0.10099999999999999</v>
      </c>
      <c r="P1889" s="2">
        <v>1.1079999999999999</v>
      </c>
      <c r="Q1889" s="2">
        <v>0.13800000000000001</v>
      </c>
      <c r="R1889" s="11">
        <v>349432943</v>
      </c>
      <c r="S1889" s="11">
        <v>1008193.5</v>
      </c>
      <c r="T1889">
        <v>2016</v>
      </c>
      <c r="U1889">
        <v>3</v>
      </c>
      <c r="V1889">
        <f t="shared" si="174"/>
        <v>600000</v>
      </c>
      <c r="W1889">
        <f t="shared" si="175"/>
        <v>18429897</v>
      </c>
      <c r="X1889">
        <f t="shared" si="176"/>
        <v>17829897</v>
      </c>
      <c r="Y1889">
        <f t="shared" si="177"/>
        <v>-26144845.5</v>
      </c>
      <c r="Z1889">
        <f t="shared" si="178"/>
        <v>45174742.5</v>
      </c>
      <c r="AA1889" t="str">
        <f t="shared" si="179"/>
        <v>Normal</v>
      </c>
      <c r="AE1889" s="2"/>
      <c r="AF1889" s="2"/>
    </row>
    <row r="1890" spans="1:32" x14ac:dyDescent="0.35">
      <c r="A1890">
        <v>1889</v>
      </c>
      <c r="B1890" s="1">
        <v>42452</v>
      </c>
      <c r="C1890" s="9" t="s">
        <v>3200</v>
      </c>
      <c r="D1890" s="9" t="s">
        <v>4930</v>
      </c>
      <c r="E1890" s="9" t="s">
        <v>7240</v>
      </c>
      <c r="F1890" s="9" t="s">
        <v>35</v>
      </c>
      <c r="G1890" s="9" t="s">
        <v>3201</v>
      </c>
      <c r="H1890" s="9" t="s">
        <v>86</v>
      </c>
      <c r="I1890" s="11">
        <v>300000</v>
      </c>
      <c r="J1890" s="11">
        <v>2260299</v>
      </c>
      <c r="K1890" s="11">
        <v>1311165</v>
      </c>
      <c r="L1890" s="3">
        <v>119</v>
      </c>
      <c r="M1890" s="3">
        <v>2664</v>
      </c>
      <c r="N1890" s="3">
        <v>932753</v>
      </c>
      <c r="O1890" s="2">
        <v>0.308</v>
      </c>
      <c r="P1890" s="2">
        <v>0.30599999999999999</v>
      </c>
      <c r="Q1890" s="2">
        <v>-0.14099999999999999</v>
      </c>
      <c r="R1890" s="11">
        <v>308731830</v>
      </c>
      <c r="S1890" s="11">
        <v>1778538</v>
      </c>
      <c r="T1890">
        <v>2016</v>
      </c>
      <c r="U1890">
        <v>3</v>
      </c>
      <c r="V1890">
        <f t="shared" si="174"/>
        <v>600000</v>
      </c>
      <c r="W1890">
        <f t="shared" si="175"/>
        <v>18429897</v>
      </c>
      <c r="X1890">
        <f t="shared" si="176"/>
        <v>17829897</v>
      </c>
      <c r="Y1890">
        <f t="shared" si="177"/>
        <v>-26144845.5</v>
      </c>
      <c r="Z1890">
        <f t="shared" si="178"/>
        <v>45174742.5</v>
      </c>
      <c r="AA1890" t="str">
        <f t="shared" si="179"/>
        <v>Normal</v>
      </c>
      <c r="AE1890" s="2"/>
      <c r="AF1890" s="2"/>
    </row>
    <row r="1891" spans="1:32" x14ac:dyDescent="0.35">
      <c r="A1891">
        <v>1890</v>
      </c>
      <c r="B1891" s="1">
        <v>42452</v>
      </c>
      <c r="C1891" s="9" t="s">
        <v>1663</v>
      </c>
      <c r="D1891" s="9" t="s">
        <v>4925</v>
      </c>
      <c r="E1891" s="9" t="s">
        <v>6300</v>
      </c>
      <c r="F1891" s="9" t="s">
        <v>27</v>
      </c>
      <c r="G1891" s="9" t="s">
        <v>3202</v>
      </c>
      <c r="H1891" s="9" t="s">
        <v>86</v>
      </c>
      <c r="I1891" s="11">
        <v>18429897</v>
      </c>
      <c r="J1891" s="11">
        <v>942454</v>
      </c>
      <c r="K1891" s="11">
        <v>170307</v>
      </c>
      <c r="L1891" s="3">
        <v>248</v>
      </c>
      <c r="M1891" s="3">
        <v>1798</v>
      </c>
      <c r="N1891" s="3">
        <v>1405409</v>
      </c>
      <c r="O1891" s="2">
        <v>0.218</v>
      </c>
      <c r="P1891" s="2">
        <v>0.27699999999999997</v>
      </c>
      <c r="Q1891" s="2">
        <v>-0.24099999999999999</v>
      </c>
      <c r="R1891" s="11">
        <v>149345425</v>
      </c>
      <c r="S1891" s="11">
        <v>167790</v>
      </c>
      <c r="T1891">
        <v>2016</v>
      </c>
      <c r="U1891">
        <v>3</v>
      </c>
      <c r="V1891">
        <f t="shared" si="174"/>
        <v>600000</v>
      </c>
      <c r="W1891">
        <f t="shared" si="175"/>
        <v>18429897</v>
      </c>
      <c r="X1891">
        <f t="shared" si="176"/>
        <v>17829897</v>
      </c>
      <c r="Y1891">
        <f t="shared" si="177"/>
        <v>-26144845.5</v>
      </c>
      <c r="Z1891">
        <f t="shared" si="178"/>
        <v>45174742.5</v>
      </c>
      <c r="AA1891" t="str">
        <f t="shared" si="179"/>
        <v>Normal</v>
      </c>
      <c r="AE1891" s="2"/>
      <c r="AF1891" s="2"/>
    </row>
    <row r="1892" spans="1:32" x14ac:dyDescent="0.35">
      <c r="A1892">
        <v>1891</v>
      </c>
      <c r="B1892" s="1">
        <v>42452</v>
      </c>
      <c r="C1892" s="9" t="s">
        <v>847</v>
      </c>
      <c r="D1892" s="9" t="s">
        <v>4988</v>
      </c>
      <c r="E1892" s="9" t="s">
        <v>7241</v>
      </c>
      <c r="F1892" s="9" t="s">
        <v>124</v>
      </c>
      <c r="G1892" s="9" t="s">
        <v>3203</v>
      </c>
      <c r="H1892" s="9" t="s">
        <v>105</v>
      </c>
      <c r="I1892" s="11">
        <v>330000</v>
      </c>
      <c r="J1892" s="11">
        <v>1241389</v>
      </c>
      <c r="K1892" s="11">
        <v>10847603</v>
      </c>
      <c r="L1892" s="3">
        <v>475</v>
      </c>
      <c r="M1892" s="3">
        <v>1428</v>
      </c>
      <c r="N1892" s="3">
        <v>1062397</v>
      </c>
      <c r="O1892" s="2">
        <v>0.5</v>
      </c>
      <c r="P1892" s="2">
        <v>0.40500000000000003</v>
      </c>
      <c r="Q1892" s="2">
        <v>0.36749999999999999</v>
      </c>
      <c r="R1892" s="11">
        <v>485664123</v>
      </c>
      <c r="S1892" s="11">
        <v>1331323</v>
      </c>
      <c r="T1892">
        <v>2016</v>
      </c>
      <c r="U1892">
        <v>3</v>
      </c>
      <c r="V1892">
        <f t="shared" si="174"/>
        <v>600000</v>
      </c>
      <c r="W1892">
        <f t="shared" si="175"/>
        <v>18429897</v>
      </c>
      <c r="X1892">
        <f t="shared" si="176"/>
        <v>17829897</v>
      </c>
      <c r="Y1892">
        <f t="shared" si="177"/>
        <v>-26144845.5</v>
      </c>
      <c r="Z1892">
        <f t="shared" si="178"/>
        <v>45174742.5</v>
      </c>
      <c r="AA1892" t="str">
        <f t="shared" si="179"/>
        <v>Normal</v>
      </c>
      <c r="AE1892" s="2"/>
      <c r="AF1892" s="2"/>
    </row>
    <row r="1893" spans="1:32" x14ac:dyDescent="0.35">
      <c r="A1893">
        <v>1892</v>
      </c>
      <c r="B1893" s="1">
        <v>42452</v>
      </c>
      <c r="C1893" s="9" t="s">
        <v>3204</v>
      </c>
      <c r="D1893" s="9" t="s">
        <v>4988</v>
      </c>
      <c r="E1893" s="9" t="s">
        <v>7242</v>
      </c>
      <c r="F1893" s="9" t="s">
        <v>15</v>
      </c>
      <c r="G1893" s="9" t="s">
        <v>4860</v>
      </c>
      <c r="H1893" s="9" t="s">
        <v>86</v>
      </c>
      <c r="I1893" s="11">
        <v>18429897</v>
      </c>
      <c r="J1893" s="11">
        <v>4397409</v>
      </c>
      <c r="K1893" s="11">
        <v>13358514</v>
      </c>
      <c r="L1893" s="3">
        <v>254</v>
      </c>
      <c r="M1893" s="3">
        <v>1414</v>
      </c>
      <c r="N1893" s="3">
        <v>177483</v>
      </c>
      <c r="O1893" s="2">
        <v>9.1999999999999998E-2</v>
      </c>
      <c r="P1893" s="2">
        <v>0.48</v>
      </c>
      <c r="Q1893" s="2">
        <v>8.8000000000000009E-2</v>
      </c>
      <c r="R1893" s="11">
        <v>67034905</v>
      </c>
      <c r="S1893" s="11">
        <v>597039</v>
      </c>
      <c r="T1893">
        <v>2016</v>
      </c>
      <c r="U1893">
        <v>3</v>
      </c>
      <c r="V1893">
        <f t="shared" si="174"/>
        <v>600000</v>
      </c>
      <c r="W1893">
        <f t="shared" si="175"/>
        <v>18429897</v>
      </c>
      <c r="X1893">
        <f t="shared" si="176"/>
        <v>17829897</v>
      </c>
      <c r="Y1893">
        <f t="shared" si="177"/>
        <v>-26144845.5</v>
      </c>
      <c r="Z1893">
        <f t="shared" si="178"/>
        <v>45174742.5</v>
      </c>
      <c r="AA1893" t="str">
        <f t="shared" si="179"/>
        <v>Normal</v>
      </c>
      <c r="AE1893" s="2"/>
      <c r="AF1893" s="2"/>
    </row>
    <row r="1894" spans="1:32" x14ac:dyDescent="0.35">
      <c r="A1894">
        <v>1893</v>
      </c>
      <c r="B1894" s="1">
        <v>42452</v>
      </c>
      <c r="C1894" s="9" t="s">
        <v>1154</v>
      </c>
      <c r="D1894" s="9" t="s">
        <v>4988</v>
      </c>
      <c r="E1894" s="9" t="s">
        <v>7243</v>
      </c>
      <c r="F1894" s="9" t="s">
        <v>15</v>
      </c>
      <c r="G1894" s="9" t="s">
        <v>3205</v>
      </c>
      <c r="H1894" s="9" t="s">
        <v>105</v>
      </c>
      <c r="I1894" s="11">
        <v>500000</v>
      </c>
      <c r="J1894" s="11">
        <v>2531926</v>
      </c>
      <c r="K1894" s="11">
        <v>10991823</v>
      </c>
      <c r="L1894" s="3">
        <v>54</v>
      </c>
      <c r="M1894" s="3">
        <v>1829</v>
      </c>
      <c r="N1894" s="3">
        <v>1654560</v>
      </c>
      <c r="O1894" s="2">
        <v>0.05</v>
      </c>
      <c r="P1894" s="2">
        <v>1.0660000000000001E-2</v>
      </c>
      <c r="Q1894" s="2">
        <v>8.3000000000000004E-2</v>
      </c>
      <c r="R1894" s="11">
        <v>93352860</v>
      </c>
      <c r="S1894" s="11">
        <v>501480</v>
      </c>
      <c r="T1894">
        <v>2016</v>
      </c>
      <c r="U1894">
        <v>3</v>
      </c>
      <c r="V1894">
        <f t="shared" si="174"/>
        <v>600000</v>
      </c>
      <c r="W1894">
        <f t="shared" si="175"/>
        <v>18429897</v>
      </c>
      <c r="X1894">
        <f t="shared" si="176"/>
        <v>17829897</v>
      </c>
      <c r="Y1894">
        <f t="shared" si="177"/>
        <v>-26144845.5</v>
      </c>
      <c r="Z1894">
        <f t="shared" si="178"/>
        <v>45174742.5</v>
      </c>
      <c r="AA1894" t="str">
        <f t="shared" si="179"/>
        <v>Normal</v>
      </c>
      <c r="AE1894" s="2"/>
      <c r="AF1894" s="2"/>
    </row>
    <row r="1895" spans="1:32" x14ac:dyDescent="0.35">
      <c r="A1895">
        <v>1894</v>
      </c>
      <c r="B1895" s="1">
        <v>42453</v>
      </c>
      <c r="C1895" s="9" t="s">
        <v>3206</v>
      </c>
      <c r="D1895" s="9" t="s">
        <v>4988</v>
      </c>
      <c r="E1895" s="9" t="s">
        <v>7244</v>
      </c>
      <c r="F1895" s="9" t="s">
        <v>19</v>
      </c>
      <c r="G1895" s="9" t="s">
        <v>3207</v>
      </c>
      <c r="H1895" s="9" t="s">
        <v>86</v>
      </c>
      <c r="I1895" s="11">
        <v>150000</v>
      </c>
      <c r="J1895" s="11">
        <v>687775</v>
      </c>
      <c r="K1895" s="11">
        <v>14436916</v>
      </c>
      <c r="L1895" s="3">
        <v>344</v>
      </c>
      <c r="M1895" s="3">
        <v>3811</v>
      </c>
      <c r="N1895" s="3">
        <v>140913</v>
      </c>
      <c r="O1895" s="2">
        <v>-2.6000000000000002E-2</v>
      </c>
      <c r="P1895" s="2">
        <v>0.84499999999999997</v>
      </c>
      <c r="Q1895" s="2">
        <v>7.0999999999999994E-2</v>
      </c>
      <c r="R1895" s="11">
        <v>441148740</v>
      </c>
      <c r="S1895" s="11">
        <v>60154</v>
      </c>
      <c r="T1895">
        <v>2016</v>
      </c>
      <c r="U1895">
        <v>3</v>
      </c>
      <c r="V1895">
        <f t="shared" si="174"/>
        <v>600000</v>
      </c>
      <c r="W1895">
        <f t="shared" si="175"/>
        <v>18429897</v>
      </c>
      <c r="X1895">
        <f t="shared" si="176"/>
        <v>17829897</v>
      </c>
      <c r="Y1895">
        <f t="shared" si="177"/>
        <v>-26144845.5</v>
      </c>
      <c r="Z1895">
        <f t="shared" si="178"/>
        <v>45174742.5</v>
      </c>
      <c r="AA1895" t="str">
        <f t="shared" si="179"/>
        <v>Normal</v>
      </c>
      <c r="AE1895" s="2"/>
      <c r="AF1895" s="2"/>
    </row>
    <row r="1896" spans="1:32" x14ac:dyDescent="0.35">
      <c r="A1896">
        <v>1895</v>
      </c>
      <c r="B1896" s="1">
        <v>42457</v>
      </c>
      <c r="C1896" s="9" t="s">
        <v>3208</v>
      </c>
      <c r="D1896" s="9" t="s">
        <v>4925</v>
      </c>
      <c r="E1896" s="9" t="s">
        <v>7245</v>
      </c>
      <c r="F1896" s="9" t="s">
        <v>63</v>
      </c>
      <c r="G1896" s="9" t="s">
        <v>856</v>
      </c>
      <c r="H1896" s="9" t="s">
        <v>86</v>
      </c>
      <c r="I1896" s="11">
        <v>300000</v>
      </c>
      <c r="J1896" s="11">
        <v>4259646</v>
      </c>
      <c r="K1896" s="11">
        <v>15159369</v>
      </c>
      <c r="L1896" s="3">
        <v>334</v>
      </c>
      <c r="M1896" s="3">
        <v>4138</v>
      </c>
      <c r="N1896" s="3">
        <v>773990</v>
      </c>
      <c r="O1896" s="2">
        <v>0.10300000000000001</v>
      </c>
      <c r="P1896" s="2">
        <v>1.1420000000000001</v>
      </c>
      <c r="Q1896" s="2">
        <v>0.40399999999999997</v>
      </c>
      <c r="R1896" s="11">
        <v>72097444</v>
      </c>
      <c r="S1896" s="11">
        <v>1210251</v>
      </c>
      <c r="T1896">
        <v>2016</v>
      </c>
      <c r="U1896">
        <v>3</v>
      </c>
      <c r="V1896">
        <f t="shared" si="174"/>
        <v>606250</v>
      </c>
      <c r="W1896">
        <f t="shared" si="175"/>
        <v>18429897</v>
      </c>
      <c r="X1896">
        <f t="shared" si="176"/>
        <v>17823647</v>
      </c>
      <c r="Y1896">
        <f t="shared" si="177"/>
        <v>-26129220.5</v>
      </c>
      <c r="Z1896">
        <f t="shared" si="178"/>
        <v>45165367.5</v>
      </c>
      <c r="AA1896" t="str">
        <f t="shared" si="179"/>
        <v>Normal</v>
      </c>
      <c r="AE1896" s="2"/>
      <c r="AF1896" s="2"/>
    </row>
    <row r="1897" spans="1:32" x14ac:dyDescent="0.35">
      <c r="A1897">
        <v>1896</v>
      </c>
      <c r="B1897" s="1">
        <v>42458</v>
      </c>
      <c r="C1897" s="9" t="s">
        <v>3209</v>
      </c>
      <c r="D1897" s="9" t="s">
        <v>4988</v>
      </c>
      <c r="E1897" s="9" t="s">
        <v>7246</v>
      </c>
      <c r="F1897" s="9" t="s">
        <v>15</v>
      </c>
      <c r="G1897" s="9" t="s">
        <v>3210</v>
      </c>
      <c r="H1897" s="9" t="s">
        <v>86</v>
      </c>
      <c r="I1897" s="11">
        <v>18429897</v>
      </c>
      <c r="J1897" s="11">
        <v>2880050</v>
      </c>
      <c r="K1897" s="11">
        <v>17452127</v>
      </c>
      <c r="L1897" s="3">
        <v>254</v>
      </c>
      <c r="M1897" s="3">
        <v>610</v>
      </c>
      <c r="N1897" s="3">
        <v>1136816</v>
      </c>
      <c r="O1897" s="2">
        <v>-0.13900000000000001</v>
      </c>
      <c r="P1897" s="2">
        <v>0.61899999999999999</v>
      </c>
      <c r="Q1897" s="2">
        <v>0.17600000000000002</v>
      </c>
      <c r="R1897" s="11">
        <v>261820036</v>
      </c>
      <c r="S1897" s="11">
        <v>1008193.5</v>
      </c>
      <c r="T1897">
        <v>2016</v>
      </c>
      <c r="U1897">
        <v>3</v>
      </c>
      <c r="V1897">
        <f t="shared" si="174"/>
        <v>625000</v>
      </c>
      <c r="W1897">
        <f t="shared" si="175"/>
        <v>18429897</v>
      </c>
      <c r="X1897">
        <f t="shared" si="176"/>
        <v>17804897</v>
      </c>
      <c r="Y1897">
        <f t="shared" si="177"/>
        <v>-26082345.5</v>
      </c>
      <c r="Z1897">
        <f t="shared" si="178"/>
        <v>45137242.5</v>
      </c>
      <c r="AA1897" t="str">
        <f t="shared" si="179"/>
        <v>Normal</v>
      </c>
      <c r="AE1897" s="2"/>
      <c r="AF1897" s="2"/>
    </row>
    <row r="1898" spans="1:32" x14ac:dyDescent="0.35">
      <c r="A1898">
        <v>1897</v>
      </c>
      <c r="B1898" s="1">
        <v>42458</v>
      </c>
      <c r="C1898" s="9" t="s">
        <v>3211</v>
      </c>
      <c r="D1898" s="9" t="s">
        <v>4988</v>
      </c>
      <c r="E1898" s="9" t="s">
        <v>7247</v>
      </c>
      <c r="F1898" s="9" t="s">
        <v>27</v>
      </c>
      <c r="G1898" s="9" t="s">
        <v>3212</v>
      </c>
      <c r="H1898" s="9" t="s">
        <v>86</v>
      </c>
      <c r="I1898" s="11">
        <v>300000</v>
      </c>
      <c r="J1898" s="11">
        <v>4375384</v>
      </c>
      <c r="K1898" s="11">
        <v>19654630</v>
      </c>
      <c r="L1898" s="3">
        <v>483</v>
      </c>
      <c r="M1898" s="3">
        <v>334</v>
      </c>
      <c r="N1898" s="3">
        <v>1853696</v>
      </c>
      <c r="O1898" s="2">
        <v>0.215</v>
      </c>
      <c r="P1898" s="2">
        <v>0.61</v>
      </c>
      <c r="Q1898" s="2">
        <v>0.1</v>
      </c>
      <c r="R1898" s="11">
        <v>350916636</v>
      </c>
      <c r="S1898" s="11">
        <v>609282</v>
      </c>
      <c r="T1898">
        <v>2016</v>
      </c>
      <c r="U1898">
        <v>3</v>
      </c>
      <c r="V1898">
        <f t="shared" si="174"/>
        <v>618750</v>
      </c>
      <c r="W1898">
        <f t="shared" si="175"/>
        <v>18429897</v>
      </c>
      <c r="X1898">
        <f t="shared" si="176"/>
        <v>17811147</v>
      </c>
      <c r="Y1898">
        <f t="shared" si="177"/>
        <v>-26097970.5</v>
      </c>
      <c r="Z1898">
        <f t="shared" si="178"/>
        <v>45146617.5</v>
      </c>
      <c r="AA1898" t="str">
        <f t="shared" si="179"/>
        <v>Normal</v>
      </c>
      <c r="AE1898" s="2"/>
      <c r="AF1898" s="2"/>
    </row>
    <row r="1899" spans="1:32" x14ac:dyDescent="0.35">
      <c r="A1899">
        <v>1898</v>
      </c>
      <c r="B1899" s="1">
        <v>42458</v>
      </c>
      <c r="C1899" s="9" t="s">
        <v>3213</v>
      </c>
      <c r="D1899" s="9" t="s">
        <v>4933</v>
      </c>
      <c r="E1899" s="9" t="s">
        <v>7248</v>
      </c>
      <c r="F1899" s="9" t="s">
        <v>35</v>
      </c>
      <c r="G1899" s="9" t="s">
        <v>3214</v>
      </c>
      <c r="H1899" s="9" t="s">
        <v>105</v>
      </c>
      <c r="I1899" s="11">
        <v>4700000</v>
      </c>
      <c r="J1899" s="11">
        <v>3740435</v>
      </c>
      <c r="K1899" s="11">
        <v>17707405</v>
      </c>
      <c r="L1899" s="3">
        <v>374</v>
      </c>
      <c r="M1899" s="3">
        <v>2417</v>
      </c>
      <c r="N1899" s="3">
        <v>1507885</v>
      </c>
      <c r="O1899" s="2">
        <v>0.40100000000000002</v>
      </c>
      <c r="P1899" s="2">
        <v>0.48</v>
      </c>
      <c r="Q1899" s="2">
        <v>0.36749999999999999</v>
      </c>
      <c r="R1899" s="11">
        <v>325798995</v>
      </c>
      <c r="S1899" s="11">
        <v>683976</v>
      </c>
      <c r="T1899">
        <v>2016</v>
      </c>
      <c r="U1899">
        <v>3</v>
      </c>
      <c r="V1899">
        <f t="shared" si="174"/>
        <v>627500</v>
      </c>
      <c r="W1899">
        <f t="shared" si="175"/>
        <v>18429897</v>
      </c>
      <c r="X1899">
        <f t="shared" si="176"/>
        <v>17802397</v>
      </c>
      <c r="Y1899">
        <f t="shared" si="177"/>
        <v>-26076095.5</v>
      </c>
      <c r="Z1899">
        <f t="shared" si="178"/>
        <v>45133492.5</v>
      </c>
      <c r="AA1899" t="str">
        <f t="shared" si="179"/>
        <v>Normal</v>
      </c>
      <c r="AE1899" s="2"/>
      <c r="AF1899" s="2"/>
    </row>
    <row r="1900" spans="1:32" x14ac:dyDescent="0.35">
      <c r="A1900">
        <v>1899</v>
      </c>
      <c r="B1900" s="1">
        <v>42458</v>
      </c>
      <c r="C1900" s="9" t="s">
        <v>3215</v>
      </c>
      <c r="D1900" s="9" t="s">
        <v>4988</v>
      </c>
      <c r="E1900" s="9" t="s">
        <v>7249</v>
      </c>
      <c r="F1900" s="9" t="s">
        <v>27</v>
      </c>
      <c r="G1900" s="9" t="s">
        <v>856</v>
      </c>
      <c r="H1900" s="9" t="s">
        <v>86</v>
      </c>
      <c r="I1900" s="11">
        <v>200000</v>
      </c>
      <c r="J1900" s="11">
        <v>1709824</v>
      </c>
      <c r="K1900" s="11">
        <v>15935520</v>
      </c>
      <c r="L1900" s="3">
        <v>328</v>
      </c>
      <c r="M1900" s="3">
        <v>3854</v>
      </c>
      <c r="N1900" s="3">
        <v>387851</v>
      </c>
      <c r="O1900" s="2">
        <v>0.13</v>
      </c>
      <c r="P1900" s="2">
        <v>0.63800000000000001</v>
      </c>
      <c r="Q1900" s="2">
        <v>0.34399999999999997</v>
      </c>
      <c r="R1900" s="11">
        <v>139828139</v>
      </c>
      <c r="S1900" s="11">
        <v>363603</v>
      </c>
      <c r="T1900">
        <v>2016</v>
      </c>
      <c r="U1900">
        <v>3</v>
      </c>
      <c r="V1900">
        <f t="shared" si="174"/>
        <v>626250</v>
      </c>
      <c r="W1900">
        <f t="shared" si="175"/>
        <v>18429897</v>
      </c>
      <c r="X1900">
        <f t="shared" si="176"/>
        <v>17803647</v>
      </c>
      <c r="Y1900">
        <f t="shared" si="177"/>
        <v>-26079220.5</v>
      </c>
      <c r="Z1900">
        <f t="shared" si="178"/>
        <v>45135367.5</v>
      </c>
      <c r="AA1900" t="str">
        <f t="shared" si="179"/>
        <v>Normal</v>
      </c>
      <c r="AE1900" s="2"/>
      <c r="AF1900" s="2"/>
    </row>
    <row r="1901" spans="1:32" x14ac:dyDescent="0.35">
      <c r="A1901">
        <v>1900</v>
      </c>
      <c r="B1901" s="1">
        <v>42458</v>
      </c>
      <c r="C1901" s="9" t="s">
        <v>3216</v>
      </c>
      <c r="D1901" s="9" t="s">
        <v>4988</v>
      </c>
      <c r="E1901" s="9" t="s">
        <v>7250</v>
      </c>
      <c r="F1901" s="9" t="s">
        <v>35</v>
      </c>
      <c r="G1901" s="9" t="s">
        <v>3217</v>
      </c>
      <c r="H1901" s="9" t="s">
        <v>86</v>
      </c>
      <c r="I1901" s="11">
        <v>500000</v>
      </c>
      <c r="J1901" s="11">
        <v>2683644</v>
      </c>
      <c r="K1901" s="11">
        <v>8676350</v>
      </c>
      <c r="L1901" s="3">
        <v>180</v>
      </c>
      <c r="M1901" s="3">
        <v>2826</v>
      </c>
      <c r="N1901" s="3">
        <v>855529</v>
      </c>
      <c r="O1901" s="2">
        <v>0.309</v>
      </c>
      <c r="P1901" s="2">
        <v>0.99099999999999999</v>
      </c>
      <c r="Q1901" s="2">
        <v>-8.199999999999999E-2</v>
      </c>
      <c r="R1901" s="11">
        <v>250264963</v>
      </c>
      <c r="S1901" s="11">
        <v>1008193.5</v>
      </c>
      <c r="T1901">
        <v>2016</v>
      </c>
      <c r="U1901">
        <v>3</v>
      </c>
      <c r="V1901">
        <f t="shared" si="174"/>
        <v>630000</v>
      </c>
      <c r="W1901">
        <f t="shared" si="175"/>
        <v>18429897</v>
      </c>
      <c r="X1901">
        <f t="shared" si="176"/>
        <v>17799897</v>
      </c>
      <c r="Y1901">
        <f t="shared" si="177"/>
        <v>-26069845.5</v>
      </c>
      <c r="Z1901">
        <f t="shared" si="178"/>
        <v>45129742.5</v>
      </c>
      <c r="AA1901" t="str">
        <f t="shared" si="179"/>
        <v>Normal</v>
      </c>
      <c r="AE1901" s="2"/>
      <c r="AF1901" s="2"/>
    </row>
    <row r="1902" spans="1:32" x14ac:dyDescent="0.35">
      <c r="A1902">
        <v>1901</v>
      </c>
      <c r="B1902" s="1">
        <v>42459</v>
      </c>
      <c r="C1902" s="9" t="s">
        <v>637</v>
      </c>
      <c r="D1902" s="9" t="s">
        <v>4930</v>
      </c>
      <c r="E1902" s="9" t="s">
        <v>7251</v>
      </c>
      <c r="F1902" s="9" t="s">
        <v>19</v>
      </c>
      <c r="G1902" s="9" t="s">
        <v>3218</v>
      </c>
      <c r="H1902" s="9" t="s">
        <v>105</v>
      </c>
      <c r="I1902" s="11">
        <v>18429897</v>
      </c>
      <c r="J1902" s="11">
        <v>2663634</v>
      </c>
      <c r="K1902" s="11">
        <v>10125393</v>
      </c>
      <c r="L1902" s="3">
        <v>450</v>
      </c>
      <c r="M1902" s="3">
        <v>4147</v>
      </c>
      <c r="N1902" s="3">
        <v>1715440</v>
      </c>
      <c r="O1902" s="2">
        <v>0.151</v>
      </c>
      <c r="P1902" s="2">
        <v>0.89700000000000002</v>
      </c>
      <c r="Q1902" s="2">
        <v>0.309</v>
      </c>
      <c r="R1902" s="11">
        <v>47776247</v>
      </c>
      <c r="S1902" s="11">
        <v>1746076</v>
      </c>
      <c r="T1902">
        <v>2016</v>
      </c>
      <c r="U1902">
        <v>3</v>
      </c>
      <c r="V1902">
        <f t="shared" si="174"/>
        <v>630000</v>
      </c>
      <c r="W1902">
        <f t="shared" si="175"/>
        <v>18429897</v>
      </c>
      <c r="X1902">
        <f t="shared" si="176"/>
        <v>17799897</v>
      </c>
      <c r="Y1902">
        <f t="shared" si="177"/>
        <v>-26069845.5</v>
      </c>
      <c r="Z1902">
        <f t="shared" si="178"/>
        <v>45129742.5</v>
      </c>
      <c r="AA1902" t="str">
        <f t="shared" si="179"/>
        <v>Normal</v>
      </c>
      <c r="AE1902" s="2"/>
      <c r="AF1902" s="2"/>
    </row>
    <row r="1903" spans="1:32" x14ac:dyDescent="0.35">
      <c r="A1903">
        <v>1902</v>
      </c>
      <c r="B1903" s="1">
        <v>42459</v>
      </c>
      <c r="C1903" s="9" t="s">
        <v>1205</v>
      </c>
      <c r="D1903" s="9" t="s">
        <v>2539</v>
      </c>
      <c r="E1903" s="9" t="s">
        <v>7252</v>
      </c>
      <c r="F1903" s="9" t="s">
        <v>15</v>
      </c>
      <c r="G1903" s="9" t="s">
        <v>3219</v>
      </c>
      <c r="H1903" s="9" t="s">
        <v>86</v>
      </c>
      <c r="I1903" s="11">
        <v>400000</v>
      </c>
      <c r="J1903" s="11">
        <v>3605308</v>
      </c>
      <c r="K1903" s="11">
        <v>12359317</v>
      </c>
      <c r="L1903" s="3">
        <v>471</v>
      </c>
      <c r="M1903" s="3">
        <v>3581</v>
      </c>
      <c r="N1903" s="3">
        <v>495583</v>
      </c>
      <c r="O1903" s="2">
        <v>-8.4000000000000005E-2</v>
      </c>
      <c r="P1903" s="2">
        <v>0.99</v>
      </c>
      <c r="Q1903" s="2">
        <v>0.54299999999999993</v>
      </c>
      <c r="R1903" s="11">
        <v>259805705</v>
      </c>
      <c r="S1903" s="11">
        <v>1666310</v>
      </c>
      <c r="T1903">
        <v>2016</v>
      </c>
      <c r="U1903">
        <v>3</v>
      </c>
      <c r="V1903">
        <f t="shared" si="174"/>
        <v>630000</v>
      </c>
      <c r="W1903">
        <f t="shared" si="175"/>
        <v>18429897</v>
      </c>
      <c r="X1903">
        <f t="shared" si="176"/>
        <v>17799897</v>
      </c>
      <c r="Y1903">
        <f t="shared" si="177"/>
        <v>-26069845.5</v>
      </c>
      <c r="Z1903">
        <f t="shared" si="178"/>
        <v>45129742.5</v>
      </c>
      <c r="AA1903" t="str">
        <f t="shared" si="179"/>
        <v>Normal</v>
      </c>
      <c r="AE1903" s="2"/>
      <c r="AF1903" s="2"/>
    </row>
    <row r="1904" spans="1:32" x14ac:dyDescent="0.35">
      <c r="A1904">
        <v>1903</v>
      </c>
      <c r="B1904" s="1">
        <v>42460</v>
      </c>
      <c r="C1904" s="9" t="s">
        <v>3220</v>
      </c>
      <c r="D1904" s="9" t="s">
        <v>4988</v>
      </c>
      <c r="E1904" s="9" t="s">
        <v>7253</v>
      </c>
      <c r="F1904" s="9" t="s">
        <v>31</v>
      </c>
      <c r="G1904" s="9" t="s">
        <v>3221</v>
      </c>
      <c r="H1904" s="9" t="s">
        <v>86</v>
      </c>
      <c r="I1904" s="11">
        <v>18429897</v>
      </c>
      <c r="J1904" s="11">
        <v>1257063</v>
      </c>
      <c r="K1904" s="11">
        <v>3472118</v>
      </c>
      <c r="L1904" s="3">
        <v>495</v>
      </c>
      <c r="M1904" s="3">
        <v>3544</v>
      </c>
      <c r="N1904" s="3">
        <v>1808608</v>
      </c>
      <c r="O1904" s="2">
        <v>0.52100000000000002</v>
      </c>
      <c r="P1904" s="2">
        <v>1.0309999999999999</v>
      </c>
      <c r="Q1904" s="2">
        <v>0.54400000000000004</v>
      </c>
      <c r="R1904" s="11">
        <v>440014612</v>
      </c>
      <c r="S1904" s="11">
        <v>1352594</v>
      </c>
      <c r="T1904">
        <v>2016</v>
      </c>
      <c r="U1904">
        <v>3</v>
      </c>
      <c r="V1904">
        <f t="shared" si="174"/>
        <v>632500</v>
      </c>
      <c r="W1904">
        <f t="shared" si="175"/>
        <v>18429897</v>
      </c>
      <c r="X1904">
        <f t="shared" si="176"/>
        <v>17797397</v>
      </c>
      <c r="Y1904">
        <f t="shared" si="177"/>
        <v>-26063595.5</v>
      </c>
      <c r="Z1904">
        <f t="shared" si="178"/>
        <v>45125992.5</v>
      </c>
      <c r="AA1904" t="str">
        <f t="shared" si="179"/>
        <v>Normal</v>
      </c>
      <c r="AE1904" s="2"/>
      <c r="AF1904" s="2"/>
    </row>
    <row r="1905" spans="1:32" x14ac:dyDescent="0.35">
      <c r="A1905">
        <v>1904</v>
      </c>
      <c r="B1905" s="1">
        <v>42460</v>
      </c>
      <c r="C1905" s="9" t="s">
        <v>3222</v>
      </c>
      <c r="D1905" s="9" t="s">
        <v>2539</v>
      </c>
      <c r="E1905" s="9" t="s">
        <v>7254</v>
      </c>
      <c r="F1905" s="9" t="s">
        <v>124</v>
      </c>
      <c r="G1905" s="9" t="s">
        <v>1315</v>
      </c>
      <c r="H1905" s="9" t="s">
        <v>86</v>
      </c>
      <c r="I1905" s="11">
        <v>18429897</v>
      </c>
      <c r="J1905" s="11">
        <v>1678780</v>
      </c>
      <c r="K1905" s="11">
        <v>13585269</v>
      </c>
      <c r="L1905" s="3">
        <v>477</v>
      </c>
      <c r="M1905" s="3">
        <v>2715</v>
      </c>
      <c r="N1905" s="3">
        <v>1066913</v>
      </c>
      <c r="O1905" s="2">
        <v>-0.36399999999999999</v>
      </c>
      <c r="P1905" s="2">
        <v>0.20399999999999999</v>
      </c>
      <c r="Q1905" s="2">
        <v>0.34399999999999997</v>
      </c>
      <c r="R1905" s="11">
        <v>162756093</v>
      </c>
      <c r="S1905" s="11">
        <v>1586717</v>
      </c>
      <c r="T1905">
        <v>2016</v>
      </c>
      <c r="U1905">
        <v>3</v>
      </c>
      <c r="V1905">
        <f t="shared" si="174"/>
        <v>630000</v>
      </c>
      <c r="W1905">
        <f t="shared" si="175"/>
        <v>18429897</v>
      </c>
      <c r="X1905">
        <f t="shared" si="176"/>
        <v>17799897</v>
      </c>
      <c r="Y1905">
        <f t="shared" si="177"/>
        <v>-26069845.5</v>
      </c>
      <c r="Z1905">
        <f t="shared" si="178"/>
        <v>45129742.5</v>
      </c>
      <c r="AA1905" t="str">
        <f t="shared" si="179"/>
        <v>Normal</v>
      </c>
      <c r="AE1905" s="2"/>
      <c r="AF1905" s="2"/>
    </row>
    <row r="1906" spans="1:32" x14ac:dyDescent="0.35">
      <c r="A1906">
        <v>1905</v>
      </c>
      <c r="B1906" s="1">
        <v>42401</v>
      </c>
      <c r="C1906" s="9" t="s">
        <v>3223</v>
      </c>
      <c r="D1906" s="9" t="s">
        <v>4925</v>
      </c>
      <c r="E1906" s="9" t="s">
        <v>7255</v>
      </c>
      <c r="F1906" s="9" t="s">
        <v>27</v>
      </c>
      <c r="G1906" s="9" t="s">
        <v>3224</v>
      </c>
      <c r="H1906" s="9" t="s">
        <v>86</v>
      </c>
      <c r="I1906" s="11">
        <v>18429897</v>
      </c>
      <c r="J1906" s="11">
        <v>1239086</v>
      </c>
      <c r="K1906" s="11">
        <v>11806393</v>
      </c>
      <c r="L1906" s="3">
        <v>322</v>
      </c>
      <c r="M1906" s="3">
        <v>319</v>
      </c>
      <c r="N1906" s="3">
        <v>1253411</v>
      </c>
      <c r="O1906" s="2">
        <v>0.122</v>
      </c>
      <c r="P1906" s="2">
        <v>0.43700000000000006</v>
      </c>
      <c r="Q1906" s="2">
        <v>0.19699999999999998</v>
      </c>
      <c r="R1906" s="11">
        <v>470389032</v>
      </c>
      <c r="S1906" s="11">
        <v>1759665</v>
      </c>
      <c r="T1906">
        <v>2016</v>
      </c>
      <c r="U1906">
        <v>2</v>
      </c>
      <c r="V1906">
        <f t="shared" si="174"/>
        <v>630000</v>
      </c>
      <c r="W1906">
        <f t="shared" si="175"/>
        <v>18429897</v>
      </c>
      <c r="X1906">
        <f t="shared" si="176"/>
        <v>17799897</v>
      </c>
      <c r="Y1906">
        <f t="shared" si="177"/>
        <v>-26069845.5</v>
      </c>
      <c r="Z1906">
        <f t="shared" si="178"/>
        <v>45129742.5</v>
      </c>
      <c r="AA1906" t="str">
        <f t="shared" si="179"/>
        <v>Normal</v>
      </c>
      <c r="AE1906" s="2"/>
      <c r="AF1906" s="2"/>
    </row>
    <row r="1907" spans="1:32" x14ac:dyDescent="0.35">
      <c r="A1907">
        <v>1906</v>
      </c>
      <c r="B1907" s="1">
        <v>42402</v>
      </c>
      <c r="C1907" s="9" t="s">
        <v>3225</v>
      </c>
      <c r="D1907" s="9" t="s">
        <v>4930</v>
      </c>
      <c r="E1907" s="9" t="s">
        <v>7256</v>
      </c>
      <c r="F1907" s="9" t="s">
        <v>41</v>
      </c>
      <c r="G1907" s="9" t="s">
        <v>4861</v>
      </c>
      <c r="H1907" s="9" t="s">
        <v>105</v>
      </c>
      <c r="I1907" s="11">
        <v>4000000</v>
      </c>
      <c r="J1907" s="11">
        <v>1494791</v>
      </c>
      <c r="K1907" s="11">
        <v>10451883</v>
      </c>
      <c r="L1907" s="3">
        <v>478</v>
      </c>
      <c r="M1907" s="3">
        <v>939</v>
      </c>
      <c r="N1907" s="3">
        <v>1325843</v>
      </c>
      <c r="O1907" s="2">
        <v>-3.4000000000000002E-2</v>
      </c>
      <c r="P1907" s="2">
        <v>0.85400000000000009</v>
      </c>
      <c r="Q1907" s="2">
        <v>0.17300000000000001</v>
      </c>
      <c r="R1907" s="11">
        <v>415115329</v>
      </c>
      <c r="S1907" s="11">
        <v>66749</v>
      </c>
      <c r="T1907">
        <v>2016</v>
      </c>
      <c r="U1907">
        <v>2</v>
      </c>
      <c r="V1907">
        <f t="shared" si="174"/>
        <v>630000</v>
      </c>
      <c r="W1907">
        <f t="shared" si="175"/>
        <v>18429897</v>
      </c>
      <c r="X1907">
        <f t="shared" si="176"/>
        <v>17799897</v>
      </c>
      <c r="Y1907">
        <f t="shared" si="177"/>
        <v>-26069845.5</v>
      </c>
      <c r="Z1907">
        <f t="shared" si="178"/>
        <v>45129742.5</v>
      </c>
      <c r="AA1907" t="str">
        <f t="shared" si="179"/>
        <v>Normal</v>
      </c>
      <c r="AE1907" s="2"/>
      <c r="AF1907" s="2"/>
    </row>
    <row r="1908" spans="1:32" x14ac:dyDescent="0.35">
      <c r="A1908">
        <v>1907</v>
      </c>
      <c r="B1908" s="1">
        <v>42402</v>
      </c>
      <c r="C1908" s="9" t="s">
        <v>3226</v>
      </c>
      <c r="D1908" s="9" t="s">
        <v>4988</v>
      </c>
      <c r="E1908" s="9" t="s">
        <v>7257</v>
      </c>
      <c r="F1908" s="9" t="s">
        <v>15</v>
      </c>
      <c r="G1908" s="9" t="s">
        <v>4862</v>
      </c>
      <c r="H1908" s="9" t="s">
        <v>86</v>
      </c>
      <c r="I1908" s="11">
        <v>18429897</v>
      </c>
      <c r="J1908" s="11">
        <v>823045</v>
      </c>
      <c r="K1908" s="11">
        <v>16702547</v>
      </c>
      <c r="L1908" s="3">
        <v>392</v>
      </c>
      <c r="M1908" s="3">
        <v>2505.5</v>
      </c>
      <c r="N1908" s="3">
        <v>1935050</v>
      </c>
      <c r="O1908" s="2">
        <v>0.436</v>
      </c>
      <c r="P1908" s="2">
        <v>0.64599999999999991</v>
      </c>
      <c r="Q1908" s="2">
        <v>0.46399999999999997</v>
      </c>
      <c r="R1908" s="11">
        <v>37409351</v>
      </c>
      <c r="S1908" s="11">
        <v>749684</v>
      </c>
      <c r="T1908">
        <v>2016</v>
      </c>
      <c r="U1908">
        <v>2</v>
      </c>
      <c r="V1908">
        <f t="shared" si="174"/>
        <v>630000</v>
      </c>
      <c r="W1908">
        <f t="shared" si="175"/>
        <v>18429897</v>
      </c>
      <c r="X1908">
        <f t="shared" si="176"/>
        <v>17799897</v>
      </c>
      <c r="Y1908">
        <f t="shared" si="177"/>
        <v>-26069845.5</v>
      </c>
      <c r="Z1908">
        <f t="shared" si="178"/>
        <v>45129742.5</v>
      </c>
      <c r="AA1908" t="str">
        <f t="shared" si="179"/>
        <v>Normal</v>
      </c>
      <c r="AE1908" s="2"/>
      <c r="AF1908" s="2"/>
    </row>
    <row r="1909" spans="1:32" x14ac:dyDescent="0.35">
      <c r="A1909">
        <v>1908</v>
      </c>
      <c r="B1909" s="1">
        <v>42402</v>
      </c>
      <c r="C1909" s="9" t="s">
        <v>3227</v>
      </c>
      <c r="D1909" s="9" t="s">
        <v>4988</v>
      </c>
      <c r="E1909" s="9" t="s">
        <v>7258</v>
      </c>
      <c r="F1909" s="9" t="s">
        <v>15</v>
      </c>
      <c r="G1909" s="9" t="s">
        <v>3228</v>
      </c>
      <c r="H1909" s="9" t="s">
        <v>86</v>
      </c>
      <c r="I1909" s="11">
        <v>22500</v>
      </c>
      <c r="J1909" s="11">
        <v>202001</v>
      </c>
      <c r="K1909" s="11">
        <v>13774602</v>
      </c>
      <c r="L1909" s="3">
        <v>123</v>
      </c>
      <c r="M1909" s="3">
        <v>1578</v>
      </c>
      <c r="N1909" s="3">
        <v>1375630</v>
      </c>
      <c r="O1909" s="2">
        <v>0.16300000000000001</v>
      </c>
      <c r="P1909" s="2">
        <v>0.317</v>
      </c>
      <c r="Q1909" s="2">
        <v>-0.23399999999999999</v>
      </c>
      <c r="R1909" s="11">
        <v>467810609</v>
      </c>
      <c r="S1909" s="11">
        <v>1453572</v>
      </c>
      <c r="T1909">
        <v>2016</v>
      </c>
      <c r="U1909">
        <v>2</v>
      </c>
      <c r="V1909">
        <f t="shared" si="174"/>
        <v>630000</v>
      </c>
      <c r="W1909">
        <f t="shared" si="175"/>
        <v>18429897</v>
      </c>
      <c r="X1909">
        <f t="shared" si="176"/>
        <v>17799897</v>
      </c>
      <c r="Y1909">
        <f t="shared" si="177"/>
        <v>-26069845.5</v>
      </c>
      <c r="Z1909">
        <f t="shared" si="178"/>
        <v>45129742.5</v>
      </c>
      <c r="AA1909" t="str">
        <f t="shared" si="179"/>
        <v>Normal</v>
      </c>
      <c r="AE1909" s="2"/>
      <c r="AF1909" s="2"/>
    </row>
    <row r="1910" spans="1:32" x14ac:dyDescent="0.35">
      <c r="A1910">
        <v>1909</v>
      </c>
      <c r="B1910" s="1">
        <v>42402</v>
      </c>
      <c r="C1910" s="9" t="s">
        <v>3229</v>
      </c>
      <c r="D1910" s="9" t="s">
        <v>4988</v>
      </c>
      <c r="E1910" s="9" t="s">
        <v>7259</v>
      </c>
      <c r="F1910" s="9" t="s">
        <v>15</v>
      </c>
      <c r="G1910" s="9" t="s">
        <v>3228</v>
      </c>
      <c r="H1910" s="9" t="s">
        <v>86</v>
      </c>
      <c r="I1910" s="11">
        <v>22500</v>
      </c>
      <c r="J1910" s="11">
        <v>4701294</v>
      </c>
      <c r="K1910" s="11">
        <v>18655039</v>
      </c>
      <c r="L1910" s="3">
        <v>20</v>
      </c>
      <c r="M1910" s="3">
        <v>3629</v>
      </c>
      <c r="N1910" s="3">
        <v>821233</v>
      </c>
      <c r="O1910" s="2">
        <v>0.63100000000000001</v>
      </c>
      <c r="P1910" s="2">
        <v>0.26500000000000001</v>
      </c>
      <c r="Q1910" s="2">
        <v>0.41700000000000004</v>
      </c>
      <c r="R1910" s="11">
        <v>354971668</v>
      </c>
      <c r="S1910" s="11">
        <v>106606</v>
      </c>
      <c r="T1910">
        <v>2016</v>
      </c>
      <c r="U1910">
        <v>2</v>
      </c>
      <c r="V1910">
        <f t="shared" si="174"/>
        <v>630000</v>
      </c>
      <c r="W1910">
        <f t="shared" si="175"/>
        <v>18429897</v>
      </c>
      <c r="X1910">
        <f t="shared" si="176"/>
        <v>17799897</v>
      </c>
      <c r="Y1910">
        <f t="shared" si="177"/>
        <v>-26069845.5</v>
      </c>
      <c r="Z1910">
        <f t="shared" si="178"/>
        <v>45129742.5</v>
      </c>
      <c r="AA1910" t="str">
        <f t="shared" si="179"/>
        <v>Normal</v>
      </c>
      <c r="AE1910" s="2"/>
      <c r="AF1910" s="2"/>
    </row>
    <row r="1911" spans="1:32" x14ac:dyDescent="0.35">
      <c r="A1911">
        <v>1910</v>
      </c>
      <c r="B1911" s="1">
        <v>42402</v>
      </c>
      <c r="C1911" s="9" t="s">
        <v>3230</v>
      </c>
      <c r="D1911" s="9" t="s">
        <v>4930</v>
      </c>
      <c r="E1911" s="9" t="s">
        <v>7260</v>
      </c>
      <c r="F1911" s="9" t="s">
        <v>19</v>
      </c>
      <c r="G1911" s="9" t="s">
        <v>3228</v>
      </c>
      <c r="H1911" s="9" t="s">
        <v>86</v>
      </c>
      <c r="I1911" s="11">
        <v>22500</v>
      </c>
      <c r="J1911" s="11">
        <v>390090</v>
      </c>
      <c r="K1911" s="11">
        <v>19532572</v>
      </c>
      <c r="L1911" s="3">
        <v>490</v>
      </c>
      <c r="M1911" s="3">
        <v>1729</v>
      </c>
      <c r="N1911" s="3">
        <v>1180137</v>
      </c>
      <c r="O1911" s="2">
        <v>0.127</v>
      </c>
      <c r="P1911" s="2">
        <v>1.143</v>
      </c>
      <c r="Q1911" s="2">
        <v>0.13300000000000001</v>
      </c>
      <c r="R1911" s="11">
        <v>94128955</v>
      </c>
      <c r="S1911" s="11">
        <v>1314997</v>
      </c>
      <c r="T1911">
        <v>2016</v>
      </c>
      <c r="U1911">
        <v>2</v>
      </c>
      <c r="V1911">
        <f t="shared" si="174"/>
        <v>635000</v>
      </c>
      <c r="W1911">
        <f t="shared" si="175"/>
        <v>18429897</v>
      </c>
      <c r="X1911">
        <f t="shared" si="176"/>
        <v>17794897</v>
      </c>
      <c r="Y1911">
        <f t="shared" si="177"/>
        <v>-26057345.5</v>
      </c>
      <c r="Z1911">
        <f t="shared" si="178"/>
        <v>45122242.5</v>
      </c>
      <c r="AA1911" t="str">
        <f t="shared" si="179"/>
        <v>Normal</v>
      </c>
      <c r="AE1911" s="2"/>
      <c r="AF1911" s="2"/>
    </row>
    <row r="1912" spans="1:32" x14ac:dyDescent="0.35">
      <c r="A1912">
        <v>1911</v>
      </c>
      <c r="B1912" s="1">
        <v>42402</v>
      </c>
      <c r="C1912" s="9" t="s">
        <v>3231</v>
      </c>
      <c r="D1912" s="9" t="s">
        <v>4930</v>
      </c>
      <c r="E1912" s="9" t="s">
        <v>7261</v>
      </c>
      <c r="F1912" s="9" t="s">
        <v>31</v>
      </c>
      <c r="G1912" s="9" t="s">
        <v>3228</v>
      </c>
      <c r="H1912" s="9" t="s">
        <v>86</v>
      </c>
      <c r="I1912" s="11">
        <v>22500</v>
      </c>
      <c r="J1912" s="11">
        <v>4442184</v>
      </c>
      <c r="K1912" s="11">
        <v>16523676</v>
      </c>
      <c r="L1912" s="3">
        <v>216</v>
      </c>
      <c r="M1912" s="3">
        <v>114</v>
      </c>
      <c r="N1912" s="3">
        <v>1398596</v>
      </c>
      <c r="O1912" s="2">
        <v>-3.2000000000000001E-2</v>
      </c>
      <c r="P1912" s="2">
        <v>1.048</v>
      </c>
      <c r="Q1912" s="2">
        <v>-0.13100000000000001</v>
      </c>
      <c r="R1912" s="11">
        <v>112492053</v>
      </c>
      <c r="S1912" s="11">
        <v>1268506</v>
      </c>
      <c r="T1912">
        <v>2016</v>
      </c>
      <c r="U1912">
        <v>2</v>
      </c>
      <c r="V1912">
        <f t="shared" si="174"/>
        <v>642500</v>
      </c>
      <c r="W1912">
        <f t="shared" si="175"/>
        <v>18429897</v>
      </c>
      <c r="X1912">
        <f t="shared" si="176"/>
        <v>17787397</v>
      </c>
      <c r="Y1912">
        <f t="shared" si="177"/>
        <v>-26038595.5</v>
      </c>
      <c r="Z1912">
        <f t="shared" si="178"/>
        <v>45110992.5</v>
      </c>
      <c r="AA1912" t="str">
        <f t="shared" si="179"/>
        <v>Normal</v>
      </c>
      <c r="AE1912" s="2"/>
      <c r="AF1912" s="2"/>
    </row>
    <row r="1913" spans="1:32" x14ac:dyDescent="0.35">
      <c r="A1913">
        <v>1912</v>
      </c>
      <c r="B1913" s="1">
        <v>42403</v>
      </c>
      <c r="C1913" s="9" t="s">
        <v>3232</v>
      </c>
      <c r="D1913" s="9" t="s">
        <v>4988</v>
      </c>
      <c r="E1913" s="9" t="s">
        <v>7262</v>
      </c>
      <c r="F1913" s="9" t="s">
        <v>3233</v>
      </c>
      <c r="G1913" s="9" t="s">
        <v>3234</v>
      </c>
      <c r="H1913" s="9" t="s">
        <v>86</v>
      </c>
      <c r="I1913" s="11">
        <v>1000000</v>
      </c>
      <c r="J1913" s="11">
        <v>35327</v>
      </c>
      <c r="K1913" s="11">
        <v>6028367</v>
      </c>
      <c r="L1913" s="3">
        <v>437</v>
      </c>
      <c r="M1913" s="3">
        <v>3397</v>
      </c>
      <c r="N1913" s="3">
        <v>1196070</v>
      </c>
      <c r="O1913" s="2">
        <v>-0.222</v>
      </c>
      <c r="P1913" s="2">
        <v>0.51900000000000002</v>
      </c>
      <c r="Q1913" s="2">
        <v>-0.19500000000000001</v>
      </c>
      <c r="R1913" s="11">
        <v>249451139</v>
      </c>
      <c r="S1913" s="11">
        <v>734149</v>
      </c>
      <c r="T1913">
        <v>2016</v>
      </c>
      <c r="U1913">
        <v>2</v>
      </c>
      <c r="V1913">
        <f t="shared" si="174"/>
        <v>650000</v>
      </c>
      <c r="W1913">
        <f t="shared" si="175"/>
        <v>18429897</v>
      </c>
      <c r="X1913">
        <f t="shared" si="176"/>
        <v>17779897</v>
      </c>
      <c r="Y1913">
        <f t="shared" si="177"/>
        <v>-26019845.5</v>
      </c>
      <c r="Z1913">
        <f t="shared" si="178"/>
        <v>45099742.5</v>
      </c>
      <c r="AA1913" t="str">
        <f t="shared" si="179"/>
        <v>Normal</v>
      </c>
      <c r="AE1913" s="2"/>
      <c r="AF1913" s="2"/>
    </row>
    <row r="1914" spans="1:32" x14ac:dyDescent="0.35">
      <c r="A1914">
        <v>1913</v>
      </c>
      <c r="B1914" s="1">
        <v>42403</v>
      </c>
      <c r="C1914" s="9" t="s">
        <v>3235</v>
      </c>
      <c r="D1914" s="9" t="s">
        <v>4925</v>
      </c>
      <c r="E1914" s="9" t="s">
        <v>7263</v>
      </c>
      <c r="F1914" s="9" t="s">
        <v>27</v>
      </c>
      <c r="G1914" s="9" t="s">
        <v>3236</v>
      </c>
      <c r="H1914" s="9" t="s">
        <v>86</v>
      </c>
      <c r="I1914" s="11">
        <v>100000</v>
      </c>
      <c r="J1914" s="11">
        <v>3891246</v>
      </c>
      <c r="K1914" s="11">
        <v>3860475</v>
      </c>
      <c r="L1914" s="3">
        <v>147</v>
      </c>
      <c r="M1914" s="3">
        <v>4466</v>
      </c>
      <c r="N1914" s="3">
        <v>20294</v>
      </c>
      <c r="O1914" s="2">
        <v>0.34100000000000003</v>
      </c>
      <c r="P1914" s="2">
        <v>0.83900000000000008</v>
      </c>
      <c r="Q1914" s="2">
        <v>-0.32600000000000001</v>
      </c>
      <c r="R1914" s="11">
        <v>447651014</v>
      </c>
      <c r="S1914" s="11">
        <v>1738398</v>
      </c>
      <c r="T1914">
        <v>2016</v>
      </c>
      <c r="U1914">
        <v>2</v>
      </c>
      <c r="V1914">
        <f t="shared" si="174"/>
        <v>647500</v>
      </c>
      <c r="W1914">
        <f t="shared" si="175"/>
        <v>18429897</v>
      </c>
      <c r="X1914">
        <f t="shared" si="176"/>
        <v>17782397</v>
      </c>
      <c r="Y1914">
        <f t="shared" si="177"/>
        <v>-26026095.5</v>
      </c>
      <c r="Z1914">
        <f t="shared" si="178"/>
        <v>45103492.5</v>
      </c>
      <c r="AA1914" t="str">
        <f t="shared" si="179"/>
        <v>Normal</v>
      </c>
      <c r="AE1914" s="2"/>
      <c r="AF1914" s="2"/>
    </row>
    <row r="1915" spans="1:32" x14ac:dyDescent="0.35">
      <c r="A1915">
        <v>1914</v>
      </c>
      <c r="B1915" s="1">
        <v>42403</v>
      </c>
      <c r="C1915" s="9" t="s">
        <v>3237</v>
      </c>
      <c r="D1915" s="9" t="s">
        <v>4988</v>
      </c>
      <c r="E1915" s="9" t="s">
        <v>7264</v>
      </c>
      <c r="F1915" s="9" t="s">
        <v>63</v>
      </c>
      <c r="G1915" s="9" t="s">
        <v>3236</v>
      </c>
      <c r="H1915" s="9" t="s">
        <v>86</v>
      </c>
      <c r="I1915" s="11">
        <v>100000</v>
      </c>
      <c r="J1915" s="11">
        <v>1655452</v>
      </c>
      <c r="K1915" s="11">
        <v>6056286</v>
      </c>
      <c r="L1915" s="3">
        <v>183</v>
      </c>
      <c r="M1915" s="3">
        <v>2257</v>
      </c>
      <c r="N1915" s="3">
        <v>1803668</v>
      </c>
      <c r="O1915" s="2">
        <v>-4.7E-2</v>
      </c>
      <c r="P1915" s="2">
        <v>0.34700000000000003</v>
      </c>
      <c r="Q1915" s="2">
        <v>0.24100000000000002</v>
      </c>
      <c r="R1915" s="11">
        <v>221484639</v>
      </c>
      <c r="S1915" s="11">
        <v>1581572</v>
      </c>
      <c r="T1915">
        <v>2016</v>
      </c>
      <c r="U1915">
        <v>2</v>
      </c>
      <c r="V1915">
        <f t="shared" si="174"/>
        <v>650000</v>
      </c>
      <c r="W1915">
        <f t="shared" si="175"/>
        <v>18429897</v>
      </c>
      <c r="X1915">
        <f t="shared" si="176"/>
        <v>17779897</v>
      </c>
      <c r="Y1915">
        <f t="shared" si="177"/>
        <v>-26019845.5</v>
      </c>
      <c r="Z1915">
        <f t="shared" si="178"/>
        <v>45099742.5</v>
      </c>
      <c r="AA1915" t="str">
        <f t="shared" si="179"/>
        <v>Normal</v>
      </c>
      <c r="AE1915" s="2"/>
      <c r="AF1915" s="2"/>
    </row>
    <row r="1916" spans="1:32" x14ac:dyDescent="0.35">
      <c r="A1916">
        <v>1915</v>
      </c>
      <c r="B1916" s="1">
        <v>42403</v>
      </c>
      <c r="C1916" s="9" t="s">
        <v>3238</v>
      </c>
      <c r="D1916" s="9" t="s">
        <v>4988</v>
      </c>
      <c r="E1916" s="9" t="s">
        <v>7265</v>
      </c>
      <c r="F1916" s="9" t="s">
        <v>15</v>
      </c>
      <c r="G1916" s="9" t="s">
        <v>3239</v>
      </c>
      <c r="H1916" s="9" t="s">
        <v>86</v>
      </c>
      <c r="I1916" s="11">
        <v>30000</v>
      </c>
      <c r="J1916" s="11">
        <v>2597954</v>
      </c>
      <c r="K1916" s="11">
        <v>14280259</v>
      </c>
      <c r="L1916" s="3">
        <v>412</v>
      </c>
      <c r="M1916" s="3">
        <v>704</v>
      </c>
      <c r="N1916" s="3">
        <v>549433</v>
      </c>
      <c r="O1916" s="2">
        <v>3.6000000000000004E-2</v>
      </c>
      <c r="P1916" s="2">
        <v>0.33500000000000002</v>
      </c>
      <c r="Q1916" s="2">
        <v>0.58099999999999996</v>
      </c>
      <c r="R1916" s="11">
        <v>178507118</v>
      </c>
      <c r="S1916" s="11">
        <v>1382839</v>
      </c>
      <c r="T1916">
        <v>2016</v>
      </c>
      <c r="U1916">
        <v>2</v>
      </c>
      <c r="V1916">
        <f t="shared" si="174"/>
        <v>650000</v>
      </c>
      <c r="W1916">
        <f t="shared" si="175"/>
        <v>18429897</v>
      </c>
      <c r="X1916">
        <f t="shared" si="176"/>
        <v>17779897</v>
      </c>
      <c r="Y1916">
        <f t="shared" si="177"/>
        <v>-26019845.5</v>
      </c>
      <c r="Z1916">
        <f t="shared" si="178"/>
        <v>45099742.5</v>
      </c>
      <c r="AA1916" t="str">
        <f t="shared" si="179"/>
        <v>Normal</v>
      </c>
      <c r="AE1916" s="2"/>
      <c r="AF1916" s="2"/>
    </row>
    <row r="1917" spans="1:32" x14ac:dyDescent="0.35">
      <c r="A1917">
        <v>1916</v>
      </c>
      <c r="B1917" s="1">
        <v>42404</v>
      </c>
      <c r="C1917" s="9" t="s">
        <v>3240</v>
      </c>
      <c r="D1917" s="9" t="s">
        <v>4925</v>
      </c>
      <c r="E1917" s="9" t="s">
        <v>7266</v>
      </c>
      <c r="F1917" s="9" t="s">
        <v>27</v>
      </c>
      <c r="G1917" s="9" t="s">
        <v>3241</v>
      </c>
      <c r="H1917" s="9" t="s">
        <v>86</v>
      </c>
      <c r="I1917" s="11">
        <v>30000</v>
      </c>
      <c r="J1917" s="11">
        <v>1425460</v>
      </c>
      <c r="K1917" s="11">
        <v>17299464</v>
      </c>
      <c r="L1917" s="3">
        <v>265</v>
      </c>
      <c r="M1917" s="3">
        <v>2101</v>
      </c>
      <c r="N1917" s="3">
        <v>1301783</v>
      </c>
      <c r="O1917" s="2">
        <v>0.36599999999999999</v>
      </c>
      <c r="P1917" s="2">
        <v>0.53400000000000003</v>
      </c>
      <c r="Q1917" s="2">
        <v>-2.5000000000000001E-2</v>
      </c>
      <c r="R1917" s="11">
        <v>357715189</v>
      </c>
      <c r="S1917" s="11">
        <v>1659448</v>
      </c>
      <c r="T1917">
        <v>2016</v>
      </c>
      <c r="U1917">
        <v>2</v>
      </c>
      <c r="V1917">
        <f t="shared" si="174"/>
        <v>650000</v>
      </c>
      <c r="W1917">
        <f t="shared" si="175"/>
        <v>18429897</v>
      </c>
      <c r="X1917">
        <f t="shared" si="176"/>
        <v>17779897</v>
      </c>
      <c r="Y1917">
        <f t="shared" si="177"/>
        <v>-26019845.5</v>
      </c>
      <c r="Z1917">
        <f t="shared" si="178"/>
        <v>45099742.5</v>
      </c>
      <c r="AA1917" t="str">
        <f t="shared" si="179"/>
        <v>Normal</v>
      </c>
      <c r="AE1917" s="2"/>
      <c r="AF1917" s="2"/>
    </row>
    <row r="1918" spans="1:32" x14ac:dyDescent="0.35">
      <c r="A1918">
        <v>1917</v>
      </c>
      <c r="B1918" s="1">
        <v>42405</v>
      </c>
      <c r="C1918" s="9" t="s">
        <v>3242</v>
      </c>
      <c r="D1918" s="9" t="s">
        <v>4938</v>
      </c>
      <c r="E1918" s="9" t="s">
        <v>7267</v>
      </c>
      <c r="F1918" s="9" t="s">
        <v>15</v>
      </c>
      <c r="G1918" s="9" t="s">
        <v>3243</v>
      </c>
      <c r="H1918" s="9" t="s">
        <v>86</v>
      </c>
      <c r="I1918" s="11">
        <v>18429897</v>
      </c>
      <c r="J1918" s="11">
        <v>2463227</v>
      </c>
      <c r="K1918" s="11">
        <v>17615083</v>
      </c>
      <c r="L1918" s="3">
        <v>340</v>
      </c>
      <c r="M1918" s="3">
        <v>4805</v>
      </c>
      <c r="N1918" s="3">
        <v>1132781</v>
      </c>
      <c r="O1918" s="2">
        <v>0.33100000000000002</v>
      </c>
      <c r="P1918" s="2">
        <v>0.48100000000000004</v>
      </c>
      <c r="Q1918" s="2">
        <v>0.36749999999999999</v>
      </c>
      <c r="R1918" s="11">
        <v>348172516</v>
      </c>
      <c r="S1918" s="11">
        <v>260014</v>
      </c>
      <c r="T1918">
        <v>2016</v>
      </c>
      <c r="U1918">
        <v>2</v>
      </c>
      <c r="V1918">
        <f t="shared" si="174"/>
        <v>687500</v>
      </c>
      <c r="W1918">
        <f t="shared" si="175"/>
        <v>18429897</v>
      </c>
      <c r="X1918">
        <f t="shared" si="176"/>
        <v>17742397</v>
      </c>
      <c r="Y1918">
        <f t="shared" si="177"/>
        <v>-25926095.5</v>
      </c>
      <c r="Z1918">
        <f t="shared" si="178"/>
        <v>45043492.5</v>
      </c>
      <c r="AA1918" t="str">
        <f t="shared" si="179"/>
        <v>Normal</v>
      </c>
      <c r="AE1918" s="2"/>
      <c r="AF1918" s="2"/>
    </row>
    <row r="1919" spans="1:32" x14ac:dyDescent="0.35">
      <c r="A1919">
        <v>1918</v>
      </c>
      <c r="B1919" s="1">
        <v>42405</v>
      </c>
      <c r="C1919" s="9" t="s">
        <v>156</v>
      </c>
      <c r="D1919" s="9" t="s">
        <v>4930</v>
      </c>
      <c r="E1919" s="9" t="s">
        <v>7268</v>
      </c>
      <c r="F1919" s="9" t="s">
        <v>4911</v>
      </c>
      <c r="G1919" s="9" t="s">
        <v>3244</v>
      </c>
      <c r="H1919" s="9" t="s">
        <v>105</v>
      </c>
      <c r="I1919" s="11">
        <v>13500000</v>
      </c>
      <c r="J1919" s="11">
        <v>2268778</v>
      </c>
      <c r="K1919" s="11">
        <v>13711248</v>
      </c>
      <c r="L1919" s="3">
        <v>163</v>
      </c>
      <c r="M1919" s="3">
        <v>1626</v>
      </c>
      <c r="N1919" s="3">
        <v>240350</v>
      </c>
      <c r="O1919" s="2">
        <v>-0.2</v>
      </c>
      <c r="P1919" s="2">
        <v>1.179E-2</v>
      </c>
      <c r="Q1919" s="2">
        <v>0.40200000000000002</v>
      </c>
      <c r="R1919" s="11">
        <v>368809341</v>
      </c>
      <c r="S1919" s="11">
        <v>1723754</v>
      </c>
      <c r="T1919">
        <v>2016</v>
      </c>
      <c r="U1919">
        <v>2</v>
      </c>
      <c r="V1919">
        <f t="shared" si="174"/>
        <v>675000</v>
      </c>
      <c r="W1919">
        <f t="shared" si="175"/>
        <v>18429897</v>
      </c>
      <c r="X1919">
        <f t="shared" si="176"/>
        <v>17754897</v>
      </c>
      <c r="Y1919">
        <f t="shared" si="177"/>
        <v>-25957345.5</v>
      </c>
      <c r="Z1919">
        <f t="shared" si="178"/>
        <v>45062242.5</v>
      </c>
      <c r="AA1919" t="str">
        <f t="shared" si="179"/>
        <v>Normal</v>
      </c>
      <c r="AE1919" s="2"/>
      <c r="AF1919" s="2"/>
    </row>
    <row r="1920" spans="1:32" x14ac:dyDescent="0.35">
      <c r="A1920">
        <v>1919</v>
      </c>
      <c r="B1920" s="1">
        <v>42405</v>
      </c>
      <c r="C1920" s="9" t="s">
        <v>3245</v>
      </c>
      <c r="D1920" s="9" t="s">
        <v>4925</v>
      </c>
      <c r="E1920" s="9" t="s">
        <v>7269</v>
      </c>
      <c r="F1920" s="9" t="s">
        <v>27</v>
      </c>
      <c r="G1920" s="9" t="s">
        <v>3246</v>
      </c>
      <c r="H1920" s="9" t="s">
        <v>105</v>
      </c>
      <c r="I1920" s="11">
        <v>18429897</v>
      </c>
      <c r="J1920" s="11">
        <v>2658133</v>
      </c>
      <c r="K1920" s="11">
        <v>13652237</v>
      </c>
      <c r="L1920" s="3">
        <v>309</v>
      </c>
      <c r="M1920" s="3">
        <v>400</v>
      </c>
      <c r="N1920" s="3">
        <v>1751879</v>
      </c>
      <c r="O1920" s="2">
        <v>2.8999999999999998E-2</v>
      </c>
      <c r="P1920" s="2">
        <v>0.22399999999999998</v>
      </c>
      <c r="Q1920" s="2">
        <v>0.128</v>
      </c>
      <c r="R1920" s="11">
        <v>51297401</v>
      </c>
      <c r="S1920" s="11">
        <v>1203467</v>
      </c>
      <c r="T1920">
        <v>2016</v>
      </c>
      <c r="U1920">
        <v>2</v>
      </c>
      <c r="V1920">
        <f t="shared" si="174"/>
        <v>662500</v>
      </c>
      <c r="W1920">
        <f t="shared" si="175"/>
        <v>18429897</v>
      </c>
      <c r="X1920">
        <f t="shared" si="176"/>
        <v>17767397</v>
      </c>
      <c r="Y1920">
        <f t="shared" si="177"/>
        <v>-25988595.5</v>
      </c>
      <c r="Z1920">
        <f t="shared" si="178"/>
        <v>45080992.5</v>
      </c>
      <c r="AA1920" t="str">
        <f t="shared" si="179"/>
        <v>Normal</v>
      </c>
      <c r="AE1920" s="2"/>
      <c r="AF1920" s="2"/>
    </row>
    <row r="1921" spans="1:32" x14ac:dyDescent="0.35">
      <c r="A1921">
        <v>1920</v>
      </c>
      <c r="B1921" s="1">
        <v>42405</v>
      </c>
      <c r="C1921" s="9" t="s">
        <v>3247</v>
      </c>
      <c r="D1921" s="9" t="s">
        <v>4988</v>
      </c>
      <c r="E1921" s="9" t="s">
        <v>3248</v>
      </c>
      <c r="F1921" s="9" t="s">
        <v>31</v>
      </c>
      <c r="G1921" s="9" t="s">
        <v>227</v>
      </c>
      <c r="H1921" s="9" t="s">
        <v>105</v>
      </c>
      <c r="I1921" s="11">
        <v>18429897</v>
      </c>
      <c r="J1921" s="11">
        <v>1978548</v>
      </c>
      <c r="K1921" s="11">
        <v>19043567</v>
      </c>
      <c r="L1921" s="3">
        <v>246</v>
      </c>
      <c r="M1921" s="3">
        <v>3850</v>
      </c>
      <c r="N1921" s="3">
        <v>166544</v>
      </c>
      <c r="O1921" s="2">
        <v>-0.23100000000000001</v>
      </c>
      <c r="P1921" s="2">
        <v>0.747</v>
      </c>
      <c r="Q1921" s="2">
        <v>0.41399999999999998</v>
      </c>
      <c r="R1921" s="11">
        <v>187875881</v>
      </c>
      <c r="S1921" s="11">
        <v>163542</v>
      </c>
      <c r="T1921">
        <v>2016</v>
      </c>
      <c r="U1921">
        <v>2</v>
      </c>
      <c r="V1921">
        <f t="shared" si="174"/>
        <v>650000</v>
      </c>
      <c r="W1921">
        <f t="shared" si="175"/>
        <v>18429897</v>
      </c>
      <c r="X1921">
        <f t="shared" si="176"/>
        <v>17779897</v>
      </c>
      <c r="Y1921">
        <f t="shared" si="177"/>
        <v>-26019845.5</v>
      </c>
      <c r="Z1921">
        <f t="shared" si="178"/>
        <v>45099742.5</v>
      </c>
      <c r="AA1921" t="str">
        <f t="shared" si="179"/>
        <v>Normal</v>
      </c>
      <c r="AE1921" s="2"/>
      <c r="AF1921" s="2"/>
    </row>
    <row r="1922" spans="1:32" x14ac:dyDescent="0.35">
      <c r="A1922">
        <v>1921</v>
      </c>
      <c r="B1922" s="1">
        <v>42405</v>
      </c>
      <c r="C1922" s="9" t="s">
        <v>3249</v>
      </c>
      <c r="D1922" s="9" t="s">
        <v>4986</v>
      </c>
      <c r="E1922" s="9" t="s">
        <v>7270</v>
      </c>
      <c r="F1922" s="9" t="s">
        <v>15</v>
      </c>
      <c r="G1922" s="9" t="s">
        <v>3250</v>
      </c>
      <c r="H1922" s="9" t="s">
        <v>86</v>
      </c>
      <c r="I1922" s="11">
        <v>18429897</v>
      </c>
      <c r="J1922" s="11">
        <v>2692108</v>
      </c>
      <c r="K1922" s="11">
        <v>13746465</v>
      </c>
      <c r="L1922" s="3">
        <v>466</v>
      </c>
      <c r="M1922" s="3">
        <v>1228</v>
      </c>
      <c r="N1922" s="3">
        <v>1905856</v>
      </c>
      <c r="O1922" s="2">
        <v>-0.29099999999999998</v>
      </c>
      <c r="P1922" s="2">
        <v>1.054</v>
      </c>
      <c r="Q1922" s="2">
        <v>-0.14400000000000002</v>
      </c>
      <c r="R1922" s="11">
        <v>150768201</v>
      </c>
      <c r="S1922" s="11">
        <v>1121294</v>
      </c>
      <c r="T1922">
        <v>2016</v>
      </c>
      <c r="U1922">
        <v>2</v>
      </c>
      <c r="V1922">
        <f t="shared" ref="V1922:V1985" si="180">_xlfn.PERCENTILE.INC(I1922:I4965,0.25)</f>
        <v>650000</v>
      </c>
      <c r="W1922">
        <f t="shared" ref="W1922:W1985" si="181">_xlfn.PERCENTILE.INC(I1922:I4965,0.75)</f>
        <v>18429897</v>
      </c>
      <c r="X1922">
        <f t="shared" ref="X1922:X1985" si="182">W1922-V1922</f>
        <v>17779897</v>
      </c>
      <c r="Y1922">
        <f t="shared" ref="Y1922:Y1985" si="183">V1922-1.5*X1922</f>
        <v>-26019845.5</v>
      </c>
      <c r="Z1922">
        <f t="shared" ref="Z1922:Z1985" si="184">W1922+1.5*X1922</f>
        <v>45099742.5</v>
      </c>
      <c r="AA1922" t="str">
        <f t="shared" ref="AA1922:AA1985" si="185">IF(OR(I1922&lt;$Y$2, I1922&gt;$Z$2), "Outlier", "Normal")</f>
        <v>Normal</v>
      </c>
      <c r="AE1922" s="2"/>
      <c r="AF1922" s="2"/>
    </row>
    <row r="1923" spans="1:32" x14ac:dyDescent="0.35">
      <c r="A1923">
        <v>1922</v>
      </c>
      <c r="B1923" s="1">
        <v>42405</v>
      </c>
      <c r="C1923" s="9" t="s">
        <v>3251</v>
      </c>
      <c r="D1923" s="9" t="s">
        <v>4925</v>
      </c>
      <c r="E1923" s="9" t="s">
        <v>7271</v>
      </c>
      <c r="F1923" s="9" t="s">
        <v>1255</v>
      </c>
      <c r="G1923" s="9" t="s">
        <v>3252</v>
      </c>
      <c r="H1923" s="9" t="s">
        <v>105</v>
      </c>
      <c r="I1923" s="11">
        <v>1000000</v>
      </c>
      <c r="J1923" s="11">
        <v>4130782</v>
      </c>
      <c r="K1923" s="11">
        <v>2905374</v>
      </c>
      <c r="L1923" s="3">
        <v>248</v>
      </c>
      <c r="M1923" s="3">
        <v>234</v>
      </c>
      <c r="N1923" s="3">
        <v>1843594</v>
      </c>
      <c r="O1923" s="2">
        <v>0.27300000000000002</v>
      </c>
      <c r="P1923" s="2">
        <v>0.22600000000000001</v>
      </c>
      <c r="Q1923" s="2">
        <v>0.26300000000000001</v>
      </c>
      <c r="R1923" s="11">
        <v>491749289</v>
      </c>
      <c r="S1923" s="11">
        <v>761618</v>
      </c>
      <c r="T1923">
        <v>2016</v>
      </c>
      <c r="U1923">
        <v>2</v>
      </c>
      <c r="V1923">
        <f t="shared" si="180"/>
        <v>650000</v>
      </c>
      <c r="W1923">
        <f t="shared" si="181"/>
        <v>18429897</v>
      </c>
      <c r="X1923">
        <f t="shared" si="182"/>
        <v>17779897</v>
      </c>
      <c r="Y1923">
        <f t="shared" si="183"/>
        <v>-26019845.5</v>
      </c>
      <c r="Z1923">
        <f t="shared" si="184"/>
        <v>45099742.5</v>
      </c>
      <c r="AA1923" t="str">
        <f t="shared" si="185"/>
        <v>Normal</v>
      </c>
      <c r="AE1923" s="2"/>
      <c r="AF1923" s="2"/>
    </row>
    <row r="1924" spans="1:32" x14ac:dyDescent="0.35">
      <c r="A1924">
        <v>1923</v>
      </c>
      <c r="B1924" s="1">
        <v>42405</v>
      </c>
      <c r="C1924" s="9" t="s">
        <v>3253</v>
      </c>
      <c r="D1924" s="9" t="s">
        <v>4988</v>
      </c>
      <c r="E1924" s="9" t="s">
        <v>7272</v>
      </c>
      <c r="F1924" s="9" t="s">
        <v>41</v>
      </c>
      <c r="G1924" s="9" t="s">
        <v>856</v>
      </c>
      <c r="H1924" s="9" t="s">
        <v>86</v>
      </c>
      <c r="I1924" s="11">
        <v>81000</v>
      </c>
      <c r="J1924" s="11">
        <v>2184124</v>
      </c>
      <c r="K1924" s="11">
        <v>10053229</v>
      </c>
      <c r="L1924" s="3">
        <v>48</v>
      </c>
      <c r="M1924" s="3">
        <v>3466</v>
      </c>
      <c r="N1924" s="3">
        <v>1158908</v>
      </c>
      <c r="O1924" s="2">
        <v>0.29499999999999998</v>
      </c>
      <c r="P1924" s="2">
        <v>0.754</v>
      </c>
      <c r="Q1924" s="2">
        <v>0.55399999999999994</v>
      </c>
      <c r="R1924" s="11">
        <v>329892637</v>
      </c>
      <c r="S1924" s="11">
        <v>1188679</v>
      </c>
      <c r="T1924">
        <v>2016</v>
      </c>
      <c r="U1924">
        <v>2</v>
      </c>
      <c r="V1924">
        <f t="shared" si="180"/>
        <v>650000</v>
      </c>
      <c r="W1924">
        <f t="shared" si="181"/>
        <v>18429897</v>
      </c>
      <c r="X1924">
        <f t="shared" si="182"/>
        <v>17779897</v>
      </c>
      <c r="Y1924">
        <f t="shared" si="183"/>
        <v>-26019845.5</v>
      </c>
      <c r="Z1924">
        <f t="shared" si="184"/>
        <v>45099742.5</v>
      </c>
      <c r="AA1924" t="str">
        <f t="shared" si="185"/>
        <v>Normal</v>
      </c>
      <c r="AE1924" s="2"/>
      <c r="AF1924" s="2"/>
    </row>
    <row r="1925" spans="1:32" x14ac:dyDescent="0.35">
      <c r="A1925">
        <v>1924</v>
      </c>
      <c r="B1925" s="1">
        <v>42405</v>
      </c>
      <c r="C1925" s="9" t="s">
        <v>3254</v>
      </c>
      <c r="D1925" s="9" t="s">
        <v>4988</v>
      </c>
      <c r="E1925" s="9" t="s">
        <v>7273</v>
      </c>
      <c r="F1925" s="9" t="s">
        <v>3255</v>
      </c>
      <c r="G1925" s="9" t="s">
        <v>856</v>
      </c>
      <c r="H1925" s="9" t="s">
        <v>86</v>
      </c>
      <c r="I1925" s="11">
        <v>52000</v>
      </c>
      <c r="J1925" s="11">
        <v>1819648</v>
      </c>
      <c r="K1925" s="11">
        <v>7237660</v>
      </c>
      <c r="L1925" s="3">
        <v>369</v>
      </c>
      <c r="M1925" s="3">
        <v>1724</v>
      </c>
      <c r="N1925" s="3">
        <v>1908625</v>
      </c>
      <c r="O1925" s="2">
        <v>0.191</v>
      </c>
      <c r="P1925" s="2">
        <v>0.57999999999999996</v>
      </c>
      <c r="Q1925" s="2">
        <v>-0.16200000000000001</v>
      </c>
      <c r="R1925" s="11">
        <v>221202905</v>
      </c>
      <c r="S1925" s="11">
        <v>1008193.5</v>
      </c>
      <c r="T1925">
        <v>2016</v>
      </c>
      <c r="U1925">
        <v>2</v>
      </c>
      <c r="V1925">
        <f t="shared" si="180"/>
        <v>650000</v>
      </c>
      <c r="W1925">
        <f t="shared" si="181"/>
        <v>18429897</v>
      </c>
      <c r="X1925">
        <f t="shared" si="182"/>
        <v>17779897</v>
      </c>
      <c r="Y1925">
        <f t="shared" si="183"/>
        <v>-26019845.5</v>
      </c>
      <c r="Z1925">
        <f t="shared" si="184"/>
        <v>45099742.5</v>
      </c>
      <c r="AA1925" t="str">
        <f t="shared" si="185"/>
        <v>Normal</v>
      </c>
      <c r="AE1925" s="2"/>
      <c r="AF1925" s="2"/>
    </row>
    <row r="1926" spans="1:32" x14ac:dyDescent="0.35">
      <c r="A1926">
        <v>1925</v>
      </c>
      <c r="B1926" s="1">
        <v>42406</v>
      </c>
      <c r="C1926" s="9" t="s">
        <v>1994</v>
      </c>
      <c r="D1926" s="9" t="s">
        <v>4925</v>
      </c>
      <c r="E1926" s="9" t="s">
        <v>7274</v>
      </c>
      <c r="F1926" s="9" t="s">
        <v>27</v>
      </c>
      <c r="G1926" s="9" t="s">
        <v>856</v>
      </c>
      <c r="H1926" s="9" t="s">
        <v>86</v>
      </c>
      <c r="I1926" s="11">
        <v>1000000</v>
      </c>
      <c r="J1926" s="11">
        <v>676139</v>
      </c>
      <c r="K1926" s="11">
        <v>12775826</v>
      </c>
      <c r="L1926" s="3">
        <v>477</v>
      </c>
      <c r="M1926" s="3">
        <v>729</v>
      </c>
      <c r="N1926" s="3">
        <v>1711755</v>
      </c>
      <c r="O1926" s="2">
        <v>0.157</v>
      </c>
      <c r="P1926" s="2">
        <v>0.41600000000000004</v>
      </c>
      <c r="Q1926" s="2">
        <v>0.02</v>
      </c>
      <c r="R1926" s="11">
        <v>464261145</v>
      </c>
      <c r="S1926" s="11">
        <v>18491</v>
      </c>
      <c r="T1926">
        <v>2016</v>
      </c>
      <c r="U1926">
        <v>2</v>
      </c>
      <c r="V1926">
        <f t="shared" si="180"/>
        <v>687500</v>
      </c>
      <c r="W1926">
        <f t="shared" si="181"/>
        <v>18429897</v>
      </c>
      <c r="X1926">
        <f t="shared" si="182"/>
        <v>17742397</v>
      </c>
      <c r="Y1926">
        <f t="shared" si="183"/>
        <v>-25926095.5</v>
      </c>
      <c r="Z1926">
        <f t="shared" si="184"/>
        <v>45043492.5</v>
      </c>
      <c r="AA1926" t="str">
        <f t="shared" si="185"/>
        <v>Normal</v>
      </c>
      <c r="AE1926" s="2"/>
      <c r="AF1926" s="2"/>
    </row>
    <row r="1927" spans="1:32" x14ac:dyDescent="0.35">
      <c r="A1927">
        <v>1926</v>
      </c>
      <c r="B1927" s="1">
        <v>42406</v>
      </c>
      <c r="C1927" s="9" t="s">
        <v>3256</v>
      </c>
      <c r="D1927" s="9" t="s">
        <v>2539</v>
      </c>
      <c r="E1927" s="9" t="s">
        <v>7275</v>
      </c>
      <c r="F1927" s="9" t="s">
        <v>27</v>
      </c>
      <c r="G1927" s="9" t="s">
        <v>3257</v>
      </c>
      <c r="H1927" s="9" t="s">
        <v>86</v>
      </c>
      <c r="I1927" s="11">
        <v>18429897</v>
      </c>
      <c r="J1927" s="11">
        <v>1811394</v>
      </c>
      <c r="K1927" s="11">
        <v>12753101</v>
      </c>
      <c r="L1927" s="3">
        <v>441</v>
      </c>
      <c r="M1927" s="3">
        <v>317</v>
      </c>
      <c r="N1927" s="3">
        <v>1799646</v>
      </c>
      <c r="O1927" s="2">
        <v>-2.1000000000000001E-2</v>
      </c>
      <c r="P1927" s="2">
        <v>0.435</v>
      </c>
      <c r="Q1927" s="2">
        <v>0.01</v>
      </c>
      <c r="R1927" s="11">
        <v>329401577</v>
      </c>
      <c r="S1927" s="11">
        <v>1463798</v>
      </c>
      <c r="T1927">
        <v>2016</v>
      </c>
      <c r="U1927">
        <v>2</v>
      </c>
      <c r="V1927">
        <f t="shared" si="180"/>
        <v>675000</v>
      </c>
      <c r="W1927">
        <f t="shared" si="181"/>
        <v>18429897</v>
      </c>
      <c r="X1927">
        <f t="shared" si="182"/>
        <v>17754897</v>
      </c>
      <c r="Y1927">
        <f t="shared" si="183"/>
        <v>-25957345.5</v>
      </c>
      <c r="Z1927">
        <f t="shared" si="184"/>
        <v>45062242.5</v>
      </c>
      <c r="AA1927" t="str">
        <f t="shared" si="185"/>
        <v>Normal</v>
      </c>
      <c r="AE1927" s="2"/>
      <c r="AF1927" s="2"/>
    </row>
    <row r="1928" spans="1:32" x14ac:dyDescent="0.35">
      <c r="A1928">
        <v>1927</v>
      </c>
      <c r="B1928" s="1">
        <v>42408</v>
      </c>
      <c r="C1928" s="9" t="s">
        <v>190</v>
      </c>
      <c r="D1928" s="9" t="s">
        <v>4925</v>
      </c>
      <c r="E1928" s="9" t="s">
        <v>6714</v>
      </c>
      <c r="F1928" s="9" t="s">
        <v>27</v>
      </c>
      <c r="G1928" s="9" t="s">
        <v>715</v>
      </c>
      <c r="H1928" s="9" t="s">
        <v>105</v>
      </c>
      <c r="I1928" s="11">
        <v>18429897</v>
      </c>
      <c r="J1928" s="11">
        <v>645805</v>
      </c>
      <c r="K1928" s="11">
        <v>5958176</v>
      </c>
      <c r="L1928" s="3">
        <v>54</v>
      </c>
      <c r="M1928" s="3">
        <v>965</v>
      </c>
      <c r="N1928" s="3">
        <v>1598484</v>
      </c>
      <c r="O1928" s="2">
        <v>0.41399999999999998</v>
      </c>
      <c r="P1928" s="2">
        <v>1.014</v>
      </c>
      <c r="Q1928" s="2">
        <v>0.28699999999999998</v>
      </c>
      <c r="R1928" s="11">
        <v>311410172</v>
      </c>
      <c r="S1928" s="11">
        <v>1008193.5</v>
      </c>
      <c r="T1928">
        <v>2016</v>
      </c>
      <c r="U1928">
        <v>2</v>
      </c>
      <c r="V1928">
        <f t="shared" si="180"/>
        <v>662500</v>
      </c>
      <c r="W1928">
        <f t="shared" si="181"/>
        <v>18429897</v>
      </c>
      <c r="X1928">
        <f t="shared" si="182"/>
        <v>17767397</v>
      </c>
      <c r="Y1928">
        <f t="shared" si="183"/>
        <v>-25988595.5</v>
      </c>
      <c r="Z1928">
        <f t="shared" si="184"/>
        <v>45080992.5</v>
      </c>
      <c r="AA1928" t="str">
        <f t="shared" si="185"/>
        <v>Normal</v>
      </c>
      <c r="AE1928" s="2"/>
      <c r="AF1928" s="2"/>
    </row>
    <row r="1929" spans="1:32" x14ac:dyDescent="0.35">
      <c r="A1929">
        <v>1928</v>
      </c>
      <c r="B1929" s="1">
        <v>42408</v>
      </c>
      <c r="C1929" s="9" t="s">
        <v>3258</v>
      </c>
      <c r="D1929" s="9" t="s">
        <v>4988</v>
      </c>
      <c r="E1929" s="9" t="s">
        <v>7276</v>
      </c>
      <c r="F1929" s="9" t="s">
        <v>19</v>
      </c>
      <c r="G1929" s="9" t="s">
        <v>3236</v>
      </c>
      <c r="H1929" s="9" t="s">
        <v>86</v>
      </c>
      <c r="I1929" s="11">
        <v>100000</v>
      </c>
      <c r="J1929" s="11">
        <v>928863</v>
      </c>
      <c r="K1929" s="11">
        <v>6063979</v>
      </c>
      <c r="L1929" s="3">
        <v>499</v>
      </c>
      <c r="M1929" s="3">
        <v>790</v>
      </c>
      <c r="N1929" s="3">
        <v>1858316</v>
      </c>
      <c r="O1929" s="2">
        <v>-0.23699999999999999</v>
      </c>
      <c r="P1929" s="2">
        <v>0.66400000000000003</v>
      </c>
      <c r="Q1929" s="2">
        <v>0.41499999999999998</v>
      </c>
      <c r="R1929" s="11">
        <v>139312607</v>
      </c>
      <c r="S1929" s="11">
        <v>849130</v>
      </c>
      <c r="T1929">
        <v>2016</v>
      </c>
      <c r="U1929">
        <v>2</v>
      </c>
      <c r="V1929">
        <f t="shared" si="180"/>
        <v>650000</v>
      </c>
      <c r="W1929">
        <f t="shared" si="181"/>
        <v>18429897</v>
      </c>
      <c r="X1929">
        <f t="shared" si="182"/>
        <v>17779897</v>
      </c>
      <c r="Y1929">
        <f t="shared" si="183"/>
        <v>-26019845.5</v>
      </c>
      <c r="Z1929">
        <f t="shared" si="184"/>
        <v>45099742.5</v>
      </c>
      <c r="AA1929" t="str">
        <f t="shared" si="185"/>
        <v>Normal</v>
      </c>
      <c r="AE1929" s="2"/>
      <c r="AF1929" s="2"/>
    </row>
    <row r="1930" spans="1:32" x14ac:dyDescent="0.35">
      <c r="A1930">
        <v>1929</v>
      </c>
      <c r="B1930" s="1">
        <v>42408</v>
      </c>
      <c r="C1930" s="9" t="s">
        <v>3259</v>
      </c>
      <c r="D1930" s="9" t="s">
        <v>4988</v>
      </c>
      <c r="E1930" s="9" t="s">
        <v>7277</v>
      </c>
      <c r="F1930" s="9" t="s">
        <v>27</v>
      </c>
      <c r="G1930" s="9" t="s">
        <v>3236</v>
      </c>
      <c r="H1930" s="9" t="s">
        <v>86</v>
      </c>
      <c r="I1930" s="11">
        <v>100000</v>
      </c>
      <c r="J1930" s="11">
        <v>4762203</v>
      </c>
      <c r="K1930" s="11">
        <v>1867320</v>
      </c>
      <c r="L1930" s="3">
        <v>176</v>
      </c>
      <c r="M1930" s="3">
        <v>105</v>
      </c>
      <c r="N1930" s="3">
        <v>1547370</v>
      </c>
      <c r="O1930" s="2">
        <v>2.5999999999999999E-2</v>
      </c>
      <c r="P1930" s="2">
        <v>0.24600000000000002</v>
      </c>
      <c r="Q1930" s="2">
        <v>-7.0000000000000007E-2</v>
      </c>
      <c r="R1930" s="11">
        <v>464718743</v>
      </c>
      <c r="S1930" s="11">
        <v>716929</v>
      </c>
      <c r="T1930">
        <v>2016</v>
      </c>
      <c r="U1930">
        <v>2</v>
      </c>
      <c r="V1930">
        <f t="shared" si="180"/>
        <v>687500</v>
      </c>
      <c r="W1930">
        <f t="shared" si="181"/>
        <v>18429897</v>
      </c>
      <c r="X1930">
        <f t="shared" si="182"/>
        <v>17742397</v>
      </c>
      <c r="Y1930">
        <f t="shared" si="183"/>
        <v>-25926095.5</v>
      </c>
      <c r="Z1930">
        <f t="shared" si="184"/>
        <v>45043492.5</v>
      </c>
      <c r="AA1930" t="str">
        <f t="shared" si="185"/>
        <v>Normal</v>
      </c>
      <c r="AE1930" s="2"/>
      <c r="AF1930" s="2"/>
    </row>
    <row r="1931" spans="1:32" x14ac:dyDescent="0.35">
      <c r="A1931">
        <v>1930</v>
      </c>
      <c r="B1931" s="1">
        <v>42408</v>
      </c>
      <c r="C1931" s="9" t="s">
        <v>1940</v>
      </c>
      <c r="D1931" s="9" t="s">
        <v>4988</v>
      </c>
      <c r="E1931" s="9" t="s">
        <v>3260</v>
      </c>
      <c r="F1931" s="9" t="s">
        <v>31</v>
      </c>
      <c r="G1931" s="9" t="s">
        <v>254</v>
      </c>
      <c r="H1931" s="9" t="s">
        <v>105</v>
      </c>
      <c r="I1931" s="11">
        <v>18429897</v>
      </c>
      <c r="J1931" s="11">
        <v>465284</v>
      </c>
      <c r="K1931" s="11">
        <v>5935683</v>
      </c>
      <c r="L1931" s="3">
        <v>417</v>
      </c>
      <c r="M1931" s="3">
        <v>1884</v>
      </c>
      <c r="N1931" s="3">
        <v>1760551</v>
      </c>
      <c r="O1931" s="2">
        <v>0.152</v>
      </c>
      <c r="P1931" s="2">
        <v>0.60899999999999999</v>
      </c>
      <c r="Q1931" s="2">
        <v>0.72499999999999998</v>
      </c>
      <c r="R1931" s="11">
        <v>224830756</v>
      </c>
      <c r="S1931" s="11">
        <v>1501284</v>
      </c>
      <c r="T1931">
        <v>2016</v>
      </c>
      <c r="U1931">
        <v>2</v>
      </c>
      <c r="V1931">
        <f t="shared" si="180"/>
        <v>700000</v>
      </c>
      <c r="W1931">
        <f t="shared" si="181"/>
        <v>18429897</v>
      </c>
      <c r="X1931">
        <f t="shared" si="182"/>
        <v>17729897</v>
      </c>
      <c r="Y1931">
        <f t="shared" si="183"/>
        <v>-25894845.5</v>
      </c>
      <c r="Z1931">
        <f t="shared" si="184"/>
        <v>45024742.5</v>
      </c>
      <c r="AA1931" t="str">
        <f t="shared" si="185"/>
        <v>Normal</v>
      </c>
      <c r="AE1931" s="2"/>
      <c r="AF1931" s="2"/>
    </row>
    <row r="1932" spans="1:32" x14ac:dyDescent="0.35">
      <c r="A1932">
        <v>1931</v>
      </c>
      <c r="B1932" s="1">
        <v>42408</v>
      </c>
      <c r="C1932" s="9" t="s">
        <v>3261</v>
      </c>
      <c r="D1932" s="9" t="s">
        <v>4988</v>
      </c>
      <c r="E1932" s="9" t="s">
        <v>7278</v>
      </c>
      <c r="F1932" s="9" t="s">
        <v>294</v>
      </c>
      <c r="G1932" s="9" t="s">
        <v>3262</v>
      </c>
      <c r="H1932" s="9" t="s">
        <v>86</v>
      </c>
      <c r="I1932" s="11">
        <v>18429897</v>
      </c>
      <c r="J1932" s="11">
        <v>2420513</v>
      </c>
      <c r="K1932" s="11">
        <v>16571526</v>
      </c>
      <c r="L1932" s="3">
        <v>316</v>
      </c>
      <c r="M1932" s="3">
        <v>4141</v>
      </c>
      <c r="N1932" s="3">
        <v>223006</v>
      </c>
      <c r="O1932" s="2">
        <v>0.12</v>
      </c>
      <c r="P1932" s="2">
        <v>1.0170000000000001</v>
      </c>
      <c r="Q1932" s="2">
        <v>0.114</v>
      </c>
      <c r="R1932" s="11">
        <v>60522565</v>
      </c>
      <c r="S1932" s="11">
        <v>616732</v>
      </c>
      <c r="T1932">
        <v>2016</v>
      </c>
      <c r="U1932">
        <v>2</v>
      </c>
      <c r="V1932">
        <f t="shared" si="180"/>
        <v>700000</v>
      </c>
      <c r="W1932">
        <f t="shared" si="181"/>
        <v>18429897</v>
      </c>
      <c r="X1932">
        <f t="shared" si="182"/>
        <v>17729897</v>
      </c>
      <c r="Y1932">
        <f t="shared" si="183"/>
        <v>-25894845.5</v>
      </c>
      <c r="Z1932">
        <f t="shared" si="184"/>
        <v>45024742.5</v>
      </c>
      <c r="AA1932" t="str">
        <f t="shared" si="185"/>
        <v>Normal</v>
      </c>
      <c r="AE1932" s="2"/>
      <c r="AF1932" s="2"/>
    </row>
    <row r="1933" spans="1:32" x14ac:dyDescent="0.35">
      <c r="A1933">
        <v>1932</v>
      </c>
      <c r="B1933" s="1">
        <v>42408</v>
      </c>
      <c r="C1933" s="9" t="s">
        <v>3263</v>
      </c>
      <c r="D1933" s="9" t="s">
        <v>4988</v>
      </c>
      <c r="E1933" s="9" t="s">
        <v>7279</v>
      </c>
      <c r="F1933" s="9" t="s">
        <v>31</v>
      </c>
      <c r="G1933" s="9" t="s">
        <v>3264</v>
      </c>
      <c r="H1933" s="9" t="s">
        <v>86</v>
      </c>
      <c r="I1933" s="11">
        <v>18429897</v>
      </c>
      <c r="J1933" s="11">
        <v>4174815</v>
      </c>
      <c r="K1933" s="11">
        <v>13137104</v>
      </c>
      <c r="L1933" s="3">
        <v>486</v>
      </c>
      <c r="M1933" s="3">
        <v>2009</v>
      </c>
      <c r="N1933" s="3">
        <v>853770</v>
      </c>
      <c r="O1933" s="2">
        <v>0.12</v>
      </c>
      <c r="P1933" s="2">
        <v>0.88900000000000001</v>
      </c>
      <c r="Q1933" s="2">
        <v>-4.2000000000000003E-2</v>
      </c>
      <c r="R1933" s="11">
        <v>89634375</v>
      </c>
      <c r="S1933" s="11">
        <v>1590265</v>
      </c>
      <c r="T1933">
        <v>2016</v>
      </c>
      <c r="U1933">
        <v>2</v>
      </c>
      <c r="V1933">
        <f t="shared" si="180"/>
        <v>700000</v>
      </c>
      <c r="W1933">
        <f t="shared" si="181"/>
        <v>18429897</v>
      </c>
      <c r="X1933">
        <f t="shared" si="182"/>
        <v>17729897</v>
      </c>
      <c r="Y1933">
        <f t="shared" si="183"/>
        <v>-25894845.5</v>
      </c>
      <c r="Z1933">
        <f t="shared" si="184"/>
        <v>45024742.5</v>
      </c>
      <c r="AA1933" t="str">
        <f t="shared" si="185"/>
        <v>Normal</v>
      </c>
      <c r="AE1933" s="2"/>
      <c r="AF1933" s="2"/>
    </row>
    <row r="1934" spans="1:32" x14ac:dyDescent="0.35">
      <c r="A1934">
        <v>1933</v>
      </c>
      <c r="B1934" s="1">
        <v>42408</v>
      </c>
      <c r="C1934" s="9" t="s">
        <v>3265</v>
      </c>
      <c r="D1934" s="9" t="s">
        <v>4925</v>
      </c>
      <c r="E1934" s="9" t="s">
        <v>7280</v>
      </c>
      <c r="F1934" s="9" t="s">
        <v>41</v>
      </c>
      <c r="G1934" s="9" t="s">
        <v>3266</v>
      </c>
      <c r="H1934" s="9" t="s">
        <v>105</v>
      </c>
      <c r="I1934" s="11">
        <v>12500000</v>
      </c>
      <c r="J1934" s="11">
        <v>4766963</v>
      </c>
      <c r="K1934" s="11">
        <v>18868571</v>
      </c>
      <c r="L1934" s="3">
        <v>174</v>
      </c>
      <c r="M1934" s="3">
        <v>236</v>
      </c>
      <c r="N1934" s="3">
        <v>957330</v>
      </c>
      <c r="O1934" s="2">
        <v>1.6E-2</v>
      </c>
      <c r="P1934" s="2">
        <v>1.155</v>
      </c>
      <c r="Q1934" s="2">
        <v>0.45700000000000002</v>
      </c>
      <c r="R1934" s="11">
        <v>311959216</v>
      </c>
      <c r="S1934" s="11">
        <v>1147450</v>
      </c>
      <c r="T1934">
        <v>2016</v>
      </c>
      <c r="U1934">
        <v>2</v>
      </c>
      <c r="V1934">
        <f t="shared" si="180"/>
        <v>687500</v>
      </c>
      <c r="W1934">
        <f t="shared" si="181"/>
        <v>18429897</v>
      </c>
      <c r="X1934">
        <f t="shared" si="182"/>
        <v>17742397</v>
      </c>
      <c r="Y1934">
        <f t="shared" si="183"/>
        <v>-25926095.5</v>
      </c>
      <c r="Z1934">
        <f t="shared" si="184"/>
        <v>45043492.5</v>
      </c>
      <c r="AA1934" t="str">
        <f t="shared" si="185"/>
        <v>Normal</v>
      </c>
      <c r="AE1934" s="2"/>
      <c r="AF1934" s="2"/>
    </row>
    <row r="1935" spans="1:32" x14ac:dyDescent="0.35">
      <c r="A1935">
        <v>1934</v>
      </c>
      <c r="B1935" s="1">
        <v>42408</v>
      </c>
      <c r="C1935" s="9" t="s">
        <v>3267</v>
      </c>
      <c r="D1935" s="9" t="s">
        <v>2539</v>
      </c>
      <c r="E1935" s="9" t="s">
        <v>7281</v>
      </c>
      <c r="F1935" s="9" t="s">
        <v>27</v>
      </c>
      <c r="G1935" s="9" t="s">
        <v>715</v>
      </c>
      <c r="H1935" s="9" t="s">
        <v>105</v>
      </c>
      <c r="I1935" s="11">
        <v>18429897</v>
      </c>
      <c r="J1935" s="11">
        <v>750635</v>
      </c>
      <c r="K1935" s="11">
        <v>18533752</v>
      </c>
      <c r="L1935" s="3">
        <v>305</v>
      </c>
      <c r="M1935" s="3">
        <v>4414</v>
      </c>
      <c r="N1935" s="3">
        <v>1819070</v>
      </c>
      <c r="O1935" s="2">
        <v>0.22800000000000001</v>
      </c>
      <c r="P1935" s="2">
        <v>0.97299999999999998</v>
      </c>
      <c r="Q1935" s="2">
        <v>0.36749999999999999</v>
      </c>
      <c r="R1935" s="11">
        <v>392169392</v>
      </c>
      <c r="S1935" s="11">
        <v>141561</v>
      </c>
      <c r="T1935">
        <v>2016</v>
      </c>
      <c r="U1935">
        <v>2</v>
      </c>
      <c r="V1935">
        <f t="shared" si="180"/>
        <v>675000</v>
      </c>
      <c r="W1935">
        <f t="shared" si="181"/>
        <v>18429897</v>
      </c>
      <c r="X1935">
        <f t="shared" si="182"/>
        <v>17754897</v>
      </c>
      <c r="Y1935">
        <f t="shared" si="183"/>
        <v>-25957345.5</v>
      </c>
      <c r="Z1935">
        <f t="shared" si="184"/>
        <v>45062242.5</v>
      </c>
      <c r="AA1935" t="str">
        <f t="shared" si="185"/>
        <v>Normal</v>
      </c>
      <c r="AE1935" s="2"/>
      <c r="AF1935" s="2"/>
    </row>
    <row r="1936" spans="1:32" x14ac:dyDescent="0.35">
      <c r="A1936">
        <v>1935</v>
      </c>
      <c r="B1936" s="1">
        <v>42408</v>
      </c>
      <c r="C1936" s="9" t="s">
        <v>1902</v>
      </c>
      <c r="D1936" s="9" t="s">
        <v>4930</v>
      </c>
      <c r="E1936" s="9" t="s">
        <v>7282</v>
      </c>
      <c r="F1936" s="9" t="s">
        <v>15</v>
      </c>
      <c r="G1936" s="9" t="s">
        <v>3268</v>
      </c>
      <c r="H1936" s="9" t="s">
        <v>86</v>
      </c>
      <c r="I1936" s="11">
        <v>18429897</v>
      </c>
      <c r="J1936" s="11">
        <v>834612</v>
      </c>
      <c r="K1936" s="11">
        <v>17150764</v>
      </c>
      <c r="L1936" s="3">
        <v>342</v>
      </c>
      <c r="M1936" s="3">
        <v>3181</v>
      </c>
      <c r="N1936" s="3">
        <v>972570</v>
      </c>
      <c r="O1936" s="2">
        <v>-0.12300000000000001</v>
      </c>
      <c r="P1936" s="2">
        <v>0.371</v>
      </c>
      <c r="Q1936" s="2">
        <v>0.36749999999999999</v>
      </c>
      <c r="R1936" s="11">
        <v>228302900</v>
      </c>
      <c r="S1936" s="11">
        <v>1383538</v>
      </c>
      <c r="T1936">
        <v>2016</v>
      </c>
      <c r="U1936">
        <v>2</v>
      </c>
      <c r="V1936">
        <f t="shared" si="180"/>
        <v>662500</v>
      </c>
      <c r="W1936">
        <f t="shared" si="181"/>
        <v>18429897</v>
      </c>
      <c r="X1936">
        <f t="shared" si="182"/>
        <v>17767397</v>
      </c>
      <c r="Y1936">
        <f t="shared" si="183"/>
        <v>-25988595.5</v>
      </c>
      <c r="Z1936">
        <f t="shared" si="184"/>
        <v>45080992.5</v>
      </c>
      <c r="AA1936" t="str">
        <f t="shared" si="185"/>
        <v>Normal</v>
      </c>
      <c r="AE1936" s="2"/>
      <c r="AF1936" s="2"/>
    </row>
    <row r="1937" spans="1:32" x14ac:dyDescent="0.35">
      <c r="A1937">
        <v>1936</v>
      </c>
      <c r="B1937" s="1">
        <v>42409</v>
      </c>
      <c r="C1937" s="9" t="s">
        <v>3269</v>
      </c>
      <c r="D1937" s="9" t="s">
        <v>4988</v>
      </c>
      <c r="E1937" s="9" t="s">
        <v>7283</v>
      </c>
      <c r="F1937" s="9" t="s">
        <v>27</v>
      </c>
      <c r="G1937" s="9" t="s">
        <v>3270</v>
      </c>
      <c r="H1937" s="9" t="s">
        <v>86</v>
      </c>
      <c r="I1937" s="11">
        <v>18429897</v>
      </c>
      <c r="J1937" s="11">
        <v>1875532</v>
      </c>
      <c r="K1937" s="11">
        <v>3675761</v>
      </c>
      <c r="L1937" s="3">
        <v>81</v>
      </c>
      <c r="M1937" s="3">
        <v>4823</v>
      </c>
      <c r="N1937" s="3">
        <v>879734</v>
      </c>
      <c r="O1937" s="2">
        <v>9.0999999999999998E-2</v>
      </c>
      <c r="P1937" s="2">
        <v>0.50800000000000001</v>
      </c>
      <c r="Q1937" s="2">
        <v>-3.6000000000000004E-2</v>
      </c>
      <c r="R1937" s="11">
        <v>297069834</v>
      </c>
      <c r="S1937" s="11">
        <v>1888193</v>
      </c>
      <c r="T1937">
        <v>2016</v>
      </c>
      <c r="U1937">
        <v>2</v>
      </c>
      <c r="V1937">
        <f t="shared" si="180"/>
        <v>650000</v>
      </c>
      <c r="W1937">
        <f t="shared" si="181"/>
        <v>18429897</v>
      </c>
      <c r="X1937">
        <f t="shared" si="182"/>
        <v>17779897</v>
      </c>
      <c r="Y1937">
        <f t="shared" si="183"/>
        <v>-26019845.5</v>
      </c>
      <c r="Z1937">
        <f t="shared" si="184"/>
        <v>45099742.5</v>
      </c>
      <c r="AA1937" t="str">
        <f t="shared" si="185"/>
        <v>Normal</v>
      </c>
      <c r="AE1937" s="2"/>
      <c r="AF1937" s="2"/>
    </row>
    <row r="1938" spans="1:32" x14ac:dyDescent="0.35">
      <c r="A1938">
        <v>1937</v>
      </c>
      <c r="B1938" s="1">
        <v>42409</v>
      </c>
      <c r="C1938" s="9" t="s">
        <v>133</v>
      </c>
      <c r="D1938" s="9" t="s">
        <v>4930</v>
      </c>
      <c r="E1938" s="9" t="s">
        <v>7284</v>
      </c>
      <c r="F1938" s="9" t="s">
        <v>31</v>
      </c>
      <c r="G1938" s="9" t="s">
        <v>3271</v>
      </c>
      <c r="H1938" s="9" t="s">
        <v>105</v>
      </c>
      <c r="I1938" s="11">
        <v>18429897</v>
      </c>
      <c r="J1938" s="11">
        <v>2780994</v>
      </c>
      <c r="K1938" s="11">
        <v>6744879</v>
      </c>
      <c r="L1938" s="3">
        <v>388</v>
      </c>
      <c r="M1938" s="3">
        <v>2932</v>
      </c>
      <c r="N1938" s="3">
        <v>1574937</v>
      </c>
      <c r="O1938" s="2">
        <v>0.20600000000000002</v>
      </c>
      <c r="P1938" s="2">
        <v>0.66299999999999992</v>
      </c>
      <c r="Q1938" s="2">
        <v>0.36749999999999999</v>
      </c>
      <c r="R1938" s="11">
        <v>463415260</v>
      </c>
      <c r="S1938" s="11">
        <v>1526482</v>
      </c>
      <c r="T1938">
        <v>2016</v>
      </c>
      <c r="U1938">
        <v>2</v>
      </c>
      <c r="V1938">
        <f t="shared" si="180"/>
        <v>650000</v>
      </c>
      <c r="W1938">
        <f t="shared" si="181"/>
        <v>18429897</v>
      </c>
      <c r="X1938">
        <f t="shared" si="182"/>
        <v>17779897</v>
      </c>
      <c r="Y1938">
        <f t="shared" si="183"/>
        <v>-26019845.5</v>
      </c>
      <c r="Z1938">
        <f t="shared" si="184"/>
        <v>45099742.5</v>
      </c>
      <c r="AA1938" t="str">
        <f t="shared" si="185"/>
        <v>Normal</v>
      </c>
      <c r="AE1938" s="2"/>
      <c r="AF1938" s="2"/>
    </row>
    <row r="1939" spans="1:32" x14ac:dyDescent="0.35">
      <c r="A1939">
        <v>1938</v>
      </c>
      <c r="B1939" s="1">
        <v>42410</v>
      </c>
      <c r="C1939" s="9" t="s">
        <v>3272</v>
      </c>
      <c r="D1939" s="9" t="s">
        <v>4988</v>
      </c>
      <c r="E1939" s="9" t="s">
        <v>5734</v>
      </c>
      <c r="F1939" s="9" t="s">
        <v>31</v>
      </c>
      <c r="G1939" s="9" t="s">
        <v>3273</v>
      </c>
      <c r="H1939" s="9" t="s">
        <v>86</v>
      </c>
      <c r="I1939" s="11">
        <v>200000</v>
      </c>
      <c r="J1939" s="11">
        <v>4799841</v>
      </c>
      <c r="K1939" s="11">
        <v>1243927</v>
      </c>
      <c r="L1939" s="3">
        <v>75</v>
      </c>
      <c r="M1939" s="3">
        <v>2411</v>
      </c>
      <c r="N1939" s="3">
        <v>1300361</v>
      </c>
      <c r="O1939" s="2">
        <v>5.2999999999999999E-2</v>
      </c>
      <c r="P1939" s="2">
        <v>0.64500000000000002</v>
      </c>
      <c r="Q1939" s="2">
        <v>-0.14799999999999999</v>
      </c>
      <c r="R1939" s="11">
        <v>75903123</v>
      </c>
      <c r="S1939" s="11">
        <v>999047</v>
      </c>
      <c r="T1939">
        <v>2016</v>
      </c>
      <c r="U1939">
        <v>2</v>
      </c>
      <c r="V1939">
        <f t="shared" si="180"/>
        <v>650000</v>
      </c>
      <c r="W1939">
        <f t="shared" si="181"/>
        <v>18429897</v>
      </c>
      <c r="X1939">
        <f t="shared" si="182"/>
        <v>17779897</v>
      </c>
      <c r="Y1939">
        <f t="shared" si="183"/>
        <v>-26019845.5</v>
      </c>
      <c r="Z1939">
        <f t="shared" si="184"/>
        <v>45099742.5</v>
      </c>
      <c r="AA1939" t="str">
        <f t="shared" si="185"/>
        <v>Normal</v>
      </c>
      <c r="AE1939" s="2"/>
      <c r="AF1939" s="2"/>
    </row>
    <row r="1940" spans="1:32" x14ac:dyDescent="0.35">
      <c r="A1940">
        <v>1939</v>
      </c>
      <c r="B1940" s="1">
        <v>42410</v>
      </c>
      <c r="C1940" s="9" t="s">
        <v>3274</v>
      </c>
      <c r="D1940" s="9" t="s">
        <v>4988</v>
      </c>
      <c r="E1940" s="9" t="s">
        <v>7285</v>
      </c>
      <c r="F1940" s="9" t="s">
        <v>63</v>
      </c>
      <c r="G1940" s="9" t="s">
        <v>3275</v>
      </c>
      <c r="H1940" s="9" t="s">
        <v>86</v>
      </c>
      <c r="I1940" s="11">
        <v>18429897</v>
      </c>
      <c r="J1940" s="11">
        <v>1054431</v>
      </c>
      <c r="K1940" s="11">
        <v>1961250</v>
      </c>
      <c r="L1940" s="3">
        <v>415</v>
      </c>
      <c r="M1940" s="3">
        <v>2580</v>
      </c>
      <c r="N1940" s="3">
        <v>1172256</v>
      </c>
      <c r="O1940" s="2">
        <v>0.121</v>
      </c>
      <c r="P1940" s="2">
        <v>0.748</v>
      </c>
      <c r="Q1940" s="2">
        <v>0.38100000000000001</v>
      </c>
      <c r="R1940" s="11">
        <v>250264963</v>
      </c>
      <c r="S1940" s="11">
        <v>1246838</v>
      </c>
      <c r="T1940">
        <v>2016</v>
      </c>
      <c r="U1940">
        <v>2</v>
      </c>
      <c r="V1940">
        <f t="shared" si="180"/>
        <v>662500</v>
      </c>
      <c r="W1940">
        <f t="shared" si="181"/>
        <v>18429897</v>
      </c>
      <c r="X1940">
        <f t="shared" si="182"/>
        <v>17767397</v>
      </c>
      <c r="Y1940">
        <f t="shared" si="183"/>
        <v>-25988595.5</v>
      </c>
      <c r="Z1940">
        <f t="shared" si="184"/>
        <v>45080992.5</v>
      </c>
      <c r="AA1940" t="str">
        <f t="shared" si="185"/>
        <v>Normal</v>
      </c>
      <c r="AE1940" s="2"/>
      <c r="AF1940" s="2"/>
    </row>
    <row r="1941" spans="1:32" x14ac:dyDescent="0.35">
      <c r="A1941">
        <v>1940</v>
      </c>
      <c r="B1941" s="1">
        <v>42410</v>
      </c>
      <c r="C1941" s="9" t="s">
        <v>3276</v>
      </c>
      <c r="D1941" s="9" t="s">
        <v>4988</v>
      </c>
      <c r="E1941" s="9" t="s">
        <v>7286</v>
      </c>
      <c r="F1941" s="9" t="s">
        <v>15</v>
      </c>
      <c r="G1941" s="9" t="s">
        <v>856</v>
      </c>
      <c r="H1941" s="9" t="s">
        <v>86</v>
      </c>
      <c r="I1941" s="11">
        <v>1200000</v>
      </c>
      <c r="J1941" s="11">
        <v>838687</v>
      </c>
      <c r="K1941" s="11">
        <v>4698133</v>
      </c>
      <c r="L1941" s="3">
        <v>67</v>
      </c>
      <c r="M1941" s="3">
        <v>82</v>
      </c>
      <c r="N1941" s="3">
        <v>1827441</v>
      </c>
      <c r="O1941" s="2">
        <v>0.16300000000000001</v>
      </c>
      <c r="P1941" s="2">
        <v>0.872</v>
      </c>
      <c r="Q1941" s="2">
        <v>-0.10300000000000001</v>
      </c>
      <c r="R1941" s="11">
        <v>158670987</v>
      </c>
      <c r="S1941" s="11">
        <v>1934691</v>
      </c>
      <c r="T1941">
        <v>2016</v>
      </c>
      <c r="U1941">
        <v>2</v>
      </c>
      <c r="V1941">
        <f t="shared" si="180"/>
        <v>650000</v>
      </c>
      <c r="W1941">
        <f t="shared" si="181"/>
        <v>18429897</v>
      </c>
      <c r="X1941">
        <f t="shared" si="182"/>
        <v>17779897</v>
      </c>
      <c r="Y1941">
        <f t="shared" si="183"/>
        <v>-26019845.5</v>
      </c>
      <c r="Z1941">
        <f t="shared" si="184"/>
        <v>45099742.5</v>
      </c>
      <c r="AA1941" t="str">
        <f t="shared" si="185"/>
        <v>Normal</v>
      </c>
      <c r="AE1941" s="2"/>
      <c r="AF1941" s="2"/>
    </row>
    <row r="1942" spans="1:32" x14ac:dyDescent="0.35">
      <c r="A1942">
        <v>1941</v>
      </c>
      <c r="B1942" s="1">
        <v>42410</v>
      </c>
      <c r="C1942" s="9" t="s">
        <v>3277</v>
      </c>
      <c r="D1942" s="9" t="s">
        <v>4930</v>
      </c>
      <c r="E1942" s="9" t="s">
        <v>7287</v>
      </c>
      <c r="F1942" s="9" t="s">
        <v>41</v>
      </c>
      <c r="G1942" s="9" t="s">
        <v>856</v>
      </c>
      <c r="H1942" s="9" t="s">
        <v>86</v>
      </c>
      <c r="I1942" s="11">
        <v>150000</v>
      </c>
      <c r="J1942" s="11">
        <v>1280859</v>
      </c>
      <c r="K1942" s="11">
        <v>10153449</v>
      </c>
      <c r="L1942" s="3">
        <v>93</v>
      </c>
      <c r="M1942" s="3">
        <v>1907</v>
      </c>
      <c r="N1942" s="3">
        <v>1639723</v>
      </c>
      <c r="O1942" s="2">
        <v>-0.23199999999999998</v>
      </c>
      <c r="P1942" s="2">
        <v>0.45399999999999996</v>
      </c>
      <c r="Q1942" s="2">
        <v>-5.6000000000000001E-2</v>
      </c>
      <c r="R1942" s="11">
        <v>75495880</v>
      </c>
      <c r="S1942" s="11">
        <v>1008193.5</v>
      </c>
      <c r="T1942">
        <v>2016</v>
      </c>
      <c r="U1942">
        <v>2</v>
      </c>
      <c r="V1942">
        <f t="shared" si="180"/>
        <v>650000</v>
      </c>
      <c r="W1942">
        <f t="shared" si="181"/>
        <v>18429897</v>
      </c>
      <c r="X1942">
        <f t="shared" si="182"/>
        <v>17779897</v>
      </c>
      <c r="Y1942">
        <f t="shared" si="183"/>
        <v>-26019845.5</v>
      </c>
      <c r="Z1942">
        <f t="shared" si="184"/>
        <v>45099742.5</v>
      </c>
      <c r="AA1942" t="str">
        <f t="shared" si="185"/>
        <v>Normal</v>
      </c>
      <c r="AE1942" s="2"/>
      <c r="AF1942" s="2"/>
    </row>
    <row r="1943" spans="1:32" x14ac:dyDescent="0.35">
      <c r="A1943">
        <v>1942</v>
      </c>
      <c r="B1943" s="1">
        <v>42410</v>
      </c>
      <c r="C1943" s="9" t="s">
        <v>3278</v>
      </c>
      <c r="D1943" s="9" t="s">
        <v>4930</v>
      </c>
      <c r="E1943" s="9" t="s">
        <v>7288</v>
      </c>
      <c r="F1943" s="9" t="s">
        <v>15</v>
      </c>
      <c r="G1943" s="9" t="s">
        <v>3279</v>
      </c>
      <c r="H1943" s="9" t="s">
        <v>86</v>
      </c>
      <c r="I1943" s="11">
        <v>18429897</v>
      </c>
      <c r="J1943" s="11">
        <v>4374110</v>
      </c>
      <c r="K1943" s="11">
        <v>406273</v>
      </c>
      <c r="L1943" s="3">
        <v>249</v>
      </c>
      <c r="M1943" s="3">
        <v>2237</v>
      </c>
      <c r="N1943" s="3">
        <v>1422567</v>
      </c>
      <c r="O1943" s="2">
        <v>-0.21299999999999999</v>
      </c>
      <c r="P1943" s="2">
        <v>1.1879999999999999</v>
      </c>
      <c r="Q1943" s="2">
        <v>0.08</v>
      </c>
      <c r="R1943" s="11">
        <v>283475448</v>
      </c>
      <c r="S1943" s="11">
        <v>281177</v>
      </c>
      <c r="T1943">
        <v>2016</v>
      </c>
      <c r="U1943">
        <v>2</v>
      </c>
      <c r="V1943">
        <f t="shared" si="180"/>
        <v>675000</v>
      </c>
      <c r="W1943">
        <f t="shared" si="181"/>
        <v>18429897</v>
      </c>
      <c r="X1943">
        <f t="shared" si="182"/>
        <v>17754897</v>
      </c>
      <c r="Y1943">
        <f t="shared" si="183"/>
        <v>-25957345.5</v>
      </c>
      <c r="Z1943">
        <f t="shared" si="184"/>
        <v>45062242.5</v>
      </c>
      <c r="AA1943" t="str">
        <f t="shared" si="185"/>
        <v>Normal</v>
      </c>
      <c r="AE1943" s="2"/>
      <c r="AF1943" s="2"/>
    </row>
    <row r="1944" spans="1:32" x14ac:dyDescent="0.35">
      <c r="A1944">
        <v>1943</v>
      </c>
      <c r="B1944" s="1">
        <v>42410</v>
      </c>
      <c r="C1944" s="9" t="s">
        <v>309</v>
      </c>
      <c r="D1944" s="9" t="s">
        <v>4988</v>
      </c>
      <c r="E1944" s="9" t="s">
        <v>7289</v>
      </c>
      <c r="F1944" s="9" t="s">
        <v>310</v>
      </c>
      <c r="G1944" s="9" t="s">
        <v>3280</v>
      </c>
      <c r="H1944" s="9" t="s">
        <v>86</v>
      </c>
      <c r="I1944" s="11">
        <v>18429897</v>
      </c>
      <c r="J1944" s="11">
        <v>2531926</v>
      </c>
      <c r="K1944" s="11">
        <v>16872423</v>
      </c>
      <c r="L1944" s="3">
        <v>95</v>
      </c>
      <c r="M1944" s="3">
        <v>1532</v>
      </c>
      <c r="N1944" s="3">
        <v>1912905</v>
      </c>
      <c r="O1944" s="2">
        <v>0.14699999999999999</v>
      </c>
      <c r="P1944" s="2">
        <v>0.50800000000000001</v>
      </c>
      <c r="Q1944" s="2">
        <v>0.21600000000000003</v>
      </c>
      <c r="R1944" s="11">
        <v>287855783</v>
      </c>
      <c r="S1944" s="11">
        <v>342296</v>
      </c>
      <c r="T1944">
        <v>2016</v>
      </c>
      <c r="U1944">
        <v>2</v>
      </c>
      <c r="V1944">
        <f t="shared" si="180"/>
        <v>662500</v>
      </c>
      <c r="W1944">
        <f t="shared" si="181"/>
        <v>18429897</v>
      </c>
      <c r="X1944">
        <f t="shared" si="182"/>
        <v>17767397</v>
      </c>
      <c r="Y1944">
        <f t="shared" si="183"/>
        <v>-25988595.5</v>
      </c>
      <c r="Z1944">
        <f t="shared" si="184"/>
        <v>45080992.5</v>
      </c>
      <c r="AA1944" t="str">
        <f t="shared" si="185"/>
        <v>Normal</v>
      </c>
      <c r="AE1944" s="2"/>
      <c r="AF1944" s="2"/>
    </row>
    <row r="1945" spans="1:32" x14ac:dyDescent="0.35">
      <c r="A1945">
        <v>1944</v>
      </c>
      <c r="B1945" s="1">
        <v>42410</v>
      </c>
      <c r="C1945" s="9" t="s">
        <v>3281</v>
      </c>
      <c r="D1945" s="9" t="s">
        <v>4988</v>
      </c>
      <c r="E1945" s="9" t="s">
        <v>7290</v>
      </c>
      <c r="F1945" s="9" t="s">
        <v>19</v>
      </c>
      <c r="G1945" s="9" t="s">
        <v>3282</v>
      </c>
      <c r="H1945" s="9" t="s">
        <v>86</v>
      </c>
      <c r="I1945" s="11">
        <v>18429897</v>
      </c>
      <c r="J1945" s="11">
        <v>1913064</v>
      </c>
      <c r="K1945" s="11">
        <v>10587405</v>
      </c>
      <c r="L1945" s="3">
        <v>42</v>
      </c>
      <c r="M1945" s="3">
        <v>4193</v>
      </c>
      <c r="N1945" s="3">
        <v>96707</v>
      </c>
      <c r="O1945" s="2">
        <v>-0.2</v>
      </c>
      <c r="P1945" s="2">
        <v>0.91500000000000004</v>
      </c>
      <c r="Q1945" s="2">
        <v>-0.311</v>
      </c>
      <c r="R1945" s="11">
        <v>327456877</v>
      </c>
      <c r="S1945" s="11">
        <v>707741</v>
      </c>
      <c r="T1945">
        <v>2016</v>
      </c>
      <c r="U1945">
        <v>2</v>
      </c>
      <c r="V1945">
        <f t="shared" si="180"/>
        <v>650000</v>
      </c>
      <c r="W1945">
        <f t="shared" si="181"/>
        <v>18429897</v>
      </c>
      <c r="X1945">
        <f t="shared" si="182"/>
        <v>17779897</v>
      </c>
      <c r="Y1945">
        <f t="shared" si="183"/>
        <v>-26019845.5</v>
      </c>
      <c r="Z1945">
        <f t="shared" si="184"/>
        <v>45099742.5</v>
      </c>
      <c r="AA1945" t="str">
        <f t="shared" si="185"/>
        <v>Normal</v>
      </c>
      <c r="AE1945" s="2"/>
      <c r="AF1945" s="2"/>
    </row>
    <row r="1946" spans="1:32" x14ac:dyDescent="0.35">
      <c r="A1946">
        <v>1945</v>
      </c>
      <c r="B1946" s="1">
        <v>42410</v>
      </c>
      <c r="C1946" s="9" t="s">
        <v>3283</v>
      </c>
      <c r="D1946" s="9" t="s">
        <v>4925</v>
      </c>
      <c r="E1946" s="9" t="s">
        <v>7291</v>
      </c>
      <c r="F1946" s="9" t="s">
        <v>19</v>
      </c>
      <c r="G1946" s="9" t="s">
        <v>3284</v>
      </c>
      <c r="H1946" s="9" t="s">
        <v>86</v>
      </c>
      <c r="I1946" s="11">
        <v>18429897</v>
      </c>
      <c r="J1946" s="11">
        <v>612387</v>
      </c>
      <c r="K1946" s="11">
        <v>13150708</v>
      </c>
      <c r="L1946" s="3">
        <v>30</v>
      </c>
      <c r="M1946" s="3">
        <v>4786</v>
      </c>
      <c r="N1946" s="3">
        <v>1109372</v>
      </c>
      <c r="O1946" s="2">
        <v>1</v>
      </c>
      <c r="P1946" s="2">
        <v>0.60799999999999998</v>
      </c>
      <c r="Q1946" s="2">
        <v>-3.5999999999999997E-2</v>
      </c>
      <c r="R1946" s="11">
        <v>145668505</v>
      </c>
      <c r="S1946" s="11">
        <v>1709683</v>
      </c>
      <c r="T1946">
        <v>2016</v>
      </c>
      <c r="U1946">
        <v>2</v>
      </c>
      <c r="V1946">
        <f t="shared" si="180"/>
        <v>650000</v>
      </c>
      <c r="W1946">
        <f t="shared" si="181"/>
        <v>18429897</v>
      </c>
      <c r="X1946">
        <f t="shared" si="182"/>
        <v>17779897</v>
      </c>
      <c r="Y1946">
        <f t="shared" si="183"/>
        <v>-26019845.5</v>
      </c>
      <c r="Z1946">
        <f t="shared" si="184"/>
        <v>45099742.5</v>
      </c>
      <c r="AA1946" t="str">
        <f t="shared" si="185"/>
        <v>Normal</v>
      </c>
      <c r="AE1946" s="2"/>
      <c r="AF1946" s="2"/>
    </row>
    <row r="1947" spans="1:32" x14ac:dyDescent="0.35">
      <c r="A1947">
        <v>1946</v>
      </c>
      <c r="B1947" s="1">
        <v>42412</v>
      </c>
      <c r="C1947" s="9" t="s">
        <v>3285</v>
      </c>
      <c r="D1947" s="9" t="s">
        <v>4930</v>
      </c>
      <c r="E1947" s="9" t="s">
        <v>7292</v>
      </c>
      <c r="F1947" s="9" t="s">
        <v>15</v>
      </c>
      <c r="G1947" s="9" t="s">
        <v>3286</v>
      </c>
      <c r="H1947" s="9" t="s">
        <v>86</v>
      </c>
      <c r="I1947" s="11">
        <v>125000</v>
      </c>
      <c r="J1947" s="11">
        <v>802223</v>
      </c>
      <c r="K1947" s="11">
        <v>13105765</v>
      </c>
      <c r="L1947" s="3">
        <v>146</v>
      </c>
      <c r="M1947" s="3">
        <v>2417</v>
      </c>
      <c r="N1947" s="3">
        <v>62207</v>
      </c>
      <c r="O1947" s="2">
        <v>0.23399999999999999</v>
      </c>
      <c r="P1947" s="2">
        <v>0.88400000000000001</v>
      </c>
      <c r="Q1947" s="2">
        <v>0.35699999999999998</v>
      </c>
      <c r="R1947" s="11">
        <v>55363894</v>
      </c>
      <c r="S1947" s="11">
        <v>1008193.5</v>
      </c>
      <c r="T1947">
        <v>2016</v>
      </c>
      <c r="U1947">
        <v>2</v>
      </c>
      <c r="V1947">
        <f t="shared" si="180"/>
        <v>650000</v>
      </c>
      <c r="W1947">
        <f t="shared" si="181"/>
        <v>18429897</v>
      </c>
      <c r="X1947">
        <f t="shared" si="182"/>
        <v>17779897</v>
      </c>
      <c r="Y1947">
        <f t="shared" si="183"/>
        <v>-26019845.5</v>
      </c>
      <c r="Z1947">
        <f t="shared" si="184"/>
        <v>45099742.5</v>
      </c>
      <c r="AA1947" t="str">
        <f t="shared" si="185"/>
        <v>Normal</v>
      </c>
      <c r="AE1947" s="2"/>
      <c r="AF1947" s="2"/>
    </row>
    <row r="1948" spans="1:32" x14ac:dyDescent="0.35">
      <c r="A1948">
        <v>1947</v>
      </c>
      <c r="B1948" s="1">
        <v>42412</v>
      </c>
      <c r="C1948" s="9" t="s">
        <v>2761</v>
      </c>
      <c r="D1948" s="9" t="s">
        <v>4939</v>
      </c>
      <c r="E1948" s="9" t="s">
        <v>7293</v>
      </c>
      <c r="F1948" s="9" t="s">
        <v>27</v>
      </c>
      <c r="G1948" s="9" t="s">
        <v>3287</v>
      </c>
      <c r="H1948" s="9" t="s">
        <v>86</v>
      </c>
      <c r="I1948" s="11">
        <v>1000000</v>
      </c>
      <c r="J1948" s="11">
        <v>4585905</v>
      </c>
      <c r="K1948" s="11">
        <v>19337215</v>
      </c>
      <c r="L1948" s="3">
        <v>247</v>
      </c>
      <c r="M1948" s="3">
        <v>3937</v>
      </c>
      <c r="N1948" s="3">
        <v>1583442</v>
      </c>
      <c r="O1948" s="2">
        <v>-7.8E-2</v>
      </c>
      <c r="P1948" s="2">
        <v>1.1830000000000001</v>
      </c>
      <c r="Q1948" s="2">
        <v>0.35600000000000004</v>
      </c>
      <c r="R1948" s="11">
        <v>46189614</v>
      </c>
      <c r="S1948" s="11">
        <v>1411673</v>
      </c>
      <c r="T1948">
        <v>2016</v>
      </c>
      <c r="U1948">
        <v>2</v>
      </c>
      <c r="V1948">
        <f t="shared" si="180"/>
        <v>662500</v>
      </c>
      <c r="W1948">
        <f t="shared" si="181"/>
        <v>18429897</v>
      </c>
      <c r="X1948">
        <f t="shared" si="182"/>
        <v>17767397</v>
      </c>
      <c r="Y1948">
        <f t="shared" si="183"/>
        <v>-25988595.5</v>
      </c>
      <c r="Z1948">
        <f t="shared" si="184"/>
        <v>45080992.5</v>
      </c>
      <c r="AA1948" t="str">
        <f t="shared" si="185"/>
        <v>Normal</v>
      </c>
      <c r="AE1948" s="2"/>
      <c r="AF1948" s="2"/>
    </row>
    <row r="1949" spans="1:32" x14ac:dyDescent="0.35">
      <c r="A1949">
        <v>1948</v>
      </c>
      <c r="B1949" s="1">
        <v>42412</v>
      </c>
      <c r="C1949" s="9" t="s">
        <v>3288</v>
      </c>
      <c r="D1949" s="9" t="s">
        <v>4930</v>
      </c>
      <c r="E1949" s="9" t="s">
        <v>7294</v>
      </c>
      <c r="F1949" s="9" t="s">
        <v>31</v>
      </c>
      <c r="G1949" s="9" t="s">
        <v>3289</v>
      </c>
      <c r="H1949" s="9" t="s">
        <v>86</v>
      </c>
      <c r="I1949" s="11">
        <v>1000000</v>
      </c>
      <c r="J1949" s="11">
        <v>28274</v>
      </c>
      <c r="K1949" s="11">
        <v>3031914</v>
      </c>
      <c r="L1949" s="3">
        <v>26</v>
      </c>
      <c r="M1949" s="3">
        <v>1154</v>
      </c>
      <c r="N1949" s="3">
        <v>1018455</v>
      </c>
      <c r="O1949" s="2">
        <v>-0.36299999999999999</v>
      </c>
      <c r="P1949" s="2">
        <v>0.35399999999999998</v>
      </c>
      <c r="Q1949" s="2">
        <v>2.7E-2</v>
      </c>
      <c r="R1949" s="11">
        <v>353531747</v>
      </c>
      <c r="S1949" s="11">
        <v>1880697</v>
      </c>
      <c r="T1949">
        <v>2016</v>
      </c>
      <c r="U1949">
        <v>2</v>
      </c>
      <c r="V1949">
        <f t="shared" si="180"/>
        <v>650000</v>
      </c>
      <c r="W1949">
        <f t="shared" si="181"/>
        <v>18429897</v>
      </c>
      <c r="X1949">
        <f t="shared" si="182"/>
        <v>17779897</v>
      </c>
      <c r="Y1949">
        <f t="shared" si="183"/>
        <v>-26019845.5</v>
      </c>
      <c r="Z1949">
        <f t="shared" si="184"/>
        <v>45099742.5</v>
      </c>
      <c r="AA1949" t="str">
        <f t="shared" si="185"/>
        <v>Normal</v>
      </c>
      <c r="AE1949" s="2"/>
      <c r="AF1949" s="2"/>
    </row>
    <row r="1950" spans="1:32" x14ac:dyDescent="0.35">
      <c r="A1950">
        <v>1949</v>
      </c>
      <c r="B1950" s="1">
        <v>42412</v>
      </c>
      <c r="C1950" s="9" t="s">
        <v>3290</v>
      </c>
      <c r="D1950" s="9" t="s">
        <v>4988</v>
      </c>
      <c r="E1950" s="9" t="s">
        <v>7295</v>
      </c>
      <c r="F1950" s="9" t="s">
        <v>31</v>
      </c>
      <c r="G1950" s="9" t="s">
        <v>2031</v>
      </c>
      <c r="H1950" s="9" t="s">
        <v>105</v>
      </c>
      <c r="I1950" s="11">
        <v>4000000</v>
      </c>
      <c r="J1950" s="11">
        <v>1621234</v>
      </c>
      <c r="K1950" s="11">
        <v>6919352</v>
      </c>
      <c r="L1950" s="3">
        <v>73</v>
      </c>
      <c r="M1950" s="3">
        <v>4617</v>
      </c>
      <c r="N1950" s="3">
        <v>1121163</v>
      </c>
      <c r="O1950" s="2">
        <v>0.45100000000000001</v>
      </c>
      <c r="P1950" s="2">
        <v>0.63600000000000001</v>
      </c>
      <c r="Q1950" s="2">
        <v>-0.19399999999999998</v>
      </c>
      <c r="R1950" s="11">
        <v>83812838</v>
      </c>
      <c r="S1950" s="11">
        <v>1337332</v>
      </c>
      <c r="T1950">
        <v>2016</v>
      </c>
      <c r="U1950">
        <v>2</v>
      </c>
      <c r="V1950">
        <f t="shared" si="180"/>
        <v>650000</v>
      </c>
      <c r="W1950">
        <f t="shared" si="181"/>
        <v>18429897</v>
      </c>
      <c r="X1950">
        <f t="shared" si="182"/>
        <v>17779897</v>
      </c>
      <c r="Y1950">
        <f t="shared" si="183"/>
        <v>-26019845.5</v>
      </c>
      <c r="Z1950">
        <f t="shared" si="184"/>
        <v>45099742.5</v>
      </c>
      <c r="AA1950" t="str">
        <f t="shared" si="185"/>
        <v>Normal</v>
      </c>
      <c r="AE1950" s="2"/>
      <c r="AF1950" s="2"/>
    </row>
    <row r="1951" spans="1:32" x14ac:dyDescent="0.35">
      <c r="A1951">
        <v>1950</v>
      </c>
      <c r="B1951" s="1">
        <v>42415</v>
      </c>
      <c r="C1951" s="9" t="s">
        <v>3291</v>
      </c>
      <c r="D1951" s="9" t="s">
        <v>4988</v>
      </c>
      <c r="E1951" s="9" t="s">
        <v>7296</v>
      </c>
      <c r="F1951" s="9" t="s">
        <v>31</v>
      </c>
      <c r="G1951" s="9" t="s">
        <v>4863</v>
      </c>
      <c r="H1951" s="9" t="s">
        <v>105</v>
      </c>
      <c r="I1951" s="11">
        <v>5000000</v>
      </c>
      <c r="J1951" s="11">
        <v>4578813</v>
      </c>
      <c r="K1951" s="11">
        <v>6236803</v>
      </c>
      <c r="L1951" s="3">
        <v>307</v>
      </c>
      <c r="M1951" s="3">
        <v>3531</v>
      </c>
      <c r="N1951" s="3">
        <v>1565167</v>
      </c>
      <c r="O1951" s="2">
        <v>0.36200000000000004</v>
      </c>
      <c r="P1951" s="2">
        <v>0.89700000000000002</v>
      </c>
      <c r="Q1951" s="2">
        <v>0.154</v>
      </c>
      <c r="R1951" s="11">
        <v>54488236</v>
      </c>
      <c r="S1951" s="11">
        <v>219066</v>
      </c>
      <c r="T1951">
        <v>2016</v>
      </c>
      <c r="U1951">
        <v>2</v>
      </c>
      <c r="V1951">
        <f t="shared" si="180"/>
        <v>650000</v>
      </c>
      <c r="W1951">
        <f t="shared" si="181"/>
        <v>18429897</v>
      </c>
      <c r="X1951">
        <f t="shared" si="182"/>
        <v>17779897</v>
      </c>
      <c r="Y1951">
        <f t="shared" si="183"/>
        <v>-26019845.5</v>
      </c>
      <c r="Z1951">
        <f t="shared" si="184"/>
        <v>45099742.5</v>
      </c>
      <c r="AA1951" t="str">
        <f t="shared" si="185"/>
        <v>Normal</v>
      </c>
      <c r="AE1951" s="2"/>
      <c r="AF1951" s="2"/>
    </row>
    <row r="1952" spans="1:32" x14ac:dyDescent="0.35">
      <c r="A1952">
        <v>1951</v>
      </c>
      <c r="B1952" s="1">
        <v>42415</v>
      </c>
      <c r="C1952" s="9" t="s">
        <v>3292</v>
      </c>
      <c r="D1952" s="9" t="s">
        <v>4925</v>
      </c>
      <c r="E1952" s="9" t="s">
        <v>7297</v>
      </c>
      <c r="F1952" s="9" t="s">
        <v>27</v>
      </c>
      <c r="G1952" s="9" t="s">
        <v>4864</v>
      </c>
      <c r="H1952" s="9" t="s">
        <v>105</v>
      </c>
      <c r="I1952" s="11">
        <v>200000000</v>
      </c>
      <c r="J1952" s="11">
        <v>3048483</v>
      </c>
      <c r="K1952" s="11">
        <v>11074295</v>
      </c>
      <c r="L1952" s="3">
        <v>162</v>
      </c>
      <c r="M1952" s="3">
        <v>3682</v>
      </c>
      <c r="N1952" s="3">
        <v>1251442</v>
      </c>
      <c r="O1952" s="2">
        <v>0.35899999999999999</v>
      </c>
      <c r="P1952" s="2">
        <v>1.057E-2</v>
      </c>
      <c r="Q1952" s="2">
        <v>0.308</v>
      </c>
      <c r="R1952" s="11">
        <v>314661663</v>
      </c>
      <c r="S1952" s="11">
        <v>1871705</v>
      </c>
      <c r="T1952">
        <v>2016</v>
      </c>
      <c r="U1952">
        <v>2</v>
      </c>
      <c r="V1952">
        <f t="shared" si="180"/>
        <v>650000</v>
      </c>
      <c r="W1952">
        <f t="shared" si="181"/>
        <v>18429897</v>
      </c>
      <c r="X1952">
        <f t="shared" si="182"/>
        <v>17779897</v>
      </c>
      <c r="Y1952">
        <f t="shared" si="183"/>
        <v>-26019845.5</v>
      </c>
      <c r="Z1952">
        <f t="shared" si="184"/>
        <v>45099742.5</v>
      </c>
      <c r="AA1952" t="str">
        <f t="shared" si="185"/>
        <v>Outlier</v>
      </c>
      <c r="AE1952" s="2"/>
      <c r="AF1952" s="2"/>
    </row>
    <row r="1953" spans="1:32" x14ac:dyDescent="0.35">
      <c r="A1953">
        <v>1952</v>
      </c>
      <c r="B1953" s="1">
        <v>42415</v>
      </c>
      <c r="C1953" s="9" t="s">
        <v>3045</v>
      </c>
      <c r="D1953" s="9" t="s">
        <v>4988</v>
      </c>
      <c r="E1953" s="9" t="s">
        <v>7298</v>
      </c>
      <c r="F1953" s="9" t="s">
        <v>526</v>
      </c>
      <c r="G1953" s="9" t="s">
        <v>3293</v>
      </c>
      <c r="H1953" s="9" t="s">
        <v>105</v>
      </c>
      <c r="I1953" s="11">
        <v>18429897</v>
      </c>
      <c r="J1953" s="11">
        <v>377340</v>
      </c>
      <c r="K1953" s="11">
        <v>10571157</v>
      </c>
      <c r="L1953" s="3">
        <v>380</v>
      </c>
      <c r="M1953" s="3">
        <v>2994</v>
      </c>
      <c r="N1953" s="3">
        <v>117478</v>
      </c>
      <c r="O1953" s="2">
        <v>-0.104</v>
      </c>
      <c r="P1953" s="2">
        <v>0.83700000000000008</v>
      </c>
      <c r="Q1953" s="2">
        <v>0.14499999999999999</v>
      </c>
      <c r="R1953" s="11">
        <v>210217502</v>
      </c>
      <c r="S1953" s="11">
        <v>1100677</v>
      </c>
      <c r="T1953">
        <v>2016</v>
      </c>
      <c r="U1953">
        <v>2</v>
      </c>
      <c r="V1953">
        <f t="shared" si="180"/>
        <v>650000</v>
      </c>
      <c r="W1953">
        <f t="shared" si="181"/>
        <v>18429897</v>
      </c>
      <c r="X1953">
        <f t="shared" si="182"/>
        <v>17779897</v>
      </c>
      <c r="Y1953">
        <f t="shared" si="183"/>
        <v>-26019845.5</v>
      </c>
      <c r="Z1953">
        <f t="shared" si="184"/>
        <v>45099742.5</v>
      </c>
      <c r="AA1953" t="str">
        <f t="shared" si="185"/>
        <v>Normal</v>
      </c>
      <c r="AE1953" s="2"/>
      <c r="AF1953" s="2"/>
    </row>
    <row r="1954" spans="1:32" x14ac:dyDescent="0.35">
      <c r="A1954">
        <v>1953</v>
      </c>
      <c r="B1954" s="1">
        <v>42415</v>
      </c>
      <c r="C1954" s="9" t="s">
        <v>3294</v>
      </c>
      <c r="D1954" s="9" t="s">
        <v>4930</v>
      </c>
      <c r="E1954" s="9" t="s">
        <v>7299</v>
      </c>
      <c r="F1954" s="9" t="s">
        <v>15</v>
      </c>
      <c r="G1954" s="9" t="s">
        <v>715</v>
      </c>
      <c r="H1954" s="9" t="s">
        <v>105</v>
      </c>
      <c r="I1954" s="11">
        <v>18429897</v>
      </c>
      <c r="J1954" s="11">
        <v>2531926</v>
      </c>
      <c r="K1954" s="11">
        <v>15821760</v>
      </c>
      <c r="L1954" s="3">
        <v>421</v>
      </c>
      <c r="M1954" s="3">
        <v>4153</v>
      </c>
      <c r="N1954" s="3">
        <v>952065</v>
      </c>
      <c r="O1954" s="2">
        <v>0.105</v>
      </c>
      <c r="P1954" s="2">
        <v>0.43099999999999999</v>
      </c>
      <c r="Q1954" s="2">
        <v>0.45100000000000001</v>
      </c>
      <c r="R1954" s="11">
        <v>249176690</v>
      </c>
      <c r="S1954" s="11">
        <v>902201</v>
      </c>
      <c r="T1954">
        <v>2016</v>
      </c>
      <c r="U1954">
        <v>2</v>
      </c>
      <c r="V1954">
        <f t="shared" si="180"/>
        <v>650000</v>
      </c>
      <c r="W1954">
        <f t="shared" si="181"/>
        <v>18429897</v>
      </c>
      <c r="X1954">
        <f t="shared" si="182"/>
        <v>17779897</v>
      </c>
      <c r="Y1954">
        <f t="shared" si="183"/>
        <v>-26019845.5</v>
      </c>
      <c r="Z1954">
        <f t="shared" si="184"/>
        <v>45099742.5</v>
      </c>
      <c r="AA1954" t="str">
        <f t="shared" si="185"/>
        <v>Normal</v>
      </c>
      <c r="AE1954" s="2"/>
      <c r="AF1954" s="2"/>
    </row>
    <row r="1955" spans="1:32" x14ac:dyDescent="0.35">
      <c r="A1955">
        <v>1954</v>
      </c>
      <c r="B1955" s="1">
        <v>42415</v>
      </c>
      <c r="C1955" s="9" t="s">
        <v>3295</v>
      </c>
      <c r="D1955" s="9" t="s">
        <v>4988</v>
      </c>
      <c r="E1955" s="9" t="s">
        <v>7300</v>
      </c>
      <c r="F1955" s="9" t="s">
        <v>19</v>
      </c>
      <c r="G1955" s="9" t="s">
        <v>3296</v>
      </c>
      <c r="H1955" s="9" t="s">
        <v>86</v>
      </c>
      <c r="I1955" s="11">
        <v>50000</v>
      </c>
      <c r="J1955" s="11">
        <v>4855310</v>
      </c>
      <c r="K1955" s="11">
        <v>11256719</v>
      </c>
      <c r="L1955" s="3">
        <v>20</v>
      </c>
      <c r="M1955" s="3">
        <v>2693</v>
      </c>
      <c r="N1955" s="3">
        <v>1559340</v>
      </c>
      <c r="O1955" s="2">
        <v>-0.13400000000000001</v>
      </c>
      <c r="P1955" s="2">
        <v>0.84499999999999997</v>
      </c>
      <c r="Q1955" s="2">
        <v>3.3000000000000002E-2</v>
      </c>
      <c r="R1955" s="11">
        <v>324277184</v>
      </c>
      <c r="S1955" s="11">
        <v>274345</v>
      </c>
      <c r="T1955">
        <v>2016</v>
      </c>
      <c r="U1955">
        <v>2</v>
      </c>
      <c r="V1955">
        <f t="shared" si="180"/>
        <v>650000</v>
      </c>
      <c r="W1955">
        <f t="shared" si="181"/>
        <v>18429897</v>
      </c>
      <c r="X1955">
        <f t="shared" si="182"/>
        <v>17779897</v>
      </c>
      <c r="Y1955">
        <f t="shared" si="183"/>
        <v>-26019845.5</v>
      </c>
      <c r="Z1955">
        <f t="shared" si="184"/>
        <v>45099742.5</v>
      </c>
      <c r="AA1955" t="str">
        <f t="shared" si="185"/>
        <v>Normal</v>
      </c>
      <c r="AE1955" s="2"/>
      <c r="AF1955" s="2"/>
    </row>
    <row r="1956" spans="1:32" x14ac:dyDescent="0.35">
      <c r="A1956">
        <v>1955</v>
      </c>
      <c r="B1956" s="1">
        <v>42415</v>
      </c>
      <c r="C1956" s="9" t="s">
        <v>533</v>
      </c>
      <c r="D1956" s="9" t="s">
        <v>4988</v>
      </c>
      <c r="E1956" s="9" t="s">
        <v>7301</v>
      </c>
      <c r="F1956" s="9" t="s">
        <v>15</v>
      </c>
      <c r="G1956" s="9" t="s">
        <v>3297</v>
      </c>
      <c r="H1956" s="9" t="s">
        <v>86</v>
      </c>
      <c r="I1956" s="11">
        <v>300000</v>
      </c>
      <c r="J1956" s="11">
        <v>2014247</v>
      </c>
      <c r="K1956" s="11">
        <v>4756439</v>
      </c>
      <c r="L1956" s="3">
        <v>474</v>
      </c>
      <c r="M1956" s="3">
        <v>4822</v>
      </c>
      <c r="N1956" s="3">
        <v>1919194</v>
      </c>
      <c r="O1956" s="2">
        <v>0.10800000000000001</v>
      </c>
      <c r="P1956" s="2">
        <v>0.82299999999999995</v>
      </c>
      <c r="Q1956" s="2">
        <v>-0.22899999999999998</v>
      </c>
      <c r="R1956" s="11">
        <v>446816435</v>
      </c>
      <c r="S1956" s="11">
        <v>929129</v>
      </c>
      <c r="T1956">
        <v>2016</v>
      </c>
      <c r="U1956">
        <v>2</v>
      </c>
      <c r="V1956">
        <f t="shared" si="180"/>
        <v>650000</v>
      </c>
      <c r="W1956">
        <f t="shared" si="181"/>
        <v>18429897</v>
      </c>
      <c r="X1956">
        <f t="shared" si="182"/>
        <v>17779897</v>
      </c>
      <c r="Y1956">
        <f t="shared" si="183"/>
        <v>-26019845.5</v>
      </c>
      <c r="Z1956">
        <f t="shared" si="184"/>
        <v>45099742.5</v>
      </c>
      <c r="AA1956" t="str">
        <f t="shared" si="185"/>
        <v>Normal</v>
      </c>
      <c r="AE1956" s="2"/>
      <c r="AF1956" s="2"/>
    </row>
    <row r="1957" spans="1:32" x14ac:dyDescent="0.35">
      <c r="A1957">
        <v>1956</v>
      </c>
      <c r="B1957" s="1">
        <v>42415</v>
      </c>
      <c r="C1957" s="9" t="s">
        <v>3298</v>
      </c>
      <c r="D1957" s="9" t="s">
        <v>4933</v>
      </c>
      <c r="E1957" s="9" t="s">
        <v>7302</v>
      </c>
      <c r="F1957" s="9" t="s">
        <v>15</v>
      </c>
      <c r="G1957" s="9" t="s">
        <v>4865</v>
      </c>
      <c r="H1957" s="9" t="s">
        <v>86</v>
      </c>
      <c r="I1957" s="11">
        <v>500000</v>
      </c>
      <c r="J1957" s="11">
        <v>2652583</v>
      </c>
      <c r="K1957" s="11">
        <v>11338194</v>
      </c>
      <c r="L1957" s="3">
        <v>343</v>
      </c>
      <c r="M1957" s="3">
        <v>3329</v>
      </c>
      <c r="N1957" s="3">
        <v>1796293</v>
      </c>
      <c r="O1957" s="2">
        <v>0.05</v>
      </c>
      <c r="P1957" s="2">
        <v>0.24399999999999999</v>
      </c>
      <c r="Q1957" s="2">
        <v>-4.9000000000000002E-2</v>
      </c>
      <c r="R1957" s="11">
        <v>121771105</v>
      </c>
      <c r="S1957" s="11">
        <v>454932</v>
      </c>
      <c r="T1957">
        <v>2016</v>
      </c>
      <c r="U1957">
        <v>2</v>
      </c>
      <c r="V1957">
        <f t="shared" si="180"/>
        <v>650000</v>
      </c>
      <c r="W1957">
        <f t="shared" si="181"/>
        <v>18429897</v>
      </c>
      <c r="X1957">
        <f t="shared" si="182"/>
        <v>17779897</v>
      </c>
      <c r="Y1957">
        <f t="shared" si="183"/>
        <v>-26019845.5</v>
      </c>
      <c r="Z1957">
        <f t="shared" si="184"/>
        <v>45099742.5</v>
      </c>
      <c r="AA1957" t="str">
        <f t="shared" si="185"/>
        <v>Normal</v>
      </c>
      <c r="AE1957" s="2"/>
      <c r="AF1957" s="2"/>
    </row>
    <row r="1958" spans="1:32" x14ac:dyDescent="0.35">
      <c r="A1958">
        <v>1957</v>
      </c>
      <c r="B1958" s="1">
        <v>42415</v>
      </c>
      <c r="C1958" s="9" t="s">
        <v>3299</v>
      </c>
      <c r="D1958" s="9" t="s">
        <v>4988</v>
      </c>
      <c r="E1958" s="9" t="s">
        <v>7303</v>
      </c>
      <c r="F1958" s="9" t="s">
        <v>27</v>
      </c>
      <c r="G1958" s="9" t="s">
        <v>3300</v>
      </c>
      <c r="H1958" s="9" t="s">
        <v>86</v>
      </c>
      <c r="I1958" s="11">
        <v>18429897</v>
      </c>
      <c r="J1958" s="11">
        <v>2668792</v>
      </c>
      <c r="K1958" s="11">
        <v>19285390</v>
      </c>
      <c r="L1958" s="3">
        <v>411</v>
      </c>
      <c r="M1958" s="3">
        <v>2295</v>
      </c>
      <c r="N1958" s="3">
        <v>1018455</v>
      </c>
      <c r="O1958" s="2">
        <v>-9.6000000000000002E-2</v>
      </c>
      <c r="P1958" s="2">
        <v>0.80700000000000005</v>
      </c>
      <c r="Q1958" s="2">
        <v>0.1</v>
      </c>
      <c r="R1958" s="11">
        <v>250264963</v>
      </c>
      <c r="S1958" s="11">
        <v>787823</v>
      </c>
      <c r="T1958">
        <v>2016</v>
      </c>
      <c r="U1958">
        <v>2</v>
      </c>
      <c r="V1958">
        <f t="shared" si="180"/>
        <v>687500</v>
      </c>
      <c r="W1958">
        <f t="shared" si="181"/>
        <v>18429897</v>
      </c>
      <c r="X1958">
        <f t="shared" si="182"/>
        <v>17742397</v>
      </c>
      <c r="Y1958">
        <f t="shared" si="183"/>
        <v>-25926095.5</v>
      </c>
      <c r="Z1958">
        <f t="shared" si="184"/>
        <v>45043492.5</v>
      </c>
      <c r="AA1958" t="str">
        <f t="shared" si="185"/>
        <v>Normal</v>
      </c>
      <c r="AE1958" s="2"/>
      <c r="AF1958" s="2"/>
    </row>
    <row r="1959" spans="1:32" x14ac:dyDescent="0.35">
      <c r="A1959">
        <v>1958</v>
      </c>
      <c r="B1959" s="1">
        <v>42416</v>
      </c>
      <c r="C1959" s="9" t="s">
        <v>3301</v>
      </c>
      <c r="D1959" s="9" t="s">
        <v>4988</v>
      </c>
      <c r="E1959" s="9" t="s">
        <v>7304</v>
      </c>
      <c r="F1959" s="9" t="s">
        <v>15</v>
      </c>
      <c r="G1959" s="9" t="s">
        <v>3302</v>
      </c>
      <c r="H1959" s="9" t="s">
        <v>86</v>
      </c>
      <c r="I1959" s="11">
        <v>1000000</v>
      </c>
      <c r="J1959" s="11">
        <v>3309026</v>
      </c>
      <c r="K1959" s="11">
        <v>11619387</v>
      </c>
      <c r="L1959" s="3">
        <v>241</v>
      </c>
      <c r="M1959" s="3">
        <v>1081</v>
      </c>
      <c r="N1959" s="3">
        <v>613900</v>
      </c>
      <c r="O1959" s="2">
        <v>0.221</v>
      </c>
      <c r="P1959" s="2">
        <v>0.73299999999999998</v>
      </c>
      <c r="Q1959" s="2">
        <v>-7.5999999999999998E-2</v>
      </c>
      <c r="R1959" s="11">
        <v>97578233</v>
      </c>
      <c r="S1959" s="11">
        <v>1219184</v>
      </c>
      <c r="T1959">
        <v>2016</v>
      </c>
      <c r="U1959">
        <v>2</v>
      </c>
      <c r="V1959">
        <f t="shared" si="180"/>
        <v>675000</v>
      </c>
      <c r="W1959">
        <f t="shared" si="181"/>
        <v>18429897</v>
      </c>
      <c r="X1959">
        <f t="shared" si="182"/>
        <v>17754897</v>
      </c>
      <c r="Y1959">
        <f t="shared" si="183"/>
        <v>-25957345.5</v>
      </c>
      <c r="Z1959">
        <f t="shared" si="184"/>
        <v>45062242.5</v>
      </c>
      <c r="AA1959" t="str">
        <f t="shared" si="185"/>
        <v>Normal</v>
      </c>
      <c r="AE1959" s="2"/>
      <c r="AF1959" s="2"/>
    </row>
    <row r="1960" spans="1:32" x14ac:dyDescent="0.35">
      <c r="A1960">
        <v>1959</v>
      </c>
      <c r="B1960" s="1">
        <v>42416</v>
      </c>
      <c r="C1960" s="9" t="s">
        <v>2187</v>
      </c>
      <c r="D1960" s="9" t="s">
        <v>4930</v>
      </c>
      <c r="E1960" s="9" t="s">
        <v>7305</v>
      </c>
      <c r="F1960" s="9" t="s">
        <v>15</v>
      </c>
      <c r="G1960" s="9" t="s">
        <v>791</v>
      </c>
      <c r="H1960" s="9" t="s">
        <v>86</v>
      </c>
      <c r="I1960" s="11">
        <v>970000</v>
      </c>
      <c r="J1960" s="11">
        <v>952449</v>
      </c>
      <c r="K1960" s="11">
        <v>11888713</v>
      </c>
      <c r="L1960" s="3">
        <v>5</v>
      </c>
      <c r="M1960" s="3">
        <v>4539</v>
      </c>
      <c r="N1960" s="3">
        <v>1503907</v>
      </c>
      <c r="O1960" s="2">
        <v>6.8000000000000005E-2</v>
      </c>
      <c r="P1960" s="2">
        <v>0.48899999999999999</v>
      </c>
      <c r="Q1960" s="2">
        <v>-0.03</v>
      </c>
      <c r="R1960" s="11">
        <v>482781418</v>
      </c>
      <c r="S1960" s="11">
        <v>288549</v>
      </c>
      <c r="T1960">
        <v>2016</v>
      </c>
      <c r="U1960">
        <v>2</v>
      </c>
      <c r="V1960">
        <f t="shared" si="180"/>
        <v>662500</v>
      </c>
      <c r="W1960">
        <f t="shared" si="181"/>
        <v>18429897</v>
      </c>
      <c r="X1960">
        <f t="shared" si="182"/>
        <v>17767397</v>
      </c>
      <c r="Y1960">
        <f t="shared" si="183"/>
        <v>-25988595.5</v>
      </c>
      <c r="Z1960">
        <f t="shared" si="184"/>
        <v>45080992.5</v>
      </c>
      <c r="AA1960" t="str">
        <f t="shared" si="185"/>
        <v>Normal</v>
      </c>
      <c r="AE1960" s="2"/>
      <c r="AF1960" s="2"/>
    </row>
    <row r="1961" spans="1:32" x14ac:dyDescent="0.35">
      <c r="A1961">
        <v>1960</v>
      </c>
      <c r="B1961" s="1">
        <v>42416</v>
      </c>
      <c r="C1961" s="9" t="s">
        <v>2517</v>
      </c>
      <c r="D1961" s="9" t="s">
        <v>4925</v>
      </c>
      <c r="E1961" s="9" t="s">
        <v>7306</v>
      </c>
      <c r="F1961" s="9" t="s">
        <v>408</v>
      </c>
      <c r="G1961" s="9" t="s">
        <v>3303</v>
      </c>
      <c r="H1961" s="9" t="s">
        <v>86</v>
      </c>
      <c r="I1961" s="11">
        <v>18429897</v>
      </c>
      <c r="J1961" s="11">
        <v>1000000000</v>
      </c>
      <c r="K1961" s="11">
        <v>3602393</v>
      </c>
      <c r="L1961" s="3">
        <v>443</v>
      </c>
      <c r="M1961" s="3">
        <v>327</v>
      </c>
      <c r="N1961" s="3">
        <v>333859</v>
      </c>
      <c r="O1961" s="2">
        <v>1.6E-2</v>
      </c>
      <c r="P1961" s="2">
        <v>0.439</v>
      </c>
      <c r="Q1961" s="2">
        <v>0.34</v>
      </c>
      <c r="R1961" s="11">
        <v>266665885</v>
      </c>
      <c r="S1961" s="11">
        <v>567889</v>
      </c>
      <c r="T1961">
        <v>2016</v>
      </c>
      <c r="U1961">
        <v>2</v>
      </c>
      <c r="V1961">
        <f t="shared" si="180"/>
        <v>650000</v>
      </c>
      <c r="W1961">
        <f t="shared" si="181"/>
        <v>18429897</v>
      </c>
      <c r="X1961">
        <f t="shared" si="182"/>
        <v>17779897</v>
      </c>
      <c r="Y1961">
        <f t="shared" si="183"/>
        <v>-26019845.5</v>
      </c>
      <c r="Z1961">
        <f t="shared" si="184"/>
        <v>45099742.5</v>
      </c>
      <c r="AA1961" t="str">
        <f t="shared" si="185"/>
        <v>Normal</v>
      </c>
      <c r="AE1961" s="2"/>
      <c r="AF1961" s="2"/>
    </row>
    <row r="1962" spans="1:32" x14ac:dyDescent="0.35">
      <c r="A1962">
        <v>1961</v>
      </c>
      <c r="B1962" s="1">
        <v>42416</v>
      </c>
      <c r="C1962" s="9" t="s">
        <v>3304</v>
      </c>
      <c r="D1962" s="9" t="s">
        <v>4925</v>
      </c>
      <c r="E1962" s="9" t="s">
        <v>5414</v>
      </c>
      <c r="F1962" s="9" t="s">
        <v>41</v>
      </c>
      <c r="G1962" s="9" t="s">
        <v>3305</v>
      </c>
      <c r="H1962" s="9" t="s">
        <v>105</v>
      </c>
      <c r="I1962" s="11">
        <v>4000000</v>
      </c>
      <c r="J1962" s="11">
        <v>4943247</v>
      </c>
      <c r="K1962" s="11">
        <v>10153449</v>
      </c>
      <c r="L1962" s="3">
        <v>286</v>
      </c>
      <c r="M1962" s="3">
        <v>263</v>
      </c>
      <c r="N1962" s="3">
        <v>659233</v>
      </c>
      <c r="O1962" s="2">
        <v>0.13699999999999998</v>
      </c>
      <c r="P1962" s="2">
        <v>0.96799999999999997</v>
      </c>
      <c r="Q1962" s="2">
        <v>-0.10300000000000001</v>
      </c>
      <c r="R1962" s="11">
        <v>138010768</v>
      </c>
      <c r="S1962" s="11">
        <v>1090034</v>
      </c>
      <c r="T1962">
        <v>2016</v>
      </c>
      <c r="U1962">
        <v>2</v>
      </c>
      <c r="V1962">
        <f t="shared" si="180"/>
        <v>650000</v>
      </c>
      <c r="W1962">
        <f t="shared" si="181"/>
        <v>18429897</v>
      </c>
      <c r="X1962">
        <f t="shared" si="182"/>
        <v>17779897</v>
      </c>
      <c r="Y1962">
        <f t="shared" si="183"/>
        <v>-26019845.5</v>
      </c>
      <c r="Z1962">
        <f t="shared" si="184"/>
        <v>45099742.5</v>
      </c>
      <c r="AA1962" t="str">
        <f t="shared" si="185"/>
        <v>Normal</v>
      </c>
      <c r="AE1962" s="2"/>
      <c r="AF1962" s="2"/>
    </row>
    <row r="1963" spans="1:32" x14ac:dyDescent="0.35">
      <c r="A1963">
        <v>1962</v>
      </c>
      <c r="B1963" s="1">
        <v>42416</v>
      </c>
      <c r="C1963" s="9" t="s">
        <v>3306</v>
      </c>
      <c r="D1963" s="9" t="s">
        <v>4988</v>
      </c>
      <c r="E1963" s="9" t="s">
        <v>7307</v>
      </c>
      <c r="F1963" s="9" t="s">
        <v>41</v>
      </c>
      <c r="G1963" s="9" t="s">
        <v>3307</v>
      </c>
      <c r="H1963" s="9" t="s">
        <v>86</v>
      </c>
      <c r="I1963" s="11">
        <v>18429897</v>
      </c>
      <c r="J1963" s="11">
        <v>729916</v>
      </c>
      <c r="K1963" s="11">
        <v>4270784</v>
      </c>
      <c r="L1963" s="3">
        <v>23</v>
      </c>
      <c r="M1963" s="3">
        <v>203</v>
      </c>
      <c r="N1963" s="3">
        <v>566890</v>
      </c>
      <c r="O1963" s="2">
        <v>-0.39</v>
      </c>
      <c r="P1963" s="2">
        <v>0.26500000000000001</v>
      </c>
      <c r="Q1963" s="2">
        <v>-0.23300000000000001</v>
      </c>
      <c r="R1963" s="11">
        <v>59614795</v>
      </c>
      <c r="S1963" s="11">
        <v>580479</v>
      </c>
      <c r="T1963">
        <v>2016</v>
      </c>
      <c r="U1963">
        <v>2</v>
      </c>
      <c r="V1963">
        <f t="shared" si="180"/>
        <v>650000</v>
      </c>
      <c r="W1963">
        <f t="shared" si="181"/>
        <v>18429897</v>
      </c>
      <c r="X1963">
        <f t="shared" si="182"/>
        <v>17779897</v>
      </c>
      <c r="Y1963">
        <f t="shared" si="183"/>
        <v>-26019845.5</v>
      </c>
      <c r="Z1963">
        <f t="shared" si="184"/>
        <v>45099742.5</v>
      </c>
      <c r="AA1963" t="str">
        <f t="shared" si="185"/>
        <v>Normal</v>
      </c>
      <c r="AE1963" s="2"/>
      <c r="AF1963" s="2"/>
    </row>
    <row r="1964" spans="1:32" x14ac:dyDescent="0.35">
      <c r="A1964">
        <v>1963</v>
      </c>
      <c r="B1964" s="1">
        <v>42416</v>
      </c>
      <c r="C1964" s="9" t="s">
        <v>1273</v>
      </c>
      <c r="D1964" s="9" t="s">
        <v>4988</v>
      </c>
      <c r="E1964" s="9" t="s">
        <v>7308</v>
      </c>
      <c r="F1964" s="9" t="s">
        <v>15</v>
      </c>
      <c r="G1964" s="9" t="s">
        <v>3308</v>
      </c>
      <c r="H1964" s="9" t="s">
        <v>86</v>
      </c>
      <c r="I1964" s="11">
        <v>18429897</v>
      </c>
      <c r="J1964" s="11">
        <v>4095173</v>
      </c>
      <c r="K1964" s="11">
        <v>600550</v>
      </c>
      <c r="L1964" s="3">
        <v>87</v>
      </c>
      <c r="M1964" s="3">
        <v>2505.5</v>
      </c>
      <c r="N1964" s="3">
        <v>970881</v>
      </c>
      <c r="O1964" s="2">
        <v>-0.24199999999999999</v>
      </c>
      <c r="P1964" s="2">
        <v>0.48499999999999999</v>
      </c>
      <c r="Q1964" s="2">
        <v>0.30199999999999999</v>
      </c>
      <c r="R1964" s="11">
        <v>92335477</v>
      </c>
      <c r="S1964" s="11">
        <v>1012470</v>
      </c>
      <c r="T1964">
        <v>2016</v>
      </c>
      <c r="U1964">
        <v>2</v>
      </c>
      <c r="V1964">
        <f t="shared" si="180"/>
        <v>650000</v>
      </c>
      <c r="W1964">
        <f t="shared" si="181"/>
        <v>18429897</v>
      </c>
      <c r="X1964">
        <f t="shared" si="182"/>
        <v>17779897</v>
      </c>
      <c r="Y1964">
        <f t="shared" si="183"/>
        <v>-26019845.5</v>
      </c>
      <c r="Z1964">
        <f t="shared" si="184"/>
        <v>45099742.5</v>
      </c>
      <c r="AA1964" t="str">
        <f t="shared" si="185"/>
        <v>Normal</v>
      </c>
      <c r="AE1964" s="2"/>
      <c r="AF1964" s="2"/>
    </row>
    <row r="1965" spans="1:32" x14ac:dyDescent="0.35">
      <c r="A1965">
        <v>1964</v>
      </c>
      <c r="B1965" s="1">
        <v>42417</v>
      </c>
      <c r="C1965" s="9" t="s">
        <v>3309</v>
      </c>
      <c r="D1965" s="9" t="s">
        <v>4988</v>
      </c>
      <c r="E1965" s="9" t="s">
        <v>7309</v>
      </c>
      <c r="F1965" s="9" t="s">
        <v>31</v>
      </c>
      <c r="G1965" s="9" t="s">
        <v>3310</v>
      </c>
      <c r="H1965" s="9" t="s">
        <v>86</v>
      </c>
      <c r="I1965" s="11">
        <v>18429897</v>
      </c>
      <c r="J1965" s="11">
        <v>4088209</v>
      </c>
      <c r="K1965" s="11">
        <v>9099795</v>
      </c>
      <c r="L1965" s="3">
        <v>106</v>
      </c>
      <c r="M1965" s="3">
        <v>1272</v>
      </c>
      <c r="N1965" s="3">
        <v>1750583</v>
      </c>
      <c r="O1965" s="2">
        <v>0.53900000000000003</v>
      </c>
      <c r="P1965" s="2">
        <v>0.50800000000000001</v>
      </c>
      <c r="Q1965" s="2">
        <v>0.26100000000000001</v>
      </c>
      <c r="R1965" s="11">
        <v>407554766</v>
      </c>
      <c r="S1965" s="11">
        <v>1343248</v>
      </c>
      <c r="T1965">
        <v>2016</v>
      </c>
      <c r="U1965">
        <v>2</v>
      </c>
      <c r="V1965">
        <f t="shared" si="180"/>
        <v>650000</v>
      </c>
      <c r="W1965">
        <f t="shared" si="181"/>
        <v>18429897</v>
      </c>
      <c r="X1965">
        <f t="shared" si="182"/>
        <v>17779897</v>
      </c>
      <c r="Y1965">
        <f t="shared" si="183"/>
        <v>-26019845.5</v>
      </c>
      <c r="Z1965">
        <f t="shared" si="184"/>
        <v>45099742.5</v>
      </c>
      <c r="AA1965" t="str">
        <f t="shared" si="185"/>
        <v>Normal</v>
      </c>
      <c r="AE1965" s="2"/>
      <c r="AF1965" s="2"/>
    </row>
    <row r="1966" spans="1:32" x14ac:dyDescent="0.35">
      <c r="A1966">
        <v>1965</v>
      </c>
      <c r="B1966" s="1">
        <v>42417</v>
      </c>
      <c r="C1966" s="9" t="s">
        <v>3311</v>
      </c>
      <c r="D1966" s="9" t="s">
        <v>4930</v>
      </c>
      <c r="E1966" s="9" t="s">
        <v>7310</v>
      </c>
      <c r="F1966" s="9" t="s">
        <v>27</v>
      </c>
      <c r="G1966" s="9" t="s">
        <v>3312</v>
      </c>
      <c r="H1966" s="9" t="s">
        <v>86</v>
      </c>
      <c r="I1966" s="11">
        <v>350000</v>
      </c>
      <c r="J1966" s="11">
        <v>3713240</v>
      </c>
      <c r="K1966" s="11">
        <v>17656098</v>
      </c>
      <c r="L1966" s="3">
        <v>190</v>
      </c>
      <c r="M1966" s="3">
        <v>2477</v>
      </c>
      <c r="N1966" s="3">
        <v>1725831</v>
      </c>
      <c r="O1966" s="2">
        <v>4.8000000000000001E-2</v>
      </c>
      <c r="P1966" s="2">
        <v>0.40899999999999997</v>
      </c>
      <c r="Q1966" s="2">
        <v>-0.159</v>
      </c>
      <c r="R1966" s="11">
        <v>436136904</v>
      </c>
      <c r="S1966" s="11">
        <v>555557</v>
      </c>
      <c r="T1966">
        <v>2016</v>
      </c>
      <c r="U1966">
        <v>2</v>
      </c>
      <c r="V1966">
        <f t="shared" si="180"/>
        <v>650000</v>
      </c>
      <c r="W1966">
        <f t="shared" si="181"/>
        <v>18429897</v>
      </c>
      <c r="X1966">
        <f t="shared" si="182"/>
        <v>17779897</v>
      </c>
      <c r="Y1966">
        <f t="shared" si="183"/>
        <v>-26019845.5</v>
      </c>
      <c r="Z1966">
        <f t="shared" si="184"/>
        <v>45099742.5</v>
      </c>
      <c r="AA1966" t="str">
        <f t="shared" si="185"/>
        <v>Normal</v>
      </c>
      <c r="AE1966" s="2"/>
      <c r="AF1966" s="2"/>
    </row>
    <row r="1967" spans="1:32" x14ac:dyDescent="0.35">
      <c r="A1967">
        <v>1966</v>
      </c>
      <c r="B1967" s="1">
        <v>42417</v>
      </c>
      <c r="C1967" s="9" t="s">
        <v>3313</v>
      </c>
      <c r="D1967" s="9" t="s">
        <v>4988</v>
      </c>
      <c r="E1967" s="9" t="s">
        <v>7311</v>
      </c>
      <c r="F1967" s="9" t="s">
        <v>15</v>
      </c>
      <c r="G1967" s="9" t="s">
        <v>3314</v>
      </c>
      <c r="H1967" s="9" t="s">
        <v>86</v>
      </c>
      <c r="I1967" s="11">
        <v>18429897</v>
      </c>
      <c r="J1967" s="11">
        <v>1866965</v>
      </c>
      <c r="K1967" s="11">
        <v>8990210</v>
      </c>
      <c r="L1967" s="3">
        <v>223</v>
      </c>
      <c r="M1967" s="3">
        <v>1419</v>
      </c>
      <c r="N1967" s="3">
        <v>1785409</v>
      </c>
      <c r="O1967" s="2">
        <v>0.16800000000000001</v>
      </c>
      <c r="P1967" s="2">
        <v>0.318</v>
      </c>
      <c r="Q1967" s="2">
        <v>0.27699999999999997</v>
      </c>
      <c r="R1967" s="11">
        <v>312750831</v>
      </c>
      <c r="S1967" s="11">
        <v>1618532</v>
      </c>
      <c r="T1967">
        <v>2016</v>
      </c>
      <c r="U1967">
        <v>2</v>
      </c>
      <c r="V1967">
        <f t="shared" si="180"/>
        <v>650000</v>
      </c>
      <c r="W1967">
        <f t="shared" si="181"/>
        <v>18429897</v>
      </c>
      <c r="X1967">
        <f t="shared" si="182"/>
        <v>17779897</v>
      </c>
      <c r="Y1967">
        <f t="shared" si="183"/>
        <v>-26019845.5</v>
      </c>
      <c r="Z1967">
        <f t="shared" si="184"/>
        <v>45099742.5</v>
      </c>
      <c r="AA1967" t="str">
        <f t="shared" si="185"/>
        <v>Normal</v>
      </c>
      <c r="AE1967" s="2"/>
      <c r="AF1967" s="2"/>
    </row>
    <row r="1968" spans="1:32" x14ac:dyDescent="0.35">
      <c r="A1968">
        <v>1967</v>
      </c>
      <c r="B1968" s="1">
        <v>42417</v>
      </c>
      <c r="C1968" s="9" t="s">
        <v>3315</v>
      </c>
      <c r="D1968" s="9" t="s">
        <v>4988</v>
      </c>
      <c r="E1968" s="9" t="s">
        <v>7312</v>
      </c>
      <c r="F1968" s="9" t="s">
        <v>31</v>
      </c>
      <c r="G1968" s="9" t="s">
        <v>322</v>
      </c>
      <c r="H1968" s="9" t="s">
        <v>105</v>
      </c>
      <c r="I1968" s="11">
        <v>10000000</v>
      </c>
      <c r="J1968" s="11">
        <v>2354421</v>
      </c>
      <c r="K1968" s="11">
        <v>12941102</v>
      </c>
      <c r="L1968" s="3">
        <v>216</v>
      </c>
      <c r="M1968" s="3">
        <v>2297</v>
      </c>
      <c r="N1968" s="3">
        <v>1872772</v>
      </c>
      <c r="O1968" s="2">
        <v>0.122</v>
      </c>
      <c r="P1968" s="2">
        <v>1.1830000000000001</v>
      </c>
      <c r="Q1968" s="2">
        <v>-0.183</v>
      </c>
      <c r="R1968" s="11">
        <v>375575970</v>
      </c>
      <c r="S1968" s="11">
        <v>586089</v>
      </c>
      <c r="T1968">
        <v>2016</v>
      </c>
      <c r="U1968">
        <v>2</v>
      </c>
      <c r="V1968">
        <f t="shared" si="180"/>
        <v>650000</v>
      </c>
      <c r="W1968">
        <f t="shared" si="181"/>
        <v>18429897</v>
      </c>
      <c r="X1968">
        <f t="shared" si="182"/>
        <v>17779897</v>
      </c>
      <c r="Y1968">
        <f t="shared" si="183"/>
        <v>-26019845.5</v>
      </c>
      <c r="Z1968">
        <f t="shared" si="184"/>
        <v>45099742.5</v>
      </c>
      <c r="AA1968" t="str">
        <f t="shared" si="185"/>
        <v>Normal</v>
      </c>
      <c r="AE1968" s="2"/>
      <c r="AF1968" s="2"/>
    </row>
    <row r="1969" spans="1:32" x14ac:dyDescent="0.35">
      <c r="A1969">
        <v>1968</v>
      </c>
      <c r="B1969" s="1">
        <v>42417</v>
      </c>
      <c r="C1969" s="9" t="s">
        <v>3316</v>
      </c>
      <c r="D1969" s="9" t="s">
        <v>4938</v>
      </c>
      <c r="E1969" s="9" t="s">
        <v>7313</v>
      </c>
      <c r="F1969" s="9" t="s">
        <v>27</v>
      </c>
      <c r="G1969" s="9" t="s">
        <v>3317</v>
      </c>
      <c r="H1969" s="9" t="s">
        <v>105</v>
      </c>
      <c r="I1969" s="11">
        <v>5000000</v>
      </c>
      <c r="J1969" s="11">
        <v>4199272</v>
      </c>
      <c r="K1969" s="11">
        <v>17126921</v>
      </c>
      <c r="L1969" s="3">
        <v>434</v>
      </c>
      <c r="M1969" s="3">
        <v>2266</v>
      </c>
      <c r="N1969" s="3">
        <v>56141</v>
      </c>
      <c r="O1969" s="2">
        <v>0.40299999999999997</v>
      </c>
      <c r="P1969" s="2">
        <v>0.7659999999999999</v>
      </c>
      <c r="Q1969" s="2">
        <v>-8.1000000000000003E-2</v>
      </c>
      <c r="R1969" s="11">
        <v>102344580</v>
      </c>
      <c r="S1969" s="11">
        <v>77775</v>
      </c>
      <c r="T1969">
        <v>2016</v>
      </c>
      <c r="U1969">
        <v>2</v>
      </c>
      <c r="V1969">
        <f t="shared" si="180"/>
        <v>650000</v>
      </c>
      <c r="W1969">
        <f t="shared" si="181"/>
        <v>18429897</v>
      </c>
      <c r="X1969">
        <f t="shared" si="182"/>
        <v>17779897</v>
      </c>
      <c r="Y1969">
        <f t="shared" si="183"/>
        <v>-26019845.5</v>
      </c>
      <c r="Z1969">
        <f t="shared" si="184"/>
        <v>45099742.5</v>
      </c>
      <c r="AA1969" t="str">
        <f t="shared" si="185"/>
        <v>Normal</v>
      </c>
      <c r="AE1969" s="2"/>
      <c r="AF1969" s="2"/>
    </row>
    <row r="1970" spans="1:32" x14ac:dyDescent="0.35">
      <c r="A1970">
        <v>1969</v>
      </c>
      <c r="B1970" s="1">
        <v>42417</v>
      </c>
      <c r="C1970" s="9" t="s">
        <v>3318</v>
      </c>
      <c r="D1970" s="9" t="s">
        <v>4930</v>
      </c>
      <c r="E1970" s="9" t="s">
        <v>7314</v>
      </c>
      <c r="F1970" s="9" t="s">
        <v>124</v>
      </c>
      <c r="G1970" s="9" t="s">
        <v>715</v>
      </c>
      <c r="H1970" s="9" t="s">
        <v>105</v>
      </c>
      <c r="I1970" s="11">
        <v>18429897</v>
      </c>
      <c r="J1970" s="11">
        <v>781328</v>
      </c>
      <c r="K1970" s="11">
        <v>15285143</v>
      </c>
      <c r="L1970" s="3">
        <v>471</v>
      </c>
      <c r="M1970" s="3">
        <v>2219</v>
      </c>
      <c r="N1970" s="3">
        <v>1995100</v>
      </c>
      <c r="O1970" s="2">
        <v>-0.26100000000000001</v>
      </c>
      <c r="P1970" s="2">
        <v>0.46899999999999997</v>
      </c>
      <c r="Q1970" s="2">
        <v>-0.17599999999999999</v>
      </c>
      <c r="R1970" s="11">
        <v>64262586</v>
      </c>
      <c r="S1970" s="11">
        <v>1743199</v>
      </c>
      <c r="T1970">
        <v>2016</v>
      </c>
      <c r="U1970">
        <v>2</v>
      </c>
      <c r="V1970">
        <f t="shared" si="180"/>
        <v>650000</v>
      </c>
      <c r="W1970">
        <f t="shared" si="181"/>
        <v>18429897</v>
      </c>
      <c r="X1970">
        <f t="shared" si="182"/>
        <v>17779897</v>
      </c>
      <c r="Y1970">
        <f t="shared" si="183"/>
        <v>-26019845.5</v>
      </c>
      <c r="Z1970">
        <f t="shared" si="184"/>
        <v>45099742.5</v>
      </c>
      <c r="AA1970" t="str">
        <f t="shared" si="185"/>
        <v>Normal</v>
      </c>
      <c r="AE1970" s="2"/>
      <c r="AF1970" s="2"/>
    </row>
    <row r="1971" spans="1:32" x14ac:dyDescent="0.35">
      <c r="A1971">
        <v>1970</v>
      </c>
      <c r="B1971" s="1">
        <v>42418</v>
      </c>
      <c r="C1971" s="9" t="s">
        <v>3319</v>
      </c>
      <c r="D1971" s="9" t="s">
        <v>4988</v>
      </c>
      <c r="E1971" s="9" t="s">
        <v>7315</v>
      </c>
      <c r="F1971" s="9" t="s">
        <v>27</v>
      </c>
      <c r="G1971" s="9" t="s">
        <v>3320</v>
      </c>
      <c r="H1971" s="9" t="s">
        <v>105</v>
      </c>
      <c r="I1971" s="11">
        <v>18429897</v>
      </c>
      <c r="J1971" s="11">
        <v>4147150</v>
      </c>
      <c r="K1971" s="11">
        <v>13047433</v>
      </c>
      <c r="L1971" s="3">
        <v>340</v>
      </c>
      <c r="M1971" s="3">
        <v>344</v>
      </c>
      <c r="N1971" s="3">
        <v>1755208</v>
      </c>
      <c r="O1971" s="2">
        <v>0.38600000000000001</v>
      </c>
      <c r="P1971" s="2">
        <v>0.35399999999999998</v>
      </c>
      <c r="Q1971" s="2">
        <v>-1.4999999999999999E-2</v>
      </c>
      <c r="R1971" s="11">
        <v>175985007</v>
      </c>
      <c r="S1971" s="11">
        <v>456810</v>
      </c>
      <c r="T1971">
        <v>2016</v>
      </c>
      <c r="U1971">
        <v>2</v>
      </c>
      <c r="V1971">
        <f t="shared" si="180"/>
        <v>650000</v>
      </c>
      <c r="W1971">
        <f t="shared" si="181"/>
        <v>18429897</v>
      </c>
      <c r="X1971">
        <f t="shared" si="182"/>
        <v>17779897</v>
      </c>
      <c r="Y1971">
        <f t="shared" si="183"/>
        <v>-26019845.5</v>
      </c>
      <c r="Z1971">
        <f t="shared" si="184"/>
        <v>45099742.5</v>
      </c>
      <c r="AA1971" t="str">
        <f t="shared" si="185"/>
        <v>Normal</v>
      </c>
      <c r="AE1971" s="2"/>
      <c r="AF1971" s="2"/>
    </row>
    <row r="1972" spans="1:32" x14ac:dyDescent="0.35">
      <c r="A1972">
        <v>1971</v>
      </c>
      <c r="B1972" s="1">
        <v>42418</v>
      </c>
      <c r="C1972" s="9" t="s">
        <v>3321</v>
      </c>
      <c r="D1972" s="9" t="s">
        <v>4988</v>
      </c>
      <c r="E1972" s="9" t="s">
        <v>7316</v>
      </c>
      <c r="F1972" s="9" t="s">
        <v>408</v>
      </c>
      <c r="G1972" s="9" t="s">
        <v>1953</v>
      </c>
      <c r="H1972" s="9" t="s">
        <v>86</v>
      </c>
      <c r="I1972" s="11">
        <v>73000</v>
      </c>
      <c r="J1972" s="11">
        <v>4604915</v>
      </c>
      <c r="K1972" s="11">
        <v>15701918</v>
      </c>
      <c r="L1972" s="3">
        <v>318</v>
      </c>
      <c r="M1972" s="3">
        <v>2709</v>
      </c>
      <c r="N1972" s="3">
        <v>1468885</v>
      </c>
      <c r="O1972" s="2">
        <v>0.372</v>
      </c>
      <c r="P1972" s="2">
        <v>0.50800000000000001</v>
      </c>
      <c r="Q1972" s="2">
        <v>0.24100000000000002</v>
      </c>
      <c r="R1972" s="11">
        <v>298687611</v>
      </c>
      <c r="S1972" s="11">
        <v>820464</v>
      </c>
      <c r="T1972">
        <v>2016</v>
      </c>
      <c r="U1972">
        <v>2</v>
      </c>
      <c r="V1972">
        <f t="shared" si="180"/>
        <v>650000</v>
      </c>
      <c r="W1972">
        <f t="shared" si="181"/>
        <v>18429897</v>
      </c>
      <c r="X1972">
        <f t="shared" si="182"/>
        <v>17779897</v>
      </c>
      <c r="Y1972">
        <f t="shared" si="183"/>
        <v>-26019845.5</v>
      </c>
      <c r="Z1972">
        <f t="shared" si="184"/>
        <v>45099742.5</v>
      </c>
      <c r="AA1972" t="str">
        <f t="shared" si="185"/>
        <v>Normal</v>
      </c>
      <c r="AE1972" s="2"/>
      <c r="AF1972" s="2"/>
    </row>
    <row r="1973" spans="1:32" x14ac:dyDescent="0.35">
      <c r="A1973">
        <v>1972</v>
      </c>
      <c r="B1973" s="1">
        <v>42418</v>
      </c>
      <c r="C1973" s="9" t="s">
        <v>3322</v>
      </c>
      <c r="D1973" s="9" t="s">
        <v>4988</v>
      </c>
      <c r="E1973" s="9" t="s">
        <v>7317</v>
      </c>
      <c r="F1973" s="9" t="s">
        <v>19</v>
      </c>
      <c r="G1973" s="9" t="s">
        <v>3323</v>
      </c>
      <c r="H1973" s="9" t="s">
        <v>86</v>
      </c>
      <c r="I1973" s="11">
        <v>18429897</v>
      </c>
      <c r="J1973" s="11">
        <v>3415706</v>
      </c>
      <c r="K1973" s="11">
        <v>5683195</v>
      </c>
      <c r="L1973" s="3">
        <v>432</v>
      </c>
      <c r="M1973" s="3">
        <v>1533</v>
      </c>
      <c r="N1973" s="3">
        <v>161116</v>
      </c>
      <c r="O1973" s="2">
        <v>1.6E-2</v>
      </c>
      <c r="P1973" s="2">
        <v>0.50800000000000001</v>
      </c>
      <c r="Q1973" s="2">
        <v>0.36749999999999999</v>
      </c>
      <c r="R1973" s="11">
        <v>250264963</v>
      </c>
      <c r="S1973" s="11">
        <v>1058275</v>
      </c>
      <c r="T1973">
        <v>2016</v>
      </c>
      <c r="U1973">
        <v>2</v>
      </c>
      <c r="V1973">
        <f t="shared" si="180"/>
        <v>650000</v>
      </c>
      <c r="W1973">
        <f t="shared" si="181"/>
        <v>18429897</v>
      </c>
      <c r="X1973">
        <f t="shared" si="182"/>
        <v>17779897</v>
      </c>
      <c r="Y1973">
        <f t="shared" si="183"/>
        <v>-26019845.5</v>
      </c>
      <c r="Z1973">
        <f t="shared" si="184"/>
        <v>45099742.5</v>
      </c>
      <c r="AA1973" t="str">
        <f t="shared" si="185"/>
        <v>Normal</v>
      </c>
      <c r="AE1973" s="2"/>
      <c r="AF1973" s="2"/>
    </row>
    <row r="1974" spans="1:32" x14ac:dyDescent="0.35">
      <c r="A1974">
        <v>1973</v>
      </c>
      <c r="B1974" s="1">
        <v>42418</v>
      </c>
      <c r="C1974" s="9" t="s">
        <v>3324</v>
      </c>
      <c r="D1974" s="9" t="s">
        <v>4930</v>
      </c>
      <c r="E1974" s="9" t="s">
        <v>7318</v>
      </c>
      <c r="F1974" s="9" t="s">
        <v>15</v>
      </c>
      <c r="G1974" s="9" t="s">
        <v>3325</v>
      </c>
      <c r="H1974" s="9" t="s">
        <v>105</v>
      </c>
      <c r="I1974" s="11">
        <v>18429897</v>
      </c>
      <c r="J1974" s="11">
        <v>1720107</v>
      </c>
      <c r="K1974" s="11">
        <v>8467149</v>
      </c>
      <c r="L1974" s="3">
        <v>137</v>
      </c>
      <c r="M1974" s="3">
        <v>2714</v>
      </c>
      <c r="N1974" s="3">
        <v>1461704</v>
      </c>
      <c r="O1974" s="2">
        <v>0.20300000000000001</v>
      </c>
      <c r="P1974" s="2">
        <v>0.55700000000000005</v>
      </c>
      <c r="Q1974" s="2">
        <v>-0.10300000000000001</v>
      </c>
      <c r="R1974" s="11">
        <v>54514319</v>
      </c>
      <c r="S1974" s="11">
        <v>1504926</v>
      </c>
      <c r="T1974">
        <v>2016</v>
      </c>
      <c r="U1974">
        <v>2</v>
      </c>
      <c r="V1974">
        <f t="shared" si="180"/>
        <v>650000</v>
      </c>
      <c r="W1974">
        <f t="shared" si="181"/>
        <v>18429897</v>
      </c>
      <c r="X1974">
        <f t="shared" si="182"/>
        <v>17779897</v>
      </c>
      <c r="Y1974">
        <f t="shared" si="183"/>
        <v>-26019845.5</v>
      </c>
      <c r="Z1974">
        <f t="shared" si="184"/>
        <v>45099742.5</v>
      </c>
      <c r="AA1974" t="str">
        <f t="shared" si="185"/>
        <v>Normal</v>
      </c>
      <c r="AE1974" s="2"/>
      <c r="AF1974" s="2"/>
    </row>
    <row r="1975" spans="1:32" x14ac:dyDescent="0.35">
      <c r="A1975">
        <v>1974</v>
      </c>
      <c r="B1975" s="1">
        <v>42418</v>
      </c>
      <c r="C1975" s="9" t="s">
        <v>3082</v>
      </c>
      <c r="D1975" s="9" t="s">
        <v>4925</v>
      </c>
      <c r="E1975" s="9" t="s">
        <v>5941</v>
      </c>
      <c r="F1975" s="9" t="s">
        <v>27</v>
      </c>
      <c r="G1975" s="9" t="s">
        <v>3326</v>
      </c>
      <c r="H1975" s="9" t="s">
        <v>86</v>
      </c>
      <c r="I1975" s="11">
        <v>300000</v>
      </c>
      <c r="J1975" s="11">
        <v>2804572</v>
      </c>
      <c r="K1975" s="11">
        <v>8039952</v>
      </c>
      <c r="L1975" s="3">
        <v>281</v>
      </c>
      <c r="M1975" s="3">
        <v>349</v>
      </c>
      <c r="N1975" s="3">
        <v>1351140</v>
      </c>
      <c r="O1975" s="2">
        <v>4.5999999999999999E-2</v>
      </c>
      <c r="P1975" s="2">
        <v>0.39500000000000002</v>
      </c>
      <c r="Q1975" s="2">
        <v>0.14699999999999999</v>
      </c>
      <c r="R1975" s="11">
        <v>352660025</v>
      </c>
      <c r="S1975" s="11">
        <v>1819766</v>
      </c>
      <c r="T1975">
        <v>2016</v>
      </c>
      <c r="U1975">
        <v>2</v>
      </c>
      <c r="V1975">
        <f t="shared" si="180"/>
        <v>650000</v>
      </c>
      <c r="W1975">
        <f t="shared" si="181"/>
        <v>18429897</v>
      </c>
      <c r="X1975">
        <f t="shared" si="182"/>
        <v>17779897</v>
      </c>
      <c r="Y1975">
        <f t="shared" si="183"/>
        <v>-26019845.5</v>
      </c>
      <c r="Z1975">
        <f t="shared" si="184"/>
        <v>45099742.5</v>
      </c>
      <c r="AA1975" t="str">
        <f t="shared" si="185"/>
        <v>Normal</v>
      </c>
      <c r="AE1975" s="2"/>
      <c r="AF1975" s="2"/>
    </row>
    <row r="1976" spans="1:32" x14ac:dyDescent="0.35">
      <c r="A1976">
        <v>1975</v>
      </c>
      <c r="B1976" s="1">
        <v>42418</v>
      </c>
      <c r="C1976" s="9" t="s">
        <v>3327</v>
      </c>
      <c r="D1976" s="9" t="s">
        <v>4930</v>
      </c>
      <c r="E1976" s="9" t="s">
        <v>7319</v>
      </c>
      <c r="F1976" s="9" t="s">
        <v>15</v>
      </c>
      <c r="G1976" s="9" t="s">
        <v>3328</v>
      </c>
      <c r="H1976" s="9" t="s">
        <v>86</v>
      </c>
      <c r="I1976" s="11">
        <v>350000</v>
      </c>
      <c r="J1976" s="11">
        <v>269531</v>
      </c>
      <c r="K1976" s="11">
        <v>15992363</v>
      </c>
      <c r="L1976" s="3">
        <v>323</v>
      </c>
      <c r="M1976" s="3">
        <v>4359</v>
      </c>
      <c r="N1976" s="3">
        <v>187841</v>
      </c>
      <c r="O1976" s="2">
        <v>-0.217</v>
      </c>
      <c r="P1976" s="2">
        <v>1.1040000000000001</v>
      </c>
      <c r="Q1976" s="2">
        <v>0.19600000000000001</v>
      </c>
      <c r="R1976" s="11">
        <v>108075831</v>
      </c>
      <c r="S1976" s="11">
        <v>826795</v>
      </c>
      <c r="T1976">
        <v>2016</v>
      </c>
      <c r="U1976">
        <v>2</v>
      </c>
      <c r="V1976">
        <f t="shared" si="180"/>
        <v>650000</v>
      </c>
      <c r="W1976">
        <f t="shared" si="181"/>
        <v>18429897</v>
      </c>
      <c r="X1976">
        <f t="shared" si="182"/>
        <v>17779897</v>
      </c>
      <c r="Y1976">
        <f t="shared" si="183"/>
        <v>-26019845.5</v>
      </c>
      <c r="Z1976">
        <f t="shared" si="184"/>
        <v>45099742.5</v>
      </c>
      <c r="AA1976" t="str">
        <f t="shared" si="185"/>
        <v>Normal</v>
      </c>
      <c r="AE1976" s="2"/>
      <c r="AF1976" s="2"/>
    </row>
    <row r="1977" spans="1:32" x14ac:dyDescent="0.35">
      <c r="A1977">
        <v>1976</v>
      </c>
      <c r="B1977" s="1">
        <v>42419</v>
      </c>
      <c r="C1977" s="9" t="s">
        <v>3329</v>
      </c>
      <c r="D1977" s="9" t="s">
        <v>4925</v>
      </c>
      <c r="E1977" s="9" t="s">
        <v>7320</v>
      </c>
      <c r="F1977" s="9" t="s">
        <v>27</v>
      </c>
      <c r="G1977" s="9" t="s">
        <v>3330</v>
      </c>
      <c r="H1977" s="9" t="s">
        <v>105</v>
      </c>
      <c r="I1977" s="11">
        <v>5000000</v>
      </c>
      <c r="J1977" s="11">
        <v>4660382</v>
      </c>
      <c r="K1977" s="11">
        <v>8234643</v>
      </c>
      <c r="L1977" s="3">
        <v>146</v>
      </c>
      <c r="M1977" s="3">
        <v>3625</v>
      </c>
      <c r="N1977" s="3">
        <v>403836</v>
      </c>
      <c r="O1977" s="2">
        <v>0.23600000000000002</v>
      </c>
      <c r="P1977" s="2">
        <v>0.89599999999999991</v>
      </c>
      <c r="Q1977" s="2">
        <v>0.33899999999999997</v>
      </c>
      <c r="R1977" s="11">
        <v>31007179</v>
      </c>
      <c r="S1977" s="11">
        <v>748118</v>
      </c>
      <c r="T1977">
        <v>2016</v>
      </c>
      <c r="U1977">
        <v>2</v>
      </c>
      <c r="V1977">
        <f t="shared" si="180"/>
        <v>650000</v>
      </c>
      <c r="W1977">
        <f t="shared" si="181"/>
        <v>18429897</v>
      </c>
      <c r="X1977">
        <f t="shared" si="182"/>
        <v>17779897</v>
      </c>
      <c r="Y1977">
        <f t="shared" si="183"/>
        <v>-26019845.5</v>
      </c>
      <c r="Z1977">
        <f t="shared" si="184"/>
        <v>45099742.5</v>
      </c>
      <c r="AA1977" t="str">
        <f t="shared" si="185"/>
        <v>Normal</v>
      </c>
      <c r="AE1977" s="2"/>
      <c r="AF1977" s="2"/>
    </row>
    <row r="1978" spans="1:32" x14ac:dyDescent="0.35">
      <c r="A1978">
        <v>1977</v>
      </c>
      <c r="B1978" s="1">
        <v>42419</v>
      </c>
      <c r="C1978" s="9" t="s">
        <v>3331</v>
      </c>
      <c r="D1978" s="9" t="s">
        <v>4988</v>
      </c>
      <c r="E1978" s="9" t="s">
        <v>7321</v>
      </c>
      <c r="F1978" s="9" t="s">
        <v>15</v>
      </c>
      <c r="G1978" s="9" t="s">
        <v>3332</v>
      </c>
      <c r="H1978" s="9" t="s">
        <v>86</v>
      </c>
      <c r="I1978" s="11">
        <v>18429897</v>
      </c>
      <c r="J1978" s="11">
        <v>1725170</v>
      </c>
      <c r="K1978" s="11">
        <v>18756895</v>
      </c>
      <c r="L1978" s="3">
        <v>476</v>
      </c>
      <c r="M1978" s="3">
        <v>1762</v>
      </c>
      <c r="N1978" s="3">
        <v>1018455</v>
      </c>
      <c r="O1978" s="2">
        <v>0.16899999999999998</v>
      </c>
      <c r="P1978" s="2">
        <v>1.01</v>
      </c>
      <c r="Q1978" s="2">
        <v>0.19</v>
      </c>
      <c r="R1978" s="11">
        <v>38940952</v>
      </c>
      <c r="S1978" s="11">
        <v>414025</v>
      </c>
      <c r="T1978">
        <v>2016</v>
      </c>
      <c r="U1978">
        <v>2</v>
      </c>
      <c r="V1978">
        <f t="shared" si="180"/>
        <v>650000</v>
      </c>
      <c r="W1978">
        <f t="shared" si="181"/>
        <v>18429897</v>
      </c>
      <c r="X1978">
        <f t="shared" si="182"/>
        <v>17779897</v>
      </c>
      <c r="Y1978">
        <f t="shared" si="183"/>
        <v>-26019845.5</v>
      </c>
      <c r="Z1978">
        <f t="shared" si="184"/>
        <v>45099742.5</v>
      </c>
      <c r="AA1978" t="str">
        <f t="shared" si="185"/>
        <v>Normal</v>
      </c>
      <c r="AE1978" s="2"/>
      <c r="AF1978" s="2"/>
    </row>
    <row r="1979" spans="1:32" x14ac:dyDescent="0.35">
      <c r="A1979">
        <v>1978</v>
      </c>
      <c r="B1979" s="1">
        <v>42419</v>
      </c>
      <c r="C1979" s="9" t="s">
        <v>3333</v>
      </c>
      <c r="D1979" s="9" t="s">
        <v>4988</v>
      </c>
      <c r="E1979" s="9" t="s">
        <v>7322</v>
      </c>
      <c r="F1979" s="9" t="s">
        <v>27</v>
      </c>
      <c r="G1979" s="9" t="s">
        <v>3334</v>
      </c>
      <c r="H1979" s="9" t="s">
        <v>86</v>
      </c>
      <c r="I1979" s="11">
        <v>18429897</v>
      </c>
      <c r="J1979" s="11">
        <v>2531926</v>
      </c>
      <c r="K1979" s="11">
        <v>3813674</v>
      </c>
      <c r="L1979" s="3">
        <v>121</v>
      </c>
      <c r="M1979" s="3">
        <v>1830</v>
      </c>
      <c r="N1979" s="3">
        <v>334168</v>
      </c>
      <c r="O1979" s="2">
        <v>0.17300000000000001</v>
      </c>
      <c r="P1979" s="2">
        <v>0.85599999999999998</v>
      </c>
      <c r="Q1979" s="2">
        <v>0.28399999999999997</v>
      </c>
      <c r="R1979" s="11">
        <v>27225152</v>
      </c>
      <c r="S1979" s="11">
        <v>584676</v>
      </c>
      <c r="T1979">
        <v>2016</v>
      </c>
      <c r="U1979">
        <v>2</v>
      </c>
      <c r="V1979">
        <f t="shared" si="180"/>
        <v>650000</v>
      </c>
      <c r="W1979">
        <f t="shared" si="181"/>
        <v>18429897</v>
      </c>
      <c r="X1979">
        <f t="shared" si="182"/>
        <v>17779897</v>
      </c>
      <c r="Y1979">
        <f t="shared" si="183"/>
        <v>-26019845.5</v>
      </c>
      <c r="Z1979">
        <f t="shared" si="184"/>
        <v>45099742.5</v>
      </c>
      <c r="AA1979" t="str">
        <f t="shared" si="185"/>
        <v>Normal</v>
      </c>
      <c r="AE1979" s="2"/>
      <c r="AF1979" s="2"/>
    </row>
    <row r="1980" spans="1:32" x14ac:dyDescent="0.35">
      <c r="A1980">
        <v>1979</v>
      </c>
      <c r="B1980" s="1">
        <v>42419</v>
      </c>
      <c r="C1980" s="9" t="s">
        <v>3335</v>
      </c>
      <c r="D1980" s="9" t="s">
        <v>4988</v>
      </c>
      <c r="E1980" s="9" t="s">
        <v>3336</v>
      </c>
      <c r="F1980" s="9" t="s">
        <v>19</v>
      </c>
      <c r="G1980" s="9" t="s">
        <v>3337</v>
      </c>
      <c r="H1980" s="9" t="s">
        <v>86</v>
      </c>
      <c r="I1980" s="11">
        <v>400000</v>
      </c>
      <c r="J1980" s="11">
        <v>3976396</v>
      </c>
      <c r="K1980" s="11">
        <v>3526205</v>
      </c>
      <c r="L1980" s="3">
        <v>34</v>
      </c>
      <c r="M1980" s="3">
        <v>1615</v>
      </c>
      <c r="N1980" s="3">
        <v>693547</v>
      </c>
      <c r="O1980" s="2">
        <v>0.21600000000000003</v>
      </c>
      <c r="P1980" s="2">
        <v>1.117</v>
      </c>
      <c r="Q1980" s="2">
        <v>0.11599999999999999</v>
      </c>
      <c r="R1980" s="11">
        <v>409202003</v>
      </c>
      <c r="S1980" s="11">
        <v>1121350</v>
      </c>
      <c r="T1980">
        <v>2016</v>
      </c>
      <c r="U1980">
        <v>2</v>
      </c>
      <c r="V1980">
        <f t="shared" si="180"/>
        <v>650000</v>
      </c>
      <c r="W1980">
        <f t="shared" si="181"/>
        <v>18429897</v>
      </c>
      <c r="X1980">
        <f t="shared" si="182"/>
        <v>17779897</v>
      </c>
      <c r="Y1980">
        <f t="shared" si="183"/>
        <v>-26019845.5</v>
      </c>
      <c r="Z1980">
        <f t="shared" si="184"/>
        <v>45099742.5</v>
      </c>
      <c r="AA1980" t="str">
        <f t="shared" si="185"/>
        <v>Normal</v>
      </c>
      <c r="AE1980" s="2"/>
      <c r="AF1980" s="2"/>
    </row>
    <row r="1981" spans="1:32" x14ac:dyDescent="0.35">
      <c r="A1981">
        <v>1980</v>
      </c>
      <c r="B1981" s="1">
        <v>42419</v>
      </c>
      <c r="C1981" s="9" t="s">
        <v>3338</v>
      </c>
      <c r="D1981" s="9" t="s">
        <v>4988</v>
      </c>
      <c r="E1981" s="9" t="s">
        <v>3339</v>
      </c>
      <c r="F1981" s="9" t="s">
        <v>15</v>
      </c>
      <c r="G1981" s="9" t="s">
        <v>3340</v>
      </c>
      <c r="H1981" s="9" t="s">
        <v>86</v>
      </c>
      <c r="I1981" s="11">
        <v>18429897</v>
      </c>
      <c r="J1981" s="11">
        <v>3294640</v>
      </c>
      <c r="K1981" s="11">
        <v>14351744</v>
      </c>
      <c r="L1981" s="3">
        <v>165</v>
      </c>
      <c r="M1981" s="3">
        <v>4956</v>
      </c>
      <c r="N1981" s="3">
        <v>1216246</v>
      </c>
      <c r="O1981" s="2">
        <v>-1E-3</v>
      </c>
      <c r="P1981" s="2">
        <v>0.54400000000000004</v>
      </c>
      <c r="Q1981" s="2">
        <v>-0.10400000000000001</v>
      </c>
      <c r="R1981" s="11">
        <v>94386829</v>
      </c>
      <c r="S1981" s="11">
        <v>1008193.5</v>
      </c>
      <c r="T1981">
        <v>2016</v>
      </c>
      <c r="U1981">
        <v>2</v>
      </c>
      <c r="V1981">
        <f t="shared" si="180"/>
        <v>650000</v>
      </c>
      <c r="W1981">
        <f t="shared" si="181"/>
        <v>18429897</v>
      </c>
      <c r="X1981">
        <f t="shared" si="182"/>
        <v>17779897</v>
      </c>
      <c r="Y1981">
        <f t="shared" si="183"/>
        <v>-26019845.5</v>
      </c>
      <c r="Z1981">
        <f t="shared" si="184"/>
        <v>45099742.5</v>
      </c>
      <c r="AA1981" t="str">
        <f t="shared" si="185"/>
        <v>Normal</v>
      </c>
      <c r="AE1981" s="2"/>
      <c r="AF1981" s="2"/>
    </row>
    <row r="1982" spans="1:32" x14ac:dyDescent="0.35">
      <c r="A1982">
        <v>1981</v>
      </c>
      <c r="B1982" s="1">
        <v>42422</v>
      </c>
      <c r="C1982" s="9" t="s">
        <v>3341</v>
      </c>
      <c r="D1982" s="9" t="s">
        <v>4988</v>
      </c>
      <c r="E1982" s="9" t="s">
        <v>6475</v>
      </c>
      <c r="F1982" s="9" t="s">
        <v>15</v>
      </c>
      <c r="G1982" s="9" t="s">
        <v>3342</v>
      </c>
      <c r="H1982" s="9" t="s">
        <v>86</v>
      </c>
      <c r="I1982" s="11">
        <v>1000000</v>
      </c>
      <c r="J1982" s="11">
        <v>3121089</v>
      </c>
      <c r="K1982" s="11">
        <v>15306314</v>
      </c>
      <c r="L1982" s="3">
        <v>408</v>
      </c>
      <c r="M1982" s="3">
        <v>3524</v>
      </c>
      <c r="N1982" s="3">
        <v>1729260</v>
      </c>
      <c r="O1982" s="2">
        <v>1.6E-2</v>
      </c>
      <c r="P1982" s="2">
        <v>0.35600000000000004</v>
      </c>
      <c r="Q1982" s="2">
        <v>0.14000000000000001</v>
      </c>
      <c r="R1982" s="11">
        <v>6266002</v>
      </c>
      <c r="S1982" s="11">
        <v>1730120</v>
      </c>
      <c r="T1982">
        <v>2016</v>
      </c>
      <c r="U1982">
        <v>2</v>
      </c>
      <c r="V1982">
        <f t="shared" si="180"/>
        <v>650000</v>
      </c>
      <c r="W1982">
        <f t="shared" si="181"/>
        <v>18429897</v>
      </c>
      <c r="X1982">
        <f t="shared" si="182"/>
        <v>17779897</v>
      </c>
      <c r="Y1982">
        <f t="shared" si="183"/>
        <v>-26019845.5</v>
      </c>
      <c r="Z1982">
        <f t="shared" si="184"/>
        <v>45099742.5</v>
      </c>
      <c r="AA1982" t="str">
        <f t="shared" si="185"/>
        <v>Normal</v>
      </c>
      <c r="AE1982" s="2"/>
      <c r="AF1982" s="2"/>
    </row>
    <row r="1983" spans="1:32" x14ac:dyDescent="0.35">
      <c r="A1983">
        <v>1982</v>
      </c>
      <c r="B1983" s="1">
        <v>42422</v>
      </c>
      <c r="C1983" s="9" t="s">
        <v>682</v>
      </c>
      <c r="D1983" s="9" t="s">
        <v>4988</v>
      </c>
      <c r="E1983" s="9" t="s">
        <v>7323</v>
      </c>
      <c r="F1983" s="9" t="s">
        <v>27</v>
      </c>
      <c r="G1983" s="9" t="s">
        <v>3343</v>
      </c>
      <c r="H1983" s="9" t="s">
        <v>105</v>
      </c>
      <c r="I1983" s="11">
        <v>3000000</v>
      </c>
      <c r="J1983" s="11">
        <v>289401</v>
      </c>
      <c r="K1983" s="11">
        <v>13612797</v>
      </c>
      <c r="L1983" s="3">
        <v>190</v>
      </c>
      <c r="M1983" s="3">
        <v>2328</v>
      </c>
      <c r="N1983" s="3">
        <v>568962</v>
      </c>
      <c r="O1983" s="2">
        <v>0.122</v>
      </c>
      <c r="P1983" s="2">
        <v>0.20699999999999999</v>
      </c>
      <c r="Q1983" s="2">
        <v>0.40399999999999997</v>
      </c>
      <c r="R1983" s="11">
        <v>304291321</v>
      </c>
      <c r="S1983" s="11">
        <v>427012</v>
      </c>
      <c r="T1983">
        <v>2016</v>
      </c>
      <c r="U1983">
        <v>2</v>
      </c>
      <c r="V1983">
        <f t="shared" si="180"/>
        <v>650000</v>
      </c>
      <c r="W1983">
        <f t="shared" si="181"/>
        <v>18429897</v>
      </c>
      <c r="X1983">
        <f t="shared" si="182"/>
        <v>17779897</v>
      </c>
      <c r="Y1983">
        <f t="shared" si="183"/>
        <v>-26019845.5</v>
      </c>
      <c r="Z1983">
        <f t="shared" si="184"/>
        <v>45099742.5</v>
      </c>
      <c r="AA1983" t="str">
        <f t="shared" si="185"/>
        <v>Normal</v>
      </c>
      <c r="AE1983" s="2"/>
      <c r="AF1983" s="2"/>
    </row>
    <row r="1984" spans="1:32" x14ac:dyDescent="0.35">
      <c r="A1984">
        <v>1983</v>
      </c>
      <c r="B1984" s="1">
        <v>42422</v>
      </c>
      <c r="C1984" s="9" t="s">
        <v>3344</v>
      </c>
      <c r="D1984" s="9" t="s">
        <v>4988</v>
      </c>
      <c r="E1984" s="9" t="s">
        <v>6262</v>
      </c>
      <c r="F1984" s="9" t="s">
        <v>27</v>
      </c>
      <c r="G1984" s="9" t="s">
        <v>1953</v>
      </c>
      <c r="H1984" s="9" t="s">
        <v>86</v>
      </c>
      <c r="I1984" s="11">
        <v>100000</v>
      </c>
      <c r="J1984" s="11">
        <v>3759176</v>
      </c>
      <c r="K1984" s="11">
        <v>6225060</v>
      </c>
      <c r="L1984" s="3">
        <v>112</v>
      </c>
      <c r="M1984" s="3">
        <v>3259</v>
      </c>
      <c r="N1984" s="3">
        <v>22600</v>
      </c>
      <c r="O1984" s="2">
        <v>0.22800000000000001</v>
      </c>
      <c r="P1984" s="2">
        <v>0.23400000000000001</v>
      </c>
      <c r="Q1984" s="2">
        <v>0.41700000000000004</v>
      </c>
      <c r="R1984" s="11">
        <v>477656553</v>
      </c>
      <c r="S1984" s="11">
        <v>1186585</v>
      </c>
      <c r="T1984">
        <v>2016</v>
      </c>
      <c r="U1984">
        <v>2</v>
      </c>
      <c r="V1984">
        <f t="shared" si="180"/>
        <v>650000</v>
      </c>
      <c r="W1984">
        <f t="shared" si="181"/>
        <v>18429897</v>
      </c>
      <c r="X1984">
        <f t="shared" si="182"/>
        <v>17779897</v>
      </c>
      <c r="Y1984">
        <f t="shared" si="183"/>
        <v>-26019845.5</v>
      </c>
      <c r="Z1984">
        <f t="shared" si="184"/>
        <v>45099742.5</v>
      </c>
      <c r="AA1984" t="str">
        <f t="shared" si="185"/>
        <v>Normal</v>
      </c>
      <c r="AE1984" s="2"/>
      <c r="AF1984" s="2"/>
    </row>
    <row r="1985" spans="1:32" x14ac:dyDescent="0.35">
      <c r="A1985">
        <v>1984</v>
      </c>
      <c r="B1985" s="1">
        <v>42422</v>
      </c>
      <c r="C1985" s="9" t="s">
        <v>545</v>
      </c>
      <c r="D1985" s="9" t="s">
        <v>4930</v>
      </c>
      <c r="E1985" s="9" t="s">
        <v>7324</v>
      </c>
      <c r="F1985" s="9" t="s">
        <v>15</v>
      </c>
      <c r="G1985" s="9" t="s">
        <v>3345</v>
      </c>
      <c r="H1985" s="9" t="s">
        <v>86</v>
      </c>
      <c r="I1985" s="11">
        <v>18429897</v>
      </c>
      <c r="J1985" s="11">
        <v>3193840</v>
      </c>
      <c r="K1985" s="11">
        <v>281700</v>
      </c>
      <c r="L1985" s="3">
        <v>436</v>
      </c>
      <c r="M1985" s="3">
        <v>369</v>
      </c>
      <c r="N1985" s="3">
        <v>1702499</v>
      </c>
      <c r="O1985" s="2">
        <v>6.6000000000000003E-2</v>
      </c>
      <c r="P1985" s="2">
        <v>1.0540000000000001E-2</v>
      </c>
      <c r="Q1985" s="2">
        <v>-0.54500000000000004</v>
      </c>
      <c r="R1985" s="11">
        <v>154623795</v>
      </c>
      <c r="S1985" s="11">
        <v>999197</v>
      </c>
      <c r="T1985">
        <v>2016</v>
      </c>
      <c r="U1985">
        <v>2</v>
      </c>
      <c r="V1985">
        <f t="shared" si="180"/>
        <v>650000</v>
      </c>
      <c r="W1985">
        <f t="shared" si="181"/>
        <v>18429897</v>
      </c>
      <c r="X1985">
        <f t="shared" si="182"/>
        <v>17779897</v>
      </c>
      <c r="Y1985">
        <f t="shared" si="183"/>
        <v>-26019845.5</v>
      </c>
      <c r="Z1985">
        <f t="shared" si="184"/>
        <v>45099742.5</v>
      </c>
      <c r="AA1985" t="str">
        <f t="shared" si="185"/>
        <v>Normal</v>
      </c>
      <c r="AE1985" s="2"/>
      <c r="AF1985" s="2"/>
    </row>
    <row r="1986" spans="1:32" x14ac:dyDescent="0.35">
      <c r="A1986">
        <v>1985</v>
      </c>
      <c r="B1986" s="1">
        <v>42422</v>
      </c>
      <c r="C1986" s="9" t="s">
        <v>3346</v>
      </c>
      <c r="D1986" s="9" t="s">
        <v>4988</v>
      </c>
      <c r="E1986" s="9" t="s">
        <v>7325</v>
      </c>
      <c r="F1986" s="9" t="s">
        <v>31</v>
      </c>
      <c r="G1986" s="9" t="s">
        <v>3347</v>
      </c>
      <c r="H1986" s="9" t="s">
        <v>105</v>
      </c>
      <c r="I1986" s="11">
        <v>4500000</v>
      </c>
      <c r="J1986" s="11">
        <v>3972304</v>
      </c>
      <c r="K1986" s="11">
        <v>6497710</v>
      </c>
      <c r="L1986" s="3">
        <v>80</v>
      </c>
      <c r="M1986" s="3">
        <v>4157</v>
      </c>
      <c r="N1986" s="3">
        <v>1868777</v>
      </c>
      <c r="O1986" s="2">
        <v>0.33</v>
      </c>
      <c r="P1986" s="2">
        <v>0.81499999999999995</v>
      </c>
      <c r="Q1986" s="2">
        <v>0.25700000000000001</v>
      </c>
      <c r="R1986" s="11">
        <v>478509814</v>
      </c>
      <c r="S1986" s="11">
        <v>362395</v>
      </c>
      <c r="T1986">
        <v>2016</v>
      </c>
      <c r="U1986">
        <v>2</v>
      </c>
      <c r="V1986">
        <f t="shared" ref="V1986:V2049" si="186">_xlfn.PERCENTILE.INC(I1986:I5029,0.25)</f>
        <v>650000</v>
      </c>
      <c r="W1986">
        <f t="shared" ref="W1986:W2049" si="187">_xlfn.PERCENTILE.INC(I1986:I5029,0.75)</f>
        <v>18429897</v>
      </c>
      <c r="X1986">
        <f t="shared" ref="X1986:X2049" si="188">W1986-V1986</f>
        <v>17779897</v>
      </c>
      <c r="Y1986">
        <f t="shared" ref="Y1986:Y2049" si="189">V1986-1.5*X1986</f>
        <v>-26019845.5</v>
      </c>
      <c r="Z1986">
        <f t="shared" ref="Z1986:Z2049" si="190">W1986+1.5*X1986</f>
        <v>45099742.5</v>
      </c>
      <c r="AA1986" t="str">
        <f t="shared" ref="AA1986:AA2049" si="191">IF(OR(I1986&lt;$Y$2, I1986&gt;$Z$2), "Outlier", "Normal")</f>
        <v>Normal</v>
      </c>
      <c r="AE1986" s="2"/>
      <c r="AF1986" s="2"/>
    </row>
    <row r="1987" spans="1:32" x14ac:dyDescent="0.35">
      <c r="A1987">
        <v>1986</v>
      </c>
      <c r="B1987" s="1">
        <v>42422</v>
      </c>
      <c r="C1987" s="9" t="s">
        <v>242</v>
      </c>
      <c r="D1987" s="9" t="s">
        <v>4988</v>
      </c>
      <c r="E1987" s="9" t="s">
        <v>7326</v>
      </c>
      <c r="F1987" s="9" t="s">
        <v>27</v>
      </c>
      <c r="G1987" s="9" t="s">
        <v>1315</v>
      </c>
      <c r="H1987" s="9" t="s">
        <v>86</v>
      </c>
      <c r="I1987" s="11">
        <v>37000</v>
      </c>
      <c r="J1987" s="11">
        <v>4140103</v>
      </c>
      <c r="K1987" s="11">
        <v>9385946</v>
      </c>
      <c r="L1987" s="3">
        <v>83</v>
      </c>
      <c r="M1987" s="3">
        <v>2999</v>
      </c>
      <c r="N1987" s="3">
        <v>1018455</v>
      </c>
      <c r="O1987" s="2">
        <v>1.6E-2</v>
      </c>
      <c r="P1987" s="2">
        <v>0.24600000000000002</v>
      </c>
      <c r="Q1987" s="2">
        <v>-2.4E-2</v>
      </c>
      <c r="R1987" s="11">
        <v>211896463</v>
      </c>
      <c r="S1987" s="11">
        <v>594821</v>
      </c>
      <c r="T1987">
        <v>2016</v>
      </c>
      <c r="U1987">
        <v>2</v>
      </c>
      <c r="V1987">
        <f t="shared" si="186"/>
        <v>650000</v>
      </c>
      <c r="W1987">
        <f t="shared" si="187"/>
        <v>18429897</v>
      </c>
      <c r="X1987">
        <f t="shared" si="188"/>
        <v>17779897</v>
      </c>
      <c r="Y1987">
        <f t="shared" si="189"/>
        <v>-26019845.5</v>
      </c>
      <c r="Z1987">
        <f t="shared" si="190"/>
        <v>45099742.5</v>
      </c>
      <c r="AA1987" t="str">
        <f t="shared" si="191"/>
        <v>Normal</v>
      </c>
      <c r="AE1987" s="2"/>
      <c r="AF1987" s="2"/>
    </row>
    <row r="1988" spans="1:32" x14ac:dyDescent="0.35">
      <c r="A1988">
        <v>1987</v>
      </c>
      <c r="B1988" s="1">
        <v>42422</v>
      </c>
      <c r="C1988" s="9" t="s">
        <v>3348</v>
      </c>
      <c r="D1988" s="9" t="s">
        <v>4988</v>
      </c>
      <c r="E1988" s="9" t="s">
        <v>7327</v>
      </c>
      <c r="F1988" s="9" t="s">
        <v>27</v>
      </c>
      <c r="G1988" s="9" t="s">
        <v>4866</v>
      </c>
      <c r="H1988" s="9" t="s">
        <v>105</v>
      </c>
      <c r="I1988" s="11">
        <v>18429897</v>
      </c>
      <c r="J1988" s="11">
        <v>1075533</v>
      </c>
      <c r="K1988" s="11">
        <v>8313821</v>
      </c>
      <c r="L1988" s="3">
        <v>449</v>
      </c>
      <c r="M1988" s="3">
        <v>1580</v>
      </c>
      <c r="N1988" s="3">
        <v>967813</v>
      </c>
      <c r="O1988" s="2">
        <v>0.10299999999999999</v>
      </c>
      <c r="P1988" s="2">
        <v>0.307</v>
      </c>
      <c r="Q1988" s="2">
        <v>0.2</v>
      </c>
      <c r="R1988" s="11">
        <v>299034020</v>
      </c>
      <c r="S1988" s="11">
        <v>1044118</v>
      </c>
      <c r="T1988">
        <v>2016</v>
      </c>
      <c r="U1988">
        <v>2</v>
      </c>
      <c r="V1988">
        <f t="shared" si="186"/>
        <v>662500</v>
      </c>
      <c r="W1988">
        <f t="shared" si="187"/>
        <v>18429897</v>
      </c>
      <c r="X1988">
        <f t="shared" si="188"/>
        <v>17767397</v>
      </c>
      <c r="Y1988">
        <f t="shared" si="189"/>
        <v>-25988595.5</v>
      </c>
      <c r="Z1988">
        <f t="shared" si="190"/>
        <v>45080992.5</v>
      </c>
      <c r="AA1988" t="str">
        <f t="shared" si="191"/>
        <v>Normal</v>
      </c>
      <c r="AE1988" s="2"/>
      <c r="AF1988" s="2"/>
    </row>
    <row r="1989" spans="1:32" x14ac:dyDescent="0.35">
      <c r="A1989">
        <v>1988</v>
      </c>
      <c r="B1989" s="1">
        <v>42423</v>
      </c>
      <c r="C1989" s="9" t="s">
        <v>3349</v>
      </c>
      <c r="D1989" s="9" t="s">
        <v>4988</v>
      </c>
      <c r="E1989" s="9" t="s">
        <v>7328</v>
      </c>
      <c r="F1989" s="9" t="s">
        <v>19</v>
      </c>
      <c r="G1989" s="9" t="s">
        <v>3350</v>
      </c>
      <c r="H1989" s="9" t="s">
        <v>105</v>
      </c>
      <c r="I1989" s="11">
        <v>11000000</v>
      </c>
      <c r="J1989" s="11">
        <v>1068985</v>
      </c>
      <c r="K1989" s="11">
        <v>18448757</v>
      </c>
      <c r="L1989" s="3">
        <v>164</v>
      </c>
      <c r="M1989" s="3">
        <v>3481</v>
      </c>
      <c r="N1989" s="3">
        <v>1440409</v>
      </c>
      <c r="O1989" s="2">
        <v>0.36099999999999999</v>
      </c>
      <c r="P1989" s="2">
        <v>0.89700000000000002</v>
      </c>
      <c r="Q1989" s="2">
        <v>-0.24099999999999999</v>
      </c>
      <c r="R1989" s="11">
        <v>34146841</v>
      </c>
      <c r="S1989" s="11">
        <v>1191765</v>
      </c>
      <c r="T1989">
        <v>2016</v>
      </c>
      <c r="U1989">
        <v>2</v>
      </c>
      <c r="V1989">
        <f t="shared" si="186"/>
        <v>650000</v>
      </c>
      <c r="W1989">
        <f t="shared" si="187"/>
        <v>18429897</v>
      </c>
      <c r="X1989">
        <f t="shared" si="188"/>
        <v>17779897</v>
      </c>
      <c r="Y1989">
        <f t="shared" si="189"/>
        <v>-26019845.5</v>
      </c>
      <c r="Z1989">
        <f t="shared" si="190"/>
        <v>45099742.5</v>
      </c>
      <c r="AA1989" t="str">
        <f t="shared" si="191"/>
        <v>Normal</v>
      </c>
      <c r="AE1989" s="2"/>
      <c r="AF1989" s="2"/>
    </row>
    <row r="1990" spans="1:32" x14ac:dyDescent="0.35">
      <c r="A1990">
        <v>1989</v>
      </c>
      <c r="B1990" s="1">
        <v>42423</v>
      </c>
      <c r="C1990" s="9" t="s">
        <v>3351</v>
      </c>
      <c r="D1990" s="9" t="s">
        <v>4930</v>
      </c>
      <c r="E1990" s="9" t="s">
        <v>3352</v>
      </c>
      <c r="F1990" s="9" t="s">
        <v>2911</v>
      </c>
      <c r="G1990" s="9" t="s">
        <v>3353</v>
      </c>
      <c r="H1990" s="9" t="s">
        <v>86</v>
      </c>
      <c r="I1990" s="11">
        <v>18429897</v>
      </c>
      <c r="J1990" s="11">
        <v>4620440</v>
      </c>
      <c r="K1990" s="11">
        <v>17288018</v>
      </c>
      <c r="L1990" s="3">
        <v>5</v>
      </c>
      <c r="M1990" s="3">
        <v>81</v>
      </c>
      <c r="N1990" s="3">
        <v>255998</v>
      </c>
      <c r="O1990" s="2">
        <v>-0.22500000000000001</v>
      </c>
      <c r="P1990" s="2">
        <v>0.58499999999999996</v>
      </c>
      <c r="Q1990" s="2">
        <v>-0.8</v>
      </c>
      <c r="R1990" s="11">
        <v>61758027</v>
      </c>
      <c r="S1990" s="11">
        <v>357555</v>
      </c>
      <c r="T1990">
        <v>2016</v>
      </c>
      <c r="U1990">
        <v>2</v>
      </c>
      <c r="V1990">
        <f t="shared" si="186"/>
        <v>650000</v>
      </c>
      <c r="W1990">
        <f t="shared" si="187"/>
        <v>18429897</v>
      </c>
      <c r="X1990">
        <f t="shared" si="188"/>
        <v>17779897</v>
      </c>
      <c r="Y1990">
        <f t="shared" si="189"/>
        <v>-26019845.5</v>
      </c>
      <c r="Z1990">
        <f t="shared" si="190"/>
        <v>45099742.5</v>
      </c>
      <c r="AA1990" t="str">
        <f t="shared" si="191"/>
        <v>Normal</v>
      </c>
      <c r="AE1990" s="2"/>
      <c r="AF1990" s="2"/>
    </row>
    <row r="1991" spans="1:32" x14ac:dyDescent="0.35">
      <c r="A1991">
        <v>1990</v>
      </c>
      <c r="B1991" s="1">
        <v>42424</v>
      </c>
      <c r="C1991" s="9" t="s">
        <v>3354</v>
      </c>
      <c r="D1991" s="9" t="s">
        <v>4988</v>
      </c>
      <c r="E1991" s="9" t="s">
        <v>6236</v>
      </c>
      <c r="F1991" s="9" t="s">
        <v>15</v>
      </c>
      <c r="G1991" s="9" t="s">
        <v>3355</v>
      </c>
      <c r="H1991" s="9" t="s">
        <v>86</v>
      </c>
      <c r="I1991" s="11">
        <v>160000</v>
      </c>
      <c r="J1991" s="11">
        <v>2664512</v>
      </c>
      <c r="K1991" s="11">
        <v>15523213</v>
      </c>
      <c r="L1991" s="3">
        <v>219</v>
      </c>
      <c r="M1991" s="3">
        <v>2476</v>
      </c>
      <c r="N1991" s="3">
        <v>1274684</v>
      </c>
      <c r="O1991" s="2">
        <v>6.4000000000000001E-2</v>
      </c>
      <c r="P1991" s="2">
        <v>0.97400000000000009</v>
      </c>
      <c r="Q1991" s="2">
        <v>-0.30099999999999999</v>
      </c>
      <c r="R1991" s="11">
        <v>83200832</v>
      </c>
      <c r="S1991" s="11">
        <v>610719</v>
      </c>
      <c r="T1991">
        <v>2016</v>
      </c>
      <c r="U1991">
        <v>2</v>
      </c>
      <c r="V1991">
        <f t="shared" si="186"/>
        <v>650000</v>
      </c>
      <c r="W1991">
        <f t="shared" si="187"/>
        <v>18429897</v>
      </c>
      <c r="X1991">
        <f t="shared" si="188"/>
        <v>17779897</v>
      </c>
      <c r="Y1991">
        <f t="shared" si="189"/>
        <v>-26019845.5</v>
      </c>
      <c r="Z1991">
        <f t="shared" si="190"/>
        <v>45099742.5</v>
      </c>
      <c r="AA1991" t="str">
        <f t="shared" si="191"/>
        <v>Normal</v>
      </c>
      <c r="AE1991" s="2"/>
      <c r="AF1991" s="2"/>
    </row>
    <row r="1992" spans="1:32" x14ac:dyDescent="0.35">
      <c r="A1992">
        <v>1991</v>
      </c>
      <c r="B1992" s="1">
        <v>42424</v>
      </c>
      <c r="C1992" s="9" t="s">
        <v>618</v>
      </c>
      <c r="D1992" s="9" t="s">
        <v>4988</v>
      </c>
      <c r="E1992" s="9" t="s">
        <v>7329</v>
      </c>
      <c r="F1992" s="9" t="s">
        <v>15</v>
      </c>
      <c r="G1992" s="9" t="s">
        <v>3356</v>
      </c>
      <c r="H1992" s="9" t="s">
        <v>86</v>
      </c>
      <c r="I1992" s="11">
        <v>18429897</v>
      </c>
      <c r="J1992" s="11">
        <v>2201188</v>
      </c>
      <c r="K1992" s="11">
        <v>538915</v>
      </c>
      <c r="L1992" s="3">
        <v>371</v>
      </c>
      <c r="M1992" s="3">
        <v>4723</v>
      </c>
      <c r="N1992" s="3">
        <v>1018455</v>
      </c>
      <c r="O1992" s="2">
        <v>-0.3</v>
      </c>
      <c r="P1992" s="2">
        <v>1.137</v>
      </c>
      <c r="Q1992" s="2">
        <v>-0.8</v>
      </c>
      <c r="R1992" s="11">
        <v>365788070</v>
      </c>
      <c r="S1992" s="11">
        <v>970741</v>
      </c>
      <c r="T1992">
        <v>2016</v>
      </c>
      <c r="U1992">
        <v>2</v>
      </c>
      <c r="V1992">
        <f t="shared" si="186"/>
        <v>662500</v>
      </c>
      <c r="W1992">
        <f t="shared" si="187"/>
        <v>18429897</v>
      </c>
      <c r="X1992">
        <f t="shared" si="188"/>
        <v>17767397</v>
      </c>
      <c r="Y1992">
        <f t="shared" si="189"/>
        <v>-25988595.5</v>
      </c>
      <c r="Z1992">
        <f t="shared" si="190"/>
        <v>45080992.5</v>
      </c>
      <c r="AA1992" t="str">
        <f t="shared" si="191"/>
        <v>Normal</v>
      </c>
      <c r="AE1992" s="2"/>
      <c r="AF1992" s="2"/>
    </row>
    <row r="1993" spans="1:32" x14ac:dyDescent="0.35">
      <c r="A1993">
        <v>1992</v>
      </c>
      <c r="B1993" s="1">
        <v>42424</v>
      </c>
      <c r="C1993" s="9" t="s">
        <v>205</v>
      </c>
      <c r="D1993" s="9" t="s">
        <v>4988</v>
      </c>
      <c r="E1993" s="9" t="s">
        <v>7330</v>
      </c>
      <c r="F1993" s="9" t="s">
        <v>15</v>
      </c>
      <c r="G1993" s="9" t="s">
        <v>3357</v>
      </c>
      <c r="H1993" s="9" t="s">
        <v>105</v>
      </c>
      <c r="I1993" s="11">
        <v>10000000</v>
      </c>
      <c r="J1993" s="11">
        <v>2531926</v>
      </c>
      <c r="K1993" s="11">
        <v>2635584</v>
      </c>
      <c r="L1993" s="3">
        <v>379</v>
      </c>
      <c r="M1993" s="3">
        <v>3810</v>
      </c>
      <c r="N1993" s="3">
        <v>1270912</v>
      </c>
      <c r="O1993" s="2">
        <v>0.19500000000000001</v>
      </c>
      <c r="P1993" s="2">
        <v>0.95599999999999996</v>
      </c>
      <c r="Q1993" s="2">
        <v>0.252</v>
      </c>
      <c r="R1993" s="11">
        <v>362494520</v>
      </c>
      <c r="S1993" s="11">
        <v>484372</v>
      </c>
      <c r="T1993">
        <v>2016</v>
      </c>
      <c r="U1993">
        <v>2</v>
      </c>
      <c r="V1993">
        <f t="shared" si="186"/>
        <v>650000</v>
      </c>
      <c r="W1993">
        <f t="shared" si="187"/>
        <v>18429897</v>
      </c>
      <c r="X1993">
        <f t="shared" si="188"/>
        <v>17779897</v>
      </c>
      <c r="Y1993">
        <f t="shared" si="189"/>
        <v>-26019845.5</v>
      </c>
      <c r="Z1993">
        <f t="shared" si="190"/>
        <v>45099742.5</v>
      </c>
      <c r="AA1993" t="str">
        <f t="shared" si="191"/>
        <v>Normal</v>
      </c>
      <c r="AE1993" s="2"/>
      <c r="AF1993" s="2"/>
    </row>
    <row r="1994" spans="1:32" x14ac:dyDescent="0.35">
      <c r="A1994">
        <v>1993</v>
      </c>
      <c r="B1994" s="1">
        <v>42424</v>
      </c>
      <c r="C1994" s="9" t="s">
        <v>3358</v>
      </c>
      <c r="D1994" s="9" t="s">
        <v>4988</v>
      </c>
      <c r="E1994" s="9" t="s">
        <v>7331</v>
      </c>
      <c r="F1994" s="9" t="s">
        <v>124</v>
      </c>
      <c r="G1994" s="9" t="s">
        <v>3359</v>
      </c>
      <c r="H1994" s="9" t="s">
        <v>86</v>
      </c>
      <c r="I1994" s="11">
        <v>400000</v>
      </c>
      <c r="J1994" s="11">
        <v>3202287</v>
      </c>
      <c r="K1994" s="11">
        <v>8735131</v>
      </c>
      <c r="L1994" s="3">
        <v>48</v>
      </c>
      <c r="M1994" s="3">
        <v>268</v>
      </c>
      <c r="N1994" s="3">
        <v>1384102</v>
      </c>
      <c r="O1994" s="2">
        <v>0.183</v>
      </c>
      <c r="P1994" s="2">
        <v>0.38200000000000001</v>
      </c>
      <c r="Q1994" s="2">
        <v>0.21100000000000002</v>
      </c>
      <c r="R1994" s="11">
        <v>191988437</v>
      </c>
      <c r="S1994" s="11">
        <v>292858</v>
      </c>
      <c r="T1994">
        <v>2016</v>
      </c>
      <c r="U1994">
        <v>2</v>
      </c>
      <c r="V1994">
        <f t="shared" si="186"/>
        <v>650000</v>
      </c>
      <c r="W1994">
        <f t="shared" si="187"/>
        <v>18429897</v>
      </c>
      <c r="X1994">
        <f t="shared" si="188"/>
        <v>17779897</v>
      </c>
      <c r="Y1994">
        <f t="shared" si="189"/>
        <v>-26019845.5</v>
      </c>
      <c r="Z1994">
        <f t="shared" si="190"/>
        <v>45099742.5</v>
      </c>
      <c r="AA1994" t="str">
        <f t="shared" si="191"/>
        <v>Normal</v>
      </c>
      <c r="AE1994" s="2"/>
      <c r="AF1994" s="2"/>
    </row>
    <row r="1995" spans="1:32" x14ac:dyDescent="0.35">
      <c r="A1995">
        <v>1994</v>
      </c>
      <c r="B1995" s="1">
        <v>42424</v>
      </c>
      <c r="C1995" s="9" t="s">
        <v>3360</v>
      </c>
      <c r="D1995" s="9" t="s">
        <v>4988</v>
      </c>
      <c r="E1995" s="9" t="s">
        <v>7332</v>
      </c>
      <c r="F1995" s="9" t="s">
        <v>63</v>
      </c>
      <c r="G1995" s="9" t="s">
        <v>2332</v>
      </c>
      <c r="H1995" s="9" t="s">
        <v>86</v>
      </c>
      <c r="I1995" s="11">
        <v>150000</v>
      </c>
      <c r="J1995" s="11">
        <v>3774713</v>
      </c>
      <c r="K1995" s="11">
        <v>12471546</v>
      </c>
      <c r="L1995" s="3">
        <v>144</v>
      </c>
      <c r="M1995" s="3">
        <v>2970</v>
      </c>
      <c r="N1995" s="3">
        <v>1778933</v>
      </c>
      <c r="O1995" s="2">
        <v>0.11800000000000001</v>
      </c>
      <c r="P1995" s="2">
        <v>0.85</v>
      </c>
      <c r="Q1995" s="2">
        <v>0.63600000000000001</v>
      </c>
      <c r="R1995" s="11">
        <v>178092992</v>
      </c>
      <c r="S1995" s="11">
        <v>1292338</v>
      </c>
      <c r="T1995">
        <v>2016</v>
      </c>
      <c r="U1995">
        <v>2</v>
      </c>
      <c r="V1995">
        <f t="shared" si="186"/>
        <v>675000</v>
      </c>
      <c r="W1995">
        <f t="shared" si="187"/>
        <v>18429897</v>
      </c>
      <c r="X1995">
        <f t="shared" si="188"/>
        <v>17754897</v>
      </c>
      <c r="Y1995">
        <f t="shared" si="189"/>
        <v>-25957345.5</v>
      </c>
      <c r="Z1995">
        <f t="shared" si="190"/>
        <v>45062242.5</v>
      </c>
      <c r="AA1995" t="str">
        <f t="shared" si="191"/>
        <v>Normal</v>
      </c>
      <c r="AE1995" s="2"/>
      <c r="AF1995" s="2"/>
    </row>
    <row r="1996" spans="1:32" x14ac:dyDescent="0.35">
      <c r="A1996">
        <v>1995</v>
      </c>
      <c r="B1996" s="1">
        <v>42424</v>
      </c>
      <c r="C1996" s="9" t="s">
        <v>3361</v>
      </c>
      <c r="D1996" s="9" t="s">
        <v>4988</v>
      </c>
      <c r="E1996" s="9" t="s">
        <v>7333</v>
      </c>
      <c r="F1996" s="9" t="s">
        <v>15</v>
      </c>
      <c r="G1996" s="9" t="s">
        <v>3362</v>
      </c>
      <c r="H1996" s="9" t="s">
        <v>86</v>
      </c>
      <c r="I1996" s="11">
        <v>18429897</v>
      </c>
      <c r="J1996" s="11">
        <v>31497</v>
      </c>
      <c r="K1996" s="11">
        <v>13632948</v>
      </c>
      <c r="L1996" s="3">
        <v>310</v>
      </c>
      <c r="M1996" s="3">
        <v>3416</v>
      </c>
      <c r="N1996" s="3">
        <v>1559618</v>
      </c>
      <c r="O1996" s="2">
        <v>1.6E-2</v>
      </c>
      <c r="P1996" s="2">
        <v>0.79500000000000004</v>
      </c>
      <c r="Q1996" s="2">
        <v>-2.8999999999999998E-2</v>
      </c>
      <c r="R1996" s="11">
        <v>225538355</v>
      </c>
      <c r="S1996" s="11">
        <v>394177</v>
      </c>
      <c r="T1996">
        <v>2016</v>
      </c>
      <c r="U1996">
        <v>2</v>
      </c>
      <c r="V1996">
        <f t="shared" si="186"/>
        <v>700000</v>
      </c>
      <c r="W1996">
        <f t="shared" si="187"/>
        <v>18429897</v>
      </c>
      <c r="X1996">
        <f t="shared" si="188"/>
        <v>17729897</v>
      </c>
      <c r="Y1996">
        <f t="shared" si="189"/>
        <v>-25894845.5</v>
      </c>
      <c r="Z1996">
        <f t="shared" si="190"/>
        <v>45024742.5</v>
      </c>
      <c r="AA1996" t="str">
        <f t="shared" si="191"/>
        <v>Normal</v>
      </c>
      <c r="AE1996" s="2"/>
      <c r="AF1996" s="2"/>
    </row>
    <row r="1997" spans="1:32" x14ac:dyDescent="0.35">
      <c r="A1997">
        <v>1996</v>
      </c>
      <c r="B1997" s="1">
        <v>42425</v>
      </c>
      <c r="C1997" s="9" t="s">
        <v>455</v>
      </c>
      <c r="D1997" s="9" t="s">
        <v>4925</v>
      </c>
      <c r="E1997" s="9" t="s">
        <v>7334</v>
      </c>
      <c r="F1997" s="9" t="s">
        <v>19</v>
      </c>
      <c r="G1997" s="9" t="s">
        <v>1571</v>
      </c>
      <c r="H1997" s="9" t="s">
        <v>105</v>
      </c>
      <c r="I1997" s="11">
        <v>5000000</v>
      </c>
      <c r="J1997" s="11">
        <v>2772137</v>
      </c>
      <c r="K1997" s="11">
        <v>5996055</v>
      </c>
      <c r="L1997" s="3">
        <v>331</v>
      </c>
      <c r="M1997" s="3">
        <v>2655</v>
      </c>
      <c r="N1997" s="3">
        <v>73518</v>
      </c>
      <c r="O1997" s="2">
        <v>0.115</v>
      </c>
      <c r="P1997" s="2">
        <v>1.048E-2</v>
      </c>
      <c r="Q1997" s="2">
        <v>-0.12</v>
      </c>
      <c r="R1997" s="11">
        <v>3108857</v>
      </c>
      <c r="S1997" s="11">
        <v>1454777</v>
      </c>
      <c r="T1997">
        <v>2016</v>
      </c>
      <c r="U1997">
        <v>2</v>
      </c>
      <c r="V1997">
        <f t="shared" si="186"/>
        <v>700000</v>
      </c>
      <c r="W1997">
        <f t="shared" si="187"/>
        <v>18429897</v>
      </c>
      <c r="X1997">
        <f t="shared" si="188"/>
        <v>17729897</v>
      </c>
      <c r="Y1997">
        <f t="shared" si="189"/>
        <v>-25894845.5</v>
      </c>
      <c r="Z1997">
        <f t="shared" si="190"/>
        <v>45024742.5</v>
      </c>
      <c r="AA1997" t="str">
        <f t="shared" si="191"/>
        <v>Normal</v>
      </c>
      <c r="AE1997" s="2"/>
      <c r="AF1997" s="2"/>
    </row>
    <row r="1998" spans="1:32" x14ac:dyDescent="0.35">
      <c r="A1998">
        <v>1997</v>
      </c>
      <c r="B1998" s="1">
        <v>42425</v>
      </c>
      <c r="C1998" s="9" t="s">
        <v>3363</v>
      </c>
      <c r="D1998" s="9" t="s">
        <v>4988</v>
      </c>
      <c r="E1998" s="9" t="s">
        <v>7335</v>
      </c>
      <c r="F1998" s="9" t="s">
        <v>15</v>
      </c>
      <c r="G1998" s="9" t="s">
        <v>3364</v>
      </c>
      <c r="H1998" s="9" t="s">
        <v>86</v>
      </c>
      <c r="I1998" s="11">
        <v>18429897</v>
      </c>
      <c r="J1998" s="11">
        <v>4966975</v>
      </c>
      <c r="K1998" s="11">
        <v>2297267</v>
      </c>
      <c r="L1998" s="3">
        <v>312</v>
      </c>
      <c r="M1998" s="3">
        <v>1643</v>
      </c>
      <c r="N1998" s="3">
        <v>1403724</v>
      </c>
      <c r="O1998" s="2">
        <v>0.185</v>
      </c>
      <c r="P1998" s="2">
        <v>0.4</v>
      </c>
      <c r="Q1998" s="2">
        <v>0.44600000000000001</v>
      </c>
      <c r="R1998" s="11">
        <v>152144699</v>
      </c>
      <c r="S1998" s="11">
        <v>293496</v>
      </c>
      <c r="T1998">
        <v>2016</v>
      </c>
      <c r="U1998">
        <v>2</v>
      </c>
      <c r="V1998">
        <f t="shared" si="186"/>
        <v>687500</v>
      </c>
      <c r="W1998">
        <f t="shared" si="187"/>
        <v>18429897</v>
      </c>
      <c r="X1998">
        <f t="shared" si="188"/>
        <v>17742397</v>
      </c>
      <c r="Y1998">
        <f t="shared" si="189"/>
        <v>-25926095.5</v>
      </c>
      <c r="Z1998">
        <f t="shared" si="190"/>
        <v>45043492.5</v>
      </c>
      <c r="AA1998" t="str">
        <f t="shared" si="191"/>
        <v>Normal</v>
      </c>
      <c r="AE1998" s="2"/>
      <c r="AF1998" s="2"/>
    </row>
    <row r="1999" spans="1:32" x14ac:dyDescent="0.35">
      <c r="A1999">
        <v>1998</v>
      </c>
      <c r="B1999" s="1">
        <v>42425</v>
      </c>
      <c r="C1999" s="9" t="s">
        <v>3365</v>
      </c>
      <c r="D1999" s="9" t="s">
        <v>4988</v>
      </c>
      <c r="E1999" s="9" t="s">
        <v>6244</v>
      </c>
      <c r="F1999" s="9" t="s">
        <v>15</v>
      </c>
      <c r="G1999" s="9" t="s">
        <v>3366</v>
      </c>
      <c r="H1999" s="9" t="s">
        <v>105</v>
      </c>
      <c r="I1999" s="11">
        <v>5800000</v>
      </c>
      <c r="J1999" s="11">
        <v>1417587</v>
      </c>
      <c r="K1999" s="11">
        <v>6630529</v>
      </c>
      <c r="L1999" s="3">
        <v>172</v>
      </c>
      <c r="M1999" s="3">
        <v>3410</v>
      </c>
      <c r="N1999" s="3">
        <v>1458998</v>
      </c>
      <c r="O1999" s="2">
        <v>8.4000000000000005E-2</v>
      </c>
      <c r="P1999" s="2">
        <v>0.91900000000000004</v>
      </c>
      <c r="Q1999" s="2">
        <v>-0.32899999999999996</v>
      </c>
      <c r="R1999" s="11">
        <v>464059869</v>
      </c>
      <c r="S1999" s="11">
        <v>1839921</v>
      </c>
      <c r="T1999">
        <v>2016</v>
      </c>
      <c r="U1999">
        <v>2</v>
      </c>
      <c r="V1999">
        <f t="shared" si="186"/>
        <v>675000</v>
      </c>
      <c r="W1999">
        <f t="shared" si="187"/>
        <v>18429897</v>
      </c>
      <c r="X1999">
        <f t="shared" si="188"/>
        <v>17754897</v>
      </c>
      <c r="Y1999">
        <f t="shared" si="189"/>
        <v>-25957345.5</v>
      </c>
      <c r="Z1999">
        <f t="shared" si="190"/>
        <v>45062242.5</v>
      </c>
      <c r="AA1999" t="str">
        <f t="shared" si="191"/>
        <v>Normal</v>
      </c>
      <c r="AE1999" s="2"/>
      <c r="AF1999" s="2"/>
    </row>
    <row r="2000" spans="1:32" x14ac:dyDescent="0.35">
      <c r="A2000">
        <v>1999</v>
      </c>
      <c r="B2000" s="1">
        <v>42425</v>
      </c>
      <c r="C2000" s="9" t="s">
        <v>3367</v>
      </c>
      <c r="D2000" s="9" t="s">
        <v>4925</v>
      </c>
      <c r="E2000" s="9" t="s">
        <v>7336</v>
      </c>
      <c r="F2000" s="9" t="s">
        <v>27</v>
      </c>
      <c r="G2000" s="9" t="s">
        <v>2466</v>
      </c>
      <c r="H2000" s="9" t="s">
        <v>86</v>
      </c>
      <c r="I2000" s="11">
        <v>70000</v>
      </c>
      <c r="J2000" s="11">
        <v>1418864</v>
      </c>
      <c r="K2000" s="11">
        <v>15865846</v>
      </c>
      <c r="L2000" s="3">
        <v>432</v>
      </c>
      <c r="M2000" s="3">
        <v>2146</v>
      </c>
      <c r="N2000" s="3">
        <v>1106795</v>
      </c>
      <c r="O2000" s="2">
        <v>0.34200000000000003</v>
      </c>
      <c r="P2000" s="2">
        <v>0.8</v>
      </c>
      <c r="Q2000" s="2">
        <v>0.14800000000000002</v>
      </c>
      <c r="R2000" s="11">
        <v>380575491</v>
      </c>
      <c r="S2000" s="11">
        <v>1071220</v>
      </c>
      <c r="T2000">
        <v>2016</v>
      </c>
      <c r="U2000">
        <v>2</v>
      </c>
      <c r="V2000">
        <f t="shared" si="186"/>
        <v>662500</v>
      </c>
      <c r="W2000">
        <f t="shared" si="187"/>
        <v>18429897</v>
      </c>
      <c r="X2000">
        <f t="shared" si="188"/>
        <v>17767397</v>
      </c>
      <c r="Y2000">
        <f t="shared" si="189"/>
        <v>-25988595.5</v>
      </c>
      <c r="Z2000">
        <f t="shared" si="190"/>
        <v>45080992.5</v>
      </c>
      <c r="AA2000" t="str">
        <f t="shared" si="191"/>
        <v>Normal</v>
      </c>
      <c r="AE2000" s="2"/>
      <c r="AF2000" s="2"/>
    </row>
    <row r="2001" spans="1:32" x14ac:dyDescent="0.35">
      <c r="A2001">
        <v>2000</v>
      </c>
      <c r="B2001" s="1">
        <v>42426</v>
      </c>
      <c r="C2001" s="9" t="s">
        <v>3368</v>
      </c>
      <c r="D2001" s="9" t="s">
        <v>4930</v>
      </c>
      <c r="E2001" s="9" t="s">
        <v>7337</v>
      </c>
      <c r="F2001" s="9" t="s">
        <v>27</v>
      </c>
      <c r="G2001" s="9" t="s">
        <v>3369</v>
      </c>
      <c r="H2001" s="9" t="s">
        <v>86</v>
      </c>
      <c r="I2001" s="11">
        <v>145000</v>
      </c>
      <c r="J2001" s="11">
        <v>4393090</v>
      </c>
      <c r="K2001" s="11">
        <v>19732733</v>
      </c>
      <c r="L2001" s="3">
        <v>43</v>
      </c>
      <c r="M2001" s="3">
        <v>4746</v>
      </c>
      <c r="N2001" s="3">
        <v>1247613</v>
      </c>
      <c r="O2001" s="2">
        <v>0.24199999999999999</v>
      </c>
      <c r="P2001" s="2">
        <v>0.67800000000000005</v>
      </c>
      <c r="Q2001" s="2">
        <v>0.22600000000000001</v>
      </c>
      <c r="R2001" s="11">
        <v>260182127</v>
      </c>
      <c r="S2001" s="11">
        <v>1135456</v>
      </c>
      <c r="T2001">
        <v>2016</v>
      </c>
      <c r="U2001">
        <v>2</v>
      </c>
      <c r="V2001">
        <f t="shared" si="186"/>
        <v>700000</v>
      </c>
      <c r="W2001">
        <f t="shared" si="187"/>
        <v>18429897</v>
      </c>
      <c r="X2001">
        <f t="shared" si="188"/>
        <v>17729897</v>
      </c>
      <c r="Y2001">
        <f t="shared" si="189"/>
        <v>-25894845.5</v>
      </c>
      <c r="Z2001">
        <f t="shared" si="190"/>
        <v>45024742.5</v>
      </c>
      <c r="AA2001" t="str">
        <f t="shared" si="191"/>
        <v>Normal</v>
      </c>
      <c r="AE2001" s="2"/>
      <c r="AF2001" s="2"/>
    </row>
    <row r="2002" spans="1:32" x14ac:dyDescent="0.35">
      <c r="A2002">
        <v>2001</v>
      </c>
      <c r="B2002" s="1">
        <v>42426</v>
      </c>
      <c r="C2002" s="9" t="s">
        <v>3370</v>
      </c>
      <c r="D2002" s="9" t="s">
        <v>4988</v>
      </c>
      <c r="E2002" s="9" t="s">
        <v>7338</v>
      </c>
      <c r="F2002" s="9" t="s">
        <v>31</v>
      </c>
      <c r="G2002" s="9" t="s">
        <v>3371</v>
      </c>
      <c r="H2002" s="9" t="s">
        <v>105</v>
      </c>
      <c r="I2002" s="11">
        <v>2500000</v>
      </c>
      <c r="J2002" s="11">
        <v>2531926</v>
      </c>
      <c r="K2002" s="11">
        <v>18843861</v>
      </c>
      <c r="L2002" s="3">
        <v>412</v>
      </c>
      <c r="M2002" s="3">
        <v>4198</v>
      </c>
      <c r="N2002" s="3">
        <v>163979</v>
      </c>
      <c r="O2002" s="2">
        <v>0.124</v>
      </c>
      <c r="P2002" s="2">
        <v>0.49099999999999999</v>
      </c>
      <c r="Q2002" s="2">
        <v>-0.47799999999999998</v>
      </c>
      <c r="R2002" s="11">
        <v>210370170</v>
      </c>
      <c r="S2002" s="11">
        <v>806230</v>
      </c>
      <c r="T2002">
        <v>2016</v>
      </c>
      <c r="U2002">
        <v>2</v>
      </c>
      <c r="V2002">
        <f t="shared" si="186"/>
        <v>700000</v>
      </c>
      <c r="W2002">
        <f t="shared" si="187"/>
        <v>18429897</v>
      </c>
      <c r="X2002">
        <f t="shared" si="188"/>
        <v>17729897</v>
      </c>
      <c r="Y2002">
        <f t="shared" si="189"/>
        <v>-25894845.5</v>
      </c>
      <c r="Z2002">
        <f t="shared" si="190"/>
        <v>45024742.5</v>
      </c>
      <c r="AA2002" t="str">
        <f t="shared" si="191"/>
        <v>Normal</v>
      </c>
      <c r="AE2002" s="2"/>
      <c r="AF2002" s="2"/>
    </row>
    <row r="2003" spans="1:32" x14ac:dyDescent="0.35">
      <c r="A2003">
        <v>2002</v>
      </c>
      <c r="B2003" s="1">
        <v>42429</v>
      </c>
      <c r="C2003" s="9" t="s">
        <v>3037</v>
      </c>
      <c r="D2003" s="9" t="s">
        <v>4988</v>
      </c>
      <c r="E2003" s="9" t="s">
        <v>5820</v>
      </c>
      <c r="F2003" s="9" t="s">
        <v>15</v>
      </c>
      <c r="G2003" s="9" t="s">
        <v>715</v>
      </c>
      <c r="H2003" s="9" t="s">
        <v>105</v>
      </c>
      <c r="I2003" s="11">
        <v>18429897</v>
      </c>
      <c r="J2003" s="11">
        <v>1999655</v>
      </c>
      <c r="K2003" s="11">
        <v>11905375</v>
      </c>
      <c r="L2003" s="3">
        <v>470</v>
      </c>
      <c r="M2003" s="3">
        <v>4551</v>
      </c>
      <c r="N2003" s="3">
        <v>523511</v>
      </c>
      <c r="O2003" s="2">
        <v>-0.34899999999999998</v>
      </c>
      <c r="P2003" s="2">
        <v>0.22600000000000001</v>
      </c>
      <c r="Q2003" s="2">
        <v>-0.17300000000000001</v>
      </c>
      <c r="R2003" s="11">
        <v>217864415</v>
      </c>
      <c r="S2003" s="11">
        <v>1895785</v>
      </c>
      <c r="T2003">
        <v>2016</v>
      </c>
      <c r="U2003">
        <v>2</v>
      </c>
      <c r="V2003">
        <f t="shared" si="186"/>
        <v>700000</v>
      </c>
      <c r="W2003">
        <f t="shared" si="187"/>
        <v>18429897</v>
      </c>
      <c r="X2003">
        <f t="shared" si="188"/>
        <v>17729897</v>
      </c>
      <c r="Y2003">
        <f t="shared" si="189"/>
        <v>-25894845.5</v>
      </c>
      <c r="Z2003">
        <f t="shared" si="190"/>
        <v>45024742.5</v>
      </c>
      <c r="AA2003" t="str">
        <f t="shared" si="191"/>
        <v>Normal</v>
      </c>
      <c r="AE2003" s="2"/>
      <c r="AF2003" s="2"/>
    </row>
    <row r="2004" spans="1:32" x14ac:dyDescent="0.35">
      <c r="A2004">
        <v>2003</v>
      </c>
      <c r="B2004" s="1">
        <v>42429</v>
      </c>
      <c r="C2004" s="9" t="s">
        <v>3372</v>
      </c>
      <c r="D2004" s="9" t="s">
        <v>4925</v>
      </c>
      <c r="E2004" s="9" t="s">
        <v>7339</v>
      </c>
      <c r="F2004" s="9" t="s">
        <v>31</v>
      </c>
      <c r="G2004" s="9" t="s">
        <v>873</v>
      </c>
      <c r="H2004" s="9" t="s">
        <v>105</v>
      </c>
      <c r="I2004" s="11">
        <v>13000000</v>
      </c>
      <c r="J2004" s="11">
        <v>2302144</v>
      </c>
      <c r="K2004" s="11">
        <v>1909602</v>
      </c>
      <c r="L2004" s="3">
        <v>344</v>
      </c>
      <c r="M2004" s="3">
        <v>2126</v>
      </c>
      <c r="N2004" s="3">
        <v>1725810</v>
      </c>
      <c r="O2004" s="2">
        <v>7.5999999999999998E-2</v>
      </c>
      <c r="P2004" s="2">
        <v>1.0059999999999999E-2</v>
      </c>
      <c r="Q2004" s="2">
        <v>-0.24100000000000002</v>
      </c>
      <c r="R2004" s="11">
        <v>433967656</v>
      </c>
      <c r="S2004" s="11">
        <v>156034</v>
      </c>
      <c r="T2004">
        <v>2016</v>
      </c>
      <c r="U2004">
        <v>2</v>
      </c>
      <c r="V2004">
        <f t="shared" si="186"/>
        <v>700000</v>
      </c>
      <c r="W2004">
        <f t="shared" si="187"/>
        <v>18429897</v>
      </c>
      <c r="X2004">
        <f t="shared" si="188"/>
        <v>17729897</v>
      </c>
      <c r="Y2004">
        <f t="shared" si="189"/>
        <v>-25894845.5</v>
      </c>
      <c r="Z2004">
        <f t="shared" si="190"/>
        <v>45024742.5</v>
      </c>
      <c r="AA2004" t="str">
        <f t="shared" si="191"/>
        <v>Normal</v>
      </c>
      <c r="AE2004" s="2"/>
      <c r="AF2004" s="2"/>
    </row>
    <row r="2005" spans="1:32" x14ac:dyDescent="0.35">
      <c r="A2005">
        <v>2004</v>
      </c>
      <c r="B2005" s="1">
        <v>42429</v>
      </c>
      <c r="C2005" s="9" t="s">
        <v>3373</v>
      </c>
      <c r="D2005" s="9" t="s">
        <v>4988</v>
      </c>
      <c r="E2005" s="9" t="s">
        <v>7340</v>
      </c>
      <c r="F2005" s="9" t="s">
        <v>15</v>
      </c>
      <c r="G2005" s="9" t="s">
        <v>856</v>
      </c>
      <c r="H2005" s="9" t="s">
        <v>105</v>
      </c>
      <c r="I2005" s="11">
        <v>18429897</v>
      </c>
      <c r="J2005" s="11">
        <v>3993439</v>
      </c>
      <c r="K2005" s="11">
        <v>19357671</v>
      </c>
      <c r="L2005" s="3">
        <v>217</v>
      </c>
      <c r="M2005" s="3">
        <v>3403</v>
      </c>
      <c r="N2005" s="3">
        <v>4667</v>
      </c>
      <c r="O2005" s="2">
        <v>0.246</v>
      </c>
      <c r="P2005" s="2">
        <v>0.307</v>
      </c>
      <c r="Q2005" s="2">
        <v>0.308</v>
      </c>
      <c r="R2005" s="11">
        <v>238284172</v>
      </c>
      <c r="S2005" s="11">
        <v>440545</v>
      </c>
      <c r="T2005">
        <v>2016</v>
      </c>
      <c r="U2005">
        <v>2</v>
      </c>
      <c r="V2005">
        <f t="shared" si="186"/>
        <v>700000</v>
      </c>
      <c r="W2005">
        <f t="shared" si="187"/>
        <v>18429897</v>
      </c>
      <c r="X2005">
        <f t="shared" si="188"/>
        <v>17729897</v>
      </c>
      <c r="Y2005">
        <f t="shared" si="189"/>
        <v>-25894845.5</v>
      </c>
      <c r="Z2005">
        <f t="shared" si="190"/>
        <v>45024742.5</v>
      </c>
      <c r="AA2005" t="str">
        <f t="shared" si="191"/>
        <v>Normal</v>
      </c>
      <c r="AE2005" s="2"/>
      <c r="AF2005" s="2"/>
    </row>
    <row r="2006" spans="1:32" x14ac:dyDescent="0.35">
      <c r="A2006">
        <v>2005</v>
      </c>
      <c r="B2006" s="1">
        <v>42370</v>
      </c>
      <c r="C2006" s="9" t="s">
        <v>3245</v>
      </c>
      <c r="D2006" s="9" t="s">
        <v>4925</v>
      </c>
      <c r="E2006" s="9" t="s">
        <v>7341</v>
      </c>
      <c r="F2006" s="9" t="s">
        <v>27</v>
      </c>
      <c r="G2006" s="9" t="s">
        <v>3374</v>
      </c>
      <c r="H2006" s="9" t="s">
        <v>86</v>
      </c>
      <c r="I2006" s="11">
        <v>18429897</v>
      </c>
      <c r="J2006" s="11">
        <v>2531926</v>
      </c>
      <c r="K2006" s="11">
        <v>3143667</v>
      </c>
      <c r="L2006" s="3">
        <v>193</v>
      </c>
      <c r="M2006" s="3">
        <v>764</v>
      </c>
      <c r="N2006" s="3">
        <v>1966810</v>
      </c>
      <c r="O2006" s="2">
        <v>6.4000000000000001E-2</v>
      </c>
      <c r="P2006" s="2">
        <v>0.57699999999999996</v>
      </c>
      <c r="Q2006" s="2">
        <v>-6.0999999999999999E-2</v>
      </c>
      <c r="R2006" s="11">
        <v>328677402</v>
      </c>
      <c r="S2006" s="11">
        <v>1467669</v>
      </c>
      <c r="T2006">
        <v>2016</v>
      </c>
      <c r="U2006">
        <v>1</v>
      </c>
      <c r="V2006">
        <f t="shared" si="186"/>
        <v>687500</v>
      </c>
      <c r="W2006">
        <f t="shared" si="187"/>
        <v>18429897</v>
      </c>
      <c r="X2006">
        <f t="shared" si="188"/>
        <v>17742397</v>
      </c>
      <c r="Y2006">
        <f t="shared" si="189"/>
        <v>-25926095.5</v>
      </c>
      <c r="Z2006">
        <f t="shared" si="190"/>
        <v>45043492.5</v>
      </c>
      <c r="AA2006" t="str">
        <f t="shared" si="191"/>
        <v>Normal</v>
      </c>
      <c r="AE2006" s="2"/>
      <c r="AF2006" s="2"/>
    </row>
    <row r="2007" spans="1:32" x14ac:dyDescent="0.35">
      <c r="A2007">
        <v>2006</v>
      </c>
      <c r="B2007" s="1">
        <v>42370</v>
      </c>
      <c r="C2007" s="9" t="s">
        <v>3375</v>
      </c>
      <c r="D2007" s="9" t="s">
        <v>4988</v>
      </c>
      <c r="E2007" s="9" t="s">
        <v>7342</v>
      </c>
      <c r="F2007" s="9" t="s">
        <v>31</v>
      </c>
      <c r="G2007" s="9" t="s">
        <v>856</v>
      </c>
      <c r="H2007" s="9" t="s">
        <v>86</v>
      </c>
      <c r="I2007" s="11">
        <v>18429897</v>
      </c>
      <c r="J2007" s="11">
        <v>2181613</v>
      </c>
      <c r="K2007" s="11">
        <v>5439108</v>
      </c>
      <c r="L2007" s="3">
        <v>220</v>
      </c>
      <c r="M2007" s="3">
        <v>3774</v>
      </c>
      <c r="N2007" s="3">
        <v>445314</v>
      </c>
      <c r="O2007" s="2">
        <v>0.18100000000000002</v>
      </c>
      <c r="P2007" s="2">
        <v>0.69599999999999995</v>
      </c>
      <c r="Q2007" s="2">
        <v>3.5000000000000003E-2</v>
      </c>
      <c r="R2007" s="11">
        <v>250264963</v>
      </c>
      <c r="S2007" s="11">
        <v>1062082</v>
      </c>
      <c r="T2007">
        <v>2016</v>
      </c>
      <c r="U2007">
        <v>1</v>
      </c>
      <c r="V2007">
        <f t="shared" si="186"/>
        <v>675000</v>
      </c>
      <c r="W2007">
        <f t="shared" si="187"/>
        <v>18429897</v>
      </c>
      <c r="X2007">
        <f t="shared" si="188"/>
        <v>17754897</v>
      </c>
      <c r="Y2007">
        <f t="shared" si="189"/>
        <v>-25957345.5</v>
      </c>
      <c r="Z2007">
        <f t="shared" si="190"/>
        <v>45062242.5</v>
      </c>
      <c r="AA2007" t="str">
        <f t="shared" si="191"/>
        <v>Normal</v>
      </c>
      <c r="AE2007" s="2"/>
      <c r="AF2007" s="2"/>
    </row>
    <row r="2008" spans="1:32" x14ac:dyDescent="0.35">
      <c r="A2008">
        <v>2007</v>
      </c>
      <c r="B2008" s="1">
        <v>42373</v>
      </c>
      <c r="C2008" s="9" t="s">
        <v>3376</v>
      </c>
      <c r="D2008" s="9" t="s">
        <v>4925</v>
      </c>
      <c r="E2008" s="9" t="s">
        <v>7343</v>
      </c>
      <c r="F2008" s="9" t="s">
        <v>19</v>
      </c>
      <c r="G2008" s="9" t="s">
        <v>715</v>
      </c>
      <c r="H2008" s="9" t="s">
        <v>86</v>
      </c>
      <c r="I2008" s="11">
        <v>18429897</v>
      </c>
      <c r="J2008" s="11">
        <v>778587</v>
      </c>
      <c r="K2008" s="11">
        <v>19484534</v>
      </c>
      <c r="L2008" s="3">
        <v>87</v>
      </c>
      <c r="M2008" s="3">
        <v>3784</v>
      </c>
      <c r="N2008" s="3">
        <v>1556036</v>
      </c>
      <c r="O2008" s="2">
        <v>7.4999999999999997E-2</v>
      </c>
      <c r="P2008" s="2">
        <v>0.53</v>
      </c>
      <c r="Q2008" s="2">
        <v>-0.30299999999999999</v>
      </c>
      <c r="R2008" s="11">
        <v>431008681</v>
      </c>
      <c r="S2008" s="11">
        <v>1086152</v>
      </c>
      <c r="T2008">
        <v>2016</v>
      </c>
      <c r="U2008">
        <v>1</v>
      </c>
      <c r="V2008">
        <f t="shared" si="186"/>
        <v>662500</v>
      </c>
      <c r="W2008">
        <f t="shared" si="187"/>
        <v>18429897</v>
      </c>
      <c r="X2008">
        <f t="shared" si="188"/>
        <v>17767397</v>
      </c>
      <c r="Y2008">
        <f t="shared" si="189"/>
        <v>-25988595.5</v>
      </c>
      <c r="Z2008">
        <f t="shared" si="190"/>
        <v>45080992.5</v>
      </c>
      <c r="AA2008" t="str">
        <f t="shared" si="191"/>
        <v>Normal</v>
      </c>
      <c r="AE2008" s="2"/>
      <c r="AF2008" s="2"/>
    </row>
    <row r="2009" spans="1:32" x14ac:dyDescent="0.35">
      <c r="A2009">
        <v>2008</v>
      </c>
      <c r="B2009" s="1">
        <v>42373</v>
      </c>
      <c r="C2009" s="9" t="s">
        <v>3377</v>
      </c>
      <c r="D2009" s="9" t="s">
        <v>4938</v>
      </c>
      <c r="E2009" s="9" t="s">
        <v>7344</v>
      </c>
      <c r="F2009" s="9" t="s">
        <v>27</v>
      </c>
      <c r="G2009" s="9" t="s">
        <v>3378</v>
      </c>
      <c r="H2009" s="9" t="s">
        <v>105</v>
      </c>
      <c r="I2009" s="11">
        <v>18429897</v>
      </c>
      <c r="J2009" s="11">
        <v>3942424</v>
      </c>
      <c r="K2009" s="11">
        <v>10127289</v>
      </c>
      <c r="L2009" s="3">
        <v>114</v>
      </c>
      <c r="M2009" s="3">
        <v>3888</v>
      </c>
      <c r="N2009" s="3">
        <v>439718</v>
      </c>
      <c r="O2009" s="2">
        <v>0.16600000000000001</v>
      </c>
      <c r="P2009" s="2">
        <v>0.86199999999999999</v>
      </c>
      <c r="Q2009" s="2">
        <v>-0.10199999999999999</v>
      </c>
      <c r="R2009" s="11">
        <v>288329763</v>
      </c>
      <c r="S2009" s="11">
        <v>928408</v>
      </c>
      <c r="T2009">
        <v>2016</v>
      </c>
      <c r="U2009">
        <v>1</v>
      </c>
      <c r="V2009">
        <f t="shared" si="186"/>
        <v>650000</v>
      </c>
      <c r="W2009">
        <f t="shared" si="187"/>
        <v>18429897</v>
      </c>
      <c r="X2009">
        <f t="shared" si="188"/>
        <v>17779897</v>
      </c>
      <c r="Y2009">
        <f t="shared" si="189"/>
        <v>-26019845.5</v>
      </c>
      <c r="Z2009">
        <f t="shared" si="190"/>
        <v>45099742.5</v>
      </c>
      <c r="AA2009" t="str">
        <f t="shared" si="191"/>
        <v>Normal</v>
      </c>
      <c r="AE2009" s="2"/>
      <c r="AF2009" s="2"/>
    </row>
    <row r="2010" spans="1:32" x14ac:dyDescent="0.35">
      <c r="A2010">
        <v>2009</v>
      </c>
      <c r="B2010" s="1">
        <v>42373</v>
      </c>
      <c r="C2010" s="9" t="s">
        <v>3379</v>
      </c>
      <c r="D2010" s="9" t="s">
        <v>4939</v>
      </c>
      <c r="E2010" s="9" t="s">
        <v>7345</v>
      </c>
      <c r="F2010" s="9" t="s">
        <v>27</v>
      </c>
      <c r="G2010" s="9" t="s">
        <v>3380</v>
      </c>
      <c r="H2010" s="9" t="s">
        <v>105</v>
      </c>
      <c r="I2010" s="11">
        <v>6000000</v>
      </c>
      <c r="J2010" s="11">
        <v>3168768</v>
      </c>
      <c r="K2010" s="11">
        <v>4037327</v>
      </c>
      <c r="L2010" s="3">
        <v>319</v>
      </c>
      <c r="M2010" s="3">
        <v>150</v>
      </c>
      <c r="N2010" s="3">
        <v>69580</v>
      </c>
      <c r="O2010" s="2">
        <v>0.4</v>
      </c>
      <c r="P2010" s="2">
        <v>0.52800000000000002</v>
      </c>
      <c r="Q2010" s="2">
        <v>-9.8000000000000004E-2</v>
      </c>
      <c r="R2010" s="11">
        <v>8127300</v>
      </c>
      <c r="S2010" s="11">
        <v>1011825</v>
      </c>
      <c r="T2010">
        <v>2016</v>
      </c>
      <c r="U2010">
        <v>1</v>
      </c>
      <c r="V2010">
        <f t="shared" si="186"/>
        <v>650000</v>
      </c>
      <c r="W2010">
        <f t="shared" si="187"/>
        <v>18429897</v>
      </c>
      <c r="X2010">
        <f t="shared" si="188"/>
        <v>17779897</v>
      </c>
      <c r="Y2010">
        <f t="shared" si="189"/>
        <v>-26019845.5</v>
      </c>
      <c r="Z2010">
        <f t="shared" si="190"/>
        <v>45099742.5</v>
      </c>
      <c r="AA2010" t="str">
        <f t="shared" si="191"/>
        <v>Normal</v>
      </c>
      <c r="AE2010" s="2"/>
      <c r="AF2010" s="2"/>
    </row>
    <row r="2011" spans="1:32" x14ac:dyDescent="0.35">
      <c r="A2011">
        <v>2010</v>
      </c>
      <c r="B2011" s="1">
        <v>42374</v>
      </c>
      <c r="C2011" s="9" t="s">
        <v>3381</v>
      </c>
      <c r="D2011" s="9" t="s">
        <v>4939</v>
      </c>
      <c r="E2011" s="9" t="s">
        <v>7346</v>
      </c>
      <c r="F2011" s="9" t="s">
        <v>408</v>
      </c>
      <c r="G2011" s="9" t="s">
        <v>2492</v>
      </c>
      <c r="H2011" s="9" t="s">
        <v>86</v>
      </c>
      <c r="I2011" s="11">
        <v>18429897</v>
      </c>
      <c r="J2011" s="11">
        <v>2493755</v>
      </c>
      <c r="K2011" s="11">
        <v>10153449</v>
      </c>
      <c r="L2011" s="3">
        <v>277</v>
      </c>
      <c r="M2011" s="3">
        <v>2306</v>
      </c>
      <c r="N2011" s="3">
        <v>1018455</v>
      </c>
      <c r="O2011" s="2">
        <v>0.27699999999999997</v>
      </c>
      <c r="P2011" s="2">
        <v>0.71599999999999997</v>
      </c>
      <c r="Q2011" s="2">
        <v>4.4999999999999998E-2</v>
      </c>
      <c r="R2011" s="11">
        <v>139086655</v>
      </c>
      <c r="S2011" s="11">
        <v>1388661</v>
      </c>
      <c r="T2011">
        <v>2016</v>
      </c>
      <c r="U2011">
        <v>1</v>
      </c>
      <c r="V2011">
        <f t="shared" si="186"/>
        <v>650000</v>
      </c>
      <c r="W2011">
        <f t="shared" si="187"/>
        <v>18429897</v>
      </c>
      <c r="X2011">
        <f t="shared" si="188"/>
        <v>17779897</v>
      </c>
      <c r="Y2011">
        <f t="shared" si="189"/>
        <v>-26019845.5</v>
      </c>
      <c r="Z2011">
        <f t="shared" si="190"/>
        <v>45099742.5</v>
      </c>
      <c r="AA2011" t="str">
        <f t="shared" si="191"/>
        <v>Normal</v>
      </c>
      <c r="AE2011" s="2"/>
      <c r="AF2011" s="2"/>
    </row>
    <row r="2012" spans="1:32" x14ac:dyDescent="0.35">
      <c r="A2012">
        <v>2011</v>
      </c>
      <c r="B2012" s="1">
        <v>42374</v>
      </c>
      <c r="C2012" s="9" t="s">
        <v>3382</v>
      </c>
      <c r="D2012" s="9" t="s">
        <v>4938</v>
      </c>
      <c r="E2012" s="9" t="s">
        <v>7347</v>
      </c>
      <c r="F2012" s="9" t="s">
        <v>260</v>
      </c>
      <c r="G2012" s="9" t="s">
        <v>3383</v>
      </c>
      <c r="H2012" s="9" t="s">
        <v>86</v>
      </c>
      <c r="I2012" s="11">
        <v>100000</v>
      </c>
      <c r="J2012" s="11">
        <v>1976778</v>
      </c>
      <c r="K2012" s="11">
        <v>1670899</v>
      </c>
      <c r="L2012" s="3">
        <v>251</v>
      </c>
      <c r="M2012" s="3">
        <v>1409</v>
      </c>
      <c r="N2012" s="3">
        <v>1511420</v>
      </c>
      <c r="O2012" s="2">
        <v>-0.13900000000000001</v>
      </c>
      <c r="P2012" s="2">
        <v>0.29499999999999998</v>
      </c>
      <c r="Q2012" s="2">
        <v>2.4E-2</v>
      </c>
      <c r="R2012" s="11">
        <v>135698753</v>
      </c>
      <c r="S2012" s="11">
        <v>1034992</v>
      </c>
      <c r="T2012">
        <v>2016</v>
      </c>
      <c r="U2012">
        <v>1</v>
      </c>
      <c r="V2012">
        <f t="shared" si="186"/>
        <v>650000</v>
      </c>
      <c r="W2012">
        <f t="shared" si="187"/>
        <v>18429897</v>
      </c>
      <c r="X2012">
        <f t="shared" si="188"/>
        <v>17779897</v>
      </c>
      <c r="Y2012">
        <f t="shared" si="189"/>
        <v>-26019845.5</v>
      </c>
      <c r="Z2012">
        <f t="shared" si="190"/>
        <v>45099742.5</v>
      </c>
      <c r="AA2012" t="str">
        <f t="shared" si="191"/>
        <v>Normal</v>
      </c>
      <c r="AE2012" s="2"/>
      <c r="AF2012" s="2"/>
    </row>
    <row r="2013" spans="1:32" x14ac:dyDescent="0.35">
      <c r="A2013">
        <v>2012</v>
      </c>
      <c r="B2013" s="1">
        <v>42374</v>
      </c>
      <c r="C2013" s="9" t="s">
        <v>3384</v>
      </c>
      <c r="D2013" s="9" t="s">
        <v>4925</v>
      </c>
      <c r="E2013" s="9" t="s">
        <v>7348</v>
      </c>
      <c r="F2013" s="9" t="s">
        <v>63</v>
      </c>
      <c r="G2013" s="9" t="s">
        <v>3385</v>
      </c>
      <c r="H2013" s="9" t="s">
        <v>86</v>
      </c>
      <c r="I2013" s="11">
        <v>18429897</v>
      </c>
      <c r="J2013" s="11">
        <v>782808</v>
      </c>
      <c r="K2013" s="11">
        <v>6382059</v>
      </c>
      <c r="L2013" s="3">
        <v>240</v>
      </c>
      <c r="M2013" s="3">
        <v>4579</v>
      </c>
      <c r="N2013" s="3">
        <v>170679</v>
      </c>
      <c r="O2013" s="2">
        <v>-0.21199999999999999</v>
      </c>
      <c r="P2013" s="2">
        <v>0.63400000000000001</v>
      </c>
      <c r="Q2013" s="2">
        <v>0.46799999999999997</v>
      </c>
      <c r="R2013" s="11">
        <v>250264963</v>
      </c>
      <c r="S2013" s="11">
        <v>470968</v>
      </c>
      <c r="T2013">
        <v>2016</v>
      </c>
      <c r="U2013">
        <v>1</v>
      </c>
      <c r="V2013">
        <f t="shared" si="186"/>
        <v>650000</v>
      </c>
      <c r="W2013">
        <f t="shared" si="187"/>
        <v>18429897</v>
      </c>
      <c r="X2013">
        <f t="shared" si="188"/>
        <v>17779897</v>
      </c>
      <c r="Y2013">
        <f t="shared" si="189"/>
        <v>-26019845.5</v>
      </c>
      <c r="Z2013">
        <f t="shared" si="190"/>
        <v>45099742.5</v>
      </c>
      <c r="AA2013" t="str">
        <f t="shared" si="191"/>
        <v>Normal</v>
      </c>
      <c r="AE2013" s="2"/>
      <c r="AF2013" s="2"/>
    </row>
    <row r="2014" spans="1:32" x14ac:dyDescent="0.35">
      <c r="A2014">
        <v>2013</v>
      </c>
      <c r="B2014" s="1">
        <v>42374</v>
      </c>
      <c r="C2014" s="9" t="s">
        <v>3386</v>
      </c>
      <c r="D2014" s="9" t="s">
        <v>4988</v>
      </c>
      <c r="E2014" s="9" t="s">
        <v>5209</v>
      </c>
      <c r="F2014" s="9" t="s">
        <v>15</v>
      </c>
      <c r="G2014" s="9" t="s">
        <v>193</v>
      </c>
      <c r="H2014" s="9" t="s">
        <v>86</v>
      </c>
      <c r="I2014" s="11">
        <v>150000</v>
      </c>
      <c r="J2014" s="11">
        <v>4610825</v>
      </c>
      <c r="K2014" s="11">
        <v>19048631</v>
      </c>
      <c r="L2014" s="3">
        <v>43</v>
      </c>
      <c r="M2014" s="3">
        <v>2713</v>
      </c>
      <c r="N2014" s="3">
        <v>539355</v>
      </c>
      <c r="O2014" s="2">
        <v>0.20899999999999999</v>
      </c>
      <c r="P2014" s="2">
        <v>0.78299999999999992</v>
      </c>
      <c r="Q2014" s="2">
        <v>0.36749999999999999</v>
      </c>
      <c r="R2014" s="11">
        <v>81196643</v>
      </c>
      <c r="S2014" s="11">
        <v>1663473</v>
      </c>
      <c r="T2014">
        <v>2016</v>
      </c>
      <c r="U2014">
        <v>1</v>
      </c>
      <c r="V2014">
        <f t="shared" si="186"/>
        <v>650000</v>
      </c>
      <c r="W2014">
        <f t="shared" si="187"/>
        <v>18429897</v>
      </c>
      <c r="X2014">
        <f t="shared" si="188"/>
        <v>17779897</v>
      </c>
      <c r="Y2014">
        <f t="shared" si="189"/>
        <v>-26019845.5</v>
      </c>
      <c r="Z2014">
        <f t="shared" si="190"/>
        <v>45099742.5</v>
      </c>
      <c r="AA2014" t="str">
        <f t="shared" si="191"/>
        <v>Normal</v>
      </c>
      <c r="AE2014" s="2"/>
      <c r="AF2014" s="2"/>
    </row>
    <row r="2015" spans="1:32" x14ac:dyDescent="0.35">
      <c r="A2015">
        <v>2014</v>
      </c>
      <c r="B2015" s="1">
        <v>42374</v>
      </c>
      <c r="C2015" s="9" t="s">
        <v>3387</v>
      </c>
      <c r="D2015" s="9" t="s">
        <v>4988</v>
      </c>
      <c r="E2015" s="9" t="s">
        <v>7349</v>
      </c>
      <c r="F2015" s="9" t="s">
        <v>31</v>
      </c>
      <c r="G2015" s="9" t="s">
        <v>3388</v>
      </c>
      <c r="H2015" s="9" t="s">
        <v>105</v>
      </c>
      <c r="I2015" s="11">
        <v>5000000</v>
      </c>
      <c r="J2015" s="11">
        <v>3245353</v>
      </c>
      <c r="K2015" s="11">
        <v>6041490</v>
      </c>
      <c r="L2015" s="3">
        <v>434</v>
      </c>
      <c r="M2015" s="3">
        <v>3076</v>
      </c>
      <c r="N2015" s="3">
        <v>609017</v>
      </c>
      <c r="O2015" s="2">
        <v>0.35399999999999998</v>
      </c>
      <c r="P2015" s="2">
        <v>1.0620000000000001</v>
      </c>
      <c r="Q2015" s="2">
        <v>0.36749999999999999</v>
      </c>
      <c r="R2015" s="11">
        <v>388558275</v>
      </c>
      <c r="S2015" s="11">
        <v>269167</v>
      </c>
      <c r="T2015">
        <v>2016</v>
      </c>
      <c r="U2015">
        <v>1</v>
      </c>
      <c r="V2015">
        <f t="shared" si="186"/>
        <v>675000</v>
      </c>
      <c r="W2015">
        <f t="shared" si="187"/>
        <v>18429897</v>
      </c>
      <c r="X2015">
        <f t="shared" si="188"/>
        <v>17754897</v>
      </c>
      <c r="Y2015">
        <f t="shared" si="189"/>
        <v>-25957345.5</v>
      </c>
      <c r="Z2015">
        <f t="shared" si="190"/>
        <v>45062242.5</v>
      </c>
      <c r="AA2015" t="str">
        <f t="shared" si="191"/>
        <v>Normal</v>
      </c>
      <c r="AE2015" s="2"/>
      <c r="AF2015" s="2"/>
    </row>
    <row r="2016" spans="1:32" x14ac:dyDescent="0.35">
      <c r="A2016">
        <v>2015</v>
      </c>
      <c r="B2016" s="1">
        <v>42375</v>
      </c>
      <c r="C2016" s="9" t="s">
        <v>3324</v>
      </c>
      <c r="D2016" s="9" t="s">
        <v>5004</v>
      </c>
      <c r="E2016" s="9" t="s">
        <v>7350</v>
      </c>
      <c r="F2016" s="9" t="s">
        <v>15</v>
      </c>
      <c r="G2016" s="9" t="s">
        <v>715</v>
      </c>
      <c r="H2016" s="9" t="s">
        <v>86</v>
      </c>
      <c r="I2016" s="11">
        <v>18429897</v>
      </c>
      <c r="J2016" s="11">
        <v>1609399</v>
      </c>
      <c r="K2016" s="11">
        <v>17863191</v>
      </c>
      <c r="L2016" s="3">
        <v>478</v>
      </c>
      <c r="M2016" s="3">
        <v>2216</v>
      </c>
      <c r="N2016" s="3">
        <v>1924204</v>
      </c>
      <c r="O2016" s="2">
        <v>-0.21199999999999999</v>
      </c>
      <c r="P2016" s="2">
        <v>0.38200000000000001</v>
      </c>
      <c r="Q2016" s="2">
        <v>0.35399999999999998</v>
      </c>
      <c r="R2016" s="11">
        <v>353154826</v>
      </c>
      <c r="S2016" s="11">
        <v>1848094</v>
      </c>
      <c r="T2016">
        <v>2016</v>
      </c>
      <c r="U2016">
        <v>1</v>
      </c>
      <c r="V2016">
        <f t="shared" si="186"/>
        <v>662500</v>
      </c>
      <c r="W2016">
        <f t="shared" si="187"/>
        <v>18429897</v>
      </c>
      <c r="X2016">
        <f t="shared" si="188"/>
        <v>17767397</v>
      </c>
      <c r="Y2016">
        <f t="shared" si="189"/>
        <v>-25988595.5</v>
      </c>
      <c r="Z2016">
        <f t="shared" si="190"/>
        <v>45080992.5</v>
      </c>
      <c r="AA2016" t="str">
        <f t="shared" si="191"/>
        <v>Normal</v>
      </c>
      <c r="AE2016" s="2"/>
      <c r="AF2016" s="2"/>
    </row>
    <row r="2017" spans="1:32" x14ac:dyDescent="0.35">
      <c r="A2017">
        <v>2016</v>
      </c>
      <c r="B2017" s="1">
        <v>42375</v>
      </c>
      <c r="C2017" s="9" t="s">
        <v>3389</v>
      </c>
      <c r="D2017" s="9" t="s">
        <v>4986</v>
      </c>
      <c r="E2017" s="9" t="s">
        <v>7351</v>
      </c>
      <c r="F2017" s="9" t="s">
        <v>19</v>
      </c>
      <c r="G2017" s="9" t="s">
        <v>3390</v>
      </c>
      <c r="H2017" s="9" t="s">
        <v>86</v>
      </c>
      <c r="I2017" s="11">
        <v>18429897</v>
      </c>
      <c r="J2017" s="11">
        <v>2081406</v>
      </c>
      <c r="K2017" s="11">
        <v>10904463</v>
      </c>
      <c r="L2017" s="3">
        <v>254</v>
      </c>
      <c r="M2017" s="3">
        <v>613</v>
      </c>
      <c r="N2017" s="3">
        <v>620490</v>
      </c>
      <c r="O2017" s="2">
        <v>7.8E-2</v>
      </c>
      <c r="P2017" s="2">
        <v>0.53900000000000003</v>
      </c>
      <c r="Q2017" s="2">
        <v>0.32</v>
      </c>
      <c r="R2017" s="11">
        <v>176877915</v>
      </c>
      <c r="S2017" s="11">
        <v>882883</v>
      </c>
      <c r="T2017">
        <v>2016</v>
      </c>
      <c r="U2017">
        <v>1</v>
      </c>
      <c r="V2017">
        <f t="shared" si="186"/>
        <v>650000</v>
      </c>
      <c r="W2017">
        <f t="shared" si="187"/>
        <v>18429897</v>
      </c>
      <c r="X2017">
        <f t="shared" si="188"/>
        <v>17779897</v>
      </c>
      <c r="Y2017">
        <f t="shared" si="189"/>
        <v>-26019845.5</v>
      </c>
      <c r="Z2017">
        <f t="shared" si="190"/>
        <v>45099742.5</v>
      </c>
      <c r="AA2017" t="str">
        <f t="shared" si="191"/>
        <v>Normal</v>
      </c>
      <c r="AE2017" s="2"/>
      <c r="AF2017" s="2"/>
    </row>
    <row r="2018" spans="1:32" x14ac:dyDescent="0.35">
      <c r="A2018">
        <v>2017</v>
      </c>
      <c r="B2018" s="1">
        <v>42375</v>
      </c>
      <c r="C2018" s="9" t="s">
        <v>3391</v>
      </c>
      <c r="D2018" s="9" t="s">
        <v>4930</v>
      </c>
      <c r="E2018" s="9" t="s">
        <v>7352</v>
      </c>
      <c r="F2018" s="9" t="s">
        <v>15</v>
      </c>
      <c r="G2018" s="9" t="s">
        <v>4867</v>
      </c>
      <c r="H2018" s="9" t="s">
        <v>86</v>
      </c>
      <c r="I2018" s="11">
        <v>750000</v>
      </c>
      <c r="J2018" s="11">
        <v>3636377</v>
      </c>
      <c r="K2018" s="11">
        <v>13148936</v>
      </c>
      <c r="L2018" s="3">
        <v>160</v>
      </c>
      <c r="M2018" s="3">
        <v>3120</v>
      </c>
      <c r="N2018" s="3">
        <v>127108</v>
      </c>
      <c r="O2018" s="2">
        <v>0.59499999999999997</v>
      </c>
      <c r="P2018" s="2">
        <v>0.45900000000000002</v>
      </c>
      <c r="Q2018" s="2">
        <v>0.11699999999999999</v>
      </c>
      <c r="R2018" s="11">
        <v>334419455</v>
      </c>
      <c r="S2018" s="11">
        <v>955477</v>
      </c>
      <c r="T2018">
        <v>2016</v>
      </c>
      <c r="U2018">
        <v>1</v>
      </c>
      <c r="V2018">
        <f t="shared" si="186"/>
        <v>650000</v>
      </c>
      <c r="W2018">
        <f t="shared" si="187"/>
        <v>18429897</v>
      </c>
      <c r="X2018">
        <f t="shared" si="188"/>
        <v>17779897</v>
      </c>
      <c r="Y2018">
        <f t="shared" si="189"/>
        <v>-26019845.5</v>
      </c>
      <c r="Z2018">
        <f t="shared" si="190"/>
        <v>45099742.5</v>
      </c>
      <c r="AA2018" t="str">
        <f t="shared" si="191"/>
        <v>Normal</v>
      </c>
      <c r="AE2018" s="2"/>
      <c r="AF2018" s="2"/>
    </row>
    <row r="2019" spans="1:32" x14ac:dyDescent="0.35">
      <c r="A2019">
        <v>2018</v>
      </c>
      <c r="B2019" s="1">
        <v>42375</v>
      </c>
      <c r="C2019" s="9" t="s">
        <v>3392</v>
      </c>
      <c r="D2019" s="9" t="s">
        <v>4988</v>
      </c>
      <c r="E2019" s="9" t="s">
        <v>7353</v>
      </c>
      <c r="F2019" s="9" t="s">
        <v>408</v>
      </c>
      <c r="G2019" s="9" t="s">
        <v>3393</v>
      </c>
      <c r="H2019" s="9" t="s">
        <v>105</v>
      </c>
      <c r="I2019" s="11">
        <v>1000000</v>
      </c>
      <c r="J2019" s="11">
        <v>3603432</v>
      </c>
      <c r="K2019" s="11">
        <v>14089611</v>
      </c>
      <c r="L2019" s="3">
        <v>317</v>
      </c>
      <c r="M2019" s="3">
        <v>3073</v>
      </c>
      <c r="N2019" s="3">
        <v>1970281</v>
      </c>
      <c r="O2019" s="2">
        <v>6.6000000000000003E-2</v>
      </c>
      <c r="P2019" s="2">
        <v>0.35299999999999998</v>
      </c>
      <c r="Q2019" s="2">
        <v>0.34599999999999997</v>
      </c>
      <c r="R2019" s="11">
        <v>437421241</v>
      </c>
      <c r="S2019" s="11">
        <v>1364795</v>
      </c>
      <c r="T2019">
        <v>2016</v>
      </c>
      <c r="U2019">
        <v>1</v>
      </c>
      <c r="V2019">
        <f t="shared" si="186"/>
        <v>650000</v>
      </c>
      <c r="W2019">
        <f t="shared" si="187"/>
        <v>18429897</v>
      </c>
      <c r="X2019">
        <f t="shared" si="188"/>
        <v>17779897</v>
      </c>
      <c r="Y2019">
        <f t="shared" si="189"/>
        <v>-26019845.5</v>
      </c>
      <c r="Z2019">
        <f t="shared" si="190"/>
        <v>45099742.5</v>
      </c>
      <c r="AA2019" t="str">
        <f t="shared" si="191"/>
        <v>Normal</v>
      </c>
      <c r="AE2019" s="2"/>
      <c r="AF2019" s="2"/>
    </row>
    <row r="2020" spans="1:32" x14ac:dyDescent="0.35">
      <c r="A2020">
        <v>2019</v>
      </c>
      <c r="B2020" s="1">
        <v>42375</v>
      </c>
      <c r="C2020" s="9" t="s">
        <v>3394</v>
      </c>
      <c r="D2020" s="9" t="s">
        <v>2539</v>
      </c>
      <c r="E2020" s="9" t="s">
        <v>7354</v>
      </c>
      <c r="F2020" s="9" t="s">
        <v>41</v>
      </c>
      <c r="G2020" s="9" t="s">
        <v>3395</v>
      </c>
      <c r="H2020" s="9" t="s">
        <v>86</v>
      </c>
      <c r="I2020" s="11">
        <v>150000</v>
      </c>
      <c r="J2020" s="11">
        <v>2531926</v>
      </c>
      <c r="K2020" s="11">
        <v>11073475</v>
      </c>
      <c r="L2020" s="3">
        <v>6</v>
      </c>
      <c r="M2020" s="3">
        <v>1937</v>
      </c>
      <c r="N2020" s="3">
        <v>184607</v>
      </c>
      <c r="O2020" s="2">
        <v>0.625</v>
      </c>
      <c r="P2020" s="2">
        <v>0.58599999999999997</v>
      </c>
      <c r="Q2020" s="2">
        <v>0.40100000000000002</v>
      </c>
      <c r="R2020" s="11">
        <v>204934877</v>
      </c>
      <c r="S2020" s="11">
        <v>1671536</v>
      </c>
      <c r="T2020">
        <v>2016</v>
      </c>
      <c r="U2020">
        <v>1</v>
      </c>
      <c r="V2020">
        <f t="shared" si="186"/>
        <v>650000</v>
      </c>
      <c r="W2020">
        <f t="shared" si="187"/>
        <v>18429897</v>
      </c>
      <c r="X2020">
        <f t="shared" si="188"/>
        <v>17779897</v>
      </c>
      <c r="Y2020">
        <f t="shared" si="189"/>
        <v>-26019845.5</v>
      </c>
      <c r="Z2020">
        <f t="shared" si="190"/>
        <v>45099742.5</v>
      </c>
      <c r="AA2020" t="str">
        <f t="shared" si="191"/>
        <v>Normal</v>
      </c>
      <c r="AE2020" s="2"/>
      <c r="AF2020" s="2"/>
    </row>
    <row r="2021" spans="1:32" x14ac:dyDescent="0.35">
      <c r="A2021">
        <v>2020</v>
      </c>
      <c r="B2021" s="1">
        <v>42375</v>
      </c>
      <c r="C2021" s="9" t="s">
        <v>1295</v>
      </c>
      <c r="D2021" s="9" t="s">
        <v>4938</v>
      </c>
      <c r="E2021" s="9" t="s">
        <v>7355</v>
      </c>
      <c r="F2021" s="9" t="s">
        <v>19</v>
      </c>
      <c r="G2021" s="9" t="s">
        <v>3396</v>
      </c>
      <c r="H2021" s="9" t="s">
        <v>105</v>
      </c>
      <c r="I2021" s="11">
        <v>3000000</v>
      </c>
      <c r="J2021" s="11">
        <v>3306557</v>
      </c>
      <c r="K2021" s="11">
        <v>782554</v>
      </c>
      <c r="L2021" s="3">
        <v>55</v>
      </c>
      <c r="M2021" s="3">
        <v>3166</v>
      </c>
      <c r="N2021" s="3">
        <v>974646</v>
      </c>
      <c r="O2021" s="2">
        <v>-4.4999999999999998E-2</v>
      </c>
      <c r="P2021" s="2">
        <v>1.1079999999999999</v>
      </c>
      <c r="Q2021" s="2">
        <v>-2.1000000000000001E-2</v>
      </c>
      <c r="R2021" s="11">
        <v>233692759</v>
      </c>
      <c r="S2021" s="11">
        <v>1438796</v>
      </c>
      <c r="T2021">
        <v>2016</v>
      </c>
      <c r="U2021">
        <v>1</v>
      </c>
      <c r="V2021">
        <f t="shared" si="186"/>
        <v>650000</v>
      </c>
      <c r="W2021">
        <f t="shared" si="187"/>
        <v>18429897</v>
      </c>
      <c r="X2021">
        <f t="shared" si="188"/>
        <v>17779897</v>
      </c>
      <c r="Y2021">
        <f t="shared" si="189"/>
        <v>-26019845.5</v>
      </c>
      <c r="Z2021">
        <f t="shared" si="190"/>
        <v>45099742.5</v>
      </c>
      <c r="AA2021" t="str">
        <f t="shared" si="191"/>
        <v>Normal</v>
      </c>
      <c r="AE2021" s="2"/>
      <c r="AF2021" s="2"/>
    </row>
    <row r="2022" spans="1:32" x14ac:dyDescent="0.35">
      <c r="A2022">
        <v>2021</v>
      </c>
      <c r="B2022" s="1">
        <v>42375</v>
      </c>
      <c r="C2022" s="9" t="s">
        <v>3397</v>
      </c>
      <c r="D2022" s="9" t="s">
        <v>4938</v>
      </c>
      <c r="E2022" s="9" t="s">
        <v>7356</v>
      </c>
      <c r="F2022" s="9" t="s">
        <v>27</v>
      </c>
      <c r="G2022" s="9" t="s">
        <v>3398</v>
      </c>
      <c r="H2022" s="9" t="s">
        <v>86</v>
      </c>
      <c r="I2022" s="11">
        <v>750000</v>
      </c>
      <c r="J2022" s="11">
        <v>3297999</v>
      </c>
      <c r="K2022" s="11">
        <v>18392730</v>
      </c>
      <c r="L2022" s="3">
        <v>254</v>
      </c>
      <c r="M2022" s="3">
        <v>1983</v>
      </c>
      <c r="N2022" s="3">
        <v>362822</v>
      </c>
      <c r="O2022" s="2">
        <v>-0.9</v>
      </c>
      <c r="P2022" s="2">
        <v>0.57299999999999995</v>
      </c>
      <c r="Q2022" s="2">
        <v>-0.20499999999999999</v>
      </c>
      <c r="R2022" s="11">
        <v>50499875</v>
      </c>
      <c r="S2022" s="11">
        <v>325937</v>
      </c>
      <c r="T2022">
        <v>2016</v>
      </c>
      <c r="U2022">
        <v>1</v>
      </c>
      <c r="V2022">
        <f t="shared" si="186"/>
        <v>650000</v>
      </c>
      <c r="W2022">
        <f t="shared" si="187"/>
        <v>18429897</v>
      </c>
      <c r="X2022">
        <f t="shared" si="188"/>
        <v>17779897</v>
      </c>
      <c r="Y2022">
        <f t="shared" si="189"/>
        <v>-26019845.5</v>
      </c>
      <c r="Z2022">
        <f t="shared" si="190"/>
        <v>45099742.5</v>
      </c>
      <c r="AA2022" t="str">
        <f t="shared" si="191"/>
        <v>Normal</v>
      </c>
      <c r="AE2022" s="2"/>
      <c r="AF2022" s="2"/>
    </row>
    <row r="2023" spans="1:32" x14ac:dyDescent="0.35">
      <c r="A2023">
        <v>2022</v>
      </c>
      <c r="B2023" s="1">
        <v>42376</v>
      </c>
      <c r="C2023" s="9" t="s">
        <v>1199</v>
      </c>
      <c r="D2023" s="9" t="s">
        <v>4988</v>
      </c>
      <c r="E2023" s="9" t="s">
        <v>7357</v>
      </c>
      <c r="F2023" s="9" t="s">
        <v>15</v>
      </c>
      <c r="G2023" s="9" t="s">
        <v>3399</v>
      </c>
      <c r="H2023" s="9" t="s">
        <v>86</v>
      </c>
      <c r="I2023" s="11">
        <v>18429897</v>
      </c>
      <c r="J2023" s="11">
        <v>3006482</v>
      </c>
      <c r="K2023" s="11">
        <v>9552989</v>
      </c>
      <c r="L2023" s="3">
        <v>90</v>
      </c>
      <c r="M2023" s="3">
        <v>3318</v>
      </c>
      <c r="N2023" s="3">
        <v>504846</v>
      </c>
      <c r="O2023" s="2">
        <v>-2.1000000000000001E-2</v>
      </c>
      <c r="P2023" s="2">
        <v>0.47200000000000003</v>
      </c>
      <c r="Q2023" s="2">
        <v>0.24100000000000002</v>
      </c>
      <c r="R2023" s="11">
        <v>277489022</v>
      </c>
      <c r="S2023" s="11">
        <v>1351363</v>
      </c>
      <c r="T2023">
        <v>2016</v>
      </c>
      <c r="U2023">
        <v>1</v>
      </c>
      <c r="V2023">
        <f t="shared" si="186"/>
        <v>650000</v>
      </c>
      <c r="W2023">
        <f t="shared" si="187"/>
        <v>18429897</v>
      </c>
      <c r="X2023">
        <f t="shared" si="188"/>
        <v>17779897</v>
      </c>
      <c r="Y2023">
        <f t="shared" si="189"/>
        <v>-26019845.5</v>
      </c>
      <c r="Z2023">
        <f t="shared" si="190"/>
        <v>45099742.5</v>
      </c>
      <c r="AA2023" t="str">
        <f t="shared" si="191"/>
        <v>Normal</v>
      </c>
      <c r="AE2023" s="2"/>
      <c r="AF2023" s="2"/>
    </row>
    <row r="2024" spans="1:32" x14ac:dyDescent="0.35">
      <c r="A2024">
        <v>2023</v>
      </c>
      <c r="B2024" s="1">
        <v>42376</v>
      </c>
      <c r="C2024" s="9" t="s">
        <v>3400</v>
      </c>
      <c r="D2024" s="9" t="s">
        <v>4988</v>
      </c>
      <c r="E2024" s="9" t="s">
        <v>7358</v>
      </c>
      <c r="F2024" s="9" t="s">
        <v>19</v>
      </c>
      <c r="G2024" s="9" t="s">
        <v>856</v>
      </c>
      <c r="H2024" s="9" t="s">
        <v>86</v>
      </c>
      <c r="I2024" s="11">
        <v>18429897</v>
      </c>
      <c r="J2024" s="11">
        <v>382803</v>
      </c>
      <c r="K2024" s="11">
        <v>13144849</v>
      </c>
      <c r="L2024" s="3">
        <v>290</v>
      </c>
      <c r="M2024" s="3">
        <v>1775</v>
      </c>
      <c r="N2024" s="3">
        <v>1506340</v>
      </c>
      <c r="O2024" s="2">
        <v>-0.13600000000000001</v>
      </c>
      <c r="P2024" s="2">
        <v>1.1579999999999999</v>
      </c>
      <c r="Q2024" s="2">
        <v>-0.10400000000000001</v>
      </c>
      <c r="R2024" s="11">
        <v>93130633</v>
      </c>
      <c r="S2024" s="11">
        <v>1522760</v>
      </c>
      <c r="T2024">
        <v>2016</v>
      </c>
      <c r="U2024">
        <v>1</v>
      </c>
      <c r="V2024">
        <f t="shared" si="186"/>
        <v>650000</v>
      </c>
      <c r="W2024">
        <f t="shared" si="187"/>
        <v>18429897</v>
      </c>
      <c r="X2024">
        <f t="shared" si="188"/>
        <v>17779897</v>
      </c>
      <c r="Y2024">
        <f t="shared" si="189"/>
        <v>-26019845.5</v>
      </c>
      <c r="Z2024">
        <f t="shared" si="190"/>
        <v>45099742.5</v>
      </c>
      <c r="AA2024" t="str">
        <f t="shared" si="191"/>
        <v>Normal</v>
      </c>
      <c r="AE2024" s="2"/>
      <c r="AF2024" s="2"/>
    </row>
    <row r="2025" spans="1:32" x14ac:dyDescent="0.35">
      <c r="A2025">
        <v>2024</v>
      </c>
      <c r="B2025" s="1">
        <v>42376</v>
      </c>
      <c r="C2025" s="9" t="s">
        <v>3401</v>
      </c>
      <c r="D2025" s="9" t="s">
        <v>4988</v>
      </c>
      <c r="E2025" s="9" t="s">
        <v>7359</v>
      </c>
      <c r="F2025" s="9" t="s">
        <v>15</v>
      </c>
      <c r="G2025" s="9" t="s">
        <v>2374</v>
      </c>
      <c r="H2025" s="9" t="s">
        <v>86</v>
      </c>
      <c r="I2025" s="11">
        <v>160000</v>
      </c>
      <c r="J2025" s="11">
        <v>2374464</v>
      </c>
      <c r="K2025" s="11">
        <v>11122199</v>
      </c>
      <c r="L2025" s="3">
        <v>441</v>
      </c>
      <c r="M2025" s="3">
        <v>3877</v>
      </c>
      <c r="N2025" s="3">
        <v>272170</v>
      </c>
      <c r="O2025" s="2">
        <v>-0.218</v>
      </c>
      <c r="P2025" s="2">
        <v>0.91500000000000004</v>
      </c>
      <c r="Q2025" s="2">
        <v>0.16600000000000001</v>
      </c>
      <c r="R2025" s="11">
        <v>14828145</v>
      </c>
      <c r="S2025" s="11">
        <v>1299087</v>
      </c>
      <c r="T2025">
        <v>2016</v>
      </c>
      <c r="U2025">
        <v>1</v>
      </c>
      <c r="V2025">
        <f t="shared" si="186"/>
        <v>650000</v>
      </c>
      <c r="W2025">
        <f t="shared" si="187"/>
        <v>18429897</v>
      </c>
      <c r="X2025">
        <f t="shared" si="188"/>
        <v>17779897</v>
      </c>
      <c r="Y2025">
        <f t="shared" si="189"/>
        <v>-26019845.5</v>
      </c>
      <c r="Z2025">
        <f t="shared" si="190"/>
        <v>45099742.5</v>
      </c>
      <c r="AA2025" t="str">
        <f t="shared" si="191"/>
        <v>Normal</v>
      </c>
      <c r="AE2025" s="2"/>
      <c r="AF2025" s="2"/>
    </row>
    <row r="2026" spans="1:32" x14ac:dyDescent="0.35">
      <c r="A2026">
        <v>2025</v>
      </c>
      <c r="B2026" s="1">
        <v>42376</v>
      </c>
      <c r="C2026" s="9" t="s">
        <v>1626</v>
      </c>
      <c r="D2026" s="9" t="s">
        <v>4938</v>
      </c>
      <c r="E2026" s="9" t="s">
        <v>7360</v>
      </c>
      <c r="F2026" s="9" t="s">
        <v>294</v>
      </c>
      <c r="G2026" s="9" t="s">
        <v>3402</v>
      </c>
      <c r="H2026" s="9" t="s">
        <v>86</v>
      </c>
      <c r="I2026" s="11">
        <v>100000</v>
      </c>
      <c r="J2026" s="11">
        <v>3077317</v>
      </c>
      <c r="K2026" s="11">
        <v>13202093</v>
      </c>
      <c r="L2026" s="3">
        <v>367</v>
      </c>
      <c r="M2026" s="3">
        <v>4441</v>
      </c>
      <c r="N2026" s="3">
        <v>1302844</v>
      </c>
      <c r="O2026" s="2">
        <v>7.5999999999999998E-2</v>
      </c>
      <c r="P2026" s="2">
        <v>0.56999999999999995</v>
      </c>
      <c r="Q2026" s="2">
        <v>-0.16</v>
      </c>
      <c r="R2026" s="11">
        <v>202040766</v>
      </c>
      <c r="S2026" s="11">
        <v>786008</v>
      </c>
      <c r="T2026">
        <v>2016</v>
      </c>
      <c r="U2026">
        <v>1</v>
      </c>
      <c r="V2026">
        <f t="shared" si="186"/>
        <v>650000</v>
      </c>
      <c r="W2026">
        <f t="shared" si="187"/>
        <v>18429897</v>
      </c>
      <c r="X2026">
        <f t="shared" si="188"/>
        <v>17779897</v>
      </c>
      <c r="Y2026">
        <f t="shared" si="189"/>
        <v>-26019845.5</v>
      </c>
      <c r="Z2026">
        <f t="shared" si="190"/>
        <v>45099742.5</v>
      </c>
      <c r="AA2026" t="str">
        <f t="shared" si="191"/>
        <v>Normal</v>
      </c>
      <c r="AE2026" s="2"/>
      <c r="AF2026" s="2"/>
    </row>
    <row r="2027" spans="1:32" x14ac:dyDescent="0.35">
      <c r="A2027">
        <v>2026</v>
      </c>
      <c r="B2027" s="1">
        <v>42376</v>
      </c>
      <c r="C2027" s="9" t="s">
        <v>391</v>
      </c>
      <c r="D2027" s="9" t="s">
        <v>4988</v>
      </c>
      <c r="E2027" s="9" t="s">
        <v>7361</v>
      </c>
      <c r="F2027" s="9" t="s">
        <v>19</v>
      </c>
      <c r="G2027" s="9" t="s">
        <v>3403</v>
      </c>
      <c r="H2027" s="9" t="s">
        <v>105</v>
      </c>
      <c r="I2027" s="11">
        <v>180000000</v>
      </c>
      <c r="J2027" s="11">
        <v>4751304</v>
      </c>
      <c r="K2027" s="11">
        <v>7158460</v>
      </c>
      <c r="L2027" s="3">
        <v>139</v>
      </c>
      <c r="M2027" s="3">
        <v>2447</v>
      </c>
      <c r="N2027" s="3">
        <v>1132678</v>
      </c>
      <c r="O2027" s="2">
        <v>0.14899999999999999</v>
      </c>
      <c r="P2027" s="2">
        <v>0.94899999999999995</v>
      </c>
      <c r="Q2027" s="2">
        <v>0.34399999999999997</v>
      </c>
      <c r="R2027" s="11">
        <v>351252079</v>
      </c>
      <c r="S2027" s="11">
        <v>328249</v>
      </c>
      <c r="T2027">
        <v>2016</v>
      </c>
      <c r="U2027">
        <v>1</v>
      </c>
      <c r="V2027">
        <f t="shared" si="186"/>
        <v>675000</v>
      </c>
      <c r="W2027">
        <f t="shared" si="187"/>
        <v>18429897</v>
      </c>
      <c r="X2027">
        <f t="shared" si="188"/>
        <v>17754897</v>
      </c>
      <c r="Y2027">
        <f t="shared" si="189"/>
        <v>-25957345.5</v>
      </c>
      <c r="Z2027">
        <f t="shared" si="190"/>
        <v>45062242.5</v>
      </c>
      <c r="AA2027" t="str">
        <f t="shared" si="191"/>
        <v>Outlier</v>
      </c>
      <c r="AE2027" s="2"/>
      <c r="AF2027" s="2"/>
    </row>
    <row r="2028" spans="1:32" x14ac:dyDescent="0.35">
      <c r="A2028">
        <v>2027</v>
      </c>
      <c r="B2028" s="1">
        <v>42377</v>
      </c>
      <c r="C2028" s="9" t="s">
        <v>3404</v>
      </c>
      <c r="D2028" s="9" t="s">
        <v>4925</v>
      </c>
      <c r="E2028" s="9" t="s">
        <v>7362</v>
      </c>
      <c r="F2028" s="9" t="s">
        <v>15</v>
      </c>
      <c r="G2028" s="9" t="s">
        <v>3405</v>
      </c>
      <c r="H2028" s="9" t="s">
        <v>105</v>
      </c>
      <c r="I2028" s="11">
        <v>5000000</v>
      </c>
      <c r="J2028" s="11">
        <v>2637304</v>
      </c>
      <c r="K2028" s="11">
        <v>16889342</v>
      </c>
      <c r="L2028" s="3">
        <v>80</v>
      </c>
      <c r="M2028" s="3">
        <v>135</v>
      </c>
      <c r="N2028" s="3">
        <v>1454500</v>
      </c>
      <c r="O2028" s="2">
        <v>-2.3E-2</v>
      </c>
      <c r="P2028" s="2">
        <v>0.83900000000000008</v>
      </c>
      <c r="Q2028" s="2">
        <v>-0.09</v>
      </c>
      <c r="R2028" s="11">
        <v>124476602</v>
      </c>
      <c r="S2028" s="11">
        <v>202395</v>
      </c>
      <c r="T2028">
        <v>2016</v>
      </c>
      <c r="U2028">
        <v>1</v>
      </c>
      <c r="V2028">
        <f t="shared" si="186"/>
        <v>662500</v>
      </c>
      <c r="W2028">
        <f t="shared" si="187"/>
        <v>18429897</v>
      </c>
      <c r="X2028">
        <f t="shared" si="188"/>
        <v>17767397</v>
      </c>
      <c r="Y2028">
        <f t="shared" si="189"/>
        <v>-25988595.5</v>
      </c>
      <c r="Z2028">
        <f t="shared" si="190"/>
        <v>45080992.5</v>
      </c>
      <c r="AA2028" t="str">
        <f t="shared" si="191"/>
        <v>Normal</v>
      </c>
      <c r="AE2028" s="2"/>
      <c r="AF2028" s="2"/>
    </row>
    <row r="2029" spans="1:32" x14ac:dyDescent="0.35">
      <c r="A2029">
        <v>2028</v>
      </c>
      <c r="B2029" s="1">
        <v>42377</v>
      </c>
      <c r="C2029" s="9" t="s">
        <v>3406</v>
      </c>
      <c r="D2029" s="9" t="s">
        <v>4988</v>
      </c>
      <c r="E2029" s="9" t="s">
        <v>7363</v>
      </c>
      <c r="F2029" s="9" t="s">
        <v>15</v>
      </c>
      <c r="G2029" s="9" t="s">
        <v>3407</v>
      </c>
      <c r="H2029" s="9" t="s">
        <v>86</v>
      </c>
      <c r="I2029" s="11">
        <v>250000</v>
      </c>
      <c r="J2029" s="11">
        <v>1726713</v>
      </c>
      <c r="K2029" s="11">
        <v>4563921</v>
      </c>
      <c r="L2029" s="3">
        <v>360</v>
      </c>
      <c r="M2029" s="3">
        <v>3426</v>
      </c>
      <c r="N2029" s="3">
        <v>320115</v>
      </c>
      <c r="O2029" s="2">
        <v>2.5000000000000001E-2</v>
      </c>
      <c r="P2029" s="2">
        <v>1.0549999999999999</v>
      </c>
      <c r="Q2029" s="2">
        <v>4.7E-2</v>
      </c>
      <c r="R2029" s="11">
        <v>368421204</v>
      </c>
      <c r="S2029" s="11">
        <v>1585383</v>
      </c>
      <c r="T2029">
        <v>2016</v>
      </c>
      <c r="U2029">
        <v>1</v>
      </c>
      <c r="V2029">
        <f t="shared" si="186"/>
        <v>650000</v>
      </c>
      <c r="W2029">
        <f t="shared" si="187"/>
        <v>18429897</v>
      </c>
      <c r="X2029">
        <f t="shared" si="188"/>
        <v>17779897</v>
      </c>
      <c r="Y2029">
        <f t="shared" si="189"/>
        <v>-26019845.5</v>
      </c>
      <c r="Z2029">
        <f t="shared" si="190"/>
        <v>45099742.5</v>
      </c>
      <c r="AA2029" t="str">
        <f t="shared" si="191"/>
        <v>Normal</v>
      </c>
      <c r="AE2029" s="2"/>
      <c r="AF2029" s="2"/>
    </row>
    <row r="2030" spans="1:32" x14ac:dyDescent="0.35">
      <c r="A2030">
        <v>2029</v>
      </c>
      <c r="B2030" s="1">
        <v>42377</v>
      </c>
      <c r="C2030" s="9" t="s">
        <v>3408</v>
      </c>
      <c r="D2030" s="9" t="s">
        <v>4938</v>
      </c>
      <c r="E2030" s="9" t="s">
        <v>7364</v>
      </c>
      <c r="F2030" s="9" t="s">
        <v>31</v>
      </c>
      <c r="G2030" s="9" t="s">
        <v>3409</v>
      </c>
      <c r="H2030" s="9" t="s">
        <v>86</v>
      </c>
      <c r="I2030" s="11">
        <v>45000</v>
      </c>
      <c r="J2030" s="11">
        <v>2787849</v>
      </c>
      <c r="K2030" s="11">
        <v>13099588</v>
      </c>
      <c r="L2030" s="3">
        <v>205</v>
      </c>
      <c r="M2030" s="3">
        <v>4701</v>
      </c>
      <c r="N2030" s="3">
        <v>707833</v>
      </c>
      <c r="O2030" s="2">
        <v>0.40899999999999997</v>
      </c>
      <c r="P2030" s="2">
        <v>0.311</v>
      </c>
      <c r="Q2030" s="2">
        <v>3.1E-2</v>
      </c>
      <c r="R2030" s="11">
        <v>91029924</v>
      </c>
      <c r="S2030" s="11">
        <v>1741933</v>
      </c>
      <c r="T2030">
        <v>2016</v>
      </c>
      <c r="U2030">
        <v>1</v>
      </c>
      <c r="V2030">
        <f t="shared" si="186"/>
        <v>687500</v>
      </c>
      <c r="W2030">
        <f t="shared" si="187"/>
        <v>18429897</v>
      </c>
      <c r="X2030">
        <f t="shared" si="188"/>
        <v>17742397</v>
      </c>
      <c r="Y2030">
        <f t="shared" si="189"/>
        <v>-25926095.5</v>
      </c>
      <c r="Z2030">
        <f t="shared" si="190"/>
        <v>45043492.5</v>
      </c>
      <c r="AA2030" t="str">
        <f t="shared" si="191"/>
        <v>Normal</v>
      </c>
      <c r="AE2030" s="2"/>
      <c r="AF2030" s="2"/>
    </row>
    <row r="2031" spans="1:32" x14ac:dyDescent="0.35">
      <c r="A2031">
        <v>2030</v>
      </c>
      <c r="B2031" s="1">
        <v>42377</v>
      </c>
      <c r="C2031" s="9" t="s">
        <v>3410</v>
      </c>
      <c r="D2031" s="9" t="s">
        <v>4988</v>
      </c>
      <c r="E2031" s="9" t="s">
        <v>7365</v>
      </c>
      <c r="F2031" s="9" t="s">
        <v>19</v>
      </c>
      <c r="G2031" s="9" t="s">
        <v>3411</v>
      </c>
      <c r="H2031" s="9" t="s">
        <v>86</v>
      </c>
      <c r="I2031" s="11">
        <v>18429897</v>
      </c>
      <c r="J2031" s="11">
        <v>902632</v>
      </c>
      <c r="K2031" s="11">
        <v>11600445</v>
      </c>
      <c r="L2031" s="3">
        <v>483</v>
      </c>
      <c r="M2031" s="3">
        <v>3563</v>
      </c>
      <c r="N2031" s="3">
        <v>7156</v>
      </c>
      <c r="O2031" s="2">
        <v>0.314</v>
      </c>
      <c r="P2031" s="2">
        <v>0.74</v>
      </c>
      <c r="Q2031" s="2">
        <v>-0.254</v>
      </c>
      <c r="R2031" s="11">
        <v>40113227</v>
      </c>
      <c r="S2031" s="11">
        <v>1124899</v>
      </c>
      <c r="T2031">
        <v>2016</v>
      </c>
      <c r="U2031">
        <v>1</v>
      </c>
      <c r="V2031">
        <f t="shared" si="186"/>
        <v>700000</v>
      </c>
      <c r="W2031">
        <f t="shared" si="187"/>
        <v>18429897</v>
      </c>
      <c r="X2031">
        <f t="shared" si="188"/>
        <v>17729897</v>
      </c>
      <c r="Y2031">
        <f t="shared" si="189"/>
        <v>-25894845.5</v>
      </c>
      <c r="Z2031">
        <f t="shared" si="190"/>
        <v>45024742.5</v>
      </c>
      <c r="AA2031" t="str">
        <f t="shared" si="191"/>
        <v>Normal</v>
      </c>
      <c r="AE2031" s="2"/>
      <c r="AF2031" s="2"/>
    </row>
    <row r="2032" spans="1:32" x14ac:dyDescent="0.35">
      <c r="A2032">
        <v>2031</v>
      </c>
      <c r="B2032" s="1">
        <v>42378</v>
      </c>
      <c r="C2032" s="9" t="s">
        <v>3412</v>
      </c>
      <c r="D2032" s="9" t="s">
        <v>4925</v>
      </c>
      <c r="E2032" s="9" t="s">
        <v>5195</v>
      </c>
      <c r="F2032" s="9" t="s">
        <v>15</v>
      </c>
      <c r="G2032" s="9" t="s">
        <v>856</v>
      </c>
      <c r="H2032" s="9" t="s">
        <v>105</v>
      </c>
      <c r="I2032" s="11">
        <v>18429897</v>
      </c>
      <c r="J2032" s="11">
        <v>471663</v>
      </c>
      <c r="K2032" s="11">
        <v>10123170</v>
      </c>
      <c r="L2032" s="3">
        <v>324</v>
      </c>
      <c r="M2032" s="3">
        <v>1823</v>
      </c>
      <c r="N2032" s="3">
        <v>1759163</v>
      </c>
      <c r="O2032" s="2">
        <v>6.8000000000000005E-2</v>
      </c>
      <c r="P2032" s="2">
        <v>0.90200000000000002</v>
      </c>
      <c r="Q2032" s="2">
        <v>0.37</v>
      </c>
      <c r="R2032" s="11">
        <v>5816719</v>
      </c>
      <c r="S2032" s="11">
        <v>1781900</v>
      </c>
      <c r="T2032">
        <v>2016</v>
      </c>
      <c r="U2032">
        <v>1</v>
      </c>
      <c r="V2032">
        <f t="shared" si="186"/>
        <v>700000</v>
      </c>
      <c r="W2032">
        <f t="shared" si="187"/>
        <v>18429897</v>
      </c>
      <c r="X2032">
        <f t="shared" si="188"/>
        <v>17729897</v>
      </c>
      <c r="Y2032">
        <f t="shared" si="189"/>
        <v>-25894845.5</v>
      </c>
      <c r="Z2032">
        <f t="shared" si="190"/>
        <v>45024742.5</v>
      </c>
      <c r="AA2032" t="str">
        <f t="shared" si="191"/>
        <v>Normal</v>
      </c>
      <c r="AE2032" s="2"/>
      <c r="AF2032" s="2"/>
    </row>
    <row r="2033" spans="1:32" x14ac:dyDescent="0.35">
      <c r="A2033">
        <v>2032</v>
      </c>
      <c r="B2033" s="1">
        <v>42380</v>
      </c>
      <c r="C2033" s="9" t="s">
        <v>2154</v>
      </c>
      <c r="D2033" s="9" t="s">
        <v>4925</v>
      </c>
      <c r="E2033" s="9" t="s">
        <v>7366</v>
      </c>
      <c r="F2033" s="9" t="s">
        <v>19</v>
      </c>
      <c r="G2033" s="9" t="s">
        <v>3413</v>
      </c>
      <c r="H2033" s="9" t="s">
        <v>105</v>
      </c>
      <c r="I2033" s="11">
        <v>5400000</v>
      </c>
      <c r="J2033" s="11">
        <v>3396908</v>
      </c>
      <c r="K2033" s="11">
        <v>537139</v>
      </c>
      <c r="L2033" s="3">
        <v>10</v>
      </c>
      <c r="M2033" s="3">
        <v>2842</v>
      </c>
      <c r="N2033" s="3">
        <v>1978064</v>
      </c>
      <c r="O2033" s="2">
        <v>0.20600000000000002</v>
      </c>
      <c r="P2033" s="2">
        <v>1.198</v>
      </c>
      <c r="Q2033" s="2">
        <v>0.42100000000000004</v>
      </c>
      <c r="R2033" s="11">
        <v>195645343</v>
      </c>
      <c r="S2033" s="11">
        <v>145791</v>
      </c>
      <c r="T2033">
        <v>2016</v>
      </c>
      <c r="U2033">
        <v>1</v>
      </c>
      <c r="V2033">
        <f t="shared" si="186"/>
        <v>700000</v>
      </c>
      <c r="W2033">
        <f t="shared" si="187"/>
        <v>18429897</v>
      </c>
      <c r="X2033">
        <f t="shared" si="188"/>
        <v>17729897</v>
      </c>
      <c r="Y2033">
        <f t="shared" si="189"/>
        <v>-25894845.5</v>
      </c>
      <c r="Z2033">
        <f t="shared" si="190"/>
        <v>45024742.5</v>
      </c>
      <c r="AA2033" t="str">
        <f t="shared" si="191"/>
        <v>Normal</v>
      </c>
      <c r="AE2033" s="2"/>
      <c r="AF2033" s="2"/>
    </row>
    <row r="2034" spans="1:32" x14ac:dyDescent="0.35">
      <c r="A2034">
        <v>2033</v>
      </c>
      <c r="B2034" s="1">
        <v>42380</v>
      </c>
      <c r="C2034" s="9" t="s">
        <v>3414</v>
      </c>
      <c r="D2034" s="9" t="s">
        <v>4988</v>
      </c>
      <c r="E2034" s="9" t="s">
        <v>7367</v>
      </c>
      <c r="F2034" s="9" t="s">
        <v>27</v>
      </c>
      <c r="G2034" s="9" t="s">
        <v>3415</v>
      </c>
      <c r="H2034" s="9" t="s">
        <v>86</v>
      </c>
      <c r="I2034" s="11">
        <v>18429897</v>
      </c>
      <c r="J2034" s="11">
        <v>4931193</v>
      </c>
      <c r="K2034" s="11">
        <v>7855457</v>
      </c>
      <c r="L2034" s="3">
        <v>129</v>
      </c>
      <c r="M2034" s="3">
        <v>1856</v>
      </c>
      <c r="N2034" s="3">
        <v>892567</v>
      </c>
      <c r="O2034" s="2">
        <v>-0.20699999999999999</v>
      </c>
      <c r="P2034" s="2">
        <v>0.50800000000000001</v>
      </c>
      <c r="Q2034" s="2">
        <v>6.4000000000000001E-2</v>
      </c>
      <c r="R2034" s="11">
        <v>200173800</v>
      </c>
      <c r="S2034" s="11">
        <v>1841635</v>
      </c>
      <c r="T2034">
        <v>2016</v>
      </c>
      <c r="U2034">
        <v>1</v>
      </c>
      <c r="V2034">
        <f t="shared" si="186"/>
        <v>687500</v>
      </c>
      <c r="W2034">
        <f t="shared" si="187"/>
        <v>18429897</v>
      </c>
      <c r="X2034">
        <f t="shared" si="188"/>
        <v>17742397</v>
      </c>
      <c r="Y2034">
        <f t="shared" si="189"/>
        <v>-25926095.5</v>
      </c>
      <c r="Z2034">
        <f t="shared" si="190"/>
        <v>45043492.5</v>
      </c>
      <c r="AA2034" t="str">
        <f t="shared" si="191"/>
        <v>Normal</v>
      </c>
      <c r="AE2034" s="2"/>
      <c r="AF2034" s="2"/>
    </row>
    <row r="2035" spans="1:32" x14ac:dyDescent="0.35">
      <c r="A2035">
        <v>2034</v>
      </c>
      <c r="B2035" s="1">
        <v>42380</v>
      </c>
      <c r="C2035" s="9" t="s">
        <v>3416</v>
      </c>
      <c r="D2035" s="9" t="s">
        <v>4988</v>
      </c>
      <c r="E2035" s="9" t="s">
        <v>7368</v>
      </c>
      <c r="F2035" s="9" t="s">
        <v>15</v>
      </c>
      <c r="G2035" s="9" t="s">
        <v>3417</v>
      </c>
      <c r="H2035" s="9" t="s">
        <v>105</v>
      </c>
      <c r="I2035" s="11">
        <v>16500000</v>
      </c>
      <c r="J2035" s="11">
        <v>4233117</v>
      </c>
      <c r="K2035" s="11">
        <v>1046235</v>
      </c>
      <c r="L2035" s="3">
        <v>373</v>
      </c>
      <c r="M2035" s="3">
        <v>2505.5</v>
      </c>
      <c r="N2035" s="3">
        <v>1059648</v>
      </c>
      <c r="O2035" s="2">
        <v>0.17399999999999999</v>
      </c>
      <c r="P2035" s="2">
        <v>0.34100000000000003</v>
      </c>
      <c r="Q2035" s="2">
        <v>-0.09</v>
      </c>
      <c r="R2035" s="11">
        <v>443858020</v>
      </c>
      <c r="S2035" s="11">
        <v>517753</v>
      </c>
      <c r="T2035">
        <v>2016</v>
      </c>
      <c r="U2035">
        <v>1</v>
      </c>
      <c r="V2035">
        <f t="shared" si="186"/>
        <v>675000</v>
      </c>
      <c r="W2035">
        <f t="shared" si="187"/>
        <v>18429897</v>
      </c>
      <c r="X2035">
        <f t="shared" si="188"/>
        <v>17754897</v>
      </c>
      <c r="Y2035">
        <f t="shared" si="189"/>
        <v>-25957345.5</v>
      </c>
      <c r="Z2035">
        <f t="shared" si="190"/>
        <v>45062242.5</v>
      </c>
      <c r="AA2035" t="str">
        <f t="shared" si="191"/>
        <v>Normal</v>
      </c>
      <c r="AE2035" s="2"/>
      <c r="AF2035" s="2"/>
    </row>
    <row r="2036" spans="1:32" x14ac:dyDescent="0.35">
      <c r="A2036">
        <v>2035</v>
      </c>
      <c r="B2036" s="1">
        <v>42380</v>
      </c>
      <c r="C2036" s="9" t="s">
        <v>3418</v>
      </c>
      <c r="D2036" s="9" t="s">
        <v>4925</v>
      </c>
      <c r="E2036" s="9" t="s">
        <v>7369</v>
      </c>
      <c r="F2036" s="9" t="s">
        <v>15</v>
      </c>
      <c r="G2036" s="9" t="s">
        <v>3419</v>
      </c>
      <c r="H2036" s="9" t="s">
        <v>86</v>
      </c>
      <c r="I2036" s="11">
        <v>1000000</v>
      </c>
      <c r="J2036" s="11">
        <v>2531926</v>
      </c>
      <c r="K2036" s="11">
        <v>10112364</v>
      </c>
      <c r="L2036" s="3">
        <v>352</v>
      </c>
      <c r="M2036" s="3">
        <v>3643</v>
      </c>
      <c r="N2036" s="3">
        <v>268315</v>
      </c>
      <c r="O2036" s="2">
        <v>0.10800000000000001</v>
      </c>
      <c r="P2036" s="2">
        <v>1.172E-2</v>
      </c>
      <c r="Q2036" s="2">
        <v>4.0999999999999995E-2</v>
      </c>
      <c r="R2036" s="11">
        <v>365157993</v>
      </c>
      <c r="S2036" s="11">
        <v>758200</v>
      </c>
      <c r="T2036">
        <v>2016</v>
      </c>
      <c r="U2036">
        <v>1</v>
      </c>
      <c r="V2036">
        <f t="shared" si="186"/>
        <v>662500</v>
      </c>
      <c r="W2036">
        <f t="shared" si="187"/>
        <v>18429897</v>
      </c>
      <c r="X2036">
        <f t="shared" si="188"/>
        <v>17767397</v>
      </c>
      <c r="Y2036">
        <f t="shared" si="189"/>
        <v>-25988595.5</v>
      </c>
      <c r="Z2036">
        <f t="shared" si="190"/>
        <v>45080992.5</v>
      </c>
      <c r="AA2036" t="str">
        <f t="shared" si="191"/>
        <v>Normal</v>
      </c>
      <c r="AE2036" s="2"/>
      <c r="AF2036" s="2"/>
    </row>
    <row r="2037" spans="1:32" x14ac:dyDescent="0.35">
      <c r="A2037">
        <v>2036</v>
      </c>
      <c r="B2037" s="1">
        <v>42380</v>
      </c>
      <c r="C2037" s="9" t="s">
        <v>3420</v>
      </c>
      <c r="D2037" s="9" t="s">
        <v>4988</v>
      </c>
      <c r="E2037" s="9" t="s">
        <v>7370</v>
      </c>
      <c r="F2037" s="9" t="s">
        <v>31</v>
      </c>
      <c r="G2037" s="9" t="s">
        <v>3421</v>
      </c>
      <c r="H2037" s="9" t="s">
        <v>86</v>
      </c>
      <c r="I2037" s="11">
        <v>18429897</v>
      </c>
      <c r="J2037" s="11">
        <v>220463</v>
      </c>
      <c r="K2037" s="11">
        <v>13786436</v>
      </c>
      <c r="L2037" s="3">
        <v>372</v>
      </c>
      <c r="M2037" s="3">
        <v>3144</v>
      </c>
      <c r="N2037" s="3">
        <v>1752322</v>
      </c>
      <c r="O2037" s="2">
        <v>4.4999999999999998E-2</v>
      </c>
      <c r="P2037" s="2">
        <v>0.65900000000000003</v>
      </c>
      <c r="Q2037" s="2">
        <v>-2.7000000000000003E-2</v>
      </c>
      <c r="R2037" s="11">
        <v>169378975</v>
      </c>
      <c r="S2037" s="11">
        <v>539220</v>
      </c>
      <c r="T2037">
        <v>2016</v>
      </c>
      <c r="U2037">
        <v>1</v>
      </c>
      <c r="V2037">
        <f t="shared" si="186"/>
        <v>650000</v>
      </c>
      <c r="W2037">
        <f t="shared" si="187"/>
        <v>18429897</v>
      </c>
      <c r="X2037">
        <f t="shared" si="188"/>
        <v>17779897</v>
      </c>
      <c r="Y2037">
        <f t="shared" si="189"/>
        <v>-26019845.5</v>
      </c>
      <c r="Z2037">
        <f t="shared" si="190"/>
        <v>45099742.5</v>
      </c>
      <c r="AA2037" t="str">
        <f t="shared" si="191"/>
        <v>Normal</v>
      </c>
      <c r="AE2037" s="2"/>
      <c r="AF2037" s="2"/>
    </row>
    <row r="2038" spans="1:32" x14ac:dyDescent="0.35">
      <c r="A2038">
        <v>2037</v>
      </c>
      <c r="B2038" s="1">
        <v>42381</v>
      </c>
      <c r="C2038" s="9" t="s">
        <v>1508</v>
      </c>
      <c r="D2038" s="9" t="s">
        <v>4925</v>
      </c>
      <c r="E2038" s="9" t="s">
        <v>6443</v>
      </c>
      <c r="F2038" s="9" t="s">
        <v>19</v>
      </c>
      <c r="G2038" s="9" t="s">
        <v>3422</v>
      </c>
      <c r="H2038" s="9" t="s">
        <v>105</v>
      </c>
      <c r="I2038" s="11">
        <v>100000000</v>
      </c>
      <c r="J2038" s="11">
        <v>4940095</v>
      </c>
      <c r="K2038" s="11">
        <v>10497325</v>
      </c>
      <c r="L2038" s="3">
        <v>120</v>
      </c>
      <c r="M2038" s="3">
        <v>1971</v>
      </c>
      <c r="N2038" s="3">
        <v>1534971</v>
      </c>
      <c r="O2038" s="2">
        <v>0.127</v>
      </c>
      <c r="P2038" s="2">
        <v>0.68799999999999994</v>
      </c>
      <c r="Q2038" s="2">
        <v>9.4E-2</v>
      </c>
      <c r="R2038" s="11">
        <v>168955286</v>
      </c>
      <c r="S2038" s="11">
        <v>744406</v>
      </c>
      <c r="T2038">
        <v>2016</v>
      </c>
      <c r="U2038">
        <v>1</v>
      </c>
      <c r="V2038">
        <f t="shared" si="186"/>
        <v>650000</v>
      </c>
      <c r="W2038">
        <f t="shared" si="187"/>
        <v>18429897</v>
      </c>
      <c r="X2038">
        <f t="shared" si="188"/>
        <v>17779897</v>
      </c>
      <c r="Y2038">
        <f t="shared" si="189"/>
        <v>-26019845.5</v>
      </c>
      <c r="Z2038">
        <f t="shared" si="190"/>
        <v>45099742.5</v>
      </c>
      <c r="AA2038" t="str">
        <f t="shared" si="191"/>
        <v>Outlier</v>
      </c>
      <c r="AE2038" s="2"/>
      <c r="AF2038" s="2"/>
    </row>
    <row r="2039" spans="1:32" x14ac:dyDescent="0.35">
      <c r="A2039">
        <v>2038</v>
      </c>
      <c r="B2039" s="1">
        <v>42381</v>
      </c>
      <c r="C2039" s="9" t="s">
        <v>3423</v>
      </c>
      <c r="D2039" s="9" t="s">
        <v>4988</v>
      </c>
      <c r="E2039" s="9" t="s">
        <v>7371</v>
      </c>
      <c r="F2039" s="9" t="s">
        <v>27</v>
      </c>
      <c r="G2039" s="9" t="s">
        <v>4868</v>
      </c>
      <c r="H2039" s="9" t="s">
        <v>105</v>
      </c>
      <c r="I2039" s="11">
        <v>18429897</v>
      </c>
      <c r="J2039" s="11">
        <v>2259170</v>
      </c>
      <c r="K2039" s="11">
        <v>15165324</v>
      </c>
      <c r="L2039" s="3">
        <v>254</v>
      </c>
      <c r="M2039" s="3">
        <v>903</v>
      </c>
      <c r="N2039" s="3">
        <v>229795</v>
      </c>
      <c r="O2039" s="2">
        <v>9.4E-2</v>
      </c>
      <c r="P2039" s="2">
        <v>0.45299999999999996</v>
      </c>
      <c r="Q2039" s="2">
        <v>2.2000000000000002E-2</v>
      </c>
      <c r="R2039" s="11">
        <v>82035437</v>
      </c>
      <c r="S2039" s="11">
        <v>274328</v>
      </c>
      <c r="T2039">
        <v>2016</v>
      </c>
      <c r="U2039">
        <v>1</v>
      </c>
      <c r="V2039">
        <f t="shared" si="186"/>
        <v>650000</v>
      </c>
      <c r="W2039">
        <f t="shared" si="187"/>
        <v>18429897</v>
      </c>
      <c r="X2039">
        <f t="shared" si="188"/>
        <v>17779897</v>
      </c>
      <c r="Y2039">
        <f t="shared" si="189"/>
        <v>-26019845.5</v>
      </c>
      <c r="Z2039">
        <f t="shared" si="190"/>
        <v>45099742.5</v>
      </c>
      <c r="AA2039" t="str">
        <f t="shared" si="191"/>
        <v>Normal</v>
      </c>
      <c r="AE2039" s="2"/>
      <c r="AF2039" s="2"/>
    </row>
    <row r="2040" spans="1:32" x14ac:dyDescent="0.35">
      <c r="A2040">
        <v>2039</v>
      </c>
      <c r="B2040" s="1">
        <v>42381</v>
      </c>
      <c r="C2040" s="9" t="s">
        <v>3424</v>
      </c>
      <c r="D2040" s="9" t="s">
        <v>4930</v>
      </c>
      <c r="E2040" s="9" t="s">
        <v>7372</v>
      </c>
      <c r="F2040" s="9" t="s">
        <v>15</v>
      </c>
      <c r="G2040" s="9" t="s">
        <v>3425</v>
      </c>
      <c r="H2040" s="9" t="s">
        <v>105</v>
      </c>
      <c r="I2040" s="11">
        <v>2300000</v>
      </c>
      <c r="J2040" s="11">
        <v>1462522</v>
      </c>
      <c r="K2040" s="11">
        <v>7280554</v>
      </c>
      <c r="L2040" s="3">
        <v>108</v>
      </c>
      <c r="M2040" s="3">
        <v>3102</v>
      </c>
      <c r="N2040" s="3">
        <v>1059123</v>
      </c>
      <c r="O2040" s="2">
        <v>-0.14300000000000002</v>
      </c>
      <c r="P2040" s="2">
        <v>1.014</v>
      </c>
      <c r="Q2040" s="2">
        <v>0.36749999999999999</v>
      </c>
      <c r="R2040" s="11">
        <v>150596657</v>
      </c>
      <c r="S2040" s="11">
        <v>995922</v>
      </c>
      <c r="T2040">
        <v>2016</v>
      </c>
      <c r="U2040">
        <v>1</v>
      </c>
      <c r="V2040">
        <f t="shared" si="186"/>
        <v>650000</v>
      </c>
      <c r="W2040">
        <f t="shared" si="187"/>
        <v>18429897</v>
      </c>
      <c r="X2040">
        <f t="shared" si="188"/>
        <v>17779897</v>
      </c>
      <c r="Y2040">
        <f t="shared" si="189"/>
        <v>-26019845.5</v>
      </c>
      <c r="Z2040">
        <f t="shared" si="190"/>
        <v>45099742.5</v>
      </c>
      <c r="AA2040" t="str">
        <f t="shared" si="191"/>
        <v>Normal</v>
      </c>
      <c r="AE2040" s="2"/>
      <c r="AF2040" s="2"/>
    </row>
    <row r="2041" spans="1:32" x14ac:dyDescent="0.35">
      <c r="A2041">
        <v>2040</v>
      </c>
      <c r="B2041" s="1">
        <v>42381</v>
      </c>
      <c r="C2041" s="9" t="s">
        <v>3426</v>
      </c>
      <c r="D2041" s="9" t="s">
        <v>4988</v>
      </c>
      <c r="E2041" s="9" t="s">
        <v>7373</v>
      </c>
      <c r="F2041" s="9" t="s">
        <v>31</v>
      </c>
      <c r="G2041" s="9" t="s">
        <v>3427</v>
      </c>
      <c r="H2041" s="9" t="s">
        <v>86</v>
      </c>
      <c r="I2041" s="11">
        <v>250000</v>
      </c>
      <c r="J2041" s="11">
        <v>4464588</v>
      </c>
      <c r="K2041" s="11">
        <v>6192175</v>
      </c>
      <c r="L2041" s="3">
        <v>349</v>
      </c>
      <c r="M2041" s="3">
        <v>1719</v>
      </c>
      <c r="N2041" s="3">
        <v>343434</v>
      </c>
      <c r="O2041" s="2">
        <v>0.45600000000000002</v>
      </c>
      <c r="P2041" s="2">
        <v>0.72899999999999998</v>
      </c>
      <c r="Q2041" s="2">
        <v>0.38299999999999995</v>
      </c>
      <c r="R2041" s="11">
        <v>355236173</v>
      </c>
      <c r="S2041" s="11">
        <v>1008193.5</v>
      </c>
      <c r="T2041">
        <v>2016</v>
      </c>
      <c r="U2041">
        <v>1</v>
      </c>
      <c r="V2041">
        <f t="shared" si="186"/>
        <v>650000</v>
      </c>
      <c r="W2041">
        <f t="shared" si="187"/>
        <v>18429897</v>
      </c>
      <c r="X2041">
        <f t="shared" si="188"/>
        <v>17779897</v>
      </c>
      <c r="Y2041">
        <f t="shared" si="189"/>
        <v>-26019845.5</v>
      </c>
      <c r="Z2041">
        <f t="shared" si="190"/>
        <v>45099742.5</v>
      </c>
      <c r="AA2041" t="str">
        <f t="shared" si="191"/>
        <v>Normal</v>
      </c>
      <c r="AE2041" s="2"/>
      <c r="AF2041" s="2"/>
    </row>
    <row r="2042" spans="1:32" x14ac:dyDescent="0.35">
      <c r="A2042">
        <v>2041</v>
      </c>
      <c r="B2042" s="1">
        <v>42382</v>
      </c>
      <c r="C2042" s="9" t="s">
        <v>1803</v>
      </c>
      <c r="D2042" s="9" t="s">
        <v>4988</v>
      </c>
      <c r="E2042" s="9" t="s">
        <v>7374</v>
      </c>
      <c r="F2042" s="9" t="s">
        <v>31</v>
      </c>
      <c r="G2042" s="9" t="s">
        <v>3428</v>
      </c>
      <c r="H2042" s="9" t="s">
        <v>105</v>
      </c>
      <c r="I2042" s="11">
        <v>145000000</v>
      </c>
      <c r="J2042" s="11">
        <v>3737085</v>
      </c>
      <c r="K2042" s="11">
        <v>9017556</v>
      </c>
      <c r="L2042" s="3">
        <v>10</v>
      </c>
      <c r="M2042" s="3">
        <v>4522</v>
      </c>
      <c r="N2042" s="3">
        <v>1186862</v>
      </c>
      <c r="O2042" s="2">
        <v>0.31</v>
      </c>
      <c r="P2042" s="2">
        <v>1.1739999999999999E-2</v>
      </c>
      <c r="Q2042" s="2">
        <v>4.5999999999999999E-2</v>
      </c>
      <c r="R2042" s="11">
        <v>323042830</v>
      </c>
      <c r="S2042" s="11">
        <v>344053</v>
      </c>
      <c r="T2042">
        <v>2016</v>
      </c>
      <c r="U2042">
        <v>1</v>
      </c>
      <c r="V2042">
        <f t="shared" si="186"/>
        <v>650000</v>
      </c>
      <c r="W2042">
        <f t="shared" si="187"/>
        <v>18429897</v>
      </c>
      <c r="X2042">
        <f t="shared" si="188"/>
        <v>17779897</v>
      </c>
      <c r="Y2042">
        <f t="shared" si="189"/>
        <v>-26019845.5</v>
      </c>
      <c r="Z2042">
        <f t="shared" si="190"/>
        <v>45099742.5</v>
      </c>
      <c r="AA2042" t="str">
        <f t="shared" si="191"/>
        <v>Outlier</v>
      </c>
      <c r="AE2042" s="2"/>
      <c r="AF2042" s="2"/>
    </row>
    <row r="2043" spans="1:32" x14ac:dyDescent="0.35">
      <c r="A2043">
        <v>2042</v>
      </c>
      <c r="B2043" s="1">
        <v>42382</v>
      </c>
      <c r="C2043" s="9" t="s">
        <v>3429</v>
      </c>
      <c r="D2043" s="9" t="s">
        <v>4988</v>
      </c>
      <c r="E2043" s="9" t="s">
        <v>7375</v>
      </c>
      <c r="F2043" s="9" t="s">
        <v>15</v>
      </c>
      <c r="G2043" s="9" t="s">
        <v>3430</v>
      </c>
      <c r="H2043" s="9" t="s">
        <v>86</v>
      </c>
      <c r="I2043" s="11">
        <v>100000</v>
      </c>
      <c r="J2043" s="11">
        <v>3753100</v>
      </c>
      <c r="K2043" s="11">
        <v>4659719</v>
      </c>
      <c r="L2043" s="3">
        <v>408</v>
      </c>
      <c r="M2043" s="3">
        <v>362</v>
      </c>
      <c r="N2043" s="3">
        <v>1313604</v>
      </c>
      <c r="O2043" s="2">
        <v>4.2000000000000003E-2</v>
      </c>
      <c r="P2043" s="2">
        <v>0.71900000000000008</v>
      </c>
      <c r="Q2043" s="2">
        <v>0.58299999999999996</v>
      </c>
      <c r="R2043" s="11">
        <v>461763971</v>
      </c>
      <c r="S2043" s="11">
        <v>1783646</v>
      </c>
      <c r="T2043">
        <v>2016</v>
      </c>
      <c r="U2043">
        <v>1</v>
      </c>
      <c r="V2043">
        <f t="shared" si="186"/>
        <v>650000</v>
      </c>
      <c r="W2043">
        <f t="shared" si="187"/>
        <v>18429897</v>
      </c>
      <c r="X2043">
        <f t="shared" si="188"/>
        <v>17779897</v>
      </c>
      <c r="Y2043">
        <f t="shared" si="189"/>
        <v>-26019845.5</v>
      </c>
      <c r="Z2043">
        <f t="shared" si="190"/>
        <v>45099742.5</v>
      </c>
      <c r="AA2043" t="str">
        <f t="shared" si="191"/>
        <v>Normal</v>
      </c>
      <c r="AE2043" s="2"/>
      <c r="AF2043" s="2"/>
    </row>
    <row r="2044" spans="1:32" x14ac:dyDescent="0.35">
      <c r="A2044">
        <v>2043</v>
      </c>
      <c r="B2044" s="1">
        <v>42382</v>
      </c>
      <c r="C2044" s="9" t="s">
        <v>3431</v>
      </c>
      <c r="D2044" s="9" t="s">
        <v>4988</v>
      </c>
      <c r="E2044" s="9" t="s">
        <v>3432</v>
      </c>
      <c r="F2044" s="9" t="s">
        <v>27</v>
      </c>
      <c r="G2044" s="9" t="s">
        <v>2035</v>
      </c>
      <c r="H2044" s="9" t="s">
        <v>86</v>
      </c>
      <c r="I2044" s="11">
        <v>240000</v>
      </c>
      <c r="J2044" s="11">
        <v>1403210</v>
      </c>
      <c r="K2044" s="11">
        <v>10153449</v>
      </c>
      <c r="L2044" s="3">
        <v>144</v>
      </c>
      <c r="M2044" s="3">
        <v>4238</v>
      </c>
      <c r="N2044" s="3">
        <v>770303</v>
      </c>
      <c r="O2044" s="2">
        <v>-0.23199999999999998</v>
      </c>
      <c r="P2044" s="2">
        <v>0.38100000000000001</v>
      </c>
      <c r="Q2044" s="2">
        <v>0.126</v>
      </c>
      <c r="R2044" s="11">
        <v>279228440</v>
      </c>
      <c r="S2044" s="11">
        <v>226054</v>
      </c>
      <c r="T2044">
        <v>2016</v>
      </c>
      <c r="U2044">
        <v>1</v>
      </c>
      <c r="V2044">
        <f t="shared" si="186"/>
        <v>662500</v>
      </c>
      <c r="W2044">
        <f t="shared" si="187"/>
        <v>18429897</v>
      </c>
      <c r="X2044">
        <f t="shared" si="188"/>
        <v>17767397</v>
      </c>
      <c r="Y2044">
        <f t="shared" si="189"/>
        <v>-25988595.5</v>
      </c>
      <c r="Z2044">
        <f t="shared" si="190"/>
        <v>45080992.5</v>
      </c>
      <c r="AA2044" t="str">
        <f t="shared" si="191"/>
        <v>Normal</v>
      </c>
      <c r="AE2044" s="2"/>
      <c r="AF2044" s="2"/>
    </row>
    <row r="2045" spans="1:32" x14ac:dyDescent="0.35">
      <c r="A2045">
        <v>2044</v>
      </c>
      <c r="B2045" s="1">
        <v>42382</v>
      </c>
      <c r="C2045" s="9" t="s">
        <v>3433</v>
      </c>
      <c r="D2045" s="9" t="s">
        <v>4988</v>
      </c>
      <c r="E2045" s="9" t="s">
        <v>7099</v>
      </c>
      <c r="F2045" s="9" t="s">
        <v>124</v>
      </c>
      <c r="G2045" s="9" t="s">
        <v>3434</v>
      </c>
      <c r="H2045" s="9" t="s">
        <v>86</v>
      </c>
      <c r="I2045" s="11">
        <v>18429897</v>
      </c>
      <c r="J2045" s="11">
        <v>2531926</v>
      </c>
      <c r="K2045" s="11">
        <v>16213609</v>
      </c>
      <c r="L2045" s="3">
        <v>246</v>
      </c>
      <c r="M2045" s="3">
        <v>3908</v>
      </c>
      <c r="N2045" s="3">
        <v>883250</v>
      </c>
      <c r="O2045" s="2">
        <v>-0.371</v>
      </c>
      <c r="P2045" s="2">
        <v>0.97</v>
      </c>
      <c r="Q2045" s="2">
        <v>-0.1</v>
      </c>
      <c r="R2045" s="11">
        <v>125968710</v>
      </c>
      <c r="S2045" s="11">
        <v>904870</v>
      </c>
      <c r="T2045">
        <v>2016</v>
      </c>
      <c r="U2045">
        <v>1</v>
      </c>
      <c r="V2045">
        <f t="shared" si="186"/>
        <v>700000</v>
      </c>
      <c r="W2045">
        <f t="shared" si="187"/>
        <v>18429897</v>
      </c>
      <c r="X2045">
        <f t="shared" si="188"/>
        <v>17729897</v>
      </c>
      <c r="Y2045">
        <f t="shared" si="189"/>
        <v>-25894845.5</v>
      </c>
      <c r="Z2045">
        <f t="shared" si="190"/>
        <v>45024742.5</v>
      </c>
      <c r="AA2045" t="str">
        <f t="shared" si="191"/>
        <v>Normal</v>
      </c>
      <c r="AE2045" s="2"/>
      <c r="AF2045" s="2"/>
    </row>
    <row r="2046" spans="1:32" x14ac:dyDescent="0.35">
      <c r="A2046">
        <v>2045</v>
      </c>
      <c r="B2046" s="1">
        <v>42382</v>
      </c>
      <c r="C2046" s="9" t="s">
        <v>3435</v>
      </c>
      <c r="D2046" s="9" t="s">
        <v>2539</v>
      </c>
      <c r="E2046" s="9" t="s">
        <v>5247</v>
      </c>
      <c r="F2046" s="9" t="s">
        <v>31</v>
      </c>
      <c r="G2046" s="9" t="s">
        <v>2651</v>
      </c>
      <c r="H2046" s="9" t="s">
        <v>105</v>
      </c>
      <c r="I2046" s="11">
        <v>4000000</v>
      </c>
      <c r="J2046" s="11">
        <v>2275280</v>
      </c>
      <c r="K2046" s="11">
        <v>8388616</v>
      </c>
      <c r="L2046" s="3">
        <v>127</v>
      </c>
      <c r="M2046" s="3">
        <v>2601</v>
      </c>
      <c r="N2046" s="3">
        <v>1421468</v>
      </c>
      <c r="O2046" s="2">
        <v>0.52100000000000002</v>
      </c>
      <c r="P2046" s="2">
        <v>0.34799999999999998</v>
      </c>
      <c r="Q2046" s="2">
        <v>2.8999999999999998E-2</v>
      </c>
      <c r="R2046" s="11">
        <v>261236588</v>
      </c>
      <c r="S2046" s="11">
        <v>1028677</v>
      </c>
      <c r="T2046">
        <v>2016</v>
      </c>
      <c r="U2046">
        <v>1</v>
      </c>
      <c r="V2046">
        <f t="shared" si="186"/>
        <v>687500</v>
      </c>
      <c r="W2046">
        <f t="shared" si="187"/>
        <v>18429897</v>
      </c>
      <c r="X2046">
        <f t="shared" si="188"/>
        <v>17742397</v>
      </c>
      <c r="Y2046">
        <f t="shared" si="189"/>
        <v>-25926095.5</v>
      </c>
      <c r="Z2046">
        <f t="shared" si="190"/>
        <v>45043492.5</v>
      </c>
      <c r="AA2046" t="str">
        <f t="shared" si="191"/>
        <v>Normal</v>
      </c>
      <c r="AE2046" s="2"/>
      <c r="AF2046" s="2"/>
    </row>
    <row r="2047" spans="1:32" x14ac:dyDescent="0.35">
      <c r="A2047">
        <v>2046</v>
      </c>
      <c r="B2047" s="1">
        <v>42382</v>
      </c>
      <c r="C2047" s="9" t="s">
        <v>3436</v>
      </c>
      <c r="D2047" s="9" t="s">
        <v>2539</v>
      </c>
      <c r="E2047" s="9" t="s">
        <v>7376</v>
      </c>
      <c r="F2047" s="9" t="s">
        <v>31</v>
      </c>
      <c r="G2047" s="9" t="s">
        <v>1357</v>
      </c>
      <c r="H2047" s="9" t="s">
        <v>105</v>
      </c>
      <c r="I2047" s="11">
        <v>18429897</v>
      </c>
      <c r="J2047" s="11">
        <v>2666440</v>
      </c>
      <c r="K2047" s="11">
        <v>15871970</v>
      </c>
      <c r="L2047" s="3">
        <v>215</v>
      </c>
      <c r="M2047" s="3">
        <v>4966</v>
      </c>
      <c r="N2047" s="3">
        <v>311914</v>
      </c>
      <c r="O2047" s="2">
        <v>8.5000000000000006E-2</v>
      </c>
      <c r="P2047" s="2">
        <v>0.48299999999999998</v>
      </c>
      <c r="Q2047" s="2">
        <v>0.8</v>
      </c>
      <c r="R2047" s="11">
        <v>154523137</v>
      </c>
      <c r="S2047" s="11">
        <v>834452</v>
      </c>
      <c r="T2047">
        <v>2016</v>
      </c>
      <c r="U2047">
        <v>1</v>
      </c>
      <c r="V2047">
        <f t="shared" si="186"/>
        <v>675000</v>
      </c>
      <c r="W2047">
        <f t="shared" si="187"/>
        <v>18429897</v>
      </c>
      <c r="X2047">
        <f t="shared" si="188"/>
        <v>17754897</v>
      </c>
      <c r="Y2047">
        <f t="shared" si="189"/>
        <v>-25957345.5</v>
      </c>
      <c r="Z2047">
        <f t="shared" si="190"/>
        <v>45062242.5</v>
      </c>
      <c r="AA2047" t="str">
        <f t="shared" si="191"/>
        <v>Normal</v>
      </c>
      <c r="AE2047" s="2"/>
      <c r="AF2047" s="2"/>
    </row>
    <row r="2048" spans="1:32" x14ac:dyDescent="0.35">
      <c r="A2048">
        <v>2047</v>
      </c>
      <c r="B2048" s="1">
        <v>42383</v>
      </c>
      <c r="C2048" s="9" t="s">
        <v>3437</v>
      </c>
      <c r="D2048" s="9" t="s">
        <v>4988</v>
      </c>
      <c r="E2048" s="9" t="s">
        <v>7377</v>
      </c>
      <c r="F2048" s="9" t="s">
        <v>15</v>
      </c>
      <c r="G2048" s="9" t="s">
        <v>3438</v>
      </c>
      <c r="H2048" s="9" t="s">
        <v>86</v>
      </c>
      <c r="I2048" s="11">
        <v>18429897</v>
      </c>
      <c r="J2048" s="11">
        <v>3759768</v>
      </c>
      <c r="K2048" s="11">
        <v>608639</v>
      </c>
      <c r="L2048" s="3">
        <v>383</v>
      </c>
      <c r="M2048" s="3">
        <v>3597</v>
      </c>
      <c r="N2048" s="3">
        <v>71232</v>
      </c>
      <c r="O2048" s="2">
        <v>0.27300000000000002</v>
      </c>
      <c r="P2048" s="2">
        <v>1.139</v>
      </c>
      <c r="Q2048" s="2">
        <v>7.2999999999999995E-2</v>
      </c>
      <c r="R2048" s="11">
        <v>74275442</v>
      </c>
      <c r="S2048" s="11">
        <v>990735</v>
      </c>
      <c r="T2048">
        <v>2016</v>
      </c>
      <c r="U2048">
        <v>1</v>
      </c>
      <c r="V2048">
        <f t="shared" si="186"/>
        <v>662500</v>
      </c>
      <c r="W2048">
        <f t="shared" si="187"/>
        <v>18429897</v>
      </c>
      <c r="X2048">
        <f t="shared" si="188"/>
        <v>17767397</v>
      </c>
      <c r="Y2048">
        <f t="shared" si="189"/>
        <v>-25988595.5</v>
      </c>
      <c r="Z2048">
        <f t="shared" si="190"/>
        <v>45080992.5</v>
      </c>
      <c r="AA2048" t="str">
        <f t="shared" si="191"/>
        <v>Normal</v>
      </c>
      <c r="AE2048" s="2"/>
      <c r="AF2048" s="2"/>
    </row>
    <row r="2049" spans="1:32" x14ac:dyDescent="0.35">
      <c r="A2049">
        <v>2048</v>
      </c>
      <c r="B2049" s="1">
        <v>42383</v>
      </c>
      <c r="C2049" s="9" t="s">
        <v>3439</v>
      </c>
      <c r="D2049" s="9" t="s">
        <v>4925</v>
      </c>
      <c r="E2049" s="9" t="s">
        <v>7378</v>
      </c>
      <c r="F2049" s="9" t="s">
        <v>15</v>
      </c>
      <c r="G2049" s="9" t="s">
        <v>3440</v>
      </c>
      <c r="H2049" s="9" t="s">
        <v>86</v>
      </c>
      <c r="I2049" s="11">
        <v>18429897</v>
      </c>
      <c r="J2049" s="11">
        <v>3306778</v>
      </c>
      <c r="K2049" s="11">
        <v>3180182</v>
      </c>
      <c r="L2049" s="3">
        <v>103</v>
      </c>
      <c r="M2049" s="3">
        <v>256</v>
      </c>
      <c r="N2049" s="3">
        <v>833191</v>
      </c>
      <c r="O2049" s="2">
        <v>-7.0000000000000007E-2</v>
      </c>
      <c r="P2049" s="2">
        <v>1.176E-2</v>
      </c>
      <c r="Q2049" s="2">
        <v>0.156</v>
      </c>
      <c r="R2049" s="11">
        <v>268917493</v>
      </c>
      <c r="S2049" s="11">
        <v>1622102</v>
      </c>
      <c r="T2049">
        <v>2016</v>
      </c>
      <c r="U2049">
        <v>1</v>
      </c>
      <c r="V2049">
        <f t="shared" si="186"/>
        <v>650000</v>
      </c>
      <c r="W2049">
        <f t="shared" si="187"/>
        <v>18429897</v>
      </c>
      <c r="X2049">
        <f t="shared" si="188"/>
        <v>17779897</v>
      </c>
      <c r="Y2049">
        <f t="shared" si="189"/>
        <v>-26019845.5</v>
      </c>
      <c r="Z2049">
        <f t="shared" si="190"/>
        <v>45099742.5</v>
      </c>
      <c r="AA2049" t="str">
        <f t="shared" si="191"/>
        <v>Normal</v>
      </c>
      <c r="AE2049" s="2"/>
      <c r="AF2049" s="2"/>
    </row>
    <row r="2050" spans="1:32" x14ac:dyDescent="0.35">
      <c r="A2050">
        <v>2049</v>
      </c>
      <c r="B2050" s="1">
        <v>42383</v>
      </c>
      <c r="C2050" s="9" t="s">
        <v>3441</v>
      </c>
      <c r="D2050" s="9" t="s">
        <v>4988</v>
      </c>
      <c r="E2050" s="9" t="s">
        <v>7210</v>
      </c>
      <c r="F2050" s="9" t="s">
        <v>19</v>
      </c>
      <c r="G2050" s="9" t="s">
        <v>1315</v>
      </c>
      <c r="H2050" s="9" t="s">
        <v>86</v>
      </c>
      <c r="I2050" s="11">
        <v>520000</v>
      </c>
      <c r="J2050" s="11">
        <v>877989</v>
      </c>
      <c r="K2050" s="11">
        <v>5732084</v>
      </c>
      <c r="L2050" s="3">
        <v>287</v>
      </c>
      <c r="M2050" s="3">
        <v>1992</v>
      </c>
      <c r="N2050" s="3">
        <v>982402</v>
      </c>
      <c r="O2050" s="2">
        <v>5.9000000000000004E-2</v>
      </c>
      <c r="P2050" s="2">
        <v>0.97699999999999998</v>
      </c>
      <c r="Q2050" s="2">
        <v>-0.18</v>
      </c>
      <c r="R2050" s="11">
        <v>26078024</v>
      </c>
      <c r="S2050" s="11">
        <v>714874</v>
      </c>
      <c r="T2050">
        <v>2016</v>
      </c>
      <c r="U2050">
        <v>1</v>
      </c>
      <c r="V2050">
        <f t="shared" ref="V2050:V2113" si="192">_xlfn.PERCENTILE.INC(I2050:I5093,0.25)</f>
        <v>650000</v>
      </c>
      <c r="W2050">
        <f t="shared" ref="W2050:W2113" si="193">_xlfn.PERCENTILE.INC(I2050:I5093,0.75)</f>
        <v>18429897</v>
      </c>
      <c r="X2050">
        <f t="shared" ref="X2050:X2113" si="194">W2050-V2050</f>
        <v>17779897</v>
      </c>
      <c r="Y2050">
        <f t="shared" ref="Y2050:Y2113" si="195">V2050-1.5*X2050</f>
        <v>-26019845.5</v>
      </c>
      <c r="Z2050">
        <f t="shared" ref="Z2050:Z2113" si="196">W2050+1.5*X2050</f>
        <v>45099742.5</v>
      </c>
      <c r="AA2050" t="str">
        <f t="shared" ref="AA2050:AA2113" si="197">IF(OR(I2050&lt;$Y$2, I2050&gt;$Z$2), "Outlier", "Normal")</f>
        <v>Normal</v>
      </c>
      <c r="AE2050" s="2"/>
      <c r="AF2050" s="2"/>
    </row>
    <row r="2051" spans="1:32" x14ac:dyDescent="0.35">
      <c r="A2051">
        <v>2050</v>
      </c>
      <c r="B2051" s="1">
        <v>42383</v>
      </c>
      <c r="C2051" s="9" t="s">
        <v>1711</v>
      </c>
      <c r="D2051" s="9" t="s">
        <v>4930</v>
      </c>
      <c r="E2051" s="9" t="s">
        <v>7379</v>
      </c>
      <c r="F2051" s="9" t="s">
        <v>19</v>
      </c>
      <c r="G2051" s="9" t="s">
        <v>3442</v>
      </c>
      <c r="H2051" s="9" t="s">
        <v>86</v>
      </c>
      <c r="I2051" s="11">
        <v>18429897</v>
      </c>
      <c r="J2051" s="11">
        <v>1526351</v>
      </c>
      <c r="K2051" s="11">
        <v>10153449</v>
      </c>
      <c r="L2051" s="3">
        <v>33</v>
      </c>
      <c r="M2051" s="3">
        <v>4210</v>
      </c>
      <c r="N2051" s="3">
        <v>572643</v>
      </c>
      <c r="O2051" s="2">
        <v>6.9000000000000006E-2</v>
      </c>
      <c r="P2051" s="2">
        <v>0.40700000000000003</v>
      </c>
      <c r="Q2051" s="2">
        <v>-0.155</v>
      </c>
      <c r="R2051" s="11">
        <v>108297458</v>
      </c>
      <c r="S2051" s="11">
        <v>734464</v>
      </c>
      <c r="T2051">
        <v>2016</v>
      </c>
      <c r="U2051">
        <v>1</v>
      </c>
      <c r="V2051">
        <f t="shared" si="192"/>
        <v>675000</v>
      </c>
      <c r="W2051">
        <f t="shared" si="193"/>
        <v>18429897</v>
      </c>
      <c r="X2051">
        <f t="shared" si="194"/>
        <v>17754897</v>
      </c>
      <c r="Y2051">
        <f t="shared" si="195"/>
        <v>-25957345.5</v>
      </c>
      <c r="Z2051">
        <f t="shared" si="196"/>
        <v>45062242.5</v>
      </c>
      <c r="AA2051" t="str">
        <f t="shared" si="197"/>
        <v>Normal</v>
      </c>
      <c r="AE2051" s="2"/>
      <c r="AF2051" s="2"/>
    </row>
    <row r="2052" spans="1:32" x14ac:dyDescent="0.35">
      <c r="A2052">
        <v>2051</v>
      </c>
      <c r="B2052" s="1">
        <v>42384</v>
      </c>
      <c r="C2052" s="9" t="s">
        <v>3443</v>
      </c>
      <c r="D2052" s="9" t="s">
        <v>2539</v>
      </c>
      <c r="E2052" s="9" t="s">
        <v>7380</v>
      </c>
      <c r="F2052" s="9" t="s">
        <v>15</v>
      </c>
      <c r="G2052" s="9" t="s">
        <v>3444</v>
      </c>
      <c r="H2052" s="9" t="s">
        <v>105</v>
      </c>
      <c r="I2052" s="11">
        <v>18429897</v>
      </c>
      <c r="J2052" s="11">
        <v>1818704</v>
      </c>
      <c r="K2052" s="11">
        <v>4711663</v>
      </c>
      <c r="L2052" s="3">
        <v>93</v>
      </c>
      <c r="M2052" s="3">
        <v>3891</v>
      </c>
      <c r="N2052" s="3">
        <v>854374</v>
      </c>
      <c r="O2052" s="2">
        <v>0.16800000000000001</v>
      </c>
      <c r="P2052" s="2">
        <v>0.94200000000000006</v>
      </c>
      <c r="Q2052" s="2">
        <v>0.29499999999999998</v>
      </c>
      <c r="R2052" s="11">
        <v>67036058</v>
      </c>
      <c r="S2052" s="11">
        <v>400389</v>
      </c>
      <c r="T2052">
        <v>2016</v>
      </c>
      <c r="U2052">
        <v>1</v>
      </c>
      <c r="V2052">
        <f t="shared" si="192"/>
        <v>662500</v>
      </c>
      <c r="W2052">
        <f t="shared" si="193"/>
        <v>18429897</v>
      </c>
      <c r="X2052">
        <f t="shared" si="194"/>
        <v>17767397</v>
      </c>
      <c r="Y2052">
        <f t="shared" si="195"/>
        <v>-25988595.5</v>
      </c>
      <c r="Z2052">
        <f t="shared" si="196"/>
        <v>45080992.5</v>
      </c>
      <c r="AA2052" t="str">
        <f t="shared" si="197"/>
        <v>Normal</v>
      </c>
      <c r="AE2052" s="2"/>
      <c r="AF2052" s="2"/>
    </row>
    <row r="2053" spans="1:32" x14ac:dyDescent="0.35">
      <c r="A2053">
        <v>2052</v>
      </c>
      <c r="B2053" s="1">
        <v>42384</v>
      </c>
      <c r="C2053" s="9" t="s">
        <v>1744</v>
      </c>
      <c r="D2053" s="9" t="s">
        <v>4988</v>
      </c>
      <c r="E2053" s="9" t="s">
        <v>7381</v>
      </c>
      <c r="F2053" s="9" t="s">
        <v>19</v>
      </c>
      <c r="G2053" s="9" t="s">
        <v>3445</v>
      </c>
      <c r="H2053" s="9" t="s">
        <v>86</v>
      </c>
      <c r="I2053" s="11">
        <v>200000</v>
      </c>
      <c r="J2053" s="11">
        <v>4738727</v>
      </c>
      <c r="K2053" s="11">
        <v>10292571</v>
      </c>
      <c r="L2053" s="3">
        <v>343</v>
      </c>
      <c r="M2053" s="3">
        <v>844</v>
      </c>
      <c r="N2053" s="3">
        <v>204866</v>
      </c>
      <c r="O2053" s="2">
        <v>0.13800000000000001</v>
      </c>
      <c r="P2053" s="2">
        <v>0.79400000000000004</v>
      </c>
      <c r="Q2053" s="2">
        <v>0.22800000000000001</v>
      </c>
      <c r="R2053" s="11">
        <v>416623574</v>
      </c>
      <c r="S2053" s="11">
        <v>642850</v>
      </c>
      <c r="T2053">
        <v>2016</v>
      </c>
      <c r="U2053">
        <v>1</v>
      </c>
      <c r="V2053">
        <f t="shared" si="192"/>
        <v>650000</v>
      </c>
      <c r="W2053">
        <f t="shared" si="193"/>
        <v>18429897</v>
      </c>
      <c r="X2053">
        <f t="shared" si="194"/>
        <v>17779897</v>
      </c>
      <c r="Y2053">
        <f t="shared" si="195"/>
        <v>-26019845.5</v>
      </c>
      <c r="Z2053">
        <f t="shared" si="196"/>
        <v>45099742.5</v>
      </c>
      <c r="AA2053" t="str">
        <f t="shared" si="197"/>
        <v>Normal</v>
      </c>
      <c r="AE2053" s="2"/>
      <c r="AF2053" s="2"/>
    </row>
    <row r="2054" spans="1:32" x14ac:dyDescent="0.35">
      <c r="A2054">
        <v>2053</v>
      </c>
      <c r="B2054" s="1">
        <v>42384</v>
      </c>
      <c r="C2054" s="9" t="s">
        <v>3446</v>
      </c>
      <c r="D2054" s="9" t="s">
        <v>4988</v>
      </c>
      <c r="E2054" s="9" t="s">
        <v>7382</v>
      </c>
      <c r="F2054" s="9" t="s">
        <v>15</v>
      </c>
      <c r="G2054" s="9" t="s">
        <v>4869</v>
      </c>
      <c r="H2054" s="9" t="s">
        <v>86</v>
      </c>
      <c r="I2054" s="11">
        <v>18429897</v>
      </c>
      <c r="J2054" s="11">
        <v>3578239</v>
      </c>
      <c r="K2054" s="11">
        <v>15892282</v>
      </c>
      <c r="L2054" s="3">
        <v>286</v>
      </c>
      <c r="M2054" s="3">
        <v>892</v>
      </c>
      <c r="N2054" s="3">
        <v>1492981</v>
      </c>
      <c r="O2054" s="2">
        <v>-6.4000000000000001E-2</v>
      </c>
      <c r="P2054" s="2">
        <v>0.64700000000000002</v>
      </c>
      <c r="Q2054" s="2">
        <v>-0.29399999999999998</v>
      </c>
      <c r="R2054" s="11">
        <v>377454671</v>
      </c>
      <c r="S2054" s="11">
        <v>1739557</v>
      </c>
      <c r="T2054">
        <v>2016</v>
      </c>
      <c r="U2054">
        <v>1</v>
      </c>
      <c r="V2054">
        <f t="shared" si="192"/>
        <v>687500</v>
      </c>
      <c r="W2054">
        <f t="shared" si="193"/>
        <v>18429897</v>
      </c>
      <c r="X2054">
        <f t="shared" si="194"/>
        <v>17742397</v>
      </c>
      <c r="Y2054">
        <f t="shared" si="195"/>
        <v>-25926095.5</v>
      </c>
      <c r="Z2054">
        <f t="shared" si="196"/>
        <v>45043492.5</v>
      </c>
      <c r="AA2054" t="str">
        <f t="shared" si="197"/>
        <v>Normal</v>
      </c>
      <c r="AE2054" s="2"/>
      <c r="AF2054" s="2"/>
    </row>
    <row r="2055" spans="1:32" x14ac:dyDescent="0.35">
      <c r="A2055">
        <v>2054</v>
      </c>
      <c r="B2055" s="1">
        <v>42384</v>
      </c>
      <c r="C2055" s="9" t="s">
        <v>501</v>
      </c>
      <c r="D2055" s="9" t="s">
        <v>4988</v>
      </c>
      <c r="E2055" s="9" t="s">
        <v>3447</v>
      </c>
      <c r="F2055" s="9" t="s">
        <v>31</v>
      </c>
      <c r="G2055" s="9" t="s">
        <v>3448</v>
      </c>
      <c r="H2055" s="9" t="s">
        <v>86</v>
      </c>
      <c r="I2055" s="11">
        <v>18429897</v>
      </c>
      <c r="J2055" s="11">
        <v>1844350</v>
      </c>
      <c r="K2055" s="11">
        <v>9179066</v>
      </c>
      <c r="L2055" s="3">
        <v>307</v>
      </c>
      <c r="M2055" s="3">
        <v>4623</v>
      </c>
      <c r="N2055" s="3">
        <v>1532924</v>
      </c>
      <c r="O2055" s="2">
        <v>-6.7000000000000004E-2</v>
      </c>
      <c r="P2055" s="2">
        <v>0.64599999999999991</v>
      </c>
      <c r="Q2055" s="2">
        <v>0.23100000000000001</v>
      </c>
      <c r="R2055" s="11">
        <v>449550156</v>
      </c>
      <c r="S2055" s="11">
        <v>419205</v>
      </c>
      <c r="T2055">
        <v>2016</v>
      </c>
      <c r="U2055">
        <v>1</v>
      </c>
      <c r="V2055">
        <f t="shared" si="192"/>
        <v>675000</v>
      </c>
      <c r="W2055">
        <f t="shared" si="193"/>
        <v>18429897</v>
      </c>
      <c r="X2055">
        <f t="shared" si="194"/>
        <v>17754897</v>
      </c>
      <c r="Y2055">
        <f t="shared" si="195"/>
        <v>-25957345.5</v>
      </c>
      <c r="Z2055">
        <f t="shared" si="196"/>
        <v>45062242.5</v>
      </c>
      <c r="AA2055" t="str">
        <f t="shared" si="197"/>
        <v>Normal</v>
      </c>
      <c r="AE2055" s="2"/>
      <c r="AF2055" s="2"/>
    </row>
    <row r="2056" spans="1:32" x14ac:dyDescent="0.35">
      <c r="A2056">
        <v>2055</v>
      </c>
      <c r="B2056" s="1">
        <v>42384</v>
      </c>
      <c r="C2056" s="9" t="s">
        <v>3449</v>
      </c>
      <c r="D2056" s="9" t="s">
        <v>4988</v>
      </c>
      <c r="E2056" s="9" t="s">
        <v>7383</v>
      </c>
      <c r="F2056" s="9" t="s">
        <v>63</v>
      </c>
      <c r="G2056" s="9" t="s">
        <v>3450</v>
      </c>
      <c r="H2056" s="9" t="s">
        <v>86</v>
      </c>
      <c r="I2056" s="11">
        <v>18429897</v>
      </c>
      <c r="J2056" s="11">
        <v>3678917</v>
      </c>
      <c r="K2056" s="11">
        <v>9040931</v>
      </c>
      <c r="L2056" s="3">
        <v>116</v>
      </c>
      <c r="M2056" s="3">
        <v>275</v>
      </c>
      <c r="N2056" s="3">
        <v>531811</v>
      </c>
      <c r="O2056" s="2">
        <v>0.104</v>
      </c>
      <c r="P2056" s="2">
        <v>0.65300000000000002</v>
      </c>
      <c r="Q2056" s="2">
        <v>0.31</v>
      </c>
      <c r="R2056" s="11">
        <v>441805299</v>
      </c>
      <c r="S2056" s="11">
        <v>1008193.5</v>
      </c>
      <c r="T2056">
        <v>2016</v>
      </c>
      <c r="U2056">
        <v>1</v>
      </c>
      <c r="V2056">
        <f t="shared" si="192"/>
        <v>662500</v>
      </c>
      <c r="W2056">
        <f t="shared" si="193"/>
        <v>18429897</v>
      </c>
      <c r="X2056">
        <f t="shared" si="194"/>
        <v>17767397</v>
      </c>
      <c r="Y2056">
        <f t="shared" si="195"/>
        <v>-25988595.5</v>
      </c>
      <c r="Z2056">
        <f t="shared" si="196"/>
        <v>45080992.5</v>
      </c>
      <c r="AA2056" t="str">
        <f t="shared" si="197"/>
        <v>Normal</v>
      </c>
      <c r="AE2056" s="2"/>
      <c r="AF2056" s="2"/>
    </row>
    <row r="2057" spans="1:32" x14ac:dyDescent="0.35">
      <c r="A2057">
        <v>2056</v>
      </c>
      <c r="B2057" s="1">
        <v>42385</v>
      </c>
      <c r="C2057" s="9" t="s">
        <v>3451</v>
      </c>
      <c r="D2057" s="9" t="s">
        <v>4988</v>
      </c>
      <c r="E2057" s="9" t="s">
        <v>7384</v>
      </c>
      <c r="F2057" s="9" t="s">
        <v>31</v>
      </c>
      <c r="G2057" s="9" t="s">
        <v>3452</v>
      </c>
      <c r="H2057" s="9" t="s">
        <v>86</v>
      </c>
      <c r="I2057" s="11">
        <v>18429897</v>
      </c>
      <c r="J2057" s="11">
        <v>3697783</v>
      </c>
      <c r="K2057" s="11">
        <v>1291962</v>
      </c>
      <c r="L2057" s="3">
        <v>107</v>
      </c>
      <c r="M2057" s="3">
        <v>4750</v>
      </c>
      <c r="N2057" s="3">
        <v>1303626</v>
      </c>
      <c r="O2057" s="2">
        <v>-0.23100000000000001</v>
      </c>
      <c r="P2057" s="2">
        <v>0.52200000000000002</v>
      </c>
      <c r="Q2057" s="2">
        <v>0.16300000000000001</v>
      </c>
      <c r="R2057" s="11">
        <v>130188301</v>
      </c>
      <c r="S2057" s="11">
        <v>184155</v>
      </c>
      <c r="T2057">
        <v>2016</v>
      </c>
      <c r="U2057">
        <v>1</v>
      </c>
      <c r="V2057">
        <f t="shared" si="192"/>
        <v>650000</v>
      </c>
      <c r="W2057">
        <f t="shared" si="193"/>
        <v>18429897</v>
      </c>
      <c r="X2057">
        <f t="shared" si="194"/>
        <v>17779897</v>
      </c>
      <c r="Y2057">
        <f t="shared" si="195"/>
        <v>-26019845.5</v>
      </c>
      <c r="Z2057">
        <f t="shared" si="196"/>
        <v>45099742.5</v>
      </c>
      <c r="AA2057" t="str">
        <f t="shared" si="197"/>
        <v>Normal</v>
      </c>
      <c r="AE2057" s="2"/>
      <c r="AF2057" s="2"/>
    </row>
    <row r="2058" spans="1:32" x14ac:dyDescent="0.35">
      <c r="A2058">
        <v>2057</v>
      </c>
      <c r="B2058" s="1">
        <v>42387</v>
      </c>
      <c r="C2058" s="9" t="s">
        <v>3453</v>
      </c>
      <c r="D2058" s="9" t="s">
        <v>4988</v>
      </c>
      <c r="E2058" s="9" t="s">
        <v>7385</v>
      </c>
      <c r="F2058" s="9" t="s">
        <v>31</v>
      </c>
      <c r="G2058" s="9" t="s">
        <v>3454</v>
      </c>
      <c r="H2058" s="9" t="s">
        <v>86</v>
      </c>
      <c r="I2058" s="11">
        <v>18429897</v>
      </c>
      <c r="J2058" s="11">
        <v>1983223</v>
      </c>
      <c r="K2058" s="11">
        <v>5678179</v>
      </c>
      <c r="L2058" s="3">
        <v>215</v>
      </c>
      <c r="M2058" s="3">
        <v>2726</v>
      </c>
      <c r="N2058" s="3">
        <v>467499</v>
      </c>
      <c r="O2058" s="2">
        <v>-4.4999999999999998E-2</v>
      </c>
      <c r="P2058" s="2">
        <v>0.73799999999999999</v>
      </c>
      <c r="Q2058" s="2">
        <v>-0.314</v>
      </c>
      <c r="R2058" s="11">
        <v>50714529</v>
      </c>
      <c r="S2058" s="11">
        <v>1960790</v>
      </c>
      <c r="T2058">
        <v>2016</v>
      </c>
      <c r="U2058">
        <v>1</v>
      </c>
      <c r="V2058">
        <f t="shared" si="192"/>
        <v>650000</v>
      </c>
      <c r="W2058">
        <f t="shared" si="193"/>
        <v>18429897</v>
      </c>
      <c r="X2058">
        <f t="shared" si="194"/>
        <v>17779897</v>
      </c>
      <c r="Y2058">
        <f t="shared" si="195"/>
        <v>-26019845.5</v>
      </c>
      <c r="Z2058">
        <f t="shared" si="196"/>
        <v>45099742.5</v>
      </c>
      <c r="AA2058" t="str">
        <f t="shared" si="197"/>
        <v>Normal</v>
      </c>
      <c r="AE2058" s="2"/>
      <c r="AF2058" s="2"/>
    </row>
    <row r="2059" spans="1:32" x14ac:dyDescent="0.35">
      <c r="A2059">
        <v>2058</v>
      </c>
      <c r="B2059" s="1">
        <v>42387</v>
      </c>
      <c r="C2059" s="9" t="s">
        <v>3130</v>
      </c>
      <c r="D2059" s="9" t="s">
        <v>4988</v>
      </c>
      <c r="E2059" s="9" t="s">
        <v>7386</v>
      </c>
      <c r="F2059" s="9" t="s">
        <v>27</v>
      </c>
      <c r="G2059" s="9" t="s">
        <v>3455</v>
      </c>
      <c r="H2059" s="9" t="s">
        <v>105</v>
      </c>
      <c r="I2059" s="11">
        <v>6000000</v>
      </c>
      <c r="J2059" s="11">
        <v>2027638</v>
      </c>
      <c r="K2059" s="11">
        <v>16164410</v>
      </c>
      <c r="L2059" s="3">
        <v>68</v>
      </c>
      <c r="M2059" s="3">
        <v>4046</v>
      </c>
      <c r="N2059" s="3">
        <v>790539</v>
      </c>
      <c r="O2059" s="2">
        <v>8.8999999999999996E-2</v>
      </c>
      <c r="P2059" s="2">
        <v>0.23699999999999999</v>
      </c>
      <c r="Q2059" s="2">
        <v>-0.23400000000000001</v>
      </c>
      <c r="R2059" s="11">
        <v>132647618</v>
      </c>
      <c r="S2059" s="11">
        <v>405617</v>
      </c>
      <c r="T2059">
        <v>2016</v>
      </c>
      <c r="U2059">
        <v>1</v>
      </c>
      <c r="V2059">
        <f t="shared" si="192"/>
        <v>650000</v>
      </c>
      <c r="W2059">
        <f t="shared" si="193"/>
        <v>18429897</v>
      </c>
      <c r="X2059">
        <f t="shared" si="194"/>
        <v>17779897</v>
      </c>
      <c r="Y2059">
        <f t="shared" si="195"/>
        <v>-26019845.5</v>
      </c>
      <c r="Z2059">
        <f t="shared" si="196"/>
        <v>45099742.5</v>
      </c>
      <c r="AA2059" t="str">
        <f t="shared" si="197"/>
        <v>Normal</v>
      </c>
      <c r="AE2059" s="2"/>
      <c r="AF2059" s="2"/>
    </row>
    <row r="2060" spans="1:32" x14ac:dyDescent="0.35">
      <c r="A2060">
        <v>2059</v>
      </c>
      <c r="B2060" s="1">
        <v>42388</v>
      </c>
      <c r="C2060" s="9" t="s">
        <v>729</v>
      </c>
      <c r="D2060" s="9" t="s">
        <v>4988</v>
      </c>
      <c r="E2060" s="9" t="s">
        <v>7387</v>
      </c>
      <c r="F2060" s="9" t="s">
        <v>15</v>
      </c>
      <c r="G2060" s="9" t="s">
        <v>3456</v>
      </c>
      <c r="H2060" s="9" t="s">
        <v>105</v>
      </c>
      <c r="I2060" s="11">
        <v>35000000</v>
      </c>
      <c r="J2060" s="11">
        <v>4473582</v>
      </c>
      <c r="K2060" s="11">
        <v>16233027</v>
      </c>
      <c r="L2060" s="3">
        <v>444</v>
      </c>
      <c r="M2060" s="3">
        <v>2505.5</v>
      </c>
      <c r="N2060" s="3">
        <v>639732</v>
      </c>
      <c r="O2060" s="2">
        <v>0.19899999999999998</v>
      </c>
      <c r="P2060" s="2">
        <v>0.50800000000000001</v>
      </c>
      <c r="Q2060" s="2">
        <v>8.8000000000000009E-2</v>
      </c>
      <c r="R2060" s="11">
        <v>452015487</v>
      </c>
      <c r="S2060" s="11">
        <v>421049</v>
      </c>
      <c r="T2060">
        <v>2016</v>
      </c>
      <c r="U2060">
        <v>1</v>
      </c>
      <c r="V2060">
        <f t="shared" si="192"/>
        <v>650000</v>
      </c>
      <c r="W2060">
        <f t="shared" si="193"/>
        <v>18429897</v>
      </c>
      <c r="X2060">
        <f t="shared" si="194"/>
        <v>17779897</v>
      </c>
      <c r="Y2060">
        <f t="shared" si="195"/>
        <v>-26019845.5</v>
      </c>
      <c r="Z2060">
        <f t="shared" si="196"/>
        <v>45099742.5</v>
      </c>
      <c r="AA2060" t="str">
        <f t="shared" si="197"/>
        <v>Normal</v>
      </c>
      <c r="AE2060" s="2"/>
      <c r="AF2060" s="2"/>
    </row>
    <row r="2061" spans="1:32" x14ac:dyDescent="0.35">
      <c r="A2061">
        <v>2060</v>
      </c>
      <c r="B2061" s="1">
        <v>42388</v>
      </c>
      <c r="C2061" s="9" t="s">
        <v>1924</v>
      </c>
      <c r="D2061" s="9" t="s">
        <v>4988</v>
      </c>
      <c r="E2061" s="9" t="s">
        <v>7388</v>
      </c>
      <c r="F2061" s="9" t="s">
        <v>15</v>
      </c>
      <c r="G2061" s="9" t="s">
        <v>398</v>
      </c>
      <c r="H2061" s="9" t="s">
        <v>86</v>
      </c>
      <c r="I2061" s="11">
        <v>18429897</v>
      </c>
      <c r="J2061" s="11">
        <v>2817858</v>
      </c>
      <c r="K2061" s="11">
        <v>2175029</v>
      </c>
      <c r="L2061" s="3">
        <v>137</v>
      </c>
      <c r="M2061" s="3">
        <v>1753</v>
      </c>
      <c r="N2061" s="3">
        <v>1941752</v>
      </c>
      <c r="O2061" s="2">
        <v>0.42100000000000004</v>
      </c>
      <c r="P2061" s="2">
        <v>1.097</v>
      </c>
      <c r="Q2061" s="2">
        <v>0.57099999999999995</v>
      </c>
      <c r="R2061" s="11">
        <v>192424278</v>
      </c>
      <c r="S2061" s="11">
        <v>1639026</v>
      </c>
      <c r="T2061">
        <v>2016</v>
      </c>
      <c r="U2061">
        <v>1</v>
      </c>
      <c r="V2061">
        <f t="shared" si="192"/>
        <v>650000</v>
      </c>
      <c r="W2061">
        <f t="shared" si="193"/>
        <v>18429897</v>
      </c>
      <c r="X2061">
        <f t="shared" si="194"/>
        <v>17779897</v>
      </c>
      <c r="Y2061">
        <f t="shared" si="195"/>
        <v>-26019845.5</v>
      </c>
      <c r="Z2061">
        <f t="shared" si="196"/>
        <v>45099742.5</v>
      </c>
      <c r="AA2061" t="str">
        <f t="shared" si="197"/>
        <v>Normal</v>
      </c>
      <c r="AE2061" s="2"/>
      <c r="AF2061" s="2"/>
    </row>
    <row r="2062" spans="1:32" x14ac:dyDescent="0.35">
      <c r="A2062">
        <v>2061</v>
      </c>
      <c r="B2062" s="1">
        <v>42388</v>
      </c>
      <c r="C2062" s="9" t="s">
        <v>3457</v>
      </c>
      <c r="D2062" s="9" t="s">
        <v>4988</v>
      </c>
      <c r="E2062" s="9" t="s">
        <v>7389</v>
      </c>
      <c r="F2062" s="9" t="s">
        <v>19</v>
      </c>
      <c r="G2062" s="9" t="s">
        <v>715</v>
      </c>
      <c r="H2062" s="9" t="s">
        <v>105</v>
      </c>
      <c r="I2062" s="11">
        <v>18429897</v>
      </c>
      <c r="J2062" s="11">
        <v>764587</v>
      </c>
      <c r="K2062" s="11">
        <v>482414</v>
      </c>
      <c r="L2062" s="3">
        <v>361</v>
      </c>
      <c r="M2062" s="3">
        <v>3657</v>
      </c>
      <c r="N2062" s="3">
        <v>961139</v>
      </c>
      <c r="O2062" s="2">
        <v>2.5000000000000001E-2</v>
      </c>
      <c r="P2062" s="2">
        <v>0.59099999999999997</v>
      </c>
      <c r="Q2062" s="2">
        <v>-3.5000000000000003E-2</v>
      </c>
      <c r="R2062" s="11">
        <v>358170877</v>
      </c>
      <c r="S2062" s="11">
        <v>1780893</v>
      </c>
      <c r="T2062">
        <v>2016</v>
      </c>
      <c r="U2062">
        <v>1</v>
      </c>
      <c r="V2062">
        <f t="shared" si="192"/>
        <v>650000</v>
      </c>
      <c r="W2062">
        <f t="shared" si="193"/>
        <v>18429897</v>
      </c>
      <c r="X2062">
        <f t="shared" si="194"/>
        <v>17779897</v>
      </c>
      <c r="Y2062">
        <f t="shared" si="195"/>
        <v>-26019845.5</v>
      </c>
      <c r="Z2062">
        <f t="shared" si="196"/>
        <v>45099742.5</v>
      </c>
      <c r="AA2062" t="str">
        <f t="shared" si="197"/>
        <v>Normal</v>
      </c>
      <c r="AE2062" s="2"/>
      <c r="AF2062" s="2"/>
    </row>
    <row r="2063" spans="1:32" x14ac:dyDescent="0.35">
      <c r="A2063">
        <v>2062</v>
      </c>
      <c r="B2063" s="1">
        <v>42388</v>
      </c>
      <c r="C2063" s="9" t="s">
        <v>3458</v>
      </c>
      <c r="D2063" s="9" t="s">
        <v>4988</v>
      </c>
      <c r="E2063" s="9" t="s">
        <v>7390</v>
      </c>
      <c r="F2063" s="9" t="s">
        <v>27</v>
      </c>
      <c r="G2063" s="9" t="s">
        <v>3459</v>
      </c>
      <c r="H2063" s="9" t="s">
        <v>86</v>
      </c>
      <c r="I2063" s="11">
        <v>18429897</v>
      </c>
      <c r="J2063" s="11">
        <v>3604517</v>
      </c>
      <c r="K2063" s="11">
        <v>16637279</v>
      </c>
      <c r="L2063" s="3">
        <v>82</v>
      </c>
      <c r="M2063" s="3">
        <v>853</v>
      </c>
      <c r="N2063" s="3">
        <v>1265878</v>
      </c>
      <c r="O2063" s="2">
        <v>0.127</v>
      </c>
      <c r="P2063" s="2">
        <v>1.149E-2</v>
      </c>
      <c r="Q2063" s="2">
        <v>0.36749999999999999</v>
      </c>
      <c r="R2063" s="11">
        <v>180561823</v>
      </c>
      <c r="S2063" s="11">
        <v>1132188</v>
      </c>
      <c r="T2063">
        <v>2016</v>
      </c>
      <c r="U2063">
        <v>1</v>
      </c>
      <c r="V2063">
        <f t="shared" si="192"/>
        <v>650000</v>
      </c>
      <c r="W2063">
        <f t="shared" si="193"/>
        <v>18429897</v>
      </c>
      <c r="X2063">
        <f t="shared" si="194"/>
        <v>17779897</v>
      </c>
      <c r="Y2063">
        <f t="shared" si="195"/>
        <v>-26019845.5</v>
      </c>
      <c r="Z2063">
        <f t="shared" si="196"/>
        <v>45099742.5</v>
      </c>
      <c r="AA2063" t="str">
        <f t="shared" si="197"/>
        <v>Normal</v>
      </c>
      <c r="AE2063" s="2"/>
      <c r="AF2063" s="2"/>
    </row>
    <row r="2064" spans="1:32" x14ac:dyDescent="0.35">
      <c r="A2064">
        <v>2063</v>
      </c>
      <c r="B2064" s="1">
        <v>42388</v>
      </c>
      <c r="C2064" s="9" t="s">
        <v>3460</v>
      </c>
      <c r="D2064" s="9" t="s">
        <v>4925</v>
      </c>
      <c r="E2064" s="9" t="s">
        <v>7391</v>
      </c>
      <c r="F2064" s="9" t="s">
        <v>27</v>
      </c>
      <c r="G2064" s="9" t="s">
        <v>4870</v>
      </c>
      <c r="H2064" s="9" t="s">
        <v>105</v>
      </c>
      <c r="I2064" s="11">
        <v>1400000</v>
      </c>
      <c r="J2064" s="11">
        <v>2956048</v>
      </c>
      <c r="K2064" s="11">
        <v>3567591</v>
      </c>
      <c r="L2064" s="3">
        <v>327</v>
      </c>
      <c r="M2064" s="3">
        <v>551</v>
      </c>
      <c r="N2064" s="3">
        <v>419833</v>
      </c>
      <c r="O2064" s="2">
        <v>-0.253</v>
      </c>
      <c r="P2064" s="2">
        <v>0.97599999999999998</v>
      </c>
      <c r="Q2064" s="2">
        <v>-6.0999999999999999E-2</v>
      </c>
      <c r="R2064" s="11">
        <v>250264963</v>
      </c>
      <c r="S2064" s="11">
        <v>598154</v>
      </c>
      <c r="T2064">
        <v>2016</v>
      </c>
      <c r="U2064">
        <v>1</v>
      </c>
      <c r="V2064">
        <f t="shared" si="192"/>
        <v>650000</v>
      </c>
      <c r="W2064">
        <f t="shared" si="193"/>
        <v>18429897</v>
      </c>
      <c r="X2064">
        <f t="shared" si="194"/>
        <v>17779897</v>
      </c>
      <c r="Y2064">
        <f t="shared" si="195"/>
        <v>-26019845.5</v>
      </c>
      <c r="Z2064">
        <f t="shared" si="196"/>
        <v>45099742.5</v>
      </c>
      <c r="AA2064" t="str">
        <f t="shared" si="197"/>
        <v>Normal</v>
      </c>
      <c r="AE2064" s="2"/>
      <c r="AF2064" s="2"/>
    </row>
    <row r="2065" spans="1:32" x14ac:dyDescent="0.35">
      <c r="A2065">
        <v>2064</v>
      </c>
      <c r="B2065" s="1">
        <v>42388</v>
      </c>
      <c r="C2065" s="9" t="s">
        <v>194</v>
      </c>
      <c r="D2065" s="9" t="s">
        <v>4930</v>
      </c>
      <c r="E2065" s="9" t="s">
        <v>7392</v>
      </c>
      <c r="F2065" s="9" t="s">
        <v>31</v>
      </c>
      <c r="G2065" s="9" t="s">
        <v>3461</v>
      </c>
      <c r="H2065" s="9" t="s">
        <v>105</v>
      </c>
      <c r="I2065" s="11">
        <v>5000000</v>
      </c>
      <c r="J2065" s="11">
        <v>2554492</v>
      </c>
      <c r="K2065" s="11">
        <v>11533495</v>
      </c>
      <c r="L2065" s="3">
        <v>105</v>
      </c>
      <c r="M2065" s="3">
        <v>3064</v>
      </c>
      <c r="N2065" s="3">
        <v>1854704</v>
      </c>
      <c r="O2065" s="2">
        <v>0.187</v>
      </c>
      <c r="P2065" s="2">
        <v>1.048E-2</v>
      </c>
      <c r="Q2065" s="2">
        <v>0.52500000000000002</v>
      </c>
      <c r="R2065" s="11">
        <v>319058921</v>
      </c>
      <c r="S2065" s="11">
        <v>1180927</v>
      </c>
      <c r="T2065">
        <v>2016</v>
      </c>
      <c r="U2065">
        <v>1</v>
      </c>
      <c r="V2065">
        <f t="shared" si="192"/>
        <v>650000</v>
      </c>
      <c r="W2065">
        <f t="shared" si="193"/>
        <v>18429897</v>
      </c>
      <c r="X2065">
        <f t="shared" si="194"/>
        <v>17779897</v>
      </c>
      <c r="Y2065">
        <f t="shared" si="195"/>
        <v>-26019845.5</v>
      </c>
      <c r="Z2065">
        <f t="shared" si="196"/>
        <v>45099742.5</v>
      </c>
      <c r="AA2065" t="str">
        <f t="shared" si="197"/>
        <v>Normal</v>
      </c>
      <c r="AE2065" s="2"/>
      <c r="AF2065" s="2"/>
    </row>
    <row r="2066" spans="1:32" x14ac:dyDescent="0.35">
      <c r="A2066">
        <v>2065</v>
      </c>
      <c r="B2066" s="1">
        <v>42388</v>
      </c>
      <c r="C2066" s="9" t="s">
        <v>3462</v>
      </c>
      <c r="D2066" s="9" t="s">
        <v>4988</v>
      </c>
      <c r="E2066" s="9" t="s">
        <v>7393</v>
      </c>
      <c r="F2066" s="9" t="s">
        <v>27</v>
      </c>
      <c r="G2066" s="9" t="s">
        <v>3463</v>
      </c>
      <c r="H2066" s="9" t="s">
        <v>86</v>
      </c>
      <c r="I2066" s="11">
        <v>445000</v>
      </c>
      <c r="J2066" s="11">
        <v>2531926</v>
      </c>
      <c r="K2066" s="11">
        <v>16556400</v>
      </c>
      <c r="L2066" s="3">
        <v>144</v>
      </c>
      <c r="M2066" s="3">
        <v>92</v>
      </c>
      <c r="N2066" s="3">
        <v>1018455</v>
      </c>
      <c r="O2066" s="2">
        <v>-6.2E-2</v>
      </c>
      <c r="P2066" s="2">
        <v>1.091</v>
      </c>
      <c r="Q2066" s="2">
        <v>0.11</v>
      </c>
      <c r="R2066" s="11">
        <v>450022771</v>
      </c>
      <c r="S2066" s="11">
        <v>1624608</v>
      </c>
      <c r="T2066">
        <v>2016</v>
      </c>
      <c r="U2066">
        <v>1</v>
      </c>
      <c r="V2066">
        <f t="shared" si="192"/>
        <v>647500</v>
      </c>
      <c r="W2066">
        <f t="shared" si="193"/>
        <v>18429897</v>
      </c>
      <c r="X2066">
        <f t="shared" si="194"/>
        <v>17782397</v>
      </c>
      <c r="Y2066">
        <f t="shared" si="195"/>
        <v>-26026095.5</v>
      </c>
      <c r="Z2066">
        <f t="shared" si="196"/>
        <v>45103492.5</v>
      </c>
      <c r="AA2066" t="str">
        <f t="shared" si="197"/>
        <v>Normal</v>
      </c>
      <c r="AE2066" s="2"/>
      <c r="AF2066" s="2"/>
    </row>
    <row r="2067" spans="1:32" x14ac:dyDescent="0.35">
      <c r="A2067">
        <v>2066</v>
      </c>
      <c r="B2067" s="1">
        <v>42388</v>
      </c>
      <c r="C2067" s="9" t="s">
        <v>2996</v>
      </c>
      <c r="D2067" s="9" t="s">
        <v>4933</v>
      </c>
      <c r="E2067" s="9" t="s">
        <v>7394</v>
      </c>
      <c r="F2067" s="9" t="s">
        <v>35</v>
      </c>
      <c r="G2067" s="9" t="s">
        <v>3464</v>
      </c>
      <c r="H2067" s="9" t="s">
        <v>105</v>
      </c>
      <c r="I2067" s="11">
        <v>3500000</v>
      </c>
      <c r="J2067" s="11">
        <v>4537289</v>
      </c>
      <c r="K2067" s="11">
        <v>15767822</v>
      </c>
      <c r="L2067" s="3">
        <v>208</v>
      </c>
      <c r="M2067" s="3">
        <v>4697</v>
      </c>
      <c r="N2067" s="3">
        <v>211663</v>
      </c>
      <c r="O2067" s="2">
        <v>5.8000000000000003E-2</v>
      </c>
      <c r="P2067" s="2">
        <v>0.50800000000000001</v>
      </c>
      <c r="Q2067" s="2">
        <v>-0.20300000000000001</v>
      </c>
      <c r="R2067" s="11">
        <v>224003117</v>
      </c>
      <c r="S2067" s="11">
        <v>741542</v>
      </c>
      <c r="T2067">
        <v>2016</v>
      </c>
      <c r="U2067">
        <v>1</v>
      </c>
      <c r="V2067">
        <f t="shared" si="192"/>
        <v>650000</v>
      </c>
      <c r="W2067">
        <f t="shared" si="193"/>
        <v>18429897</v>
      </c>
      <c r="X2067">
        <f t="shared" si="194"/>
        <v>17779897</v>
      </c>
      <c r="Y2067">
        <f t="shared" si="195"/>
        <v>-26019845.5</v>
      </c>
      <c r="Z2067">
        <f t="shared" si="196"/>
        <v>45099742.5</v>
      </c>
      <c r="AA2067" t="str">
        <f t="shared" si="197"/>
        <v>Normal</v>
      </c>
      <c r="AE2067" s="2"/>
      <c r="AF2067" s="2"/>
    </row>
    <row r="2068" spans="1:32" x14ac:dyDescent="0.35">
      <c r="A2068">
        <v>2067</v>
      </c>
      <c r="B2068" s="1">
        <v>42389</v>
      </c>
      <c r="C2068" s="9" t="s">
        <v>3465</v>
      </c>
      <c r="D2068" s="9" t="s">
        <v>4988</v>
      </c>
      <c r="E2068" s="9" t="s">
        <v>7395</v>
      </c>
      <c r="F2068" s="9" t="s">
        <v>27</v>
      </c>
      <c r="G2068" s="9" t="s">
        <v>2662</v>
      </c>
      <c r="H2068" s="9" t="s">
        <v>105</v>
      </c>
      <c r="I2068" s="11">
        <v>18429897</v>
      </c>
      <c r="J2068" s="11">
        <v>1665572</v>
      </c>
      <c r="K2068" s="11">
        <v>11057969</v>
      </c>
      <c r="L2068" s="3">
        <v>66</v>
      </c>
      <c r="M2068" s="3">
        <v>3394</v>
      </c>
      <c r="N2068" s="3">
        <v>663289</v>
      </c>
      <c r="O2068" s="2">
        <v>0.215</v>
      </c>
      <c r="P2068" s="2">
        <v>0.50800000000000001</v>
      </c>
      <c r="Q2068" s="2">
        <v>-0.10400000000000001</v>
      </c>
      <c r="R2068" s="11">
        <v>470127144</v>
      </c>
      <c r="S2068" s="11">
        <v>1591122</v>
      </c>
      <c r="T2068">
        <v>2016</v>
      </c>
      <c r="U2068">
        <v>1</v>
      </c>
      <c r="V2068">
        <f t="shared" si="192"/>
        <v>650000</v>
      </c>
      <c r="W2068">
        <f t="shared" si="193"/>
        <v>18429897</v>
      </c>
      <c r="X2068">
        <f t="shared" si="194"/>
        <v>17779897</v>
      </c>
      <c r="Y2068">
        <f t="shared" si="195"/>
        <v>-26019845.5</v>
      </c>
      <c r="Z2068">
        <f t="shared" si="196"/>
        <v>45099742.5</v>
      </c>
      <c r="AA2068" t="str">
        <f t="shared" si="197"/>
        <v>Normal</v>
      </c>
      <c r="AE2068" s="2"/>
      <c r="AF2068" s="2"/>
    </row>
    <row r="2069" spans="1:32" x14ac:dyDescent="0.35">
      <c r="A2069">
        <v>2068</v>
      </c>
      <c r="B2069" s="1">
        <v>42389</v>
      </c>
      <c r="C2069" s="9" t="s">
        <v>3466</v>
      </c>
      <c r="D2069" s="9" t="s">
        <v>4925</v>
      </c>
      <c r="E2069" s="9" t="s">
        <v>7396</v>
      </c>
      <c r="F2069" s="9" t="s">
        <v>27</v>
      </c>
      <c r="G2069" s="9" t="s">
        <v>683</v>
      </c>
      <c r="H2069" s="9" t="s">
        <v>105</v>
      </c>
      <c r="I2069" s="11">
        <v>1800000</v>
      </c>
      <c r="J2069" s="11">
        <v>2108118</v>
      </c>
      <c r="K2069" s="11">
        <v>7595150</v>
      </c>
      <c r="L2069" s="3">
        <v>66</v>
      </c>
      <c r="M2069" s="3">
        <v>3582</v>
      </c>
      <c r="N2069" s="3">
        <v>1011774</v>
      </c>
      <c r="O2069" s="2">
        <v>0.22399999999999998</v>
      </c>
      <c r="P2069" s="2">
        <v>0.34499999999999997</v>
      </c>
      <c r="Q2069" s="2">
        <v>-0.124</v>
      </c>
      <c r="R2069" s="11">
        <v>312698702</v>
      </c>
      <c r="S2069" s="11">
        <v>988248</v>
      </c>
      <c r="T2069">
        <v>2016</v>
      </c>
      <c r="U2069">
        <v>1</v>
      </c>
      <c r="V2069">
        <f t="shared" si="192"/>
        <v>650000</v>
      </c>
      <c r="W2069">
        <f t="shared" si="193"/>
        <v>18429897</v>
      </c>
      <c r="X2069">
        <f t="shared" si="194"/>
        <v>17779897</v>
      </c>
      <c r="Y2069">
        <f t="shared" si="195"/>
        <v>-26019845.5</v>
      </c>
      <c r="Z2069">
        <f t="shared" si="196"/>
        <v>45099742.5</v>
      </c>
      <c r="AA2069" t="str">
        <f t="shared" si="197"/>
        <v>Normal</v>
      </c>
      <c r="AE2069" s="2"/>
      <c r="AF2069" s="2"/>
    </row>
    <row r="2070" spans="1:32" x14ac:dyDescent="0.35">
      <c r="A2070">
        <v>2069</v>
      </c>
      <c r="B2070" s="1">
        <v>42389</v>
      </c>
      <c r="C2070" s="9" t="s">
        <v>3467</v>
      </c>
      <c r="D2070" s="9" t="s">
        <v>4925</v>
      </c>
      <c r="E2070" s="9" t="s">
        <v>7397</v>
      </c>
      <c r="F2070" s="9" t="s">
        <v>31</v>
      </c>
      <c r="G2070" s="9" t="s">
        <v>510</v>
      </c>
      <c r="H2070" s="9" t="s">
        <v>105</v>
      </c>
      <c r="I2070" s="11">
        <v>20000000</v>
      </c>
      <c r="J2070" s="11">
        <v>963685</v>
      </c>
      <c r="K2070" s="11">
        <v>15495630</v>
      </c>
      <c r="L2070" s="3">
        <v>377</v>
      </c>
      <c r="M2070" s="3">
        <v>2528</v>
      </c>
      <c r="N2070" s="3">
        <v>843112</v>
      </c>
      <c r="O2070" s="2">
        <v>-0.17100000000000001</v>
      </c>
      <c r="P2070" s="2">
        <v>1.1770000000000001E-2</v>
      </c>
      <c r="Q2070" s="2">
        <v>0.129</v>
      </c>
      <c r="R2070" s="11">
        <v>212665679</v>
      </c>
      <c r="S2070" s="11">
        <v>1379680</v>
      </c>
      <c r="T2070">
        <v>2016</v>
      </c>
      <c r="U2070">
        <v>1</v>
      </c>
      <c r="V2070">
        <f t="shared" si="192"/>
        <v>647500</v>
      </c>
      <c r="W2070">
        <f t="shared" si="193"/>
        <v>18429897</v>
      </c>
      <c r="X2070">
        <f t="shared" si="194"/>
        <v>17782397</v>
      </c>
      <c r="Y2070">
        <f t="shared" si="195"/>
        <v>-26026095.5</v>
      </c>
      <c r="Z2070">
        <f t="shared" si="196"/>
        <v>45103492.5</v>
      </c>
      <c r="AA2070" t="str">
        <f t="shared" si="197"/>
        <v>Normal</v>
      </c>
      <c r="AE2070" s="2"/>
      <c r="AF2070" s="2"/>
    </row>
    <row r="2071" spans="1:32" x14ac:dyDescent="0.35">
      <c r="A2071">
        <v>2070</v>
      </c>
      <c r="B2071" s="1">
        <v>42389</v>
      </c>
      <c r="C2071" s="9" t="s">
        <v>3468</v>
      </c>
      <c r="D2071" s="9" t="s">
        <v>4925</v>
      </c>
      <c r="E2071" s="9" t="s">
        <v>7398</v>
      </c>
      <c r="F2071" s="9" t="s">
        <v>4912</v>
      </c>
      <c r="G2071" s="9" t="s">
        <v>3469</v>
      </c>
      <c r="H2071" s="9" t="s">
        <v>105</v>
      </c>
      <c r="I2071" s="11">
        <v>4000000</v>
      </c>
      <c r="J2071" s="11">
        <v>3242417</v>
      </c>
      <c r="K2071" s="11">
        <v>13925259</v>
      </c>
      <c r="L2071" s="3">
        <v>176</v>
      </c>
      <c r="M2071" s="3">
        <v>3137</v>
      </c>
      <c r="N2071" s="3">
        <v>1601493</v>
      </c>
      <c r="O2071" s="2">
        <v>0.28000000000000003</v>
      </c>
      <c r="P2071" s="2">
        <v>0.79500000000000004</v>
      </c>
      <c r="Q2071" s="2">
        <v>-7.400000000000001E-2</v>
      </c>
      <c r="R2071" s="11">
        <v>49125334</v>
      </c>
      <c r="S2071" s="11">
        <v>1321243</v>
      </c>
      <c r="T2071">
        <v>2016</v>
      </c>
      <c r="U2071">
        <v>1</v>
      </c>
      <c r="V2071">
        <f t="shared" si="192"/>
        <v>645000</v>
      </c>
      <c r="W2071">
        <f t="shared" si="193"/>
        <v>18429897</v>
      </c>
      <c r="X2071">
        <f t="shared" si="194"/>
        <v>17784897</v>
      </c>
      <c r="Y2071">
        <f t="shared" si="195"/>
        <v>-26032345.5</v>
      </c>
      <c r="Z2071">
        <f t="shared" si="196"/>
        <v>45107242.5</v>
      </c>
      <c r="AA2071" t="str">
        <f t="shared" si="197"/>
        <v>Normal</v>
      </c>
      <c r="AE2071" s="2"/>
      <c r="AF2071" s="2"/>
    </row>
    <row r="2072" spans="1:32" x14ac:dyDescent="0.35">
      <c r="A2072">
        <v>2071</v>
      </c>
      <c r="B2072" s="1">
        <v>42389</v>
      </c>
      <c r="C2072" s="9" t="s">
        <v>3470</v>
      </c>
      <c r="D2072" s="9" t="s">
        <v>4988</v>
      </c>
      <c r="E2072" s="9" t="s">
        <v>7399</v>
      </c>
      <c r="F2072" s="9" t="s">
        <v>4913</v>
      </c>
      <c r="G2072" s="9" t="s">
        <v>7433</v>
      </c>
      <c r="H2072" s="9" t="s">
        <v>86</v>
      </c>
      <c r="I2072" s="11">
        <v>40000</v>
      </c>
      <c r="J2072" s="11">
        <v>2025514</v>
      </c>
      <c r="K2072" s="11">
        <v>16779702</v>
      </c>
      <c r="L2072" s="3">
        <v>286</v>
      </c>
      <c r="M2072" s="3">
        <v>4762</v>
      </c>
      <c r="N2072" s="3">
        <v>1115231</v>
      </c>
      <c r="O2072" s="2">
        <v>0.11199999999999999</v>
      </c>
      <c r="P2072" s="2">
        <v>0.89400000000000002</v>
      </c>
      <c r="Q2072" s="2">
        <v>-2.4E-2</v>
      </c>
      <c r="R2072" s="11">
        <v>499189641</v>
      </c>
      <c r="S2072" s="11">
        <v>882040</v>
      </c>
      <c r="T2072">
        <v>2016</v>
      </c>
      <c r="U2072">
        <v>1</v>
      </c>
      <c r="V2072">
        <f t="shared" si="192"/>
        <v>642500</v>
      </c>
      <c r="W2072">
        <f t="shared" si="193"/>
        <v>18429897</v>
      </c>
      <c r="X2072">
        <f t="shared" si="194"/>
        <v>17787397</v>
      </c>
      <c r="Y2072">
        <f t="shared" si="195"/>
        <v>-26038595.5</v>
      </c>
      <c r="Z2072">
        <f t="shared" si="196"/>
        <v>45110992.5</v>
      </c>
      <c r="AA2072" t="str">
        <f t="shared" si="197"/>
        <v>Normal</v>
      </c>
      <c r="AE2072" s="2"/>
      <c r="AF2072" s="2"/>
    </row>
    <row r="2073" spans="1:32" x14ac:dyDescent="0.35">
      <c r="A2073">
        <v>2072</v>
      </c>
      <c r="B2073" s="1">
        <v>42389</v>
      </c>
      <c r="C2073" s="9" t="s">
        <v>3471</v>
      </c>
      <c r="D2073" s="9" t="s">
        <v>2539</v>
      </c>
      <c r="E2073" s="9" t="s">
        <v>7400</v>
      </c>
      <c r="F2073" s="9" t="s">
        <v>31</v>
      </c>
      <c r="G2073" s="9" t="s">
        <v>3472</v>
      </c>
      <c r="H2073" s="9" t="s">
        <v>86</v>
      </c>
      <c r="I2073" s="11">
        <v>18429897</v>
      </c>
      <c r="J2073" s="11">
        <v>1724964</v>
      </c>
      <c r="K2073" s="11">
        <v>10153449</v>
      </c>
      <c r="L2073" s="3">
        <v>325</v>
      </c>
      <c r="M2073" s="3">
        <v>2505.5</v>
      </c>
      <c r="N2073" s="3">
        <v>1114393</v>
      </c>
      <c r="O2073" s="2">
        <v>0.373</v>
      </c>
      <c r="P2073" s="2">
        <v>0.50600000000000001</v>
      </c>
      <c r="Q2073" s="2">
        <v>0.58700000000000008</v>
      </c>
      <c r="R2073" s="11">
        <v>371026863</v>
      </c>
      <c r="S2073" s="11">
        <v>838628</v>
      </c>
      <c r="T2073">
        <v>2016</v>
      </c>
      <c r="U2073">
        <v>1</v>
      </c>
      <c r="V2073">
        <f t="shared" si="192"/>
        <v>650000</v>
      </c>
      <c r="W2073">
        <f t="shared" si="193"/>
        <v>18429897</v>
      </c>
      <c r="X2073">
        <f t="shared" si="194"/>
        <v>17779897</v>
      </c>
      <c r="Y2073">
        <f t="shared" si="195"/>
        <v>-26019845.5</v>
      </c>
      <c r="Z2073">
        <f t="shared" si="196"/>
        <v>45099742.5</v>
      </c>
      <c r="AA2073" t="str">
        <f t="shared" si="197"/>
        <v>Normal</v>
      </c>
      <c r="AE2073" s="2"/>
      <c r="AF2073" s="2"/>
    </row>
    <row r="2074" spans="1:32" x14ac:dyDescent="0.35">
      <c r="A2074">
        <v>2073</v>
      </c>
      <c r="B2074" s="1">
        <v>42390</v>
      </c>
      <c r="C2074" s="9" t="s">
        <v>3473</v>
      </c>
      <c r="D2074" s="9" t="s">
        <v>4925</v>
      </c>
      <c r="E2074" s="9" t="s">
        <v>7401</v>
      </c>
      <c r="F2074" s="9" t="s">
        <v>41</v>
      </c>
      <c r="G2074" s="9" t="s">
        <v>715</v>
      </c>
      <c r="H2074" s="9" t="s">
        <v>105</v>
      </c>
      <c r="I2074" s="11">
        <v>18429897</v>
      </c>
      <c r="J2074" s="11">
        <v>3488685</v>
      </c>
      <c r="K2074" s="11">
        <v>18845073</v>
      </c>
      <c r="L2074" s="3">
        <v>313</v>
      </c>
      <c r="M2074" s="3">
        <v>1275</v>
      </c>
      <c r="N2074" s="3">
        <v>753812</v>
      </c>
      <c r="O2074" s="2">
        <v>0.41199999999999998</v>
      </c>
      <c r="P2074" s="2">
        <v>0.23200000000000001</v>
      </c>
      <c r="Q2074" s="2">
        <v>-4.7E-2</v>
      </c>
      <c r="R2074" s="11">
        <v>486755386</v>
      </c>
      <c r="S2074" s="11">
        <v>1622503</v>
      </c>
      <c r="T2074">
        <v>2016</v>
      </c>
      <c r="U2074">
        <v>1</v>
      </c>
      <c r="V2074">
        <f t="shared" si="192"/>
        <v>647500</v>
      </c>
      <c r="W2074">
        <f t="shared" si="193"/>
        <v>18429897</v>
      </c>
      <c r="X2074">
        <f t="shared" si="194"/>
        <v>17782397</v>
      </c>
      <c r="Y2074">
        <f t="shared" si="195"/>
        <v>-26026095.5</v>
      </c>
      <c r="Z2074">
        <f t="shared" si="196"/>
        <v>45103492.5</v>
      </c>
      <c r="AA2074" t="str">
        <f t="shared" si="197"/>
        <v>Normal</v>
      </c>
      <c r="AE2074" s="2"/>
      <c r="AF2074" s="2"/>
    </row>
    <row r="2075" spans="1:32" x14ac:dyDescent="0.35">
      <c r="A2075">
        <v>2074</v>
      </c>
      <c r="B2075" s="1">
        <v>42390</v>
      </c>
      <c r="C2075" s="9" t="s">
        <v>950</v>
      </c>
      <c r="D2075" s="9" t="s">
        <v>4988</v>
      </c>
      <c r="E2075" s="9" t="s">
        <v>7402</v>
      </c>
      <c r="F2075" s="9" t="s">
        <v>15</v>
      </c>
      <c r="G2075" s="9" t="s">
        <v>3474</v>
      </c>
      <c r="H2075" s="9" t="s">
        <v>86</v>
      </c>
      <c r="I2075" s="11">
        <v>500000</v>
      </c>
      <c r="J2075" s="11">
        <v>2052620</v>
      </c>
      <c r="K2075" s="11">
        <v>15417854</v>
      </c>
      <c r="L2075" s="3">
        <v>315</v>
      </c>
      <c r="M2075" s="3">
        <v>3500</v>
      </c>
      <c r="N2075" s="3">
        <v>1688469</v>
      </c>
      <c r="O2075" s="2">
        <v>0.441</v>
      </c>
      <c r="P2075" s="2">
        <v>0.36299999999999999</v>
      </c>
      <c r="Q2075" s="2">
        <v>0.14400000000000002</v>
      </c>
      <c r="R2075" s="11">
        <v>385559320</v>
      </c>
      <c r="S2075" s="11">
        <v>669035</v>
      </c>
      <c r="T2075">
        <v>2016</v>
      </c>
      <c r="U2075">
        <v>1</v>
      </c>
      <c r="V2075">
        <f t="shared" si="192"/>
        <v>645000</v>
      </c>
      <c r="W2075">
        <f t="shared" si="193"/>
        <v>18429897</v>
      </c>
      <c r="X2075">
        <f t="shared" si="194"/>
        <v>17784897</v>
      </c>
      <c r="Y2075">
        <f t="shared" si="195"/>
        <v>-26032345.5</v>
      </c>
      <c r="Z2075">
        <f t="shared" si="196"/>
        <v>45107242.5</v>
      </c>
      <c r="AA2075" t="str">
        <f t="shared" si="197"/>
        <v>Normal</v>
      </c>
      <c r="AE2075" s="2"/>
      <c r="AF2075" s="2"/>
    </row>
    <row r="2076" spans="1:32" x14ac:dyDescent="0.35">
      <c r="A2076">
        <v>2075</v>
      </c>
      <c r="B2076" s="1">
        <v>42390</v>
      </c>
      <c r="C2076" s="9" t="s">
        <v>2117</v>
      </c>
      <c r="D2076" s="9" t="s">
        <v>4988</v>
      </c>
      <c r="E2076" s="9" t="s">
        <v>6131</v>
      </c>
      <c r="F2076" s="9" t="s">
        <v>63</v>
      </c>
      <c r="G2076" s="9" t="s">
        <v>3475</v>
      </c>
      <c r="H2076" s="9" t="s">
        <v>105</v>
      </c>
      <c r="I2076" s="11">
        <v>2200000</v>
      </c>
      <c r="J2076" s="11">
        <v>2332552</v>
      </c>
      <c r="K2076" s="11">
        <v>1362149</v>
      </c>
      <c r="L2076" s="3">
        <v>487</v>
      </c>
      <c r="M2076" s="3">
        <v>660</v>
      </c>
      <c r="N2076" s="3">
        <v>1402484</v>
      </c>
      <c r="O2076" s="2">
        <v>-0.16500000000000001</v>
      </c>
      <c r="P2076" s="2">
        <v>0.34200000000000003</v>
      </c>
      <c r="Q2076" s="2">
        <v>3.2000000000000001E-2</v>
      </c>
      <c r="R2076" s="11">
        <v>250264963</v>
      </c>
      <c r="S2076" s="11">
        <v>1316788</v>
      </c>
      <c r="T2076">
        <v>2016</v>
      </c>
      <c r="U2076">
        <v>1</v>
      </c>
      <c r="V2076">
        <f t="shared" si="192"/>
        <v>650000</v>
      </c>
      <c r="W2076">
        <f t="shared" si="193"/>
        <v>18429897</v>
      </c>
      <c r="X2076">
        <f t="shared" si="194"/>
        <v>17779897</v>
      </c>
      <c r="Y2076">
        <f t="shared" si="195"/>
        <v>-26019845.5</v>
      </c>
      <c r="Z2076">
        <f t="shared" si="196"/>
        <v>45099742.5</v>
      </c>
      <c r="AA2076" t="str">
        <f t="shared" si="197"/>
        <v>Normal</v>
      </c>
      <c r="AE2076" s="2"/>
      <c r="AF2076" s="2"/>
    </row>
    <row r="2077" spans="1:32" x14ac:dyDescent="0.35">
      <c r="A2077">
        <v>2076</v>
      </c>
      <c r="B2077" s="1">
        <v>42390</v>
      </c>
      <c r="C2077" s="9" t="s">
        <v>2170</v>
      </c>
      <c r="D2077" s="9" t="s">
        <v>4988</v>
      </c>
      <c r="E2077" s="9" t="s">
        <v>6458</v>
      </c>
      <c r="F2077" s="9" t="s">
        <v>31</v>
      </c>
      <c r="G2077" s="9" t="s">
        <v>3476</v>
      </c>
      <c r="H2077" s="9" t="s">
        <v>105</v>
      </c>
      <c r="I2077" s="11">
        <v>15000000</v>
      </c>
      <c r="J2077" s="11">
        <v>2211449</v>
      </c>
      <c r="K2077" s="11">
        <v>5948459</v>
      </c>
      <c r="L2077" s="3">
        <v>317</v>
      </c>
      <c r="M2077" s="3">
        <v>1264</v>
      </c>
      <c r="N2077" s="3">
        <v>1411764</v>
      </c>
      <c r="O2077" s="2">
        <v>0.2</v>
      </c>
      <c r="P2077" s="2">
        <v>0.64200000000000002</v>
      </c>
      <c r="Q2077" s="2">
        <v>8.8000000000000009E-2</v>
      </c>
      <c r="R2077" s="11">
        <v>475032704</v>
      </c>
      <c r="S2077" s="11">
        <v>510403</v>
      </c>
      <c r="T2077">
        <v>2016</v>
      </c>
      <c r="U2077">
        <v>1</v>
      </c>
      <c r="V2077">
        <f t="shared" si="192"/>
        <v>650000</v>
      </c>
      <c r="W2077">
        <f t="shared" si="193"/>
        <v>18429897</v>
      </c>
      <c r="X2077">
        <f t="shared" si="194"/>
        <v>17779897</v>
      </c>
      <c r="Y2077">
        <f t="shared" si="195"/>
        <v>-26019845.5</v>
      </c>
      <c r="Z2077">
        <f t="shared" si="196"/>
        <v>45099742.5</v>
      </c>
      <c r="AA2077" t="str">
        <f t="shared" si="197"/>
        <v>Normal</v>
      </c>
      <c r="AE2077" s="2"/>
      <c r="AF2077" s="2"/>
    </row>
    <row r="2078" spans="1:32" x14ac:dyDescent="0.35">
      <c r="A2078">
        <v>2077</v>
      </c>
      <c r="B2078" s="1">
        <v>42390</v>
      </c>
      <c r="C2078" s="9" t="s">
        <v>3477</v>
      </c>
      <c r="D2078" s="9" t="s">
        <v>4930</v>
      </c>
      <c r="E2078" s="9" t="s">
        <v>7403</v>
      </c>
      <c r="F2078" s="9" t="s">
        <v>15</v>
      </c>
      <c r="G2078" s="9" t="s">
        <v>3478</v>
      </c>
      <c r="H2078" s="9" t="s">
        <v>105</v>
      </c>
      <c r="I2078" s="11">
        <v>3000000</v>
      </c>
      <c r="J2078" s="11">
        <v>1307520</v>
      </c>
      <c r="K2078" s="11">
        <v>16004771</v>
      </c>
      <c r="L2078" s="3">
        <v>177</v>
      </c>
      <c r="M2078" s="3">
        <v>164</v>
      </c>
      <c r="N2078" s="3">
        <v>1312424</v>
      </c>
      <c r="O2078" s="2">
        <v>1.6E-2</v>
      </c>
      <c r="P2078" s="2">
        <v>0.49299999999999999</v>
      </c>
      <c r="Q2078" s="2">
        <v>0.26700000000000002</v>
      </c>
      <c r="R2078" s="11">
        <v>88119142</v>
      </c>
      <c r="S2078" s="11">
        <v>1323043</v>
      </c>
      <c r="T2078">
        <v>2016</v>
      </c>
      <c r="U2078">
        <v>1</v>
      </c>
      <c r="V2078">
        <f t="shared" si="192"/>
        <v>647500</v>
      </c>
      <c r="W2078">
        <f t="shared" si="193"/>
        <v>18429897</v>
      </c>
      <c r="X2078">
        <f t="shared" si="194"/>
        <v>17782397</v>
      </c>
      <c r="Y2078">
        <f t="shared" si="195"/>
        <v>-26026095.5</v>
      </c>
      <c r="Z2078">
        <f t="shared" si="196"/>
        <v>45103492.5</v>
      </c>
      <c r="AA2078" t="str">
        <f t="shared" si="197"/>
        <v>Normal</v>
      </c>
      <c r="AE2078" s="2"/>
      <c r="AF2078" s="2"/>
    </row>
    <row r="2079" spans="1:32" x14ac:dyDescent="0.35">
      <c r="A2079">
        <v>2078</v>
      </c>
      <c r="B2079" s="1">
        <v>42391</v>
      </c>
      <c r="C2079" s="9" t="s">
        <v>3479</v>
      </c>
      <c r="D2079" s="9" t="s">
        <v>4988</v>
      </c>
      <c r="E2079" s="9" t="s">
        <v>7404</v>
      </c>
      <c r="F2079" s="9" t="s">
        <v>2911</v>
      </c>
      <c r="G2079" s="9" t="s">
        <v>3480</v>
      </c>
      <c r="H2079" s="9" t="s">
        <v>86</v>
      </c>
      <c r="I2079" s="11">
        <v>200000</v>
      </c>
      <c r="J2079" s="11">
        <v>646518</v>
      </c>
      <c r="K2079" s="11">
        <v>2409985</v>
      </c>
      <c r="L2079" s="3">
        <v>145</v>
      </c>
      <c r="M2079" s="3">
        <v>322</v>
      </c>
      <c r="N2079" s="3">
        <v>1330023</v>
      </c>
      <c r="O2079" s="2">
        <v>0.38</v>
      </c>
      <c r="P2079" s="2">
        <v>1.1440000000000001</v>
      </c>
      <c r="Q2079" s="2">
        <v>-0.45</v>
      </c>
      <c r="R2079" s="11">
        <v>327558265</v>
      </c>
      <c r="S2079" s="11">
        <v>430996</v>
      </c>
      <c r="T2079">
        <v>2016</v>
      </c>
      <c r="U2079">
        <v>1</v>
      </c>
      <c r="V2079">
        <f t="shared" si="192"/>
        <v>645000</v>
      </c>
      <c r="W2079">
        <f t="shared" si="193"/>
        <v>18429897</v>
      </c>
      <c r="X2079">
        <f t="shared" si="194"/>
        <v>17784897</v>
      </c>
      <c r="Y2079">
        <f t="shared" si="195"/>
        <v>-26032345.5</v>
      </c>
      <c r="Z2079">
        <f t="shared" si="196"/>
        <v>45107242.5</v>
      </c>
      <c r="AA2079" t="str">
        <f t="shared" si="197"/>
        <v>Normal</v>
      </c>
      <c r="AE2079" s="2"/>
      <c r="AF2079" s="2"/>
    </row>
    <row r="2080" spans="1:32" x14ac:dyDescent="0.35">
      <c r="A2080">
        <v>2079</v>
      </c>
      <c r="B2080" s="1">
        <v>42391</v>
      </c>
      <c r="C2080" s="9" t="s">
        <v>3481</v>
      </c>
      <c r="D2080" s="9" t="s">
        <v>4988</v>
      </c>
      <c r="E2080" s="9" t="s">
        <v>7405</v>
      </c>
      <c r="F2080" s="9" t="s">
        <v>15</v>
      </c>
      <c r="G2080" s="9" t="s">
        <v>3482</v>
      </c>
      <c r="H2080" s="9" t="s">
        <v>105</v>
      </c>
      <c r="I2080" s="11">
        <v>18429897</v>
      </c>
      <c r="J2080" s="11">
        <v>4139624</v>
      </c>
      <c r="K2080" s="11">
        <v>14204446</v>
      </c>
      <c r="L2080" s="3">
        <v>401</v>
      </c>
      <c r="M2080" s="3">
        <v>2249</v>
      </c>
      <c r="N2080" s="3">
        <v>1513694</v>
      </c>
      <c r="O2080" s="2">
        <v>0.40899999999999997</v>
      </c>
      <c r="P2080" s="2">
        <v>1.042</v>
      </c>
      <c r="Q2080" s="2">
        <v>0.13800000000000001</v>
      </c>
      <c r="R2080" s="11">
        <v>205163467</v>
      </c>
      <c r="S2080" s="11">
        <v>1020942</v>
      </c>
      <c r="T2080">
        <v>2016</v>
      </c>
      <c r="U2080">
        <v>1</v>
      </c>
      <c r="V2080">
        <f t="shared" si="192"/>
        <v>650000</v>
      </c>
      <c r="W2080">
        <f t="shared" si="193"/>
        <v>18429897</v>
      </c>
      <c r="X2080">
        <f t="shared" si="194"/>
        <v>17779897</v>
      </c>
      <c r="Y2080">
        <f t="shared" si="195"/>
        <v>-26019845.5</v>
      </c>
      <c r="Z2080">
        <f t="shared" si="196"/>
        <v>45099742.5</v>
      </c>
      <c r="AA2080" t="str">
        <f t="shared" si="197"/>
        <v>Normal</v>
      </c>
      <c r="AE2080" s="2"/>
      <c r="AF2080" s="2"/>
    </row>
    <row r="2081" spans="1:32" x14ac:dyDescent="0.35">
      <c r="A2081">
        <v>2080</v>
      </c>
      <c r="B2081" s="1">
        <v>42391</v>
      </c>
      <c r="C2081" s="9" t="s">
        <v>3294</v>
      </c>
      <c r="D2081" s="9" t="s">
        <v>4925</v>
      </c>
      <c r="E2081" s="9" t="s">
        <v>7406</v>
      </c>
      <c r="F2081" s="9" t="s">
        <v>15</v>
      </c>
      <c r="G2081" s="9" t="s">
        <v>3483</v>
      </c>
      <c r="H2081" s="9" t="s">
        <v>105</v>
      </c>
      <c r="I2081" s="11">
        <v>7200000</v>
      </c>
      <c r="J2081" s="11">
        <v>476783</v>
      </c>
      <c r="K2081" s="11">
        <v>6877492</v>
      </c>
      <c r="L2081" s="3">
        <v>213</v>
      </c>
      <c r="M2081" s="3">
        <v>3317</v>
      </c>
      <c r="N2081" s="3">
        <v>468095</v>
      </c>
      <c r="O2081" s="2">
        <v>0.316</v>
      </c>
      <c r="P2081" s="2">
        <v>0.74</v>
      </c>
      <c r="Q2081" s="2">
        <v>0.6</v>
      </c>
      <c r="R2081" s="11">
        <v>288162549</v>
      </c>
      <c r="S2081" s="11">
        <v>1145396</v>
      </c>
      <c r="T2081">
        <v>2016</v>
      </c>
      <c r="U2081">
        <v>1</v>
      </c>
      <c r="V2081">
        <f t="shared" si="192"/>
        <v>650000</v>
      </c>
      <c r="W2081">
        <f t="shared" si="193"/>
        <v>18429897</v>
      </c>
      <c r="X2081">
        <f t="shared" si="194"/>
        <v>17779897</v>
      </c>
      <c r="Y2081">
        <f t="shared" si="195"/>
        <v>-26019845.5</v>
      </c>
      <c r="Z2081">
        <f t="shared" si="196"/>
        <v>45099742.5</v>
      </c>
      <c r="AA2081" t="str">
        <f t="shared" si="197"/>
        <v>Normal</v>
      </c>
      <c r="AE2081" s="2"/>
      <c r="AF2081" s="2"/>
    </row>
    <row r="2082" spans="1:32" x14ac:dyDescent="0.35">
      <c r="A2082">
        <v>2081</v>
      </c>
      <c r="B2082" s="1">
        <v>42391</v>
      </c>
      <c r="C2082" s="9" t="s">
        <v>3172</v>
      </c>
      <c r="D2082" s="9" t="s">
        <v>4988</v>
      </c>
      <c r="E2082" s="9" t="s">
        <v>3484</v>
      </c>
      <c r="F2082" s="9" t="s">
        <v>19</v>
      </c>
      <c r="G2082" s="9" t="s">
        <v>3485</v>
      </c>
      <c r="H2082" s="9" t="s">
        <v>86</v>
      </c>
      <c r="I2082" s="11">
        <v>18429897</v>
      </c>
      <c r="J2082" s="11">
        <v>1637896</v>
      </c>
      <c r="K2082" s="11">
        <v>4219809</v>
      </c>
      <c r="L2082" s="3">
        <v>281</v>
      </c>
      <c r="M2082" s="3">
        <v>549</v>
      </c>
      <c r="N2082" s="3">
        <v>1046056</v>
      </c>
      <c r="O2082" s="2">
        <v>3.5000000000000003E-2</v>
      </c>
      <c r="P2082" s="2">
        <v>1.052E-2</v>
      </c>
      <c r="Q2082" s="2">
        <v>0.14400000000000002</v>
      </c>
      <c r="R2082" s="11">
        <v>290849190</v>
      </c>
      <c r="S2082" s="11">
        <v>301602</v>
      </c>
      <c r="T2082">
        <v>2016</v>
      </c>
      <c r="U2082">
        <v>1</v>
      </c>
      <c r="V2082">
        <f t="shared" si="192"/>
        <v>647500</v>
      </c>
      <c r="W2082">
        <f t="shared" si="193"/>
        <v>18429897</v>
      </c>
      <c r="X2082">
        <f t="shared" si="194"/>
        <v>17782397</v>
      </c>
      <c r="Y2082">
        <f t="shared" si="195"/>
        <v>-26026095.5</v>
      </c>
      <c r="Z2082">
        <f t="shared" si="196"/>
        <v>45103492.5</v>
      </c>
      <c r="AA2082" t="str">
        <f t="shared" si="197"/>
        <v>Normal</v>
      </c>
      <c r="AE2082" s="2"/>
      <c r="AF2082" s="2"/>
    </row>
    <row r="2083" spans="1:32" x14ac:dyDescent="0.35">
      <c r="A2083">
        <v>2082</v>
      </c>
      <c r="B2083" s="1">
        <v>42391</v>
      </c>
      <c r="C2083" s="9" t="s">
        <v>3486</v>
      </c>
      <c r="D2083" s="9" t="s">
        <v>4988</v>
      </c>
      <c r="E2083" s="9" t="s">
        <v>7407</v>
      </c>
      <c r="F2083" s="9" t="s">
        <v>408</v>
      </c>
      <c r="G2083" s="9" t="s">
        <v>3487</v>
      </c>
      <c r="H2083" s="9" t="s">
        <v>86</v>
      </c>
      <c r="I2083" s="11">
        <v>18429897</v>
      </c>
      <c r="J2083" s="11">
        <v>3344099</v>
      </c>
      <c r="K2083" s="11">
        <v>10844224</v>
      </c>
      <c r="L2083" s="3">
        <v>408</v>
      </c>
      <c r="M2083" s="3">
        <v>4914</v>
      </c>
      <c r="N2083" s="3">
        <v>262563</v>
      </c>
      <c r="O2083" s="2">
        <v>0.22899999999999998</v>
      </c>
      <c r="P2083" s="2">
        <v>0.78500000000000003</v>
      </c>
      <c r="Q2083" s="2">
        <v>4.9000000000000002E-2</v>
      </c>
      <c r="R2083" s="11">
        <v>247638443</v>
      </c>
      <c r="S2083" s="11">
        <v>153865</v>
      </c>
      <c r="T2083">
        <v>2016</v>
      </c>
      <c r="U2083">
        <v>1</v>
      </c>
      <c r="V2083">
        <f t="shared" si="192"/>
        <v>645000</v>
      </c>
      <c r="W2083">
        <f t="shared" si="193"/>
        <v>18429897</v>
      </c>
      <c r="X2083">
        <f t="shared" si="194"/>
        <v>17784897</v>
      </c>
      <c r="Y2083">
        <f t="shared" si="195"/>
        <v>-26032345.5</v>
      </c>
      <c r="Z2083">
        <f t="shared" si="196"/>
        <v>45107242.5</v>
      </c>
      <c r="AA2083" t="str">
        <f t="shared" si="197"/>
        <v>Normal</v>
      </c>
      <c r="AE2083" s="2"/>
      <c r="AF2083" s="2"/>
    </row>
    <row r="2084" spans="1:32" x14ac:dyDescent="0.35">
      <c r="A2084">
        <v>2083</v>
      </c>
      <c r="B2084" s="1">
        <v>42391</v>
      </c>
      <c r="C2084" s="9" t="s">
        <v>3488</v>
      </c>
      <c r="D2084" s="9" t="s">
        <v>4930</v>
      </c>
      <c r="E2084" s="9" t="s">
        <v>7408</v>
      </c>
      <c r="F2084" s="9" t="s">
        <v>15</v>
      </c>
      <c r="G2084" s="9" t="s">
        <v>825</v>
      </c>
      <c r="H2084" s="9" t="s">
        <v>86</v>
      </c>
      <c r="I2084" s="11">
        <v>515000</v>
      </c>
      <c r="J2084" s="11">
        <v>673848</v>
      </c>
      <c r="K2084" s="11">
        <v>18640875</v>
      </c>
      <c r="L2084" s="3">
        <v>121</v>
      </c>
      <c r="M2084" s="3">
        <v>3889</v>
      </c>
      <c r="N2084" s="3">
        <v>1018455</v>
      </c>
      <c r="O2084" s="2">
        <v>1</v>
      </c>
      <c r="P2084" s="2">
        <v>1.1200000000000001</v>
      </c>
      <c r="Q2084" s="2">
        <v>5.0999999999999997E-2</v>
      </c>
      <c r="R2084" s="11">
        <v>46329965</v>
      </c>
      <c r="S2084" s="11">
        <v>505086</v>
      </c>
      <c r="T2084">
        <v>2016</v>
      </c>
      <c r="U2084">
        <v>1</v>
      </c>
      <c r="V2084">
        <f t="shared" si="192"/>
        <v>642500</v>
      </c>
      <c r="W2084">
        <f t="shared" si="193"/>
        <v>18429897</v>
      </c>
      <c r="X2084">
        <f t="shared" si="194"/>
        <v>17787397</v>
      </c>
      <c r="Y2084">
        <f t="shared" si="195"/>
        <v>-26038595.5</v>
      </c>
      <c r="Z2084">
        <f t="shared" si="196"/>
        <v>45110992.5</v>
      </c>
      <c r="AA2084" t="str">
        <f t="shared" si="197"/>
        <v>Normal</v>
      </c>
      <c r="AE2084" s="2"/>
      <c r="AF2084" s="2"/>
    </row>
    <row r="2085" spans="1:32" x14ac:dyDescent="0.35">
      <c r="A2085">
        <v>2084</v>
      </c>
      <c r="B2085" s="1">
        <v>42391</v>
      </c>
      <c r="C2085" s="9" t="s">
        <v>3489</v>
      </c>
      <c r="D2085" s="9" t="s">
        <v>4930</v>
      </c>
      <c r="E2085" s="9" t="s">
        <v>7409</v>
      </c>
      <c r="F2085" s="9" t="s">
        <v>31</v>
      </c>
      <c r="G2085" s="9" t="s">
        <v>3490</v>
      </c>
      <c r="H2085" s="9" t="s">
        <v>105</v>
      </c>
      <c r="I2085" s="11">
        <v>35000000</v>
      </c>
      <c r="J2085" s="11">
        <v>3284478</v>
      </c>
      <c r="K2085" s="11">
        <v>17963447</v>
      </c>
      <c r="L2085" s="3">
        <v>115</v>
      </c>
      <c r="M2085" s="3">
        <v>3330</v>
      </c>
      <c r="N2085" s="3">
        <v>582674</v>
      </c>
      <c r="O2085" s="2">
        <v>0.12300000000000001</v>
      </c>
      <c r="P2085" s="2">
        <v>0.94499999999999995</v>
      </c>
      <c r="Q2085" s="2">
        <v>0.17399999999999999</v>
      </c>
      <c r="R2085" s="11">
        <v>153071484</v>
      </c>
      <c r="S2085" s="11">
        <v>328371</v>
      </c>
      <c r="T2085">
        <v>2016</v>
      </c>
      <c r="U2085">
        <v>1</v>
      </c>
      <c r="V2085">
        <f t="shared" si="192"/>
        <v>650000</v>
      </c>
      <c r="W2085">
        <f t="shared" si="193"/>
        <v>18429897</v>
      </c>
      <c r="X2085">
        <f t="shared" si="194"/>
        <v>17779897</v>
      </c>
      <c r="Y2085">
        <f t="shared" si="195"/>
        <v>-26019845.5</v>
      </c>
      <c r="Z2085">
        <f t="shared" si="196"/>
        <v>45099742.5</v>
      </c>
      <c r="AA2085" t="str">
        <f t="shared" si="197"/>
        <v>Normal</v>
      </c>
      <c r="AE2085" s="2"/>
      <c r="AF2085" s="2"/>
    </row>
    <row r="2086" spans="1:32" x14ac:dyDescent="0.35">
      <c r="A2086">
        <v>2085</v>
      </c>
      <c r="B2086" s="1">
        <v>42391</v>
      </c>
      <c r="C2086" s="9" t="s">
        <v>961</v>
      </c>
      <c r="D2086" s="9" t="s">
        <v>4930</v>
      </c>
      <c r="E2086" s="9" t="s">
        <v>7410</v>
      </c>
      <c r="F2086" s="9" t="s">
        <v>15</v>
      </c>
      <c r="G2086" s="9" t="s">
        <v>3491</v>
      </c>
      <c r="H2086" s="9" t="s">
        <v>105</v>
      </c>
      <c r="I2086" s="11">
        <v>30000000</v>
      </c>
      <c r="J2086" s="11">
        <v>3670668</v>
      </c>
      <c r="K2086" s="11">
        <v>8143617</v>
      </c>
      <c r="L2086" s="3">
        <v>31</v>
      </c>
      <c r="M2086" s="3">
        <v>406</v>
      </c>
      <c r="N2086" s="3">
        <v>402335</v>
      </c>
      <c r="O2086" s="2">
        <v>0.10199999999999999</v>
      </c>
      <c r="P2086" s="2">
        <v>0.93500000000000005</v>
      </c>
      <c r="Q2086" s="2">
        <v>-3.7999999999999999E-2</v>
      </c>
      <c r="R2086" s="11">
        <v>165111211</v>
      </c>
      <c r="S2086" s="11">
        <v>619207</v>
      </c>
      <c r="T2086">
        <v>2016</v>
      </c>
      <c r="U2086">
        <v>1</v>
      </c>
      <c r="V2086">
        <f t="shared" si="192"/>
        <v>647500</v>
      </c>
      <c r="W2086">
        <f t="shared" si="193"/>
        <v>18429897</v>
      </c>
      <c r="X2086">
        <f t="shared" si="194"/>
        <v>17782397</v>
      </c>
      <c r="Y2086">
        <f t="shared" si="195"/>
        <v>-26026095.5</v>
      </c>
      <c r="Z2086">
        <f t="shared" si="196"/>
        <v>45103492.5</v>
      </c>
      <c r="AA2086" t="str">
        <f t="shared" si="197"/>
        <v>Normal</v>
      </c>
      <c r="AE2086" s="2"/>
      <c r="AF2086" s="2"/>
    </row>
    <row r="2087" spans="1:32" x14ac:dyDescent="0.35">
      <c r="A2087">
        <v>2086</v>
      </c>
      <c r="B2087" s="1">
        <v>42391</v>
      </c>
      <c r="C2087" s="9" t="s">
        <v>3492</v>
      </c>
      <c r="D2087" s="9" t="s">
        <v>2539</v>
      </c>
      <c r="E2087" s="9" t="s">
        <v>7411</v>
      </c>
      <c r="F2087" s="9" t="s">
        <v>19</v>
      </c>
      <c r="G2087" s="9" t="s">
        <v>3493</v>
      </c>
      <c r="H2087" s="9" t="s">
        <v>86</v>
      </c>
      <c r="I2087" s="11">
        <v>18429897</v>
      </c>
      <c r="J2087" s="11">
        <v>3321290</v>
      </c>
      <c r="K2087" s="11">
        <v>173520</v>
      </c>
      <c r="L2087" s="3">
        <v>40</v>
      </c>
      <c r="M2087" s="3">
        <v>2618</v>
      </c>
      <c r="N2087" s="3">
        <v>1094542</v>
      </c>
      <c r="O2087" s="2">
        <v>-0.28000000000000003</v>
      </c>
      <c r="P2087" s="2">
        <v>0.47499999999999998</v>
      </c>
      <c r="Q2087" s="2">
        <v>0.36749999999999999</v>
      </c>
      <c r="R2087" s="11">
        <v>88980537</v>
      </c>
      <c r="S2087" s="11">
        <v>1187180</v>
      </c>
      <c r="T2087">
        <v>2016</v>
      </c>
      <c r="U2087">
        <v>1</v>
      </c>
      <c r="V2087">
        <f t="shared" si="192"/>
        <v>645000</v>
      </c>
      <c r="W2087">
        <f t="shared" si="193"/>
        <v>18429897</v>
      </c>
      <c r="X2087">
        <f t="shared" si="194"/>
        <v>17784897</v>
      </c>
      <c r="Y2087">
        <f t="shared" si="195"/>
        <v>-26032345.5</v>
      </c>
      <c r="Z2087">
        <f t="shared" si="196"/>
        <v>45107242.5</v>
      </c>
      <c r="AA2087" t="str">
        <f t="shared" si="197"/>
        <v>Normal</v>
      </c>
      <c r="AE2087" s="2"/>
      <c r="AF2087" s="2"/>
    </row>
    <row r="2088" spans="1:32" x14ac:dyDescent="0.35">
      <c r="A2088">
        <v>2087</v>
      </c>
      <c r="B2088" s="1">
        <v>42394</v>
      </c>
      <c r="C2088" s="9" t="s">
        <v>3494</v>
      </c>
      <c r="D2088" s="9" t="s">
        <v>4988</v>
      </c>
      <c r="E2088" s="9" t="s">
        <v>7412</v>
      </c>
      <c r="F2088" s="9" t="s">
        <v>31</v>
      </c>
      <c r="G2088" s="9" t="s">
        <v>329</v>
      </c>
      <c r="H2088" s="9" t="s">
        <v>86</v>
      </c>
      <c r="I2088" s="11">
        <v>150000</v>
      </c>
      <c r="J2088" s="11">
        <v>1539062</v>
      </c>
      <c r="K2088" s="11">
        <v>17763449</v>
      </c>
      <c r="L2088" s="3">
        <v>309</v>
      </c>
      <c r="M2088" s="3">
        <v>2505.5</v>
      </c>
      <c r="N2088" s="3">
        <v>873828</v>
      </c>
      <c r="O2088" s="2">
        <v>-4.2000000000000003E-2</v>
      </c>
      <c r="P2088" s="2">
        <v>0.99400000000000011</v>
      </c>
      <c r="Q2088" s="2">
        <v>-0.14099999999999999</v>
      </c>
      <c r="R2088" s="11">
        <v>378566117</v>
      </c>
      <c r="S2088" s="11">
        <v>679632</v>
      </c>
      <c r="T2088">
        <v>2016</v>
      </c>
      <c r="U2088">
        <v>1</v>
      </c>
      <c r="V2088">
        <f t="shared" si="192"/>
        <v>642500</v>
      </c>
      <c r="W2088">
        <f t="shared" si="193"/>
        <v>18429897</v>
      </c>
      <c r="X2088">
        <f t="shared" si="194"/>
        <v>17787397</v>
      </c>
      <c r="Y2088">
        <f t="shared" si="195"/>
        <v>-26038595.5</v>
      </c>
      <c r="Z2088">
        <f t="shared" si="196"/>
        <v>45110992.5</v>
      </c>
      <c r="AA2088" t="str">
        <f t="shared" si="197"/>
        <v>Normal</v>
      </c>
      <c r="AE2088" s="2"/>
      <c r="AF2088" s="2"/>
    </row>
    <row r="2089" spans="1:32" x14ac:dyDescent="0.35">
      <c r="A2089">
        <v>2088</v>
      </c>
      <c r="B2089" s="1">
        <v>42394</v>
      </c>
      <c r="C2089" s="9" t="s">
        <v>1121</v>
      </c>
      <c r="D2089" s="9" t="s">
        <v>4988</v>
      </c>
      <c r="E2089" s="9" t="s">
        <v>7413</v>
      </c>
      <c r="F2089" s="9" t="s">
        <v>19</v>
      </c>
      <c r="G2089" s="9" t="s">
        <v>3495</v>
      </c>
      <c r="H2089" s="9" t="s">
        <v>105</v>
      </c>
      <c r="I2089" s="11">
        <v>21000000</v>
      </c>
      <c r="J2089" s="11">
        <v>118436</v>
      </c>
      <c r="K2089" s="11">
        <v>17955421</v>
      </c>
      <c r="L2089" s="3">
        <v>254</v>
      </c>
      <c r="M2089" s="3">
        <v>1227</v>
      </c>
      <c r="N2089" s="3">
        <v>1018455</v>
      </c>
      <c r="O2089" s="2">
        <v>0.57399999999999995</v>
      </c>
      <c r="P2089" s="2">
        <v>0.50800000000000001</v>
      </c>
      <c r="Q2089" s="2">
        <v>0.46</v>
      </c>
      <c r="R2089" s="11">
        <v>442144496</v>
      </c>
      <c r="S2089" s="11">
        <v>1615634</v>
      </c>
      <c r="T2089">
        <v>2016</v>
      </c>
      <c r="U2089">
        <v>1</v>
      </c>
      <c r="V2089">
        <f t="shared" si="192"/>
        <v>650000</v>
      </c>
      <c r="W2089">
        <f t="shared" si="193"/>
        <v>18429897</v>
      </c>
      <c r="X2089">
        <f t="shared" si="194"/>
        <v>17779897</v>
      </c>
      <c r="Y2089">
        <f t="shared" si="195"/>
        <v>-26019845.5</v>
      </c>
      <c r="Z2089">
        <f t="shared" si="196"/>
        <v>45099742.5</v>
      </c>
      <c r="AA2089" t="str">
        <f t="shared" si="197"/>
        <v>Normal</v>
      </c>
      <c r="AE2089" s="2"/>
      <c r="AF2089" s="2"/>
    </row>
    <row r="2090" spans="1:32" x14ac:dyDescent="0.35">
      <c r="A2090">
        <v>2089</v>
      </c>
      <c r="B2090" s="1">
        <v>42394</v>
      </c>
      <c r="C2090" s="9" t="s">
        <v>3496</v>
      </c>
      <c r="D2090" s="9" t="s">
        <v>4925</v>
      </c>
      <c r="E2090" s="9" t="s">
        <v>7414</v>
      </c>
      <c r="F2090" s="9" t="s">
        <v>27</v>
      </c>
      <c r="G2090" s="9" t="s">
        <v>3497</v>
      </c>
      <c r="H2090" s="9" t="s">
        <v>105</v>
      </c>
      <c r="I2090" s="11">
        <v>18429897</v>
      </c>
      <c r="J2090" s="11">
        <v>4439014</v>
      </c>
      <c r="K2090" s="11">
        <v>12141762</v>
      </c>
      <c r="L2090" s="3">
        <v>152</v>
      </c>
      <c r="M2090" s="3">
        <v>2727</v>
      </c>
      <c r="N2090" s="3">
        <v>1746042</v>
      </c>
      <c r="O2090" s="2">
        <v>0.10300000000000001</v>
      </c>
      <c r="P2090" s="2">
        <v>0.28100000000000003</v>
      </c>
      <c r="Q2090" s="2">
        <v>-0.21</v>
      </c>
      <c r="R2090" s="11">
        <v>56808589</v>
      </c>
      <c r="S2090" s="11">
        <v>948178</v>
      </c>
      <c r="T2090">
        <v>2016</v>
      </c>
      <c r="U2090">
        <v>1</v>
      </c>
      <c r="V2090">
        <f t="shared" si="192"/>
        <v>647500</v>
      </c>
      <c r="W2090">
        <f t="shared" si="193"/>
        <v>18429897</v>
      </c>
      <c r="X2090">
        <f t="shared" si="194"/>
        <v>17782397</v>
      </c>
      <c r="Y2090">
        <f t="shared" si="195"/>
        <v>-26026095.5</v>
      </c>
      <c r="Z2090">
        <f t="shared" si="196"/>
        <v>45103492.5</v>
      </c>
      <c r="AA2090" t="str">
        <f t="shared" si="197"/>
        <v>Normal</v>
      </c>
      <c r="AE2090" s="2"/>
      <c r="AF2090" s="2"/>
    </row>
    <row r="2091" spans="1:32" x14ac:dyDescent="0.35">
      <c r="A2091">
        <v>2090</v>
      </c>
      <c r="B2091" s="1">
        <v>42396</v>
      </c>
      <c r="C2091" s="9" t="s">
        <v>2736</v>
      </c>
      <c r="D2091" s="9" t="s">
        <v>4925</v>
      </c>
      <c r="E2091" s="9" t="s">
        <v>7415</v>
      </c>
      <c r="F2091" s="9" t="s">
        <v>2737</v>
      </c>
      <c r="G2091" s="9" t="s">
        <v>715</v>
      </c>
      <c r="H2091" s="9" t="s">
        <v>105</v>
      </c>
      <c r="I2091" s="11">
        <v>18429897</v>
      </c>
      <c r="J2091" s="11">
        <v>1646203</v>
      </c>
      <c r="K2091" s="11">
        <v>10153449</v>
      </c>
      <c r="L2091" s="3">
        <v>109</v>
      </c>
      <c r="M2091" s="3">
        <v>2842</v>
      </c>
      <c r="N2091" s="3">
        <v>723840</v>
      </c>
      <c r="O2091" s="2">
        <v>0.152</v>
      </c>
      <c r="P2091" s="2">
        <v>0.25800000000000001</v>
      </c>
      <c r="Q2091" s="2">
        <v>3.4000000000000002E-2</v>
      </c>
      <c r="R2091" s="11">
        <v>477303948</v>
      </c>
      <c r="S2091" s="11">
        <v>537322</v>
      </c>
      <c r="T2091">
        <v>2016</v>
      </c>
      <c r="U2091">
        <v>1</v>
      </c>
      <c r="V2091">
        <f t="shared" si="192"/>
        <v>645000</v>
      </c>
      <c r="W2091">
        <f t="shared" si="193"/>
        <v>18429897</v>
      </c>
      <c r="X2091">
        <f t="shared" si="194"/>
        <v>17784897</v>
      </c>
      <c r="Y2091">
        <f t="shared" si="195"/>
        <v>-26032345.5</v>
      </c>
      <c r="Z2091">
        <f t="shared" si="196"/>
        <v>45107242.5</v>
      </c>
      <c r="AA2091" t="str">
        <f t="shared" si="197"/>
        <v>Normal</v>
      </c>
      <c r="AE2091" s="2"/>
      <c r="AF2091" s="2"/>
    </row>
    <row r="2092" spans="1:32" x14ac:dyDescent="0.35">
      <c r="A2092">
        <v>2091</v>
      </c>
      <c r="B2092" s="1">
        <v>42396</v>
      </c>
      <c r="C2092" s="9" t="s">
        <v>3498</v>
      </c>
      <c r="D2092" s="9" t="s">
        <v>4925</v>
      </c>
      <c r="E2092" s="9" t="s">
        <v>7216</v>
      </c>
      <c r="F2092" s="9" t="s">
        <v>19</v>
      </c>
      <c r="G2092" s="9" t="s">
        <v>3499</v>
      </c>
      <c r="H2092" s="9" t="s">
        <v>105</v>
      </c>
      <c r="I2092" s="11">
        <v>4000000</v>
      </c>
      <c r="J2092" s="11">
        <v>4028930</v>
      </c>
      <c r="K2092" s="11">
        <v>10582284</v>
      </c>
      <c r="L2092" s="3">
        <v>349</v>
      </c>
      <c r="M2092" s="3">
        <v>3497</v>
      </c>
      <c r="N2092" s="3">
        <v>242140</v>
      </c>
      <c r="O2092" s="2">
        <v>0.11799999999999999</v>
      </c>
      <c r="P2092" s="2">
        <v>1.081</v>
      </c>
      <c r="Q2092" s="2">
        <v>0.17800000000000002</v>
      </c>
      <c r="R2092" s="11">
        <v>335848221</v>
      </c>
      <c r="S2092" s="11">
        <v>37793</v>
      </c>
      <c r="T2092">
        <v>2016</v>
      </c>
      <c r="U2092">
        <v>1</v>
      </c>
      <c r="V2092">
        <f t="shared" si="192"/>
        <v>642500</v>
      </c>
      <c r="W2092">
        <f t="shared" si="193"/>
        <v>18429897</v>
      </c>
      <c r="X2092">
        <f t="shared" si="194"/>
        <v>17787397</v>
      </c>
      <c r="Y2092">
        <f t="shared" si="195"/>
        <v>-26038595.5</v>
      </c>
      <c r="Z2092">
        <f t="shared" si="196"/>
        <v>45110992.5</v>
      </c>
      <c r="AA2092" t="str">
        <f t="shared" si="197"/>
        <v>Normal</v>
      </c>
      <c r="AE2092" s="2"/>
      <c r="AF2092" s="2"/>
    </row>
    <row r="2093" spans="1:32" x14ac:dyDescent="0.35">
      <c r="A2093">
        <v>2092</v>
      </c>
      <c r="B2093" s="1">
        <v>42396</v>
      </c>
      <c r="C2093" s="9" t="s">
        <v>3500</v>
      </c>
      <c r="D2093" s="9" t="s">
        <v>4930</v>
      </c>
      <c r="E2093" s="9" t="s">
        <v>7416</v>
      </c>
      <c r="F2093" s="9" t="s">
        <v>15</v>
      </c>
      <c r="G2093" s="9" t="s">
        <v>856</v>
      </c>
      <c r="H2093" s="9" t="s">
        <v>86</v>
      </c>
      <c r="I2093" s="11">
        <v>1000000</v>
      </c>
      <c r="J2093" s="11">
        <v>1005093</v>
      </c>
      <c r="K2093" s="11">
        <v>348701</v>
      </c>
      <c r="L2093" s="3">
        <v>47</v>
      </c>
      <c r="M2093" s="3">
        <v>4596</v>
      </c>
      <c r="N2093" s="3">
        <v>1582352</v>
      </c>
      <c r="O2093" s="2">
        <v>3.7999999999999999E-2</v>
      </c>
      <c r="P2093" s="2">
        <v>1.179</v>
      </c>
      <c r="Q2093" s="2">
        <v>-0.13300000000000001</v>
      </c>
      <c r="R2093" s="11">
        <v>485900957</v>
      </c>
      <c r="S2093" s="11">
        <v>28880</v>
      </c>
      <c r="T2093">
        <v>2016</v>
      </c>
      <c r="U2093">
        <v>1</v>
      </c>
      <c r="V2093">
        <f t="shared" si="192"/>
        <v>640000</v>
      </c>
      <c r="W2093">
        <f t="shared" si="193"/>
        <v>18429897</v>
      </c>
      <c r="X2093">
        <f t="shared" si="194"/>
        <v>17789897</v>
      </c>
      <c r="Y2093">
        <f t="shared" si="195"/>
        <v>-26044845.5</v>
      </c>
      <c r="Z2093">
        <f t="shared" si="196"/>
        <v>45114742.5</v>
      </c>
      <c r="AA2093" t="str">
        <f t="shared" si="197"/>
        <v>Normal</v>
      </c>
      <c r="AE2093" s="2"/>
      <c r="AF2093" s="2"/>
    </row>
    <row r="2094" spans="1:32" x14ac:dyDescent="0.35">
      <c r="A2094">
        <v>2093</v>
      </c>
      <c r="B2094" s="1">
        <v>42396</v>
      </c>
      <c r="C2094" s="9" t="s">
        <v>3501</v>
      </c>
      <c r="D2094" s="9" t="s">
        <v>4925</v>
      </c>
      <c r="E2094" s="9" t="s">
        <v>5890</v>
      </c>
      <c r="F2094" s="9" t="s">
        <v>15</v>
      </c>
      <c r="G2094" s="9" t="s">
        <v>3502</v>
      </c>
      <c r="H2094" s="9" t="s">
        <v>86</v>
      </c>
      <c r="I2094" s="11">
        <v>18429897</v>
      </c>
      <c r="J2094" s="11">
        <v>828804</v>
      </c>
      <c r="K2094" s="11">
        <v>3274526</v>
      </c>
      <c r="L2094" s="3">
        <v>351</v>
      </c>
      <c r="M2094" s="3">
        <v>698</v>
      </c>
      <c r="N2094" s="3">
        <v>430881</v>
      </c>
      <c r="O2094" s="2">
        <v>0.127</v>
      </c>
      <c r="P2094" s="2">
        <v>0.80500000000000005</v>
      </c>
      <c r="Q2094" s="2">
        <v>-0.15</v>
      </c>
      <c r="R2094" s="11">
        <v>112026352</v>
      </c>
      <c r="S2094" s="11">
        <v>1869287</v>
      </c>
      <c r="T2094">
        <v>2016</v>
      </c>
      <c r="U2094">
        <v>1</v>
      </c>
      <c r="V2094">
        <f t="shared" si="192"/>
        <v>637500</v>
      </c>
      <c r="W2094">
        <f t="shared" si="193"/>
        <v>18429897</v>
      </c>
      <c r="X2094">
        <f t="shared" si="194"/>
        <v>17792397</v>
      </c>
      <c r="Y2094">
        <f t="shared" si="195"/>
        <v>-26051095.5</v>
      </c>
      <c r="Z2094">
        <f t="shared" si="196"/>
        <v>45118492.5</v>
      </c>
      <c r="AA2094" t="str">
        <f t="shared" si="197"/>
        <v>Normal</v>
      </c>
      <c r="AE2094" s="2"/>
      <c r="AF2094" s="2"/>
    </row>
    <row r="2095" spans="1:32" x14ac:dyDescent="0.35">
      <c r="A2095">
        <v>2094</v>
      </c>
      <c r="B2095" s="1">
        <v>42397</v>
      </c>
      <c r="C2095" s="9" t="s">
        <v>3503</v>
      </c>
      <c r="D2095" s="9" t="s">
        <v>4930</v>
      </c>
      <c r="E2095" s="9" t="s">
        <v>7417</v>
      </c>
      <c r="F2095" s="9" t="s">
        <v>124</v>
      </c>
      <c r="G2095" s="9" t="s">
        <v>3504</v>
      </c>
      <c r="H2095" s="9" t="s">
        <v>86</v>
      </c>
      <c r="I2095" s="11">
        <v>1000000</v>
      </c>
      <c r="J2095" s="11">
        <v>3895194</v>
      </c>
      <c r="K2095" s="11">
        <v>2953346</v>
      </c>
      <c r="L2095" s="3">
        <v>452</v>
      </c>
      <c r="M2095" s="3">
        <v>361</v>
      </c>
      <c r="N2095" s="3">
        <v>1947083</v>
      </c>
      <c r="O2095" s="2">
        <v>3.9E-2</v>
      </c>
      <c r="P2095" s="2">
        <v>0.371</v>
      </c>
      <c r="Q2095" s="2">
        <v>0.03</v>
      </c>
      <c r="R2095" s="11">
        <v>429920730</v>
      </c>
      <c r="S2095" s="11">
        <v>1339751</v>
      </c>
      <c r="T2095">
        <v>2016</v>
      </c>
      <c r="U2095">
        <v>1</v>
      </c>
      <c r="V2095">
        <f t="shared" si="192"/>
        <v>635000</v>
      </c>
      <c r="W2095">
        <f t="shared" si="193"/>
        <v>18429897</v>
      </c>
      <c r="X2095">
        <f t="shared" si="194"/>
        <v>17794897</v>
      </c>
      <c r="Y2095">
        <f t="shared" si="195"/>
        <v>-26057345.5</v>
      </c>
      <c r="Z2095">
        <f t="shared" si="196"/>
        <v>45122242.5</v>
      </c>
      <c r="AA2095" t="str">
        <f t="shared" si="197"/>
        <v>Normal</v>
      </c>
      <c r="AE2095" s="2"/>
      <c r="AF2095" s="2"/>
    </row>
    <row r="2096" spans="1:32" x14ac:dyDescent="0.35">
      <c r="A2096">
        <v>2095</v>
      </c>
      <c r="B2096" s="1">
        <v>42397</v>
      </c>
      <c r="C2096" s="9" t="s">
        <v>3505</v>
      </c>
      <c r="D2096" s="9" t="s">
        <v>5001</v>
      </c>
      <c r="E2096" s="9" t="s">
        <v>7418</v>
      </c>
      <c r="F2096" s="9" t="s">
        <v>31</v>
      </c>
      <c r="G2096" s="9" t="s">
        <v>3506</v>
      </c>
      <c r="H2096" s="9" t="s">
        <v>86</v>
      </c>
      <c r="I2096" s="11">
        <v>370000</v>
      </c>
      <c r="J2096" s="11">
        <v>4699865</v>
      </c>
      <c r="K2096" s="11">
        <v>10153449</v>
      </c>
      <c r="L2096" s="3">
        <v>230</v>
      </c>
      <c r="M2096" s="3">
        <v>493</v>
      </c>
      <c r="N2096" s="3">
        <v>1330525</v>
      </c>
      <c r="O2096" s="2">
        <v>-0.33700000000000002</v>
      </c>
      <c r="P2096" s="2">
        <v>0.621</v>
      </c>
      <c r="Q2096" s="2">
        <v>0.32400000000000001</v>
      </c>
      <c r="R2096" s="11">
        <v>415486320</v>
      </c>
      <c r="S2096" s="11">
        <v>1703951</v>
      </c>
      <c r="T2096">
        <v>2016</v>
      </c>
      <c r="U2096">
        <v>1</v>
      </c>
      <c r="V2096">
        <f t="shared" si="192"/>
        <v>632500</v>
      </c>
      <c r="W2096">
        <f t="shared" si="193"/>
        <v>18429897</v>
      </c>
      <c r="X2096">
        <f t="shared" si="194"/>
        <v>17797397</v>
      </c>
      <c r="Y2096">
        <f t="shared" si="195"/>
        <v>-26063595.5</v>
      </c>
      <c r="Z2096">
        <f t="shared" si="196"/>
        <v>45125992.5</v>
      </c>
      <c r="AA2096" t="str">
        <f t="shared" si="197"/>
        <v>Normal</v>
      </c>
      <c r="AE2096" s="2"/>
      <c r="AF2096" s="2"/>
    </row>
    <row r="2097" spans="1:32" x14ac:dyDescent="0.35">
      <c r="A2097">
        <v>2096</v>
      </c>
      <c r="B2097" s="1">
        <v>42397</v>
      </c>
      <c r="C2097" s="9" t="s">
        <v>3507</v>
      </c>
      <c r="D2097" s="9" t="s">
        <v>5005</v>
      </c>
      <c r="E2097" s="9" t="s">
        <v>7419</v>
      </c>
      <c r="F2097" s="9" t="s">
        <v>15</v>
      </c>
      <c r="G2097" s="9" t="s">
        <v>3508</v>
      </c>
      <c r="H2097" s="9" t="s">
        <v>86</v>
      </c>
      <c r="I2097" s="11">
        <v>18429897</v>
      </c>
      <c r="J2097" s="11">
        <v>4305939</v>
      </c>
      <c r="K2097" s="11">
        <v>1091601</v>
      </c>
      <c r="L2097" s="3">
        <v>249</v>
      </c>
      <c r="M2097" s="3">
        <v>1372</v>
      </c>
      <c r="N2097" s="3">
        <v>511372</v>
      </c>
      <c r="O2097" s="2">
        <v>0.27699999999999997</v>
      </c>
      <c r="P2097" s="2">
        <v>0.221</v>
      </c>
      <c r="Q2097" s="2">
        <v>0.12</v>
      </c>
      <c r="R2097" s="11">
        <v>159955222</v>
      </c>
      <c r="S2097" s="11">
        <v>1008193.5</v>
      </c>
      <c r="T2097">
        <v>2016</v>
      </c>
      <c r="U2097">
        <v>1</v>
      </c>
      <c r="V2097">
        <f t="shared" si="192"/>
        <v>640000</v>
      </c>
      <c r="W2097">
        <f t="shared" si="193"/>
        <v>18429897</v>
      </c>
      <c r="X2097">
        <f t="shared" si="194"/>
        <v>17789897</v>
      </c>
      <c r="Y2097">
        <f t="shared" si="195"/>
        <v>-26044845.5</v>
      </c>
      <c r="Z2097">
        <f t="shared" si="196"/>
        <v>45114742.5</v>
      </c>
      <c r="AA2097" t="str">
        <f t="shared" si="197"/>
        <v>Normal</v>
      </c>
      <c r="AE2097" s="2"/>
      <c r="AF2097" s="2"/>
    </row>
    <row r="2098" spans="1:32" x14ac:dyDescent="0.35">
      <c r="A2098">
        <v>2097</v>
      </c>
      <c r="B2098" s="1">
        <v>42397</v>
      </c>
      <c r="C2098" s="9" t="s">
        <v>3509</v>
      </c>
      <c r="D2098" s="9" t="s">
        <v>4930</v>
      </c>
      <c r="E2098" s="9" t="s">
        <v>7420</v>
      </c>
      <c r="F2098" s="9" t="s">
        <v>15</v>
      </c>
      <c r="G2098" s="9" t="s">
        <v>3510</v>
      </c>
      <c r="H2098" s="9" t="s">
        <v>86</v>
      </c>
      <c r="I2098" s="11">
        <v>18429897</v>
      </c>
      <c r="J2098" s="11">
        <v>3761205</v>
      </c>
      <c r="K2098" s="11">
        <v>11177571</v>
      </c>
      <c r="L2098" s="3">
        <v>270</v>
      </c>
      <c r="M2098" s="3">
        <v>2505.5</v>
      </c>
      <c r="N2098" s="3">
        <v>1149945</v>
      </c>
      <c r="O2098" s="2">
        <v>1.6E-2</v>
      </c>
      <c r="P2098" s="2">
        <v>1.022</v>
      </c>
      <c r="Q2098" s="2">
        <v>0.57399999999999995</v>
      </c>
      <c r="R2098" s="11">
        <v>289621971</v>
      </c>
      <c r="S2098" s="11">
        <v>450117</v>
      </c>
      <c r="T2098">
        <v>2016</v>
      </c>
      <c r="U2098">
        <v>1</v>
      </c>
      <c r="V2098">
        <f t="shared" si="192"/>
        <v>637500</v>
      </c>
      <c r="W2098">
        <f t="shared" si="193"/>
        <v>18429897</v>
      </c>
      <c r="X2098">
        <f t="shared" si="194"/>
        <v>17792397</v>
      </c>
      <c r="Y2098">
        <f t="shared" si="195"/>
        <v>-26051095.5</v>
      </c>
      <c r="Z2098">
        <f t="shared" si="196"/>
        <v>45118492.5</v>
      </c>
      <c r="AA2098" t="str">
        <f t="shared" si="197"/>
        <v>Normal</v>
      </c>
      <c r="AE2098" s="2"/>
      <c r="AF2098" s="2"/>
    </row>
    <row r="2099" spans="1:32" x14ac:dyDescent="0.35">
      <c r="A2099">
        <v>2098</v>
      </c>
      <c r="B2099" s="1">
        <v>42398</v>
      </c>
      <c r="C2099" s="9" t="s">
        <v>3511</v>
      </c>
      <c r="D2099" s="9" t="s">
        <v>4988</v>
      </c>
      <c r="E2099" s="9" t="s">
        <v>5361</v>
      </c>
      <c r="F2099" s="9" t="s">
        <v>27</v>
      </c>
      <c r="G2099" s="9" t="s">
        <v>3512</v>
      </c>
      <c r="H2099" s="9" t="s">
        <v>86</v>
      </c>
      <c r="I2099" s="11">
        <v>18429897</v>
      </c>
      <c r="J2099" s="11">
        <v>1248468</v>
      </c>
      <c r="K2099" s="11">
        <v>7319759</v>
      </c>
      <c r="L2099" s="3">
        <v>52</v>
      </c>
      <c r="M2099" s="3">
        <v>4397</v>
      </c>
      <c r="N2099" s="3">
        <v>1864838</v>
      </c>
      <c r="O2099" s="2">
        <v>-0.113</v>
      </c>
      <c r="P2099" s="2">
        <v>0.30299999999999999</v>
      </c>
      <c r="Q2099" s="2">
        <v>0.24100000000000002</v>
      </c>
      <c r="R2099" s="11">
        <v>340876773</v>
      </c>
      <c r="S2099" s="11">
        <v>670658</v>
      </c>
      <c r="T2099">
        <v>2016</v>
      </c>
      <c r="U2099">
        <v>1</v>
      </c>
      <c r="V2099">
        <f t="shared" si="192"/>
        <v>635000</v>
      </c>
      <c r="W2099">
        <f t="shared" si="193"/>
        <v>18429897</v>
      </c>
      <c r="X2099">
        <f t="shared" si="194"/>
        <v>17794897</v>
      </c>
      <c r="Y2099">
        <f t="shared" si="195"/>
        <v>-26057345.5</v>
      </c>
      <c r="Z2099">
        <f t="shared" si="196"/>
        <v>45122242.5</v>
      </c>
      <c r="AA2099" t="str">
        <f t="shared" si="197"/>
        <v>Normal</v>
      </c>
      <c r="AE2099" s="2"/>
      <c r="AF2099" s="2"/>
    </row>
    <row r="2100" spans="1:32" x14ac:dyDescent="0.35">
      <c r="A2100">
        <v>2099</v>
      </c>
      <c r="B2100" s="1">
        <v>42398</v>
      </c>
      <c r="C2100" s="9" t="s">
        <v>1675</v>
      </c>
      <c r="D2100" s="9" t="s">
        <v>4988</v>
      </c>
      <c r="E2100" s="9" t="s">
        <v>7421</v>
      </c>
      <c r="F2100" s="9" t="s">
        <v>3513</v>
      </c>
      <c r="G2100" s="9" t="s">
        <v>2374</v>
      </c>
      <c r="H2100" s="9" t="s">
        <v>86</v>
      </c>
      <c r="I2100" s="11">
        <v>160000</v>
      </c>
      <c r="J2100" s="11">
        <v>4567788</v>
      </c>
      <c r="K2100" s="11">
        <v>221238</v>
      </c>
      <c r="L2100" s="3">
        <v>315</v>
      </c>
      <c r="M2100" s="3">
        <v>2626</v>
      </c>
      <c r="N2100" s="3">
        <v>1832379</v>
      </c>
      <c r="O2100" s="2">
        <v>3.7000000000000005E-2</v>
      </c>
      <c r="P2100" s="2">
        <v>0.53500000000000003</v>
      </c>
      <c r="Q2100" s="2">
        <v>-1.3999999999999999E-2</v>
      </c>
      <c r="R2100" s="11">
        <v>48535005</v>
      </c>
      <c r="S2100" s="11">
        <v>213508</v>
      </c>
      <c r="T2100">
        <v>2016</v>
      </c>
      <c r="U2100">
        <v>1</v>
      </c>
      <c r="V2100">
        <f t="shared" si="192"/>
        <v>632500</v>
      </c>
      <c r="W2100">
        <f t="shared" si="193"/>
        <v>18429897</v>
      </c>
      <c r="X2100">
        <f t="shared" si="194"/>
        <v>17797397</v>
      </c>
      <c r="Y2100">
        <f t="shared" si="195"/>
        <v>-26063595.5</v>
      </c>
      <c r="Z2100">
        <f t="shared" si="196"/>
        <v>45125992.5</v>
      </c>
      <c r="AA2100" t="str">
        <f t="shared" si="197"/>
        <v>Normal</v>
      </c>
      <c r="AE2100" s="2"/>
      <c r="AF2100" s="2"/>
    </row>
    <row r="2101" spans="1:32" x14ac:dyDescent="0.35">
      <c r="A2101">
        <v>2100</v>
      </c>
      <c r="B2101" s="1">
        <v>42398</v>
      </c>
      <c r="C2101" s="9" t="s">
        <v>3114</v>
      </c>
      <c r="D2101" s="9" t="s">
        <v>4988</v>
      </c>
      <c r="E2101" s="9" t="s">
        <v>7422</v>
      </c>
      <c r="F2101" s="9" t="s">
        <v>63</v>
      </c>
      <c r="G2101" s="9" t="s">
        <v>3514</v>
      </c>
      <c r="H2101" s="9" t="s">
        <v>86</v>
      </c>
      <c r="I2101" s="11">
        <v>18429897</v>
      </c>
      <c r="J2101" s="11">
        <v>3345888</v>
      </c>
      <c r="K2101" s="11">
        <v>18392783</v>
      </c>
      <c r="L2101" s="3">
        <v>185</v>
      </c>
      <c r="M2101" s="3">
        <v>3737</v>
      </c>
      <c r="N2101" s="3">
        <v>793753</v>
      </c>
      <c r="O2101" s="2">
        <v>0.42</v>
      </c>
      <c r="P2101" s="2">
        <v>0.76300000000000001</v>
      </c>
      <c r="Q2101" s="2">
        <v>-0.57399999999999995</v>
      </c>
      <c r="R2101" s="11">
        <v>22451039</v>
      </c>
      <c r="S2101" s="11">
        <v>904890</v>
      </c>
      <c r="T2101">
        <v>2016</v>
      </c>
      <c r="U2101">
        <v>1</v>
      </c>
      <c r="V2101">
        <f t="shared" si="192"/>
        <v>640000</v>
      </c>
      <c r="W2101">
        <f t="shared" si="193"/>
        <v>18429897</v>
      </c>
      <c r="X2101">
        <f t="shared" si="194"/>
        <v>17789897</v>
      </c>
      <c r="Y2101">
        <f t="shared" si="195"/>
        <v>-26044845.5</v>
      </c>
      <c r="Z2101">
        <f t="shared" si="196"/>
        <v>45114742.5</v>
      </c>
      <c r="AA2101" t="str">
        <f t="shared" si="197"/>
        <v>Normal</v>
      </c>
      <c r="AE2101" s="2"/>
      <c r="AF2101" s="2"/>
    </row>
    <row r="2102" spans="1:32" x14ac:dyDescent="0.35">
      <c r="A2102">
        <v>2101</v>
      </c>
      <c r="B2102" s="1">
        <v>42398</v>
      </c>
      <c r="C2102" s="9" t="s">
        <v>1845</v>
      </c>
      <c r="D2102" s="9" t="s">
        <v>4988</v>
      </c>
      <c r="E2102" s="9" t="s">
        <v>7423</v>
      </c>
      <c r="F2102" s="9" t="s">
        <v>15</v>
      </c>
      <c r="G2102" s="9" t="s">
        <v>3515</v>
      </c>
      <c r="H2102" s="9" t="s">
        <v>86</v>
      </c>
      <c r="I2102" s="11">
        <v>185000</v>
      </c>
      <c r="J2102" s="11">
        <v>2531926</v>
      </c>
      <c r="K2102" s="11">
        <v>463862</v>
      </c>
      <c r="L2102" s="3">
        <v>236</v>
      </c>
      <c r="M2102" s="3">
        <v>2898</v>
      </c>
      <c r="N2102" s="3">
        <v>58163</v>
      </c>
      <c r="O2102" s="2">
        <v>-3.4000000000000002E-2</v>
      </c>
      <c r="P2102" s="2">
        <v>0.89800000000000002</v>
      </c>
      <c r="Q2102" s="2">
        <v>-0.28800000000000003</v>
      </c>
      <c r="R2102" s="11">
        <v>29813439</v>
      </c>
      <c r="S2102" s="11">
        <v>1849294</v>
      </c>
      <c r="T2102">
        <v>2016</v>
      </c>
      <c r="U2102">
        <v>1</v>
      </c>
      <c r="V2102">
        <f t="shared" si="192"/>
        <v>637500</v>
      </c>
      <c r="W2102">
        <f t="shared" si="193"/>
        <v>18429897</v>
      </c>
      <c r="X2102">
        <f t="shared" si="194"/>
        <v>17792397</v>
      </c>
      <c r="Y2102">
        <f t="shared" si="195"/>
        <v>-26051095.5</v>
      </c>
      <c r="Z2102">
        <f t="shared" si="196"/>
        <v>45118492.5</v>
      </c>
      <c r="AA2102" t="str">
        <f t="shared" si="197"/>
        <v>Normal</v>
      </c>
      <c r="AE2102" s="2"/>
      <c r="AF2102" s="2"/>
    </row>
    <row r="2103" spans="1:32" x14ac:dyDescent="0.35">
      <c r="A2103">
        <v>2102</v>
      </c>
      <c r="B2103" s="1">
        <v>42398</v>
      </c>
      <c r="C2103" s="9" t="s">
        <v>3416</v>
      </c>
      <c r="D2103" s="9" t="s">
        <v>4988</v>
      </c>
      <c r="E2103" s="9" t="s">
        <v>7424</v>
      </c>
      <c r="F2103" s="9" t="s">
        <v>15</v>
      </c>
      <c r="G2103" s="9" t="s">
        <v>3516</v>
      </c>
      <c r="H2103" s="9" t="s">
        <v>105</v>
      </c>
      <c r="I2103" s="11">
        <v>17000000</v>
      </c>
      <c r="J2103" s="11">
        <v>664226</v>
      </c>
      <c r="K2103" s="11">
        <v>17130418</v>
      </c>
      <c r="L2103" s="3">
        <v>254</v>
      </c>
      <c r="M2103" s="3">
        <v>4764</v>
      </c>
      <c r="N2103" s="3">
        <v>159309</v>
      </c>
      <c r="O2103" s="2">
        <v>0.19800000000000001</v>
      </c>
      <c r="P2103" s="2">
        <v>1.107</v>
      </c>
      <c r="Q2103" s="2">
        <v>3.4000000000000002E-2</v>
      </c>
      <c r="R2103" s="11">
        <v>387334310</v>
      </c>
      <c r="S2103" s="11">
        <v>1514022</v>
      </c>
      <c r="T2103">
        <v>2016</v>
      </c>
      <c r="U2103">
        <v>1</v>
      </c>
      <c r="V2103">
        <f t="shared" si="192"/>
        <v>645000</v>
      </c>
      <c r="W2103">
        <f t="shared" si="193"/>
        <v>18429897</v>
      </c>
      <c r="X2103">
        <f t="shared" si="194"/>
        <v>17784897</v>
      </c>
      <c r="Y2103">
        <f t="shared" si="195"/>
        <v>-26032345.5</v>
      </c>
      <c r="Z2103">
        <f t="shared" si="196"/>
        <v>45107242.5</v>
      </c>
      <c r="AA2103" t="str">
        <f t="shared" si="197"/>
        <v>Normal</v>
      </c>
      <c r="AE2103" s="2"/>
      <c r="AF2103" s="2"/>
    </row>
    <row r="2104" spans="1:32" x14ac:dyDescent="0.35">
      <c r="A2104">
        <v>2103</v>
      </c>
      <c r="B2104" s="1">
        <v>42398</v>
      </c>
      <c r="C2104" s="9" t="s">
        <v>1837</v>
      </c>
      <c r="D2104" s="9" t="s">
        <v>4925</v>
      </c>
      <c r="E2104" s="9" t="s">
        <v>7425</v>
      </c>
      <c r="F2104" s="9" t="s">
        <v>31</v>
      </c>
      <c r="G2104" s="9" t="s">
        <v>3517</v>
      </c>
      <c r="H2104" s="9" t="s">
        <v>105</v>
      </c>
      <c r="I2104" s="11">
        <v>5150000</v>
      </c>
      <c r="J2104" s="11">
        <v>4358385</v>
      </c>
      <c r="K2104" s="11">
        <v>15574888</v>
      </c>
      <c r="L2104" s="3">
        <v>439</v>
      </c>
      <c r="M2104" s="3">
        <v>1682</v>
      </c>
      <c r="N2104" s="3">
        <v>1757044</v>
      </c>
      <c r="O2104" s="2">
        <v>0.98499999999999999</v>
      </c>
      <c r="P2104" s="2">
        <v>0.622</v>
      </c>
      <c r="Q2104" s="2">
        <v>-0.29100000000000004</v>
      </c>
      <c r="R2104" s="11">
        <v>311940216</v>
      </c>
      <c r="S2104" s="11">
        <v>554767</v>
      </c>
      <c r="T2104">
        <v>2016</v>
      </c>
      <c r="U2104">
        <v>1</v>
      </c>
      <c r="V2104">
        <f t="shared" si="192"/>
        <v>642500</v>
      </c>
      <c r="W2104">
        <f t="shared" si="193"/>
        <v>18429897</v>
      </c>
      <c r="X2104">
        <f t="shared" si="194"/>
        <v>17787397</v>
      </c>
      <c r="Y2104">
        <f t="shared" si="195"/>
        <v>-26038595.5</v>
      </c>
      <c r="Z2104">
        <f t="shared" si="196"/>
        <v>45110992.5</v>
      </c>
      <c r="AA2104" t="str">
        <f t="shared" si="197"/>
        <v>Normal</v>
      </c>
      <c r="AE2104" s="2"/>
      <c r="AF2104" s="2"/>
    </row>
    <row r="2105" spans="1:32" x14ac:dyDescent="0.35">
      <c r="A2105">
        <v>2104</v>
      </c>
      <c r="B2105" s="1">
        <v>42398</v>
      </c>
      <c r="C2105" s="9" t="s">
        <v>3518</v>
      </c>
      <c r="D2105" s="9" t="s">
        <v>4930</v>
      </c>
      <c r="E2105" s="9" t="s">
        <v>7426</v>
      </c>
      <c r="F2105" s="9" t="s">
        <v>27</v>
      </c>
      <c r="G2105" s="9" t="s">
        <v>436</v>
      </c>
      <c r="H2105" s="9" t="s">
        <v>105</v>
      </c>
      <c r="I2105" s="11">
        <v>1100000</v>
      </c>
      <c r="J2105" s="11">
        <v>1390259</v>
      </c>
      <c r="K2105" s="11">
        <v>15894287</v>
      </c>
      <c r="L2105" s="3">
        <v>170</v>
      </c>
      <c r="M2105" s="3">
        <v>3361</v>
      </c>
      <c r="N2105" s="3">
        <v>1322152</v>
      </c>
      <c r="O2105" s="2">
        <v>0.24600000000000002</v>
      </c>
      <c r="P2105" s="2">
        <v>0.39100000000000001</v>
      </c>
      <c r="Q2105" s="2">
        <v>5.2000000000000005E-2</v>
      </c>
      <c r="R2105" s="11">
        <v>171941344</v>
      </c>
      <c r="S2105" s="11">
        <v>1548108</v>
      </c>
      <c r="T2105">
        <v>2016</v>
      </c>
      <c r="U2105">
        <v>1</v>
      </c>
      <c r="V2105">
        <f t="shared" si="192"/>
        <v>640000</v>
      </c>
      <c r="W2105">
        <f t="shared" si="193"/>
        <v>18429897</v>
      </c>
      <c r="X2105">
        <f t="shared" si="194"/>
        <v>17789897</v>
      </c>
      <c r="Y2105">
        <f t="shared" si="195"/>
        <v>-26044845.5</v>
      </c>
      <c r="Z2105">
        <f t="shared" si="196"/>
        <v>45114742.5</v>
      </c>
      <c r="AA2105" t="str">
        <f t="shared" si="197"/>
        <v>Normal</v>
      </c>
      <c r="AE2105" s="2"/>
      <c r="AF2105" s="2"/>
    </row>
    <row r="2106" spans="1:32" x14ac:dyDescent="0.35">
      <c r="A2106">
        <v>2105</v>
      </c>
      <c r="B2106" s="1">
        <v>42398</v>
      </c>
      <c r="C2106" s="9" t="s">
        <v>1182</v>
      </c>
      <c r="D2106" s="9" t="s">
        <v>4988</v>
      </c>
      <c r="E2106" s="9" t="s">
        <v>5267</v>
      </c>
      <c r="F2106" s="9" t="s">
        <v>124</v>
      </c>
      <c r="G2106" s="9" t="s">
        <v>3519</v>
      </c>
      <c r="H2106" s="9" t="s">
        <v>86</v>
      </c>
      <c r="I2106" s="11">
        <v>18429897</v>
      </c>
      <c r="J2106" s="11">
        <v>3834144</v>
      </c>
      <c r="K2106" s="11">
        <v>3322533</v>
      </c>
      <c r="L2106" s="3">
        <v>42</v>
      </c>
      <c r="M2106" s="3">
        <v>1399</v>
      </c>
      <c r="N2106" s="3">
        <v>1451007</v>
      </c>
      <c r="O2106" s="2">
        <v>0.13400000000000001</v>
      </c>
      <c r="P2106" s="2">
        <v>0.309</v>
      </c>
      <c r="Q2106" s="2">
        <v>0.156</v>
      </c>
      <c r="R2106" s="11">
        <v>329524178</v>
      </c>
      <c r="S2106" s="11">
        <v>459139</v>
      </c>
      <c r="T2106">
        <v>2016</v>
      </c>
      <c r="U2106">
        <v>1</v>
      </c>
      <c r="V2106">
        <f t="shared" si="192"/>
        <v>637500</v>
      </c>
      <c r="W2106">
        <f t="shared" si="193"/>
        <v>18429897</v>
      </c>
      <c r="X2106">
        <f t="shared" si="194"/>
        <v>17792397</v>
      </c>
      <c r="Y2106">
        <f t="shared" si="195"/>
        <v>-26051095.5</v>
      </c>
      <c r="Z2106">
        <f t="shared" si="196"/>
        <v>45118492.5</v>
      </c>
      <c r="AA2106" t="str">
        <f t="shared" si="197"/>
        <v>Normal</v>
      </c>
      <c r="AE2106" s="2"/>
      <c r="AF2106" s="2"/>
    </row>
    <row r="2107" spans="1:32" x14ac:dyDescent="0.35">
      <c r="A2107">
        <v>2106</v>
      </c>
      <c r="B2107" s="1">
        <v>42398</v>
      </c>
      <c r="C2107" s="9" t="s">
        <v>3520</v>
      </c>
      <c r="D2107" s="9" t="s">
        <v>4930</v>
      </c>
      <c r="E2107" s="9" t="s">
        <v>7427</v>
      </c>
      <c r="F2107" s="9" t="s">
        <v>124</v>
      </c>
      <c r="G2107" s="9" t="s">
        <v>3521</v>
      </c>
      <c r="H2107" s="9" t="s">
        <v>86</v>
      </c>
      <c r="I2107" s="11">
        <v>18429897</v>
      </c>
      <c r="J2107" s="11">
        <v>710499</v>
      </c>
      <c r="K2107" s="11">
        <v>17633590</v>
      </c>
      <c r="L2107" s="3">
        <v>392</v>
      </c>
      <c r="M2107" s="3">
        <v>1205</v>
      </c>
      <c r="N2107" s="3">
        <v>1443025</v>
      </c>
      <c r="O2107" s="2">
        <v>0.29599999999999999</v>
      </c>
      <c r="P2107" s="2">
        <v>0.8590000000000001</v>
      </c>
      <c r="Q2107" s="2">
        <v>2.7E-2</v>
      </c>
      <c r="R2107" s="11">
        <v>319228479</v>
      </c>
      <c r="S2107" s="11">
        <v>840346</v>
      </c>
      <c r="T2107">
        <v>2016</v>
      </c>
      <c r="U2107">
        <v>1</v>
      </c>
      <c r="V2107">
        <f t="shared" si="192"/>
        <v>635000</v>
      </c>
      <c r="W2107">
        <f t="shared" si="193"/>
        <v>18429897</v>
      </c>
      <c r="X2107">
        <f t="shared" si="194"/>
        <v>17794897</v>
      </c>
      <c r="Y2107">
        <f t="shared" si="195"/>
        <v>-26057345.5</v>
      </c>
      <c r="Z2107">
        <f t="shared" si="196"/>
        <v>45122242.5</v>
      </c>
      <c r="AA2107" t="str">
        <f t="shared" si="197"/>
        <v>Normal</v>
      </c>
      <c r="AE2107" s="2"/>
      <c r="AF2107" s="2"/>
    </row>
    <row r="2108" spans="1:32" x14ac:dyDescent="0.35">
      <c r="A2108">
        <v>2107</v>
      </c>
      <c r="B2108" s="1">
        <v>42399</v>
      </c>
      <c r="C2108" s="9" t="s">
        <v>3522</v>
      </c>
      <c r="D2108" s="9" t="s">
        <v>4988</v>
      </c>
      <c r="E2108" s="9" t="s">
        <v>7428</v>
      </c>
      <c r="F2108" s="9" t="s">
        <v>31</v>
      </c>
      <c r="G2108" s="9" t="s">
        <v>3523</v>
      </c>
      <c r="H2108" s="9" t="s">
        <v>86</v>
      </c>
      <c r="I2108" s="11">
        <v>18429897</v>
      </c>
      <c r="J2108" s="11">
        <v>1417084</v>
      </c>
      <c r="K2108" s="11">
        <v>12014894</v>
      </c>
      <c r="L2108" s="3">
        <v>490</v>
      </c>
      <c r="M2108" s="3">
        <v>4907</v>
      </c>
      <c r="N2108" s="3">
        <v>1551055</v>
      </c>
      <c r="O2108" s="2">
        <v>0.27500000000000002</v>
      </c>
      <c r="P2108" s="2">
        <v>0.32899999999999996</v>
      </c>
      <c r="Q2108" s="2">
        <v>3.2000000000000001E-2</v>
      </c>
      <c r="R2108" s="11">
        <v>154776923</v>
      </c>
      <c r="S2108" s="11">
        <v>1523300</v>
      </c>
      <c r="T2108">
        <v>2016</v>
      </c>
      <c r="U2108">
        <v>1</v>
      </c>
      <c r="V2108">
        <f t="shared" si="192"/>
        <v>632500</v>
      </c>
      <c r="W2108">
        <f t="shared" si="193"/>
        <v>18429897</v>
      </c>
      <c r="X2108">
        <f t="shared" si="194"/>
        <v>17797397</v>
      </c>
      <c r="Y2108">
        <f t="shared" si="195"/>
        <v>-26063595.5</v>
      </c>
      <c r="Z2108">
        <f t="shared" si="196"/>
        <v>45125992.5</v>
      </c>
      <c r="AA2108" t="str">
        <f t="shared" si="197"/>
        <v>Normal</v>
      </c>
      <c r="AE2108" s="2"/>
      <c r="AF2108" s="2"/>
    </row>
    <row r="2109" spans="1:32" x14ac:dyDescent="0.35">
      <c r="A2109">
        <v>2108</v>
      </c>
      <c r="B2109" s="1">
        <v>42399</v>
      </c>
      <c r="C2109" s="9" t="s">
        <v>3524</v>
      </c>
      <c r="D2109" s="9" t="s">
        <v>4988</v>
      </c>
      <c r="E2109" s="9" t="s">
        <v>7429</v>
      </c>
      <c r="F2109" s="9" t="s">
        <v>27</v>
      </c>
      <c r="G2109" s="9" t="s">
        <v>1315</v>
      </c>
      <c r="H2109" s="9" t="s">
        <v>86</v>
      </c>
      <c r="I2109" s="11">
        <v>18429897</v>
      </c>
      <c r="J2109" s="11">
        <v>1431933</v>
      </c>
      <c r="K2109" s="11">
        <v>8099058</v>
      </c>
      <c r="L2109" s="3">
        <v>262</v>
      </c>
      <c r="M2109" s="3">
        <v>168</v>
      </c>
      <c r="N2109" s="3">
        <v>1017325</v>
      </c>
      <c r="O2109" s="2">
        <v>-1.2E-2</v>
      </c>
      <c r="P2109" s="2">
        <v>0.85799999999999998</v>
      </c>
      <c r="Q2109" s="2">
        <v>0.58899999999999997</v>
      </c>
      <c r="R2109" s="11">
        <v>250679183</v>
      </c>
      <c r="S2109" s="11">
        <v>1748799</v>
      </c>
      <c r="T2109">
        <v>2016</v>
      </c>
      <c r="U2109">
        <v>1</v>
      </c>
      <c r="V2109">
        <f t="shared" si="192"/>
        <v>630000</v>
      </c>
      <c r="W2109">
        <f t="shared" si="193"/>
        <v>18429897</v>
      </c>
      <c r="X2109">
        <f t="shared" si="194"/>
        <v>17799897</v>
      </c>
      <c r="Y2109">
        <f t="shared" si="195"/>
        <v>-26069845.5</v>
      </c>
      <c r="Z2109">
        <f t="shared" si="196"/>
        <v>45129742.5</v>
      </c>
      <c r="AA2109" t="str">
        <f t="shared" si="197"/>
        <v>Normal</v>
      </c>
      <c r="AE2109" s="2"/>
      <c r="AF2109" s="2"/>
    </row>
    <row r="2110" spans="1:32" x14ac:dyDescent="0.35">
      <c r="A2110">
        <v>2109</v>
      </c>
      <c r="B2110" s="1">
        <v>42339</v>
      </c>
      <c r="C2110" s="9" t="s">
        <v>723</v>
      </c>
      <c r="D2110" s="9" t="s">
        <v>5006</v>
      </c>
      <c r="E2110" s="9" t="s">
        <v>1111</v>
      </c>
      <c r="F2110" s="9" t="s">
        <v>294</v>
      </c>
      <c r="G2110" s="9" t="s">
        <v>3068</v>
      </c>
      <c r="H2110" s="9" t="s">
        <v>86</v>
      </c>
      <c r="I2110" s="11">
        <v>1000000</v>
      </c>
      <c r="J2110" s="11">
        <v>1419898</v>
      </c>
      <c r="K2110" s="11">
        <v>13653531</v>
      </c>
      <c r="L2110" s="3">
        <v>21</v>
      </c>
      <c r="M2110" s="3">
        <v>1399</v>
      </c>
      <c r="N2110" s="3">
        <v>757396</v>
      </c>
      <c r="O2110" s="2">
        <v>-0.22699999999999998</v>
      </c>
      <c r="P2110" s="2">
        <v>0.65599999999999992</v>
      </c>
      <c r="Q2110" s="2">
        <v>0.11599999999999999</v>
      </c>
      <c r="R2110" s="11">
        <v>468076854</v>
      </c>
      <c r="S2110" s="11">
        <v>1440935</v>
      </c>
      <c r="T2110">
        <v>2015</v>
      </c>
      <c r="U2110">
        <v>12</v>
      </c>
      <c r="V2110">
        <f t="shared" si="192"/>
        <v>630000</v>
      </c>
      <c r="W2110">
        <f t="shared" si="193"/>
        <v>18429897</v>
      </c>
      <c r="X2110">
        <f t="shared" si="194"/>
        <v>17799897</v>
      </c>
      <c r="Y2110">
        <f t="shared" si="195"/>
        <v>-26069845.5</v>
      </c>
      <c r="Z2110">
        <f t="shared" si="196"/>
        <v>45129742.5</v>
      </c>
      <c r="AA2110" t="str">
        <f t="shared" si="197"/>
        <v>Normal</v>
      </c>
      <c r="AE2110" s="2"/>
      <c r="AF2110" s="2"/>
    </row>
    <row r="2111" spans="1:32" x14ac:dyDescent="0.35">
      <c r="A2111">
        <v>2110</v>
      </c>
      <c r="B2111" s="1">
        <v>42339</v>
      </c>
      <c r="C2111" s="9" t="s">
        <v>3525</v>
      </c>
      <c r="D2111" s="9" t="s">
        <v>5007</v>
      </c>
      <c r="E2111" s="9" t="s">
        <v>1111</v>
      </c>
      <c r="F2111" s="9" t="s">
        <v>31</v>
      </c>
      <c r="G2111" s="9" t="s">
        <v>1419</v>
      </c>
      <c r="H2111" s="9" t="s">
        <v>86</v>
      </c>
      <c r="I2111" s="11">
        <v>18429897</v>
      </c>
      <c r="J2111" s="11">
        <v>3380188</v>
      </c>
      <c r="K2111" s="11">
        <v>6894698</v>
      </c>
      <c r="L2111" s="3">
        <v>495</v>
      </c>
      <c r="M2111" s="3">
        <v>1961</v>
      </c>
      <c r="N2111" s="3">
        <v>470456</v>
      </c>
      <c r="O2111" s="2">
        <v>0.23899999999999999</v>
      </c>
      <c r="P2111" s="2">
        <v>0.61699999999999999</v>
      </c>
      <c r="Q2111" s="2">
        <v>6.6000000000000003E-2</v>
      </c>
      <c r="R2111" s="11">
        <v>446835175</v>
      </c>
      <c r="S2111" s="11">
        <v>770860</v>
      </c>
      <c r="T2111">
        <v>2015</v>
      </c>
      <c r="U2111">
        <v>12</v>
      </c>
      <c r="V2111">
        <f t="shared" si="192"/>
        <v>630000</v>
      </c>
      <c r="W2111">
        <f t="shared" si="193"/>
        <v>18429897</v>
      </c>
      <c r="X2111">
        <f t="shared" si="194"/>
        <v>17799897</v>
      </c>
      <c r="Y2111">
        <f t="shared" si="195"/>
        <v>-26069845.5</v>
      </c>
      <c r="Z2111">
        <f t="shared" si="196"/>
        <v>45129742.5</v>
      </c>
      <c r="AA2111" t="str">
        <f t="shared" si="197"/>
        <v>Normal</v>
      </c>
      <c r="AE2111" s="2"/>
      <c r="AF2111" s="2"/>
    </row>
    <row r="2112" spans="1:32" x14ac:dyDescent="0.35">
      <c r="A2112">
        <v>2111</v>
      </c>
      <c r="B2112" s="1">
        <v>42339</v>
      </c>
      <c r="C2112" s="9" t="s">
        <v>3526</v>
      </c>
      <c r="D2112" s="9" t="s">
        <v>5008</v>
      </c>
      <c r="E2112" s="9" t="s">
        <v>1111</v>
      </c>
      <c r="F2112" s="9" t="s">
        <v>19</v>
      </c>
      <c r="G2112" s="9" t="s">
        <v>3527</v>
      </c>
      <c r="H2112" s="9" t="s">
        <v>105</v>
      </c>
      <c r="I2112" s="11">
        <v>18429897</v>
      </c>
      <c r="J2112" s="11">
        <v>4573656</v>
      </c>
      <c r="K2112" s="11">
        <v>5659375</v>
      </c>
      <c r="L2112" s="3">
        <v>108</v>
      </c>
      <c r="M2112" s="3">
        <v>732</v>
      </c>
      <c r="N2112" s="3">
        <v>614719</v>
      </c>
      <c r="O2112" s="2">
        <v>0.26900000000000002</v>
      </c>
      <c r="P2112" s="2">
        <v>0.50800000000000001</v>
      </c>
      <c r="Q2112" s="2">
        <v>-0.14899999999999999</v>
      </c>
      <c r="R2112" s="11">
        <v>88692360</v>
      </c>
      <c r="S2112" s="11">
        <v>552270</v>
      </c>
      <c r="T2112">
        <v>2015</v>
      </c>
      <c r="U2112">
        <v>12</v>
      </c>
      <c r="V2112">
        <f t="shared" si="192"/>
        <v>630000</v>
      </c>
      <c r="W2112">
        <f t="shared" si="193"/>
        <v>18429897</v>
      </c>
      <c r="X2112">
        <f t="shared" si="194"/>
        <v>17799897</v>
      </c>
      <c r="Y2112">
        <f t="shared" si="195"/>
        <v>-26069845.5</v>
      </c>
      <c r="Z2112">
        <f t="shared" si="196"/>
        <v>45129742.5</v>
      </c>
      <c r="AA2112" t="str">
        <f t="shared" si="197"/>
        <v>Normal</v>
      </c>
      <c r="AE2112" s="2"/>
      <c r="AF2112" s="2"/>
    </row>
    <row r="2113" spans="1:32" x14ac:dyDescent="0.35">
      <c r="A2113">
        <v>2112</v>
      </c>
      <c r="B2113" s="1">
        <v>42339</v>
      </c>
      <c r="C2113" s="9" t="s">
        <v>3528</v>
      </c>
      <c r="D2113" s="9" t="s">
        <v>5009</v>
      </c>
      <c r="E2113" s="9" t="s">
        <v>1111</v>
      </c>
      <c r="F2113" s="9" t="s">
        <v>31</v>
      </c>
      <c r="G2113" s="9" t="s">
        <v>3529</v>
      </c>
      <c r="H2113" s="9" t="s">
        <v>105</v>
      </c>
      <c r="I2113" s="11">
        <v>5600000</v>
      </c>
      <c r="J2113" s="11">
        <v>4553428</v>
      </c>
      <c r="K2113" s="11">
        <v>5835702</v>
      </c>
      <c r="L2113" s="3">
        <v>254</v>
      </c>
      <c r="M2113" s="3">
        <v>3870</v>
      </c>
      <c r="N2113" s="3">
        <v>1500731</v>
      </c>
      <c r="O2113" s="2">
        <v>0.06</v>
      </c>
      <c r="P2113" s="2">
        <v>1.1020000000000001</v>
      </c>
      <c r="Q2113" s="2">
        <v>0.36749999999999999</v>
      </c>
      <c r="R2113" s="11">
        <v>128558950</v>
      </c>
      <c r="S2113" s="11">
        <v>954150</v>
      </c>
      <c r="T2113">
        <v>2015</v>
      </c>
      <c r="U2113">
        <v>12</v>
      </c>
      <c r="V2113">
        <f t="shared" si="192"/>
        <v>630000</v>
      </c>
      <c r="W2113">
        <f t="shared" si="193"/>
        <v>18429897</v>
      </c>
      <c r="X2113">
        <f t="shared" si="194"/>
        <v>17799897</v>
      </c>
      <c r="Y2113">
        <f t="shared" si="195"/>
        <v>-26069845.5</v>
      </c>
      <c r="Z2113">
        <f t="shared" si="196"/>
        <v>45129742.5</v>
      </c>
      <c r="AA2113" t="str">
        <f t="shared" si="197"/>
        <v>Normal</v>
      </c>
      <c r="AE2113" s="2"/>
      <c r="AF2113" s="2"/>
    </row>
    <row r="2114" spans="1:32" x14ac:dyDescent="0.35">
      <c r="A2114">
        <v>2113</v>
      </c>
      <c r="B2114" s="1">
        <v>42339</v>
      </c>
      <c r="C2114" s="9" t="s">
        <v>1767</v>
      </c>
      <c r="D2114" s="9" t="s">
        <v>5010</v>
      </c>
      <c r="E2114" s="9" t="s">
        <v>1111</v>
      </c>
      <c r="F2114" s="9" t="s">
        <v>27</v>
      </c>
      <c r="G2114" s="9" t="s">
        <v>3530</v>
      </c>
      <c r="H2114" s="9" t="s">
        <v>86</v>
      </c>
      <c r="I2114" s="11">
        <v>500000</v>
      </c>
      <c r="J2114" s="11">
        <v>3712920</v>
      </c>
      <c r="K2114" s="11">
        <v>11429344</v>
      </c>
      <c r="L2114" s="3">
        <v>355</v>
      </c>
      <c r="M2114" s="3">
        <v>1829</v>
      </c>
      <c r="N2114" s="3">
        <v>28854</v>
      </c>
      <c r="O2114" s="2">
        <v>0.44900000000000001</v>
      </c>
      <c r="P2114" s="2">
        <v>0.91599999999999993</v>
      </c>
      <c r="Q2114" s="2">
        <v>-0.02</v>
      </c>
      <c r="R2114" s="11">
        <v>77754089</v>
      </c>
      <c r="S2114" s="11">
        <v>1630811</v>
      </c>
      <c r="T2114">
        <v>2015</v>
      </c>
      <c r="U2114">
        <v>12</v>
      </c>
      <c r="V2114">
        <f t="shared" ref="V2114:V2177" si="198">_xlfn.PERCENTILE.INC(I2114:I5157,0.25)</f>
        <v>628750</v>
      </c>
      <c r="W2114">
        <f t="shared" ref="W2114:W2177" si="199">_xlfn.PERCENTILE.INC(I2114:I5157,0.75)</f>
        <v>18429897</v>
      </c>
      <c r="X2114">
        <f t="shared" ref="X2114:X2177" si="200">W2114-V2114</f>
        <v>17801147</v>
      </c>
      <c r="Y2114">
        <f t="shared" ref="Y2114:Y2177" si="201">V2114-1.5*X2114</f>
        <v>-26072970.5</v>
      </c>
      <c r="Z2114">
        <f t="shared" ref="Z2114:Z2177" si="202">W2114+1.5*X2114</f>
        <v>45131617.5</v>
      </c>
      <c r="AA2114" t="str">
        <f t="shared" ref="AA2114:AA2177" si="203">IF(OR(I2114&lt;$Y$2, I2114&gt;$Z$2), "Outlier", "Normal")</f>
        <v>Normal</v>
      </c>
      <c r="AE2114" s="2"/>
      <c r="AF2114" s="2"/>
    </row>
    <row r="2115" spans="1:32" x14ac:dyDescent="0.35">
      <c r="A2115">
        <v>2114</v>
      </c>
      <c r="B2115" s="1">
        <v>42339</v>
      </c>
      <c r="C2115" s="9" t="s">
        <v>3531</v>
      </c>
      <c r="D2115" s="9" t="s">
        <v>5011</v>
      </c>
      <c r="E2115" s="9" t="s">
        <v>1111</v>
      </c>
      <c r="F2115" s="9" t="s">
        <v>124</v>
      </c>
      <c r="G2115" s="9" t="s">
        <v>58</v>
      </c>
      <c r="H2115" s="9" t="s">
        <v>86</v>
      </c>
      <c r="I2115" s="11">
        <v>18429897</v>
      </c>
      <c r="J2115" s="11">
        <v>1028561</v>
      </c>
      <c r="K2115" s="11">
        <v>12060840</v>
      </c>
      <c r="L2115" s="3">
        <v>169</v>
      </c>
      <c r="M2115" s="3">
        <v>2321</v>
      </c>
      <c r="N2115" s="3">
        <v>291058</v>
      </c>
      <c r="O2115" s="2">
        <v>0.40899999999999997</v>
      </c>
      <c r="P2115" s="2">
        <v>0.72499999999999998</v>
      </c>
      <c r="Q2115" s="2">
        <v>0.55000000000000004</v>
      </c>
      <c r="R2115" s="11">
        <v>469455501</v>
      </c>
      <c r="S2115" s="11">
        <v>798998</v>
      </c>
      <c r="T2115">
        <v>2015</v>
      </c>
      <c r="U2115">
        <v>12</v>
      </c>
      <c r="V2115">
        <f t="shared" si="198"/>
        <v>630000</v>
      </c>
      <c r="W2115">
        <f t="shared" si="199"/>
        <v>18429897</v>
      </c>
      <c r="X2115">
        <f t="shared" si="200"/>
        <v>17799897</v>
      </c>
      <c r="Y2115">
        <f t="shared" si="201"/>
        <v>-26069845.5</v>
      </c>
      <c r="Z2115">
        <f t="shared" si="202"/>
        <v>45129742.5</v>
      </c>
      <c r="AA2115" t="str">
        <f t="shared" si="203"/>
        <v>Normal</v>
      </c>
      <c r="AE2115" s="2"/>
      <c r="AF2115" s="2"/>
    </row>
    <row r="2116" spans="1:32" x14ac:dyDescent="0.35">
      <c r="A2116">
        <v>2115</v>
      </c>
      <c r="B2116" s="1">
        <v>42339</v>
      </c>
      <c r="C2116" s="9" t="s">
        <v>3532</v>
      </c>
      <c r="D2116" s="9" t="s">
        <v>5012</v>
      </c>
      <c r="E2116" s="9" t="s">
        <v>1111</v>
      </c>
      <c r="F2116" s="9" t="s">
        <v>27</v>
      </c>
      <c r="G2116" s="9" t="s">
        <v>3533</v>
      </c>
      <c r="H2116" s="9" t="s">
        <v>86</v>
      </c>
      <c r="I2116" s="11">
        <v>2000000</v>
      </c>
      <c r="J2116" s="11">
        <v>4803688</v>
      </c>
      <c r="K2116" s="11">
        <v>4881149</v>
      </c>
      <c r="L2116" s="3">
        <v>47</v>
      </c>
      <c r="M2116" s="3">
        <v>1554</v>
      </c>
      <c r="N2116" s="3">
        <v>1018455</v>
      </c>
      <c r="O2116" s="2">
        <v>0.27500000000000002</v>
      </c>
      <c r="P2116" s="2">
        <v>0.624</v>
      </c>
      <c r="Q2116" s="2">
        <v>0.24199999999999999</v>
      </c>
      <c r="R2116" s="11">
        <v>185044543</v>
      </c>
      <c r="S2116" s="11">
        <v>929439</v>
      </c>
      <c r="T2116">
        <v>2015</v>
      </c>
      <c r="U2116">
        <v>12</v>
      </c>
      <c r="V2116">
        <f t="shared" si="198"/>
        <v>630000</v>
      </c>
      <c r="W2116">
        <f t="shared" si="199"/>
        <v>18429897</v>
      </c>
      <c r="X2116">
        <f t="shared" si="200"/>
        <v>17799897</v>
      </c>
      <c r="Y2116">
        <f t="shared" si="201"/>
        <v>-26069845.5</v>
      </c>
      <c r="Z2116">
        <f t="shared" si="202"/>
        <v>45129742.5</v>
      </c>
      <c r="AA2116" t="str">
        <f t="shared" si="203"/>
        <v>Normal</v>
      </c>
      <c r="AE2116" s="2"/>
      <c r="AF2116" s="2"/>
    </row>
    <row r="2117" spans="1:32" x14ac:dyDescent="0.35">
      <c r="A2117">
        <v>2116</v>
      </c>
      <c r="B2117" s="1">
        <v>42340</v>
      </c>
      <c r="C2117" s="9" t="s">
        <v>3534</v>
      </c>
      <c r="D2117" s="9" t="s">
        <v>5013</v>
      </c>
      <c r="E2117" s="9" t="s">
        <v>1111</v>
      </c>
      <c r="F2117" s="9" t="s">
        <v>15</v>
      </c>
      <c r="G2117" s="9" t="s">
        <v>4871</v>
      </c>
      <c r="H2117" s="9" t="s">
        <v>86</v>
      </c>
      <c r="I2117" s="11">
        <v>1500000</v>
      </c>
      <c r="J2117" s="11">
        <v>2719553</v>
      </c>
      <c r="K2117" s="11">
        <v>4987658</v>
      </c>
      <c r="L2117" s="3">
        <v>342</v>
      </c>
      <c r="M2117" s="3">
        <v>4464</v>
      </c>
      <c r="N2117" s="3">
        <v>1296958</v>
      </c>
      <c r="O2117" s="2">
        <v>6.4000000000000001E-2</v>
      </c>
      <c r="P2117" s="2">
        <v>0.56000000000000005</v>
      </c>
      <c r="Q2117" s="2">
        <v>0.45500000000000002</v>
      </c>
      <c r="R2117" s="11">
        <v>259410718</v>
      </c>
      <c r="S2117" s="11">
        <v>1242067</v>
      </c>
      <c r="T2117">
        <v>2015</v>
      </c>
      <c r="U2117">
        <v>12</v>
      </c>
      <c r="V2117">
        <f t="shared" si="198"/>
        <v>630000</v>
      </c>
      <c r="W2117">
        <f t="shared" si="199"/>
        <v>18429897</v>
      </c>
      <c r="X2117">
        <f t="shared" si="200"/>
        <v>17799897</v>
      </c>
      <c r="Y2117">
        <f t="shared" si="201"/>
        <v>-26069845.5</v>
      </c>
      <c r="Z2117">
        <f t="shared" si="202"/>
        <v>45129742.5</v>
      </c>
      <c r="AA2117" t="str">
        <f t="shared" si="203"/>
        <v>Normal</v>
      </c>
      <c r="AE2117" s="2"/>
      <c r="AF2117" s="2"/>
    </row>
    <row r="2118" spans="1:32" x14ac:dyDescent="0.35">
      <c r="A2118">
        <v>2117</v>
      </c>
      <c r="B2118" s="1">
        <v>42340</v>
      </c>
      <c r="C2118" s="9" t="s">
        <v>3535</v>
      </c>
      <c r="D2118" s="9" t="s">
        <v>5014</v>
      </c>
      <c r="E2118" s="9" t="s">
        <v>1111</v>
      </c>
      <c r="F2118" s="9" t="s">
        <v>27</v>
      </c>
      <c r="G2118" s="9" t="s">
        <v>3536</v>
      </c>
      <c r="H2118" s="9" t="s">
        <v>105</v>
      </c>
      <c r="I2118" s="11">
        <v>18429897</v>
      </c>
      <c r="J2118" s="11">
        <v>2738915</v>
      </c>
      <c r="K2118" s="11">
        <v>10346103</v>
      </c>
      <c r="L2118" s="3">
        <v>134</v>
      </c>
      <c r="M2118" s="3">
        <v>2137</v>
      </c>
      <c r="N2118" s="3">
        <v>323190</v>
      </c>
      <c r="O2118" s="2">
        <v>-0.29799999999999999</v>
      </c>
      <c r="P2118" s="2">
        <v>0.59899999999999998</v>
      </c>
      <c r="Q2118" s="2">
        <v>0.152</v>
      </c>
      <c r="R2118" s="11">
        <v>249431148</v>
      </c>
      <c r="S2118" s="11">
        <v>1201863</v>
      </c>
      <c r="T2118">
        <v>2015</v>
      </c>
      <c r="U2118">
        <v>12</v>
      </c>
      <c r="V2118">
        <f t="shared" si="198"/>
        <v>628750</v>
      </c>
      <c r="W2118">
        <f t="shared" si="199"/>
        <v>18429897</v>
      </c>
      <c r="X2118">
        <f t="shared" si="200"/>
        <v>17801147</v>
      </c>
      <c r="Y2118">
        <f t="shared" si="201"/>
        <v>-26072970.5</v>
      </c>
      <c r="Z2118">
        <f t="shared" si="202"/>
        <v>45131617.5</v>
      </c>
      <c r="AA2118" t="str">
        <f t="shared" si="203"/>
        <v>Normal</v>
      </c>
      <c r="AE2118" s="2"/>
      <c r="AF2118" s="2"/>
    </row>
    <row r="2119" spans="1:32" x14ac:dyDescent="0.35">
      <c r="A2119">
        <v>2118</v>
      </c>
      <c r="B2119" s="1">
        <v>42341</v>
      </c>
      <c r="C2119" s="9" t="s">
        <v>3537</v>
      </c>
      <c r="D2119" s="9" t="s">
        <v>5015</v>
      </c>
      <c r="E2119" s="9" t="s">
        <v>1111</v>
      </c>
      <c r="F2119" s="9" t="s">
        <v>15</v>
      </c>
      <c r="G2119" s="9" t="s">
        <v>3538</v>
      </c>
      <c r="H2119" s="9" t="s">
        <v>86</v>
      </c>
      <c r="I2119" s="11">
        <v>18429897</v>
      </c>
      <c r="J2119" s="11">
        <v>3512927</v>
      </c>
      <c r="K2119" s="11">
        <v>17217386</v>
      </c>
      <c r="L2119" s="3">
        <v>431</v>
      </c>
      <c r="M2119" s="3">
        <v>3947</v>
      </c>
      <c r="N2119" s="3">
        <v>72873</v>
      </c>
      <c r="O2119" s="2">
        <v>8.5000000000000006E-2</v>
      </c>
      <c r="P2119" s="2">
        <v>1.054</v>
      </c>
      <c r="Q2119" s="2">
        <v>0.41100000000000003</v>
      </c>
      <c r="R2119" s="11">
        <v>22812723</v>
      </c>
      <c r="S2119" s="11">
        <v>812682</v>
      </c>
      <c r="T2119">
        <v>2015</v>
      </c>
      <c r="U2119">
        <v>12</v>
      </c>
      <c r="V2119">
        <f t="shared" si="198"/>
        <v>627500</v>
      </c>
      <c r="W2119">
        <f t="shared" si="199"/>
        <v>18429897</v>
      </c>
      <c r="X2119">
        <f t="shared" si="200"/>
        <v>17802397</v>
      </c>
      <c r="Y2119">
        <f t="shared" si="201"/>
        <v>-26076095.5</v>
      </c>
      <c r="Z2119">
        <f t="shared" si="202"/>
        <v>45133492.5</v>
      </c>
      <c r="AA2119" t="str">
        <f t="shared" si="203"/>
        <v>Normal</v>
      </c>
      <c r="AE2119" s="2"/>
      <c r="AF2119" s="2"/>
    </row>
    <row r="2120" spans="1:32" x14ac:dyDescent="0.35">
      <c r="A2120">
        <v>2119</v>
      </c>
      <c r="B2120" s="1">
        <v>42341</v>
      </c>
      <c r="C2120" s="9" t="s">
        <v>3539</v>
      </c>
      <c r="D2120" s="9" t="s">
        <v>5016</v>
      </c>
      <c r="E2120" s="9" t="s">
        <v>1111</v>
      </c>
      <c r="F2120" s="9" t="s">
        <v>27</v>
      </c>
      <c r="G2120" s="9" t="s">
        <v>856</v>
      </c>
      <c r="H2120" s="9" t="s">
        <v>86</v>
      </c>
      <c r="I2120" s="11">
        <v>100000</v>
      </c>
      <c r="J2120" s="11">
        <v>3850095</v>
      </c>
      <c r="K2120" s="11">
        <v>6670524</v>
      </c>
      <c r="L2120" s="3">
        <v>254</v>
      </c>
      <c r="M2120" s="3">
        <v>3137</v>
      </c>
      <c r="N2120" s="3">
        <v>452335</v>
      </c>
      <c r="O2120" s="2">
        <v>-0.247</v>
      </c>
      <c r="P2120" s="2">
        <v>0.621</v>
      </c>
      <c r="Q2120" s="2">
        <v>-0.15</v>
      </c>
      <c r="R2120" s="11">
        <v>233234101</v>
      </c>
      <c r="S2120" s="11">
        <v>503999</v>
      </c>
      <c r="T2120">
        <v>2015</v>
      </c>
      <c r="U2120">
        <v>12</v>
      </c>
      <c r="V2120">
        <f t="shared" si="198"/>
        <v>626250</v>
      </c>
      <c r="W2120">
        <f t="shared" si="199"/>
        <v>18429897</v>
      </c>
      <c r="X2120">
        <f t="shared" si="200"/>
        <v>17803647</v>
      </c>
      <c r="Y2120">
        <f t="shared" si="201"/>
        <v>-26079220.5</v>
      </c>
      <c r="Z2120">
        <f t="shared" si="202"/>
        <v>45135367.5</v>
      </c>
      <c r="AA2120" t="str">
        <f t="shared" si="203"/>
        <v>Normal</v>
      </c>
      <c r="AE2120" s="2"/>
      <c r="AF2120" s="2"/>
    </row>
    <row r="2121" spans="1:32" x14ac:dyDescent="0.35">
      <c r="A2121">
        <v>2120</v>
      </c>
      <c r="B2121" s="1">
        <v>42341</v>
      </c>
      <c r="C2121" s="9" t="s">
        <v>18</v>
      </c>
      <c r="D2121" s="9" t="s">
        <v>5017</v>
      </c>
      <c r="E2121" s="9" t="s">
        <v>1111</v>
      </c>
      <c r="F2121" s="9" t="s">
        <v>19</v>
      </c>
      <c r="G2121" s="9" t="s">
        <v>3540</v>
      </c>
      <c r="H2121" s="9" t="s">
        <v>105</v>
      </c>
      <c r="I2121" s="11">
        <v>20000000</v>
      </c>
      <c r="J2121" s="11">
        <v>4765553</v>
      </c>
      <c r="K2121" s="11">
        <v>5832051</v>
      </c>
      <c r="L2121" s="3">
        <v>254</v>
      </c>
      <c r="M2121" s="3">
        <v>4781</v>
      </c>
      <c r="N2121" s="3">
        <v>236992</v>
      </c>
      <c r="O2121" s="2">
        <v>-0.35100000000000003</v>
      </c>
      <c r="P2121" s="2">
        <v>0.20399999999999999</v>
      </c>
      <c r="Q2121" s="2">
        <v>0.16200000000000001</v>
      </c>
      <c r="R2121" s="11">
        <v>42174836</v>
      </c>
      <c r="S2121" s="11">
        <v>1863888</v>
      </c>
      <c r="T2121">
        <v>2015</v>
      </c>
      <c r="U2121">
        <v>12</v>
      </c>
      <c r="V2121">
        <f t="shared" si="198"/>
        <v>630000</v>
      </c>
      <c r="W2121">
        <f t="shared" si="199"/>
        <v>18429897</v>
      </c>
      <c r="X2121">
        <f t="shared" si="200"/>
        <v>17799897</v>
      </c>
      <c r="Y2121">
        <f t="shared" si="201"/>
        <v>-26069845.5</v>
      </c>
      <c r="Z2121">
        <f t="shared" si="202"/>
        <v>45129742.5</v>
      </c>
      <c r="AA2121" t="str">
        <f t="shared" si="203"/>
        <v>Normal</v>
      </c>
      <c r="AE2121" s="2"/>
      <c r="AF2121" s="2"/>
    </row>
    <row r="2122" spans="1:32" x14ac:dyDescent="0.35">
      <c r="A2122">
        <v>2121</v>
      </c>
      <c r="B2122" s="1">
        <v>42341</v>
      </c>
      <c r="C2122" s="9" t="s">
        <v>3541</v>
      </c>
      <c r="D2122" s="9" t="s">
        <v>5018</v>
      </c>
      <c r="E2122" s="9" t="s">
        <v>1111</v>
      </c>
      <c r="F2122" s="9" t="s">
        <v>27</v>
      </c>
      <c r="G2122" s="9" t="s">
        <v>3542</v>
      </c>
      <c r="H2122" s="9" t="s">
        <v>86</v>
      </c>
      <c r="I2122" s="11">
        <v>18429897</v>
      </c>
      <c r="J2122" s="11">
        <v>2920250</v>
      </c>
      <c r="K2122" s="11">
        <v>5723688</v>
      </c>
      <c r="L2122" s="3">
        <v>363</v>
      </c>
      <c r="M2122" s="3">
        <v>3035</v>
      </c>
      <c r="N2122" s="3">
        <v>553195</v>
      </c>
      <c r="O2122" s="2">
        <v>0.249</v>
      </c>
      <c r="P2122" s="2">
        <v>1.123</v>
      </c>
      <c r="Q2122" s="2">
        <v>-0.11699999999999999</v>
      </c>
      <c r="R2122" s="11">
        <v>250264963</v>
      </c>
      <c r="S2122" s="11">
        <v>1008193.5</v>
      </c>
      <c r="T2122">
        <v>2015</v>
      </c>
      <c r="U2122">
        <v>12</v>
      </c>
      <c r="V2122">
        <f t="shared" si="198"/>
        <v>628750</v>
      </c>
      <c r="W2122">
        <f t="shared" si="199"/>
        <v>18429897</v>
      </c>
      <c r="X2122">
        <f t="shared" si="200"/>
        <v>17801147</v>
      </c>
      <c r="Y2122">
        <f t="shared" si="201"/>
        <v>-26072970.5</v>
      </c>
      <c r="Z2122">
        <f t="shared" si="202"/>
        <v>45131617.5</v>
      </c>
      <c r="AA2122" t="str">
        <f t="shared" si="203"/>
        <v>Normal</v>
      </c>
      <c r="AE2122" s="2"/>
      <c r="AF2122" s="2"/>
    </row>
    <row r="2123" spans="1:32" x14ac:dyDescent="0.35">
      <c r="A2123">
        <v>2122</v>
      </c>
      <c r="B2123" s="1">
        <v>42341</v>
      </c>
      <c r="C2123" s="9" t="s">
        <v>3543</v>
      </c>
      <c r="D2123" s="9" t="s">
        <v>5019</v>
      </c>
      <c r="E2123" s="9" t="s">
        <v>1111</v>
      </c>
      <c r="F2123" s="9" t="s">
        <v>31</v>
      </c>
      <c r="G2123" s="9" t="s">
        <v>3544</v>
      </c>
      <c r="H2123" s="9" t="s">
        <v>86</v>
      </c>
      <c r="I2123" s="11">
        <v>18429897</v>
      </c>
      <c r="J2123" s="11">
        <v>3058101</v>
      </c>
      <c r="K2123" s="11">
        <v>10623408</v>
      </c>
      <c r="L2123" s="3">
        <v>123</v>
      </c>
      <c r="M2123" s="3">
        <v>4929</v>
      </c>
      <c r="N2123" s="3">
        <v>1666142</v>
      </c>
      <c r="O2123" s="2">
        <v>0.35399999999999998</v>
      </c>
      <c r="P2123" s="2">
        <v>0.79299999999999993</v>
      </c>
      <c r="Q2123" s="2">
        <v>-1</v>
      </c>
      <c r="R2123" s="11">
        <v>176717464</v>
      </c>
      <c r="S2123" s="11">
        <v>1682765</v>
      </c>
      <c r="T2123">
        <v>2015</v>
      </c>
      <c r="U2123">
        <v>12</v>
      </c>
      <c r="V2123">
        <f t="shared" si="198"/>
        <v>627500</v>
      </c>
      <c r="W2123">
        <f t="shared" si="199"/>
        <v>18429897</v>
      </c>
      <c r="X2123">
        <f t="shared" si="200"/>
        <v>17802397</v>
      </c>
      <c r="Y2123">
        <f t="shared" si="201"/>
        <v>-26076095.5</v>
      </c>
      <c r="Z2123">
        <f t="shared" si="202"/>
        <v>45133492.5</v>
      </c>
      <c r="AA2123" t="str">
        <f t="shared" si="203"/>
        <v>Normal</v>
      </c>
      <c r="AE2123" s="2"/>
      <c r="AF2123" s="2"/>
    </row>
    <row r="2124" spans="1:32" x14ac:dyDescent="0.35">
      <c r="A2124">
        <v>2123</v>
      </c>
      <c r="B2124" s="1">
        <v>42342</v>
      </c>
      <c r="C2124" s="9" t="s">
        <v>2686</v>
      </c>
      <c r="D2124" s="9" t="s">
        <v>5020</v>
      </c>
      <c r="E2124" s="9" t="s">
        <v>1111</v>
      </c>
      <c r="F2124" s="9" t="s">
        <v>554</v>
      </c>
      <c r="G2124" s="9" t="s">
        <v>3545</v>
      </c>
      <c r="H2124" s="9" t="s">
        <v>86</v>
      </c>
      <c r="I2124" s="11">
        <v>100000</v>
      </c>
      <c r="J2124" s="11">
        <v>3732728</v>
      </c>
      <c r="K2124" s="11">
        <v>15603387</v>
      </c>
      <c r="L2124" s="3">
        <v>291</v>
      </c>
      <c r="M2124" s="3">
        <v>3506</v>
      </c>
      <c r="N2124" s="3">
        <v>1739361</v>
      </c>
      <c r="O2124" s="2">
        <v>-0.27</v>
      </c>
      <c r="P2124" s="2">
        <v>0.36599999999999999</v>
      </c>
      <c r="Q2124" s="2">
        <v>0.11</v>
      </c>
      <c r="R2124" s="11">
        <v>99844220</v>
      </c>
      <c r="S2124" s="11">
        <v>376739</v>
      </c>
      <c r="T2124">
        <v>2015</v>
      </c>
      <c r="U2124">
        <v>12</v>
      </c>
      <c r="V2124">
        <f t="shared" si="198"/>
        <v>626250</v>
      </c>
      <c r="W2124">
        <f t="shared" si="199"/>
        <v>18429897</v>
      </c>
      <c r="X2124">
        <f t="shared" si="200"/>
        <v>17803647</v>
      </c>
      <c r="Y2124">
        <f t="shared" si="201"/>
        <v>-26079220.5</v>
      </c>
      <c r="Z2124">
        <f t="shared" si="202"/>
        <v>45135367.5</v>
      </c>
      <c r="AA2124" t="str">
        <f t="shared" si="203"/>
        <v>Normal</v>
      </c>
      <c r="AE2124" s="2"/>
      <c r="AF2124" s="2"/>
    </row>
    <row r="2125" spans="1:32" x14ac:dyDescent="0.35">
      <c r="A2125">
        <v>2124</v>
      </c>
      <c r="B2125" s="1">
        <v>42342</v>
      </c>
      <c r="C2125" s="9" t="s">
        <v>3546</v>
      </c>
      <c r="D2125" s="9" t="s">
        <v>5021</v>
      </c>
      <c r="E2125" s="9" t="s">
        <v>1111</v>
      </c>
      <c r="F2125" s="9" t="s">
        <v>19</v>
      </c>
      <c r="G2125" s="9" t="s">
        <v>3545</v>
      </c>
      <c r="H2125" s="9" t="s">
        <v>86</v>
      </c>
      <c r="I2125" s="11">
        <v>100000</v>
      </c>
      <c r="J2125" s="11">
        <v>1290432</v>
      </c>
      <c r="K2125" s="11">
        <v>10062593</v>
      </c>
      <c r="L2125" s="3">
        <v>469</v>
      </c>
      <c r="M2125" s="3">
        <v>341</v>
      </c>
      <c r="N2125" s="3">
        <v>573394</v>
      </c>
      <c r="O2125" s="2">
        <v>6.9000000000000006E-2</v>
      </c>
      <c r="P2125" s="2">
        <v>0.32700000000000001</v>
      </c>
      <c r="Q2125" s="2">
        <v>-0.13900000000000001</v>
      </c>
      <c r="R2125" s="11">
        <v>259780827</v>
      </c>
      <c r="S2125" s="11">
        <v>784937</v>
      </c>
      <c r="T2125">
        <v>2015</v>
      </c>
      <c r="U2125">
        <v>12</v>
      </c>
      <c r="V2125">
        <f t="shared" si="198"/>
        <v>630000</v>
      </c>
      <c r="W2125">
        <f t="shared" si="199"/>
        <v>18429897</v>
      </c>
      <c r="X2125">
        <f t="shared" si="200"/>
        <v>17799897</v>
      </c>
      <c r="Y2125">
        <f t="shared" si="201"/>
        <v>-26069845.5</v>
      </c>
      <c r="Z2125">
        <f t="shared" si="202"/>
        <v>45129742.5</v>
      </c>
      <c r="AA2125" t="str">
        <f t="shared" si="203"/>
        <v>Normal</v>
      </c>
      <c r="AE2125" s="2"/>
      <c r="AF2125" s="2"/>
    </row>
    <row r="2126" spans="1:32" x14ac:dyDescent="0.35">
      <c r="A2126">
        <v>2125</v>
      </c>
      <c r="B2126" s="1">
        <v>42342</v>
      </c>
      <c r="C2126" s="9" t="s">
        <v>3547</v>
      </c>
      <c r="D2126" s="9" t="s">
        <v>5022</v>
      </c>
      <c r="E2126" s="9" t="s">
        <v>1111</v>
      </c>
      <c r="F2126" s="9" t="s">
        <v>27</v>
      </c>
      <c r="G2126" s="9" t="s">
        <v>3548</v>
      </c>
      <c r="H2126" s="9" t="s">
        <v>105</v>
      </c>
      <c r="I2126" s="11">
        <v>20000000</v>
      </c>
      <c r="J2126" s="11">
        <v>1552410</v>
      </c>
      <c r="K2126" s="11">
        <v>5969312</v>
      </c>
      <c r="L2126" s="3">
        <v>36</v>
      </c>
      <c r="M2126" s="3">
        <v>2505.5</v>
      </c>
      <c r="N2126" s="3">
        <v>575872</v>
      </c>
      <c r="O2126" s="2">
        <v>0.11699999999999999</v>
      </c>
      <c r="P2126" s="2">
        <v>0.50800000000000001</v>
      </c>
      <c r="Q2126" s="2">
        <v>-0.26600000000000001</v>
      </c>
      <c r="R2126" s="11">
        <v>85073672</v>
      </c>
      <c r="S2126" s="11">
        <v>785749</v>
      </c>
      <c r="T2126">
        <v>2015</v>
      </c>
      <c r="U2126">
        <v>12</v>
      </c>
      <c r="V2126">
        <f t="shared" si="198"/>
        <v>630000</v>
      </c>
      <c r="W2126">
        <f t="shared" si="199"/>
        <v>18429897</v>
      </c>
      <c r="X2126">
        <f t="shared" si="200"/>
        <v>17799897</v>
      </c>
      <c r="Y2126">
        <f t="shared" si="201"/>
        <v>-26069845.5</v>
      </c>
      <c r="Z2126">
        <f t="shared" si="202"/>
        <v>45129742.5</v>
      </c>
      <c r="AA2126" t="str">
        <f t="shared" si="203"/>
        <v>Normal</v>
      </c>
      <c r="AE2126" s="2"/>
      <c r="AF2126" s="2"/>
    </row>
    <row r="2127" spans="1:32" x14ac:dyDescent="0.35">
      <c r="A2127">
        <v>2126</v>
      </c>
      <c r="B2127" s="1">
        <v>42342</v>
      </c>
      <c r="C2127" s="9" t="s">
        <v>3549</v>
      </c>
      <c r="D2127" s="9" t="s">
        <v>5023</v>
      </c>
      <c r="E2127" s="9" t="s">
        <v>1111</v>
      </c>
      <c r="F2127" s="9" t="s">
        <v>27</v>
      </c>
      <c r="G2127" s="9" t="s">
        <v>3550</v>
      </c>
      <c r="H2127" s="9" t="s">
        <v>86</v>
      </c>
      <c r="I2127" s="11">
        <v>18429897</v>
      </c>
      <c r="J2127" s="11">
        <v>3134881</v>
      </c>
      <c r="K2127" s="11">
        <v>19204462</v>
      </c>
      <c r="L2127" s="3">
        <v>410</v>
      </c>
      <c r="M2127" s="3">
        <v>3958</v>
      </c>
      <c r="N2127" s="3">
        <v>1653088</v>
      </c>
      <c r="O2127" s="2">
        <v>6.2E-2</v>
      </c>
      <c r="P2127" s="2">
        <v>0.81200000000000006</v>
      </c>
      <c r="Q2127" s="2">
        <v>0.34600000000000003</v>
      </c>
      <c r="R2127" s="11">
        <v>251416165</v>
      </c>
      <c r="S2127" s="11">
        <v>57885</v>
      </c>
      <c r="T2127">
        <v>2015</v>
      </c>
      <c r="U2127">
        <v>12</v>
      </c>
      <c r="V2127">
        <f t="shared" si="198"/>
        <v>630000</v>
      </c>
      <c r="W2127">
        <f t="shared" si="199"/>
        <v>18429897</v>
      </c>
      <c r="X2127">
        <f t="shared" si="200"/>
        <v>17799897</v>
      </c>
      <c r="Y2127">
        <f t="shared" si="201"/>
        <v>-26069845.5</v>
      </c>
      <c r="Z2127">
        <f t="shared" si="202"/>
        <v>45129742.5</v>
      </c>
      <c r="AA2127" t="str">
        <f t="shared" si="203"/>
        <v>Normal</v>
      </c>
      <c r="AE2127" s="2"/>
      <c r="AF2127" s="2"/>
    </row>
    <row r="2128" spans="1:32" x14ac:dyDescent="0.35">
      <c r="A2128">
        <v>2127</v>
      </c>
      <c r="B2128" s="1">
        <v>42345</v>
      </c>
      <c r="C2128" s="9" t="s">
        <v>1801</v>
      </c>
      <c r="D2128" s="9" t="s">
        <v>5024</v>
      </c>
      <c r="E2128" s="9" t="s">
        <v>1111</v>
      </c>
      <c r="F2128" s="9" t="s">
        <v>19</v>
      </c>
      <c r="G2128" s="9" t="s">
        <v>198</v>
      </c>
      <c r="H2128" s="9" t="s">
        <v>105</v>
      </c>
      <c r="I2128" s="11">
        <v>18429897</v>
      </c>
      <c r="J2128" s="11">
        <v>2531926</v>
      </c>
      <c r="K2128" s="11">
        <v>11491274</v>
      </c>
      <c r="L2128" s="3">
        <v>254</v>
      </c>
      <c r="M2128" s="3">
        <v>277</v>
      </c>
      <c r="N2128" s="3">
        <v>851423</v>
      </c>
      <c r="O2128" s="2">
        <v>-0.156</v>
      </c>
      <c r="P2128" s="2">
        <v>1.1390000000000001E-2</v>
      </c>
      <c r="Q2128" s="2">
        <v>-0.32</v>
      </c>
      <c r="R2128" s="11">
        <v>23673905</v>
      </c>
      <c r="S2128" s="11">
        <v>1008193.5</v>
      </c>
      <c r="T2128">
        <v>2015</v>
      </c>
      <c r="U2128">
        <v>12</v>
      </c>
      <c r="V2128">
        <f t="shared" si="198"/>
        <v>630000</v>
      </c>
      <c r="W2128">
        <f t="shared" si="199"/>
        <v>18429897</v>
      </c>
      <c r="X2128">
        <f t="shared" si="200"/>
        <v>17799897</v>
      </c>
      <c r="Y2128">
        <f t="shared" si="201"/>
        <v>-26069845.5</v>
      </c>
      <c r="Z2128">
        <f t="shared" si="202"/>
        <v>45129742.5</v>
      </c>
      <c r="AA2128" t="str">
        <f t="shared" si="203"/>
        <v>Normal</v>
      </c>
      <c r="AE2128" s="2"/>
      <c r="AF2128" s="2"/>
    </row>
    <row r="2129" spans="1:32" x14ac:dyDescent="0.35">
      <c r="A2129">
        <v>2128</v>
      </c>
      <c r="B2129" s="1">
        <v>42345</v>
      </c>
      <c r="C2129" s="9" t="s">
        <v>3551</v>
      </c>
      <c r="D2129" s="9" t="s">
        <v>5025</v>
      </c>
      <c r="E2129" s="9" t="s">
        <v>1111</v>
      </c>
      <c r="F2129" s="9" t="s">
        <v>124</v>
      </c>
      <c r="G2129" s="9" t="s">
        <v>3552</v>
      </c>
      <c r="H2129" s="9" t="s">
        <v>105</v>
      </c>
      <c r="I2129" s="11">
        <v>4500000</v>
      </c>
      <c r="J2129" s="11">
        <v>1616045</v>
      </c>
      <c r="K2129" s="11">
        <v>7941172</v>
      </c>
      <c r="L2129" s="3">
        <v>474</v>
      </c>
      <c r="M2129" s="3">
        <v>990</v>
      </c>
      <c r="N2129" s="3">
        <v>427179</v>
      </c>
      <c r="O2129" s="2">
        <v>0.38600000000000001</v>
      </c>
      <c r="P2129" s="2">
        <v>0.254</v>
      </c>
      <c r="Q2129" s="2">
        <v>0.52300000000000002</v>
      </c>
      <c r="R2129" s="11">
        <v>452558375</v>
      </c>
      <c r="S2129" s="11">
        <v>1096468</v>
      </c>
      <c r="T2129">
        <v>2015</v>
      </c>
      <c r="U2129">
        <v>12</v>
      </c>
      <c r="V2129">
        <f t="shared" si="198"/>
        <v>630000</v>
      </c>
      <c r="W2129">
        <f t="shared" si="199"/>
        <v>18429897</v>
      </c>
      <c r="X2129">
        <f t="shared" si="200"/>
        <v>17799897</v>
      </c>
      <c r="Y2129">
        <f t="shared" si="201"/>
        <v>-26069845.5</v>
      </c>
      <c r="Z2129">
        <f t="shared" si="202"/>
        <v>45129742.5</v>
      </c>
      <c r="AA2129" t="str">
        <f t="shared" si="203"/>
        <v>Normal</v>
      </c>
      <c r="AE2129" s="2"/>
      <c r="AF2129" s="2"/>
    </row>
    <row r="2130" spans="1:32" x14ac:dyDescent="0.35">
      <c r="A2130">
        <v>2129</v>
      </c>
      <c r="B2130" s="1">
        <v>42345</v>
      </c>
      <c r="C2130" s="9" t="s">
        <v>1648</v>
      </c>
      <c r="D2130" s="9" t="s">
        <v>5026</v>
      </c>
      <c r="E2130" s="9" t="s">
        <v>1111</v>
      </c>
      <c r="F2130" s="9" t="s">
        <v>41</v>
      </c>
      <c r="G2130" s="9" t="s">
        <v>4872</v>
      </c>
      <c r="H2130" s="9" t="s">
        <v>105</v>
      </c>
      <c r="I2130" s="11">
        <v>30000000</v>
      </c>
      <c r="J2130" s="11">
        <v>3595619</v>
      </c>
      <c r="K2130" s="11">
        <v>10153449</v>
      </c>
      <c r="L2130" s="3">
        <v>108</v>
      </c>
      <c r="M2130" s="3">
        <v>3964</v>
      </c>
      <c r="N2130" s="3">
        <v>1494714</v>
      </c>
      <c r="O2130" s="2">
        <v>-0.15</v>
      </c>
      <c r="P2130" s="2">
        <v>0.55300000000000005</v>
      </c>
      <c r="Q2130" s="2">
        <v>-0.10400000000000001</v>
      </c>
      <c r="R2130" s="11">
        <v>77382844</v>
      </c>
      <c r="S2130" s="11">
        <v>1446477</v>
      </c>
      <c r="T2130">
        <v>2015</v>
      </c>
      <c r="U2130">
        <v>12</v>
      </c>
      <c r="V2130">
        <f t="shared" si="198"/>
        <v>628750</v>
      </c>
      <c r="W2130">
        <f t="shared" si="199"/>
        <v>18429897</v>
      </c>
      <c r="X2130">
        <f t="shared" si="200"/>
        <v>17801147</v>
      </c>
      <c r="Y2130">
        <f t="shared" si="201"/>
        <v>-26072970.5</v>
      </c>
      <c r="Z2130">
        <f t="shared" si="202"/>
        <v>45131617.5</v>
      </c>
      <c r="AA2130" t="str">
        <f t="shared" si="203"/>
        <v>Normal</v>
      </c>
      <c r="AE2130" s="2"/>
      <c r="AF2130" s="2"/>
    </row>
    <row r="2131" spans="1:32" x14ac:dyDescent="0.35">
      <c r="A2131">
        <v>2130</v>
      </c>
      <c r="B2131" s="1">
        <v>42345</v>
      </c>
      <c r="C2131" s="9" t="s">
        <v>3553</v>
      </c>
      <c r="D2131" s="9" t="s">
        <v>5027</v>
      </c>
      <c r="E2131" s="9" t="s">
        <v>1111</v>
      </c>
      <c r="F2131" s="9" t="s">
        <v>31</v>
      </c>
      <c r="G2131" s="9" t="s">
        <v>3554</v>
      </c>
      <c r="H2131" s="9" t="s">
        <v>86</v>
      </c>
      <c r="I2131" s="11">
        <v>18429897</v>
      </c>
      <c r="J2131" s="11">
        <v>4881119</v>
      </c>
      <c r="K2131" s="11">
        <v>11288328</v>
      </c>
      <c r="L2131" s="3">
        <v>361</v>
      </c>
      <c r="M2131" s="3">
        <v>1806</v>
      </c>
      <c r="N2131" s="3">
        <v>981399</v>
      </c>
      <c r="O2131" s="2">
        <v>-0.27</v>
      </c>
      <c r="P2131" s="2">
        <v>0.45700000000000002</v>
      </c>
      <c r="Q2131" s="2">
        <v>0.24199999999999999</v>
      </c>
      <c r="R2131" s="11">
        <v>402695826</v>
      </c>
      <c r="S2131" s="11">
        <v>492135</v>
      </c>
      <c r="T2131">
        <v>2015</v>
      </c>
      <c r="U2131">
        <v>12</v>
      </c>
      <c r="V2131">
        <f t="shared" si="198"/>
        <v>627500</v>
      </c>
      <c r="W2131">
        <f t="shared" si="199"/>
        <v>18429897</v>
      </c>
      <c r="X2131">
        <f t="shared" si="200"/>
        <v>17802397</v>
      </c>
      <c r="Y2131">
        <f t="shared" si="201"/>
        <v>-26076095.5</v>
      </c>
      <c r="Z2131">
        <f t="shared" si="202"/>
        <v>45133492.5</v>
      </c>
      <c r="AA2131" t="str">
        <f t="shared" si="203"/>
        <v>Normal</v>
      </c>
      <c r="AE2131" s="2"/>
      <c r="AF2131" s="2"/>
    </row>
    <row r="2132" spans="1:32" x14ac:dyDescent="0.35">
      <c r="A2132">
        <v>2131</v>
      </c>
      <c r="B2132" s="1">
        <v>42345</v>
      </c>
      <c r="C2132" s="9" t="s">
        <v>3555</v>
      </c>
      <c r="D2132" s="9" t="s">
        <v>5028</v>
      </c>
      <c r="E2132" s="9" t="s">
        <v>1111</v>
      </c>
      <c r="F2132" s="9" t="s">
        <v>27</v>
      </c>
      <c r="G2132" s="9" t="s">
        <v>3556</v>
      </c>
      <c r="H2132" s="9" t="s">
        <v>86</v>
      </c>
      <c r="I2132" s="11">
        <v>250000</v>
      </c>
      <c r="J2132" s="11">
        <v>2607091</v>
      </c>
      <c r="K2132" s="11">
        <v>12459160</v>
      </c>
      <c r="L2132" s="3">
        <v>484</v>
      </c>
      <c r="M2132" s="3">
        <v>1124</v>
      </c>
      <c r="N2132" s="3">
        <v>1784552</v>
      </c>
      <c r="O2132" s="2">
        <v>-0.155</v>
      </c>
      <c r="P2132" s="2">
        <v>0.621</v>
      </c>
      <c r="Q2132" s="2">
        <v>0.25600000000000001</v>
      </c>
      <c r="R2132" s="11">
        <v>493488892</v>
      </c>
      <c r="S2132" s="11">
        <v>926186</v>
      </c>
      <c r="T2132">
        <v>2015</v>
      </c>
      <c r="U2132">
        <v>12</v>
      </c>
      <c r="V2132">
        <f t="shared" si="198"/>
        <v>626250</v>
      </c>
      <c r="W2132">
        <f t="shared" si="199"/>
        <v>18429897</v>
      </c>
      <c r="X2132">
        <f t="shared" si="200"/>
        <v>17803647</v>
      </c>
      <c r="Y2132">
        <f t="shared" si="201"/>
        <v>-26079220.5</v>
      </c>
      <c r="Z2132">
        <f t="shared" si="202"/>
        <v>45135367.5</v>
      </c>
      <c r="AA2132" t="str">
        <f t="shared" si="203"/>
        <v>Normal</v>
      </c>
      <c r="AE2132" s="2"/>
      <c r="AF2132" s="2"/>
    </row>
    <row r="2133" spans="1:32" x14ac:dyDescent="0.35">
      <c r="A2133">
        <v>2132</v>
      </c>
      <c r="B2133" s="1">
        <v>42345</v>
      </c>
      <c r="C2133" s="9" t="s">
        <v>3557</v>
      </c>
      <c r="D2133" s="9" t="s">
        <v>5029</v>
      </c>
      <c r="E2133" s="9" t="s">
        <v>1111</v>
      </c>
      <c r="F2133" s="9" t="s">
        <v>31</v>
      </c>
      <c r="G2133" s="9" t="s">
        <v>3558</v>
      </c>
      <c r="H2133" s="9" t="s">
        <v>86</v>
      </c>
      <c r="I2133" s="11">
        <v>100000</v>
      </c>
      <c r="J2133" s="11">
        <v>2010387</v>
      </c>
      <c r="K2133" s="11">
        <v>18581261</v>
      </c>
      <c r="L2133" s="3">
        <v>175</v>
      </c>
      <c r="M2133" s="3">
        <v>1029</v>
      </c>
      <c r="N2133" s="3">
        <v>1754161</v>
      </c>
      <c r="O2133" s="2">
        <v>0.216</v>
      </c>
      <c r="P2133" s="2">
        <v>0.99199999999999999</v>
      </c>
      <c r="Q2133" s="2">
        <v>-0.17600000000000002</v>
      </c>
      <c r="R2133" s="11">
        <v>439818730</v>
      </c>
      <c r="S2133" s="11">
        <v>647206</v>
      </c>
      <c r="T2133">
        <v>2015</v>
      </c>
      <c r="U2133">
        <v>12</v>
      </c>
      <c r="V2133">
        <f t="shared" si="198"/>
        <v>630000</v>
      </c>
      <c r="W2133">
        <f t="shared" si="199"/>
        <v>18429897</v>
      </c>
      <c r="X2133">
        <f t="shared" si="200"/>
        <v>17799897</v>
      </c>
      <c r="Y2133">
        <f t="shared" si="201"/>
        <v>-26069845.5</v>
      </c>
      <c r="Z2133">
        <f t="shared" si="202"/>
        <v>45129742.5</v>
      </c>
      <c r="AA2133" t="str">
        <f t="shared" si="203"/>
        <v>Normal</v>
      </c>
      <c r="AE2133" s="2"/>
      <c r="AF2133" s="2"/>
    </row>
    <row r="2134" spans="1:32" x14ac:dyDescent="0.35">
      <c r="A2134">
        <v>2133</v>
      </c>
      <c r="B2134" s="1">
        <v>42346</v>
      </c>
      <c r="C2134" s="9" t="s">
        <v>3559</v>
      </c>
      <c r="D2134" s="9" t="s">
        <v>5030</v>
      </c>
      <c r="E2134" s="9" t="s">
        <v>1111</v>
      </c>
      <c r="F2134" s="9" t="s">
        <v>27</v>
      </c>
      <c r="G2134" s="9" t="s">
        <v>856</v>
      </c>
      <c r="H2134" s="9" t="s">
        <v>86</v>
      </c>
      <c r="I2134" s="11">
        <v>18429897</v>
      </c>
      <c r="J2134" s="11">
        <v>2213074</v>
      </c>
      <c r="K2134" s="11">
        <v>4690930</v>
      </c>
      <c r="L2134" s="3">
        <v>58</v>
      </c>
      <c r="M2134" s="3">
        <v>2505.5</v>
      </c>
      <c r="N2134" s="3">
        <v>1018455</v>
      </c>
      <c r="O2134" s="2">
        <v>6.7000000000000004E-2</v>
      </c>
      <c r="P2134" s="2">
        <v>0.35899999999999999</v>
      </c>
      <c r="Q2134" s="2">
        <v>0.215</v>
      </c>
      <c r="R2134" s="11">
        <v>421099402</v>
      </c>
      <c r="S2134" s="11">
        <v>300536</v>
      </c>
      <c r="T2134">
        <v>2015</v>
      </c>
      <c r="U2134">
        <v>12</v>
      </c>
      <c r="V2134">
        <f t="shared" si="198"/>
        <v>630000</v>
      </c>
      <c r="W2134">
        <f t="shared" si="199"/>
        <v>18429897</v>
      </c>
      <c r="X2134">
        <f t="shared" si="200"/>
        <v>17799897</v>
      </c>
      <c r="Y2134">
        <f t="shared" si="201"/>
        <v>-26069845.5</v>
      </c>
      <c r="Z2134">
        <f t="shared" si="202"/>
        <v>45129742.5</v>
      </c>
      <c r="AA2134" t="str">
        <f t="shared" si="203"/>
        <v>Normal</v>
      </c>
      <c r="AE2134" s="2"/>
      <c r="AF2134" s="2"/>
    </row>
    <row r="2135" spans="1:32" x14ac:dyDescent="0.35">
      <c r="A2135">
        <v>2134</v>
      </c>
      <c r="B2135" s="1">
        <v>42346</v>
      </c>
      <c r="C2135" s="9" t="s">
        <v>3560</v>
      </c>
      <c r="D2135" s="9" t="s">
        <v>5031</v>
      </c>
      <c r="E2135" s="9" t="s">
        <v>1111</v>
      </c>
      <c r="F2135" s="9" t="s">
        <v>27</v>
      </c>
      <c r="G2135" s="9" t="s">
        <v>1508</v>
      </c>
      <c r="H2135" s="9" t="s">
        <v>86</v>
      </c>
      <c r="I2135" s="11">
        <v>18429897</v>
      </c>
      <c r="J2135" s="11">
        <v>3433430</v>
      </c>
      <c r="K2135" s="11">
        <v>3339939</v>
      </c>
      <c r="L2135" s="3">
        <v>199</v>
      </c>
      <c r="M2135" s="3">
        <v>4197</v>
      </c>
      <c r="N2135" s="3">
        <v>1944419</v>
      </c>
      <c r="O2135" s="2">
        <v>-3.4000000000000002E-2</v>
      </c>
      <c r="P2135" s="2">
        <v>1.135</v>
      </c>
      <c r="Q2135" s="2">
        <v>0.14300000000000002</v>
      </c>
      <c r="R2135" s="11">
        <v>437728449</v>
      </c>
      <c r="S2135" s="11">
        <v>923120</v>
      </c>
      <c r="T2135">
        <v>2015</v>
      </c>
      <c r="U2135">
        <v>12</v>
      </c>
      <c r="V2135">
        <f t="shared" si="198"/>
        <v>630000</v>
      </c>
      <c r="W2135">
        <f t="shared" si="199"/>
        <v>18429897</v>
      </c>
      <c r="X2135">
        <f t="shared" si="200"/>
        <v>17799897</v>
      </c>
      <c r="Y2135">
        <f t="shared" si="201"/>
        <v>-26069845.5</v>
      </c>
      <c r="Z2135">
        <f t="shared" si="202"/>
        <v>45129742.5</v>
      </c>
      <c r="AA2135" t="str">
        <f t="shared" si="203"/>
        <v>Normal</v>
      </c>
      <c r="AE2135" s="2"/>
      <c r="AF2135" s="2"/>
    </row>
    <row r="2136" spans="1:32" x14ac:dyDescent="0.35">
      <c r="A2136">
        <v>2135</v>
      </c>
      <c r="B2136" s="1">
        <v>42346</v>
      </c>
      <c r="C2136" s="9" t="s">
        <v>3561</v>
      </c>
      <c r="D2136" s="9" t="s">
        <v>5032</v>
      </c>
      <c r="E2136" s="9" t="s">
        <v>1111</v>
      </c>
      <c r="F2136" s="9" t="s">
        <v>19</v>
      </c>
      <c r="G2136" s="9" t="s">
        <v>3562</v>
      </c>
      <c r="H2136" s="9" t="s">
        <v>105</v>
      </c>
      <c r="I2136" s="11">
        <v>2000000</v>
      </c>
      <c r="J2136" s="11">
        <v>2731485</v>
      </c>
      <c r="K2136" s="11">
        <v>19985925</v>
      </c>
      <c r="L2136" s="3">
        <v>301</v>
      </c>
      <c r="M2136" s="3">
        <v>2305</v>
      </c>
      <c r="N2136" s="3">
        <v>1070874</v>
      </c>
      <c r="O2136" s="2">
        <v>0.22600000000000001</v>
      </c>
      <c r="P2136" s="2">
        <v>0.45600000000000002</v>
      </c>
      <c r="Q2136" s="2">
        <v>0.25800000000000001</v>
      </c>
      <c r="R2136" s="11">
        <v>255394831</v>
      </c>
      <c r="S2136" s="11">
        <v>412249</v>
      </c>
      <c r="T2136">
        <v>2015</v>
      </c>
      <c r="U2136">
        <v>12</v>
      </c>
      <c r="V2136">
        <f t="shared" si="198"/>
        <v>630000</v>
      </c>
      <c r="W2136">
        <f t="shared" si="199"/>
        <v>18429897</v>
      </c>
      <c r="X2136">
        <f t="shared" si="200"/>
        <v>17799897</v>
      </c>
      <c r="Y2136">
        <f t="shared" si="201"/>
        <v>-26069845.5</v>
      </c>
      <c r="Z2136">
        <f t="shared" si="202"/>
        <v>45129742.5</v>
      </c>
      <c r="AA2136" t="str">
        <f t="shared" si="203"/>
        <v>Normal</v>
      </c>
      <c r="AE2136" s="2"/>
      <c r="AF2136" s="2"/>
    </row>
    <row r="2137" spans="1:32" x14ac:dyDescent="0.35">
      <c r="A2137">
        <v>2136</v>
      </c>
      <c r="B2137" s="1">
        <v>42347</v>
      </c>
      <c r="C2137" s="9" t="s">
        <v>3563</v>
      </c>
      <c r="D2137" s="9" t="s">
        <v>5033</v>
      </c>
      <c r="E2137" s="9" t="s">
        <v>1111</v>
      </c>
      <c r="F2137" s="9" t="s">
        <v>15</v>
      </c>
      <c r="G2137" s="9" t="s">
        <v>3279</v>
      </c>
      <c r="H2137" s="9" t="s">
        <v>105</v>
      </c>
      <c r="I2137" s="11">
        <v>3000000</v>
      </c>
      <c r="J2137" s="11">
        <v>135673</v>
      </c>
      <c r="K2137" s="11">
        <v>11054663</v>
      </c>
      <c r="L2137" s="3">
        <v>316</v>
      </c>
      <c r="M2137" s="3">
        <v>4771</v>
      </c>
      <c r="N2137" s="3">
        <v>1094550</v>
      </c>
      <c r="O2137" s="2">
        <v>0.187</v>
      </c>
      <c r="P2137" s="2">
        <v>0.95299999999999996</v>
      </c>
      <c r="Q2137" s="2">
        <v>0.36749999999999999</v>
      </c>
      <c r="R2137" s="11">
        <v>50728855</v>
      </c>
      <c r="S2137" s="11">
        <v>1611270</v>
      </c>
      <c r="T2137">
        <v>2015</v>
      </c>
      <c r="U2137">
        <v>12</v>
      </c>
      <c r="V2137">
        <f t="shared" si="198"/>
        <v>630000</v>
      </c>
      <c r="W2137">
        <f t="shared" si="199"/>
        <v>18429897</v>
      </c>
      <c r="X2137">
        <f t="shared" si="200"/>
        <v>17799897</v>
      </c>
      <c r="Y2137">
        <f t="shared" si="201"/>
        <v>-26069845.5</v>
      </c>
      <c r="Z2137">
        <f t="shared" si="202"/>
        <v>45129742.5</v>
      </c>
      <c r="AA2137" t="str">
        <f t="shared" si="203"/>
        <v>Normal</v>
      </c>
      <c r="AE2137" s="2"/>
      <c r="AF2137" s="2"/>
    </row>
    <row r="2138" spans="1:32" x14ac:dyDescent="0.35">
      <c r="A2138">
        <v>2137</v>
      </c>
      <c r="B2138" s="1">
        <v>42347</v>
      </c>
      <c r="C2138" s="9" t="s">
        <v>2414</v>
      </c>
      <c r="D2138" s="9" t="s">
        <v>5034</v>
      </c>
      <c r="E2138" s="9" t="s">
        <v>1111</v>
      </c>
      <c r="F2138" s="9" t="s">
        <v>19</v>
      </c>
      <c r="G2138" s="9" t="s">
        <v>3564</v>
      </c>
      <c r="H2138" s="9" t="s">
        <v>86</v>
      </c>
      <c r="I2138" s="11">
        <v>18429897</v>
      </c>
      <c r="J2138" s="11">
        <v>2705415</v>
      </c>
      <c r="K2138" s="11">
        <v>634734</v>
      </c>
      <c r="L2138" s="3">
        <v>243</v>
      </c>
      <c r="M2138" s="3">
        <v>3595</v>
      </c>
      <c r="N2138" s="3">
        <v>4458</v>
      </c>
      <c r="O2138" s="2">
        <v>-0.34100000000000003</v>
      </c>
      <c r="P2138" s="2">
        <v>0.83900000000000008</v>
      </c>
      <c r="Q2138" s="2">
        <v>0.30299999999999999</v>
      </c>
      <c r="R2138" s="11">
        <v>375028982</v>
      </c>
      <c r="S2138" s="11">
        <v>948998</v>
      </c>
      <c r="T2138">
        <v>2015</v>
      </c>
      <c r="U2138">
        <v>12</v>
      </c>
      <c r="V2138">
        <f t="shared" si="198"/>
        <v>628750</v>
      </c>
      <c r="W2138">
        <f t="shared" si="199"/>
        <v>18429897</v>
      </c>
      <c r="X2138">
        <f t="shared" si="200"/>
        <v>17801147</v>
      </c>
      <c r="Y2138">
        <f t="shared" si="201"/>
        <v>-26072970.5</v>
      </c>
      <c r="Z2138">
        <f t="shared" si="202"/>
        <v>45131617.5</v>
      </c>
      <c r="AA2138" t="str">
        <f t="shared" si="203"/>
        <v>Normal</v>
      </c>
      <c r="AE2138" s="2"/>
      <c r="AF2138" s="2"/>
    </row>
    <row r="2139" spans="1:32" x14ac:dyDescent="0.35">
      <c r="A2139">
        <v>2138</v>
      </c>
      <c r="B2139" s="1">
        <v>42347</v>
      </c>
      <c r="C2139" s="9" t="s">
        <v>1443</v>
      </c>
      <c r="D2139" s="9" t="s">
        <v>5035</v>
      </c>
      <c r="E2139" s="9" t="s">
        <v>1111</v>
      </c>
      <c r="F2139" s="9" t="s">
        <v>31</v>
      </c>
      <c r="G2139" s="9" t="s">
        <v>856</v>
      </c>
      <c r="H2139" s="9" t="s">
        <v>86</v>
      </c>
      <c r="I2139" s="11">
        <v>350000</v>
      </c>
      <c r="J2139" s="11">
        <v>2012306</v>
      </c>
      <c r="K2139" s="11">
        <v>2202891</v>
      </c>
      <c r="L2139" s="3">
        <v>466</v>
      </c>
      <c r="M2139" s="3">
        <v>1377</v>
      </c>
      <c r="N2139" s="3">
        <v>336523</v>
      </c>
      <c r="O2139" s="2">
        <v>0.224</v>
      </c>
      <c r="P2139" s="2">
        <v>0.748</v>
      </c>
      <c r="Q2139" s="2">
        <v>-0.11699999999999999</v>
      </c>
      <c r="R2139" s="11">
        <v>115745537</v>
      </c>
      <c r="S2139" s="11">
        <v>1498345</v>
      </c>
      <c r="T2139">
        <v>2015</v>
      </c>
      <c r="U2139">
        <v>12</v>
      </c>
      <c r="V2139">
        <f t="shared" si="198"/>
        <v>627500</v>
      </c>
      <c r="W2139">
        <f t="shared" si="199"/>
        <v>18429897</v>
      </c>
      <c r="X2139">
        <f t="shared" si="200"/>
        <v>17802397</v>
      </c>
      <c r="Y2139">
        <f t="shared" si="201"/>
        <v>-26076095.5</v>
      </c>
      <c r="Z2139">
        <f t="shared" si="202"/>
        <v>45133492.5</v>
      </c>
      <c r="AA2139" t="str">
        <f t="shared" si="203"/>
        <v>Normal</v>
      </c>
      <c r="AE2139" s="2"/>
      <c r="AF2139" s="2"/>
    </row>
    <row r="2140" spans="1:32" x14ac:dyDescent="0.35">
      <c r="A2140">
        <v>2139</v>
      </c>
      <c r="B2140" s="1">
        <v>42347</v>
      </c>
      <c r="C2140" s="9" t="s">
        <v>83</v>
      </c>
      <c r="D2140" s="9" t="s">
        <v>5036</v>
      </c>
      <c r="E2140" s="9" t="s">
        <v>1111</v>
      </c>
      <c r="F2140" s="9" t="s">
        <v>27</v>
      </c>
      <c r="G2140" s="9" t="s">
        <v>3565</v>
      </c>
      <c r="H2140" s="9" t="s">
        <v>105</v>
      </c>
      <c r="I2140" s="11">
        <v>3000000</v>
      </c>
      <c r="J2140" s="11">
        <v>3509992</v>
      </c>
      <c r="K2140" s="11">
        <v>10153449</v>
      </c>
      <c r="L2140" s="3">
        <v>254</v>
      </c>
      <c r="M2140" s="3">
        <v>859</v>
      </c>
      <c r="N2140" s="3">
        <v>315768</v>
      </c>
      <c r="O2140" s="2">
        <v>0.35600000000000004</v>
      </c>
      <c r="P2140" s="2">
        <v>1.044</v>
      </c>
      <c r="Q2140" s="2">
        <v>6.6000000000000003E-2</v>
      </c>
      <c r="R2140" s="11">
        <v>435519811</v>
      </c>
      <c r="S2140" s="11">
        <v>435388</v>
      </c>
      <c r="T2140">
        <v>2015</v>
      </c>
      <c r="U2140">
        <v>12</v>
      </c>
      <c r="V2140">
        <f t="shared" si="198"/>
        <v>630000</v>
      </c>
      <c r="W2140">
        <f t="shared" si="199"/>
        <v>18429897</v>
      </c>
      <c r="X2140">
        <f t="shared" si="200"/>
        <v>17799897</v>
      </c>
      <c r="Y2140">
        <f t="shared" si="201"/>
        <v>-26069845.5</v>
      </c>
      <c r="Z2140">
        <f t="shared" si="202"/>
        <v>45129742.5</v>
      </c>
      <c r="AA2140" t="str">
        <f t="shared" si="203"/>
        <v>Normal</v>
      </c>
      <c r="AE2140" s="2"/>
      <c r="AF2140" s="2"/>
    </row>
    <row r="2141" spans="1:32" x14ac:dyDescent="0.35">
      <c r="A2141">
        <v>2140</v>
      </c>
      <c r="B2141" s="1">
        <v>42347</v>
      </c>
      <c r="C2141" s="9" t="s">
        <v>3566</v>
      </c>
      <c r="D2141" s="9" t="s">
        <v>5037</v>
      </c>
      <c r="E2141" s="9" t="s">
        <v>1111</v>
      </c>
      <c r="F2141" s="9" t="s">
        <v>526</v>
      </c>
      <c r="G2141" s="9" t="s">
        <v>2128</v>
      </c>
      <c r="H2141" s="9" t="s">
        <v>86</v>
      </c>
      <c r="I2141" s="11">
        <v>18429897</v>
      </c>
      <c r="J2141" s="11">
        <v>4378035</v>
      </c>
      <c r="K2141" s="11">
        <v>12388228</v>
      </c>
      <c r="L2141" s="3">
        <v>322</v>
      </c>
      <c r="M2141" s="3">
        <v>4721</v>
      </c>
      <c r="N2141" s="3">
        <v>1842877</v>
      </c>
      <c r="O2141" s="2">
        <v>9.5000000000000001E-2</v>
      </c>
      <c r="P2141" s="2">
        <v>0.80700000000000005</v>
      </c>
      <c r="Q2141" s="2">
        <v>-0.106</v>
      </c>
      <c r="R2141" s="11">
        <v>250264963</v>
      </c>
      <c r="S2141" s="11">
        <v>1119571</v>
      </c>
      <c r="T2141">
        <v>2015</v>
      </c>
      <c r="U2141">
        <v>12</v>
      </c>
      <c r="V2141">
        <f t="shared" si="198"/>
        <v>630000</v>
      </c>
      <c r="W2141">
        <f t="shared" si="199"/>
        <v>18429897</v>
      </c>
      <c r="X2141">
        <f t="shared" si="200"/>
        <v>17799897</v>
      </c>
      <c r="Y2141">
        <f t="shared" si="201"/>
        <v>-26069845.5</v>
      </c>
      <c r="Z2141">
        <f t="shared" si="202"/>
        <v>45129742.5</v>
      </c>
      <c r="AA2141" t="str">
        <f t="shared" si="203"/>
        <v>Normal</v>
      </c>
      <c r="AE2141" s="2"/>
      <c r="AF2141" s="2"/>
    </row>
    <row r="2142" spans="1:32" x14ac:dyDescent="0.35">
      <c r="A2142">
        <v>2141</v>
      </c>
      <c r="B2142" s="1">
        <v>42348</v>
      </c>
      <c r="C2142" s="9" t="s">
        <v>245</v>
      </c>
      <c r="D2142" s="9" t="s">
        <v>5038</v>
      </c>
      <c r="E2142" s="9" t="s">
        <v>1111</v>
      </c>
      <c r="F2142" s="9" t="s">
        <v>15</v>
      </c>
      <c r="G2142" s="9" t="s">
        <v>3567</v>
      </c>
      <c r="H2142" s="9" t="s">
        <v>105</v>
      </c>
      <c r="I2142" s="11">
        <v>25000000</v>
      </c>
      <c r="J2142" s="11">
        <v>4812993</v>
      </c>
      <c r="K2142" s="11">
        <v>4949664</v>
      </c>
      <c r="L2142" s="3">
        <v>478</v>
      </c>
      <c r="M2142" s="3">
        <v>4516</v>
      </c>
      <c r="N2142" s="3">
        <v>507280</v>
      </c>
      <c r="O2142" s="2">
        <v>7.2999999999999995E-2</v>
      </c>
      <c r="P2142" s="2">
        <v>0.98199999999999998</v>
      </c>
      <c r="Q2142" s="2">
        <v>-4.4000000000000004E-2</v>
      </c>
      <c r="R2142" s="11">
        <v>412673110</v>
      </c>
      <c r="S2142" s="11">
        <v>634049</v>
      </c>
      <c r="T2142">
        <v>2015</v>
      </c>
      <c r="U2142">
        <v>12</v>
      </c>
      <c r="V2142">
        <f t="shared" si="198"/>
        <v>628750</v>
      </c>
      <c r="W2142">
        <f t="shared" si="199"/>
        <v>18429897</v>
      </c>
      <c r="X2142">
        <f t="shared" si="200"/>
        <v>17801147</v>
      </c>
      <c r="Y2142">
        <f t="shared" si="201"/>
        <v>-26072970.5</v>
      </c>
      <c r="Z2142">
        <f t="shared" si="202"/>
        <v>45131617.5</v>
      </c>
      <c r="AA2142" t="str">
        <f t="shared" si="203"/>
        <v>Normal</v>
      </c>
      <c r="AE2142" s="2"/>
      <c r="AF2142" s="2"/>
    </row>
    <row r="2143" spans="1:32" x14ac:dyDescent="0.35">
      <c r="A2143">
        <v>2142</v>
      </c>
      <c r="B2143" s="1">
        <v>42348</v>
      </c>
      <c r="C2143" s="9" t="s">
        <v>3568</v>
      </c>
      <c r="D2143" s="9" t="s">
        <v>5039</v>
      </c>
      <c r="E2143" s="9" t="s">
        <v>1111</v>
      </c>
      <c r="F2143" s="9" t="s">
        <v>15</v>
      </c>
      <c r="G2143" s="9" t="s">
        <v>3569</v>
      </c>
      <c r="H2143" s="9" t="s">
        <v>105</v>
      </c>
      <c r="I2143" s="11">
        <v>5000000</v>
      </c>
      <c r="J2143" s="11">
        <v>3058932</v>
      </c>
      <c r="K2143" s="11">
        <v>7377095</v>
      </c>
      <c r="L2143" s="3">
        <v>469</v>
      </c>
      <c r="M2143" s="3">
        <v>657</v>
      </c>
      <c r="N2143" s="3">
        <v>1244409</v>
      </c>
      <c r="O2143" s="2">
        <v>0.499</v>
      </c>
      <c r="P2143" s="2">
        <v>0.78900000000000003</v>
      </c>
      <c r="Q2143" s="2">
        <v>0.222</v>
      </c>
      <c r="R2143" s="11">
        <v>156054333</v>
      </c>
      <c r="S2143" s="11">
        <v>1459124</v>
      </c>
      <c r="T2143">
        <v>2015</v>
      </c>
      <c r="U2143">
        <v>12</v>
      </c>
      <c r="V2143">
        <f t="shared" si="198"/>
        <v>627500</v>
      </c>
      <c r="W2143">
        <f t="shared" si="199"/>
        <v>18429897</v>
      </c>
      <c r="X2143">
        <f t="shared" si="200"/>
        <v>17802397</v>
      </c>
      <c r="Y2143">
        <f t="shared" si="201"/>
        <v>-26076095.5</v>
      </c>
      <c r="Z2143">
        <f t="shared" si="202"/>
        <v>45133492.5</v>
      </c>
      <c r="AA2143" t="str">
        <f t="shared" si="203"/>
        <v>Normal</v>
      </c>
      <c r="AE2143" s="2"/>
      <c r="AF2143" s="2"/>
    </row>
    <row r="2144" spans="1:32" x14ac:dyDescent="0.35">
      <c r="A2144">
        <v>2143</v>
      </c>
      <c r="B2144" s="1">
        <v>42348</v>
      </c>
      <c r="C2144" s="9" t="s">
        <v>3570</v>
      </c>
      <c r="D2144" s="9" t="s">
        <v>5040</v>
      </c>
      <c r="E2144" s="9" t="s">
        <v>1111</v>
      </c>
      <c r="F2144" s="9" t="s">
        <v>27</v>
      </c>
      <c r="G2144" s="9" t="s">
        <v>3136</v>
      </c>
      <c r="H2144" s="9" t="s">
        <v>86</v>
      </c>
      <c r="I2144" s="11">
        <v>500000</v>
      </c>
      <c r="J2144" s="11">
        <v>1825559</v>
      </c>
      <c r="K2144" s="11">
        <v>14751328</v>
      </c>
      <c r="L2144" s="3">
        <v>173</v>
      </c>
      <c r="M2144" s="3">
        <v>1641</v>
      </c>
      <c r="N2144" s="3">
        <v>827589</v>
      </c>
      <c r="O2144" s="2">
        <v>-2.1999999999999999E-2</v>
      </c>
      <c r="P2144" s="2">
        <v>0.92</v>
      </c>
      <c r="Q2144" s="2">
        <v>0.251</v>
      </c>
      <c r="R2144" s="11">
        <v>457790340</v>
      </c>
      <c r="S2144" s="11">
        <v>1790903</v>
      </c>
      <c r="T2144">
        <v>2015</v>
      </c>
      <c r="U2144">
        <v>12</v>
      </c>
      <c r="V2144">
        <f t="shared" si="198"/>
        <v>626250</v>
      </c>
      <c r="W2144">
        <f t="shared" si="199"/>
        <v>18429897</v>
      </c>
      <c r="X2144">
        <f t="shared" si="200"/>
        <v>17803647</v>
      </c>
      <c r="Y2144">
        <f t="shared" si="201"/>
        <v>-26079220.5</v>
      </c>
      <c r="Z2144">
        <f t="shared" si="202"/>
        <v>45135367.5</v>
      </c>
      <c r="AA2144" t="str">
        <f t="shared" si="203"/>
        <v>Normal</v>
      </c>
      <c r="AE2144" s="2"/>
      <c r="AF2144" s="2"/>
    </row>
    <row r="2145" spans="1:32" x14ac:dyDescent="0.35">
      <c r="A2145">
        <v>2144</v>
      </c>
      <c r="B2145" s="1">
        <v>42348</v>
      </c>
      <c r="C2145" s="9" t="s">
        <v>3571</v>
      </c>
      <c r="D2145" s="9" t="s">
        <v>5041</v>
      </c>
      <c r="E2145" s="9" t="s">
        <v>1111</v>
      </c>
      <c r="F2145" s="9" t="s">
        <v>27</v>
      </c>
      <c r="G2145" s="9" t="s">
        <v>3572</v>
      </c>
      <c r="H2145" s="9" t="s">
        <v>86</v>
      </c>
      <c r="I2145" s="11">
        <v>500000</v>
      </c>
      <c r="J2145" s="11">
        <v>2230835</v>
      </c>
      <c r="K2145" s="11">
        <v>19355957</v>
      </c>
      <c r="L2145" s="3">
        <v>146</v>
      </c>
      <c r="M2145" s="3">
        <v>3728</v>
      </c>
      <c r="N2145" s="3">
        <v>1529962</v>
      </c>
      <c r="O2145" s="2">
        <v>8.6999999999999994E-2</v>
      </c>
      <c r="P2145" s="2">
        <v>0.247</v>
      </c>
      <c r="Q2145" s="2">
        <v>0.24600000000000002</v>
      </c>
      <c r="R2145" s="11">
        <v>464783667</v>
      </c>
      <c r="S2145" s="11">
        <v>621305</v>
      </c>
      <c r="T2145">
        <v>2015</v>
      </c>
      <c r="U2145">
        <v>12</v>
      </c>
      <c r="V2145">
        <f t="shared" si="198"/>
        <v>630000</v>
      </c>
      <c r="W2145">
        <f t="shared" si="199"/>
        <v>18429897</v>
      </c>
      <c r="X2145">
        <f t="shared" si="200"/>
        <v>17799897</v>
      </c>
      <c r="Y2145">
        <f t="shared" si="201"/>
        <v>-26069845.5</v>
      </c>
      <c r="Z2145">
        <f t="shared" si="202"/>
        <v>45129742.5</v>
      </c>
      <c r="AA2145" t="str">
        <f t="shared" si="203"/>
        <v>Normal</v>
      </c>
      <c r="AE2145" s="2"/>
      <c r="AF2145" s="2"/>
    </row>
    <row r="2146" spans="1:32" x14ac:dyDescent="0.35">
      <c r="A2146">
        <v>2145</v>
      </c>
      <c r="B2146" s="1">
        <v>42348</v>
      </c>
      <c r="C2146" s="9" t="s">
        <v>3573</v>
      </c>
      <c r="D2146" s="9" t="s">
        <v>5042</v>
      </c>
      <c r="E2146" s="9" t="s">
        <v>1111</v>
      </c>
      <c r="F2146" s="9" t="s">
        <v>27</v>
      </c>
      <c r="G2146" s="9" t="s">
        <v>3574</v>
      </c>
      <c r="H2146" s="9" t="s">
        <v>105</v>
      </c>
      <c r="I2146" s="11">
        <v>10000000</v>
      </c>
      <c r="J2146" s="11">
        <v>898778</v>
      </c>
      <c r="K2146" s="11">
        <v>9872102</v>
      </c>
      <c r="L2146" s="3">
        <v>375</v>
      </c>
      <c r="M2146" s="3">
        <v>4914</v>
      </c>
      <c r="N2146" s="3">
        <v>724443</v>
      </c>
      <c r="O2146" s="2">
        <v>0.186</v>
      </c>
      <c r="P2146" s="2">
        <v>0.84499999999999997</v>
      </c>
      <c r="Q2146" s="2">
        <v>0.17199999999999999</v>
      </c>
      <c r="R2146" s="11">
        <v>21664364</v>
      </c>
      <c r="S2146" s="11">
        <v>938190</v>
      </c>
      <c r="T2146">
        <v>2015</v>
      </c>
      <c r="U2146">
        <v>12</v>
      </c>
      <c r="V2146">
        <f t="shared" si="198"/>
        <v>630000</v>
      </c>
      <c r="W2146">
        <f t="shared" si="199"/>
        <v>18429897</v>
      </c>
      <c r="X2146">
        <f t="shared" si="200"/>
        <v>17799897</v>
      </c>
      <c r="Y2146">
        <f t="shared" si="201"/>
        <v>-26069845.5</v>
      </c>
      <c r="Z2146">
        <f t="shared" si="202"/>
        <v>45129742.5</v>
      </c>
      <c r="AA2146" t="str">
        <f t="shared" si="203"/>
        <v>Normal</v>
      </c>
      <c r="AE2146" s="2"/>
      <c r="AF2146" s="2"/>
    </row>
    <row r="2147" spans="1:32" x14ac:dyDescent="0.35">
      <c r="A2147">
        <v>2146</v>
      </c>
      <c r="B2147" s="1">
        <v>42348</v>
      </c>
      <c r="C2147" s="9" t="s">
        <v>3575</v>
      </c>
      <c r="D2147" s="9" t="s">
        <v>5043</v>
      </c>
      <c r="E2147" s="9" t="s">
        <v>1111</v>
      </c>
      <c r="F2147" s="9" t="s">
        <v>15</v>
      </c>
      <c r="G2147" s="9" t="s">
        <v>3576</v>
      </c>
      <c r="H2147" s="9" t="s">
        <v>86</v>
      </c>
      <c r="I2147" s="11">
        <v>18429897</v>
      </c>
      <c r="J2147" s="11">
        <v>4680968</v>
      </c>
      <c r="K2147" s="11">
        <v>8366642</v>
      </c>
      <c r="L2147" s="3">
        <v>264</v>
      </c>
      <c r="M2147" s="3">
        <v>4523</v>
      </c>
      <c r="N2147" s="3">
        <v>1875624</v>
      </c>
      <c r="O2147" s="2">
        <v>0.13</v>
      </c>
      <c r="P2147" s="2">
        <v>1.089</v>
      </c>
      <c r="Q2147" s="2">
        <v>0.21</v>
      </c>
      <c r="R2147" s="11">
        <v>490772362</v>
      </c>
      <c r="S2147" s="11">
        <v>990750</v>
      </c>
      <c r="T2147">
        <v>2015</v>
      </c>
      <c r="U2147">
        <v>12</v>
      </c>
      <c r="V2147">
        <f t="shared" si="198"/>
        <v>630000</v>
      </c>
      <c r="W2147">
        <f t="shared" si="199"/>
        <v>18429897</v>
      </c>
      <c r="X2147">
        <f t="shared" si="200"/>
        <v>17799897</v>
      </c>
      <c r="Y2147">
        <f t="shared" si="201"/>
        <v>-26069845.5</v>
      </c>
      <c r="Z2147">
        <f t="shared" si="202"/>
        <v>45129742.5</v>
      </c>
      <c r="AA2147" t="str">
        <f t="shared" si="203"/>
        <v>Normal</v>
      </c>
      <c r="AE2147" s="2"/>
      <c r="AF2147" s="2"/>
    </row>
    <row r="2148" spans="1:32" x14ac:dyDescent="0.35">
      <c r="A2148">
        <v>2147</v>
      </c>
      <c r="B2148" s="1">
        <v>42348</v>
      </c>
      <c r="C2148" s="9" t="s">
        <v>3577</v>
      </c>
      <c r="D2148" s="9" t="s">
        <v>5044</v>
      </c>
      <c r="E2148" s="9" t="s">
        <v>1111</v>
      </c>
      <c r="F2148" s="9" t="s">
        <v>124</v>
      </c>
      <c r="G2148" s="9" t="s">
        <v>3578</v>
      </c>
      <c r="H2148" s="9" t="s">
        <v>105</v>
      </c>
      <c r="I2148" s="11">
        <v>2500000</v>
      </c>
      <c r="J2148" s="11">
        <v>4239611</v>
      </c>
      <c r="K2148" s="11">
        <v>7286540</v>
      </c>
      <c r="L2148" s="3">
        <v>226</v>
      </c>
      <c r="M2148" s="3">
        <v>1462</v>
      </c>
      <c r="N2148" s="3">
        <v>1028861</v>
      </c>
      <c r="O2148" s="2">
        <v>6.6000000000000003E-2</v>
      </c>
      <c r="P2148" s="2">
        <v>0.85</v>
      </c>
      <c r="Q2148" s="2">
        <v>-1.3999999999999999E-2</v>
      </c>
      <c r="R2148" s="11">
        <v>210282921</v>
      </c>
      <c r="S2148" s="11">
        <v>441905</v>
      </c>
      <c r="T2148">
        <v>2015</v>
      </c>
      <c r="U2148">
        <v>12</v>
      </c>
      <c r="V2148">
        <f t="shared" si="198"/>
        <v>630000</v>
      </c>
      <c r="W2148">
        <f t="shared" si="199"/>
        <v>18429897</v>
      </c>
      <c r="X2148">
        <f t="shared" si="200"/>
        <v>17799897</v>
      </c>
      <c r="Y2148">
        <f t="shared" si="201"/>
        <v>-26069845.5</v>
      </c>
      <c r="Z2148">
        <f t="shared" si="202"/>
        <v>45129742.5</v>
      </c>
      <c r="AA2148" t="str">
        <f t="shared" si="203"/>
        <v>Normal</v>
      </c>
      <c r="AE2148" s="2"/>
      <c r="AF2148" s="2"/>
    </row>
    <row r="2149" spans="1:32" x14ac:dyDescent="0.35">
      <c r="A2149">
        <v>2148</v>
      </c>
      <c r="B2149" s="1">
        <v>42348</v>
      </c>
      <c r="C2149" s="9" t="s">
        <v>3579</v>
      </c>
      <c r="D2149" s="9" t="s">
        <v>5045</v>
      </c>
      <c r="E2149" s="9" t="s">
        <v>1111</v>
      </c>
      <c r="F2149" s="9" t="s">
        <v>31</v>
      </c>
      <c r="G2149" s="9" t="s">
        <v>3580</v>
      </c>
      <c r="H2149" s="9" t="s">
        <v>105</v>
      </c>
      <c r="I2149" s="11">
        <v>70000000</v>
      </c>
      <c r="J2149" s="11">
        <v>4272842</v>
      </c>
      <c r="K2149" s="11">
        <v>2810133</v>
      </c>
      <c r="L2149" s="3">
        <v>350</v>
      </c>
      <c r="M2149" s="3">
        <v>4489</v>
      </c>
      <c r="N2149" s="3">
        <v>487798</v>
      </c>
      <c r="O2149" s="2">
        <v>0.13800000000000001</v>
      </c>
      <c r="P2149" s="2">
        <v>1.018E-2</v>
      </c>
      <c r="Q2149" s="2">
        <v>0.438</v>
      </c>
      <c r="R2149" s="11">
        <v>32584368</v>
      </c>
      <c r="S2149" s="11">
        <v>151478</v>
      </c>
      <c r="T2149">
        <v>2015</v>
      </c>
      <c r="U2149">
        <v>12</v>
      </c>
      <c r="V2149">
        <f t="shared" si="198"/>
        <v>630000</v>
      </c>
      <c r="W2149">
        <f t="shared" si="199"/>
        <v>18429897</v>
      </c>
      <c r="X2149">
        <f t="shared" si="200"/>
        <v>17799897</v>
      </c>
      <c r="Y2149">
        <f t="shared" si="201"/>
        <v>-26069845.5</v>
      </c>
      <c r="Z2149">
        <f t="shared" si="202"/>
        <v>45129742.5</v>
      </c>
      <c r="AA2149" t="str">
        <f t="shared" si="203"/>
        <v>Outlier</v>
      </c>
      <c r="AE2149" s="2"/>
      <c r="AF2149" s="2"/>
    </row>
    <row r="2150" spans="1:32" x14ac:dyDescent="0.35">
      <c r="A2150">
        <v>2149</v>
      </c>
      <c r="B2150" s="1">
        <v>42349</v>
      </c>
      <c r="C2150" s="9" t="s">
        <v>3581</v>
      </c>
      <c r="D2150" s="9" t="s">
        <v>5046</v>
      </c>
      <c r="E2150" s="9" t="s">
        <v>1111</v>
      </c>
      <c r="F2150" s="9" t="s">
        <v>4914</v>
      </c>
      <c r="G2150" s="9" t="s">
        <v>3582</v>
      </c>
      <c r="H2150" s="9" t="s">
        <v>86</v>
      </c>
      <c r="I2150" s="11">
        <v>600000</v>
      </c>
      <c r="J2150" s="11">
        <v>1654054</v>
      </c>
      <c r="K2150" s="11">
        <v>1150199</v>
      </c>
      <c r="L2150" s="3">
        <v>332</v>
      </c>
      <c r="M2150" s="3">
        <v>3641</v>
      </c>
      <c r="N2150" s="3">
        <v>824113</v>
      </c>
      <c r="O2150" s="2">
        <v>0.434</v>
      </c>
      <c r="P2150" s="2">
        <v>0.50800000000000001</v>
      </c>
      <c r="Q2150" s="2">
        <v>0.26700000000000002</v>
      </c>
      <c r="R2150" s="11">
        <v>58361198</v>
      </c>
      <c r="S2150" s="11">
        <v>1513989</v>
      </c>
      <c r="T2150">
        <v>2015</v>
      </c>
      <c r="U2150">
        <v>12</v>
      </c>
      <c r="V2150">
        <f t="shared" si="198"/>
        <v>628750</v>
      </c>
      <c r="W2150">
        <f t="shared" si="199"/>
        <v>18429897</v>
      </c>
      <c r="X2150">
        <f t="shared" si="200"/>
        <v>17801147</v>
      </c>
      <c r="Y2150">
        <f t="shared" si="201"/>
        <v>-26072970.5</v>
      </c>
      <c r="Z2150">
        <f t="shared" si="202"/>
        <v>45131617.5</v>
      </c>
      <c r="AA2150" t="str">
        <f t="shared" si="203"/>
        <v>Normal</v>
      </c>
      <c r="AE2150" s="2"/>
      <c r="AF2150" s="2"/>
    </row>
    <row r="2151" spans="1:32" x14ac:dyDescent="0.35">
      <c r="A2151">
        <v>2150</v>
      </c>
      <c r="B2151" s="1">
        <v>42349</v>
      </c>
      <c r="C2151" s="9" t="s">
        <v>3583</v>
      </c>
      <c r="D2151" s="9" t="s">
        <v>5047</v>
      </c>
      <c r="E2151" s="9" t="s">
        <v>1111</v>
      </c>
      <c r="F2151" s="9" t="s">
        <v>63</v>
      </c>
      <c r="G2151" s="9" t="s">
        <v>2952</v>
      </c>
      <c r="H2151" s="9" t="s">
        <v>105</v>
      </c>
      <c r="I2151" s="11">
        <v>18429897</v>
      </c>
      <c r="J2151" s="11">
        <v>1624634</v>
      </c>
      <c r="K2151" s="11">
        <v>16696599</v>
      </c>
      <c r="L2151" s="3">
        <v>457</v>
      </c>
      <c r="M2151" s="3">
        <v>2340</v>
      </c>
      <c r="N2151" s="3">
        <v>730109</v>
      </c>
      <c r="O2151" s="2">
        <v>0.28199999999999997</v>
      </c>
      <c r="P2151" s="2">
        <v>0.35600000000000004</v>
      </c>
      <c r="Q2151" s="2">
        <v>9.5000000000000001E-2</v>
      </c>
      <c r="R2151" s="11">
        <v>250264963</v>
      </c>
      <c r="S2151" s="11">
        <v>114449</v>
      </c>
      <c r="T2151">
        <v>2015</v>
      </c>
      <c r="U2151">
        <v>12</v>
      </c>
      <c r="V2151">
        <f t="shared" si="198"/>
        <v>630000</v>
      </c>
      <c r="W2151">
        <f t="shared" si="199"/>
        <v>18429897</v>
      </c>
      <c r="X2151">
        <f t="shared" si="200"/>
        <v>17799897</v>
      </c>
      <c r="Y2151">
        <f t="shared" si="201"/>
        <v>-26069845.5</v>
      </c>
      <c r="Z2151">
        <f t="shared" si="202"/>
        <v>45129742.5</v>
      </c>
      <c r="AA2151" t="str">
        <f t="shared" si="203"/>
        <v>Normal</v>
      </c>
      <c r="AE2151" s="2"/>
      <c r="AF2151" s="2"/>
    </row>
    <row r="2152" spans="1:32" x14ac:dyDescent="0.35">
      <c r="A2152">
        <v>2151</v>
      </c>
      <c r="B2152" s="1">
        <v>42349</v>
      </c>
      <c r="C2152" s="9" t="s">
        <v>3584</v>
      </c>
      <c r="D2152" s="9" t="s">
        <v>5048</v>
      </c>
      <c r="E2152" s="9" t="s">
        <v>1111</v>
      </c>
      <c r="F2152" s="9" t="s">
        <v>31</v>
      </c>
      <c r="G2152" s="9" t="s">
        <v>856</v>
      </c>
      <c r="H2152" s="9" t="s">
        <v>86</v>
      </c>
      <c r="I2152" s="11">
        <v>18429897</v>
      </c>
      <c r="J2152" s="11">
        <v>4285934</v>
      </c>
      <c r="K2152" s="11">
        <v>839086</v>
      </c>
      <c r="L2152" s="3">
        <v>186</v>
      </c>
      <c r="M2152" s="3">
        <v>1914</v>
      </c>
      <c r="N2152" s="3">
        <v>1452160</v>
      </c>
      <c r="O2152" s="2">
        <v>0.105</v>
      </c>
      <c r="P2152" s="2">
        <v>0.88900000000000001</v>
      </c>
      <c r="Q2152" s="2">
        <v>0.38200000000000001</v>
      </c>
      <c r="R2152" s="11">
        <v>250264963</v>
      </c>
      <c r="S2152" s="11">
        <v>45435</v>
      </c>
      <c r="T2152">
        <v>2015</v>
      </c>
      <c r="U2152">
        <v>12</v>
      </c>
      <c r="V2152">
        <f t="shared" si="198"/>
        <v>630000</v>
      </c>
      <c r="W2152">
        <f t="shared" si="199"/>
        <v>18429897</v>
      </c>
      <c r="X2152">
        <f t="shared" si="200"/>
        <v>17799897</v>
      </c>
      <c r="Y2152">
        <f t="shared" si="201"/>
        <v>-26069845.5</v>
      </c>
      <c r="Z2152">
        <f t="shared" si="202"/>
        <v>45129742.5</v>
      </c>
      <c r="AA2152" t="str">
        <f t="shared" si="203"/>
        <v>Normal</v>
      </c>
      <c r="AE2152" s="2"/>
      <c r="AF2152" s="2"/>
    </row>
    <row r="2153" spans="1:32" x14ac:dyDescent="0.35">
      <c r="A2153">
        <v>2152</v>
      </c>
      <c r="B2153" s="1">
        <v>42349</v>
      </c>
      <c r="C2153" s="9" t="s">
        <v>1466</v>
      </c>
      <c r="D2153" s="9" t="s">
        <v>5049</v>
      </c>
      <c r="E2153" s="9" t="s">
        <v>1111</v>
      </c>
      <c r="F2153" s="9" t="s">
        <v>19</v>
      </c>
      <c r="G2153" s="9" t="s">
        <v>715</v>
      </c>
      <c r="H2153" s="9" t="s">
        <v>105</v>
      </c>
      <c r="I2153" s="11">
        <v>18429897</v>
      </c>
      <c r="J2153" s="11">
        <v>2731851</v>
      </c>
      <c r="K2153" s="11">
        <v>16435247</v>
      </c>
      <c r="L2153" s="3">
        <v>378</v>
      </c>
      <c r="M2153" s="3">
        <v>4075</v>
      </c>
      <c r="N2153" s="3">
        <v>647896</v>
      </c>
      <c r="O2153" s="2">
        <v>-5.2999999999999999E-2</v>
      </c>
      <c r="P2153" s="2">
        <v>1.097</v>
      </c>
      <c r="Q2153" s="2">
        <v>-2.9000000000000001E-2</v>
      </c>
      <c r="R2153" s="11">
        <v>395703927</v>
      </c>
      <c r="S2153" s="11">
        <v>329603</v>
      </c>
      <c r="T2153">
        <v>2015</v>
      </c>
      <c r="U2153">
        <v>12</v>
      </c>
      <c r="V2153">
        <f t="shared" si="198"/>
        <v>630000</v>
      </c>
      <c r="W2153">
        <f t="shared" si="199"/>
        <v>18429897</v>
      </c>
      <c r="X2153">
        <f t="shared" si="200"/>
        <v>17799897</v>
      </c>
      <c r="Y2153">
        <f t="shared" si="201"/>
        <v>-26069845.5</v>
      </c>
      <c r="Z2153">
        <f t="shared" si="202"/>
        <v>45129742.5</v>
      </c>
      <c r="AA2153" t="str">
        <f t="shared" si="203"/>
        <v>Normal</v>
      </c>
      <c r="AE2153" s="2"/>
      <c r="AF2153" s="2"/>
    </row>
    <row r="2154" spans="1:32" x14ac:dyDescent="0.35">
      <c r="A2154">
        <v>2153</v>
      </c>
      <c r="B2154" s="1">
        <v>42349</v>
      </c>
      <c r="C2154" s="9" t="s">
        <v>3585</v>
      </c>
      <c r="D2154" s="9" t="s">
        <v>5050</v>
      </c>
      <c r="E2154" s="9" t="s">
        <v>1111</v>
      </c>
      <c r="F2154" s="9" t="s">
        <v>15</v>
      </c>
      <c r="G2154" s="9" t="s">
        <v>3586</v>
      </c>
      <c r="H2154" s="9" t="s">
        <v>86</v>
      </c>
      <c r="I2154" s="11">
        <v>150000</v>
      </c>
      <c r="J2154" s="11">
        <v>3529187</v>
      </c>
      <c r="K2154" s="11">
        <v>5020505</v>
      </c>
      <c r="L2154" s="3">
        <v>117</v>
      </c>
      <c r="M2154" s="3">
        <v>4191</v>
      </c>
      <c r="N2154" s="3">
        <v>104556</v>
      </c>
      <c r="O2154" s="2">
        <v>-2.5999999999999999E-2</v>
      </c>
      <c r="P2154" s="2">
        <v>0.50800000000000001</v>
      </c>
      <c r="Q2154" s="2">
        <v>0.13</v>
      </c>
      <c r="R2154" s="11">
        <v>279516430</v>
      </c>
      <c r="S2154" s="11">
        <v>930765</v>
      </c>
      <c r="T2154">
        <v>2015</v>
      </c>
      <c r="U2154">
        <v>12</v>
      </c>
      <c r="V2154">
        <f t="shared" si="198"/>
        <v>628750</v>
      </c>
      <c r="W2154">
        <f t="shared" si="199"/>
        <v>18429897</v>
      </c>
      <c r="X2154">
        <f t="shared" si="200"/>
        <v>17801147</v>
      </c>
      <c r="Y2154">
        <f t="shared" si="201"/>
        <v>-26072970.5</v>
      </c>
      <c r="Z2154">
        <f t="shared" si="202"/>
        <v>45131617.5</v>
      </c>
      <c r="AA2154" t="str">
        <f t="shared" si="203"/>
        <v>Normal</v>
      </c>
      <c r="AE2154" s="2"/>
      <c r="AF2154" s="2"/>
    </row>
    <row r="2155" spans="1:32" x14ac:dyDescent="0.35">
      <c r="A2155">
        <v>2154</v>
      </c>
      <c r="B2155" s="1">
        <v>42349</v>
      </c>
      <c r="C2155" s="9" t="s">
        <v>3587</v>
      </c>
      <c r="D2155" s="9" t="s">
        <v>5051</v>
      </c>
      <c r="E2155" s="9" t="s">
        <v>1111</v>
      </c>
      <c r="F2155" s="9" t="s">
        <v>866</v>
      </c>
      <c r="G2155" s="9" t="s">
        <v>4873</v>
      </c>
      <c r="H2155" s="9" t="s">
        <v>86</v>
      </c>
      <c r="I2155" s="11">
        <v>18429897</v>
      </c>
      <c r="J2155" s="11">
        <v>2459324</v>
      </c>
      <c r="K2155" s="11">
        <v>13927706</v>
      </c>
      <c r="L2155" s="3">
        <v>468</v>
      </c>
      <c r="M2155" s="3">
        <v>4575</v>
      </c>
      <c r="N2155" s="3">
        <v>1567791</v>
      </c>
      <c r="O2155" s="2">
        <v>0.31</v>
      </c>
      <c r="P2155" s="2">
        <v>0.374</v>
      </c>
      <c r="Q2155" s="2">
        <v>0.32400000000000001</v>
      </c>
      <c r="R2155" s="11">
        <v>127301103</v>
      </c>
      <c r="S2155" s="11">
        <v>1504602</v>
      </c>
      <c r="T2155">
        <v>2015</v>
      </c>
      <c r="U2155">
        <v>12</v>
      </c>
      <c r="V2155">
        <f t="shared" si="198"/>
        <v>630000</v>
      </c>
      <c r="W2155">
        <f t="shared" si="199"/>
        <v>18429897</v>
      </c>
      <c r="X2155">
        <f t="shared" si="200"/>
        <v>17799897</v>
      </c>
      <c r="Y2155">
        <f t="shared" si="201"/>
        <v>-26069845.5</v>
      </c>
      <c r="Z2155">
        <f t="shared" si="202"/>
        <v>45129742.5</v>
      </c>
      <c r="AA2155" t="str">
        <f t="shared" si="203"/>
        <v>Normal</v>
      </c>
      <c r="AE2155" s="2"/>
      <c r="AF2155" s="2"/>
    </row>
    <row r="2156" spans="1:32" x14ac:dyDescent="0.35">
      <c r="A2156">
        <v>2155</v>
      </c>
      <c r="B2156" s="1">
        <v>42349</v>
      </c>
      <c r="C2156" s="9" t="s">
        <v>1940</v>
      </c>
      <c r="D2156" s="9" t="s">
        <v>5052</v>
      </c>
      <c r="E2156" s="9" t="s">
        <v>1111</v>
      </c>
      <c r="F2156" s="9" t="s">
        <v>31</v>
      </c>
      <c r="G2156" s="9" t="s">
        <v>3588</v>
      </c>
      <c r="H2156" s="9" t="s">
        <v>86</v>
      </c>
      <c r="I2156" s="11">
        <v>1000000</v>
      </c>
      <c r="J2156" s="11">
        <v>2224995</v>
      </c>
      <c r="K2156" s="11">
        <v>19036656</v>
      </c>
      <c r="L2156" s="3">
        <v>46</v>
      </c>
      <c r="M2156" s="3">
        <v>2338</v>
      </c>
      <c r="N2156" s="3">
        <v>1989456</v>
      </c>
      <c r="O2156" s="2">
        <v>-0.19899999999999998</v>
      </c>
      <c r="P2156" s="2">
        <v>0.45</v>
      </c>
      <c r="Q2156" s="2">
        <v>-0.20499999999999999</v>
      </c>
      <c r="R2156" s="11">
        <v>492904775</v>
      </c>
      <c r="S2156" s="11">
        <v>1829410</v>
      </c>
      <c r="T2156">
        <v>2015</v>
      </c>
      <c r="U2156">
        <v>12</v>
      </c>
      <c r="V2156">
        <f t="shared" si="198"/>
        <v>630000</v>
      </c>
      <c r="W2156">
        <f t="shared" si="199"/>
        <v>18429897</v>
      </c>
      <c r="X2156">
        <f t="shared" si="200"/>
        <v>17799897</v>
      </c>
      <c r="Y2156">
        <f t="shared" si="201"/>
        <v>-26069845.5</v>
      </c>
      <c r="Z2156">
        <f t="shared" si="202"/>
        <v>45129742.5</v>
      </c>
      <c r="AA2156" t="str">
        <f t="shared" si="203"/>
        <v>Normal</v>
      </c>
      <c r="AE2156" s="2"/>
      <c r="AF2156" s="2"/>
    </row>
    <row r="2157" spans="1:32" x14ac:dyDescent="0.35">
      <c r="A2157">
        <v>2156</v>
      </c>
      <c r="B2157" s="1">
        <v>42349</v>
      </c>
      <c r="C2157" s="9" t="s">
        <v>3589</v>
      </c>
      <c r="D2157" s="9" t="s">
        <v>5053</v>
      </c>
      <c r="E2157" s="9" t="s">
        <v>1111</v>
      </c>
      <c r="F2157" s="9" t="s">
        <v>15</v>
      </c>
      <c r="G2157" s="9" t="s">
        <v>2098</v>
      </c>
      <c r="H2157" s="9" t="s">
        <v>86</v>
      </c>
      <c r="I2157" s="11">
        <v>18429897</v>
      </c>
      <c r="J2157" s="11">
        <v>3168368</v>
      </c>
      <c r="K2157" s="11">
        <v>15001354</v>
      </c>
      <c r="L2157" s="3">
        <v>376</v>
      </c>
      <c r="M2157" s="3">
        <v>1370</v>
      </c>
      <c r="N2157" s="3">
        <v>501879</v>
      </c>
      <c r="O2157" s="2">
        <v>0.60099999999999998</v>
      </c>
      <c r="P2157" s="2">
        <v>1.08</v>
      </c>
      <c r="Q2157" s="2">
        <v>0.65599999999999992</v>
      </c>
      <c r="R2157" s="11">
        <v>233909675</v>
      </c>
      <c r="S2157" s="11">
        <v>1845002</v>
      </c>
      <c r="T2157">
        <v>2015</v>
      </c>
      <c r="U2157">
        <v>12</v>
      </c>
      <c r="V2157">
        <f t="shared" si="198"/>
        <v>630000</v>
      </c>
      <c r="W2157">
        <f t="shared" si="199"/>
        <v>18429897</v>
      </c>
      <c r="X2157">
        <f t="shared" si="200"/>
        <v>17799897</v>
      </c>
      <c r="Y2157">
        <f t="shared" si="201"/>
        <v>-26069845.5</v>
      </c>
      <c r="Z2157">
        <f t="shared" si="202"/>
        <v>45129742.5</v>
      </c>
      <c r="AA2157" t="str">
        <f t="shared" si="203"/>
        <v>Normal</v>
      </c>
      <c r="AE2157" s="2"/>
      <c r="AF2157" s="2"/>
    </row>
    <row r="2158" spans="1:32" x14ac:dyDescent="0.35">
      <c r="A2158">
        <v>2157</v>
      </c>
      <c r="B2158" s="1">
        <v>42352</v>
      </c>
      <c r="C2158" s="9" t="s">
        <v>3590</v>
      </c>
      <c r="D2158" s="9" t="s">
        <v>5054</v>
      </c>
      <c r="E2158" s="9" t="s">
        <v>1111</v>
      </c>
      <c r="F2158" s="9" t="s">
        <v>15</v>
      </c>
      <c r="G2158" s="9" t="s">
        <v>3591</v>
      </c>
      <c r="H2158" s="9" t="s">
        <v>105</v>
      </c>
      <c r="I2158" s="11">
        <v>3500000</v>
      </c>
      <c r="J2158" s="11">
        <v>4068645</v>
      </c>
      <c r="K2158" s="11">
        <v>14617513</v>
      </c>
      <c r="L2158" s="3">
        <v>55</v>
      </c>
      <c r="M2158" s="3">
        <v>4359</v>
      </c>
      <c r="N2158" s="3">
        <v>1686133</v>
      </c>
      <c r="O2158" s="2">
        <v>0.114</v>
      </c>
      <c r="P2158" s="2">
        <v>1.177</v>
      </c>
      <c r="Q2158" s="2">
        <v>-4.7E-2</v>
      </c>
      <c r="R2158" s="11">
        <v>378161219</v>
      </c>
      <c r="S2158" s="11">
        <v>1870045</v>
      </c>
      <c r="T2158">
        <v>2015</v>
      </c>
      <c r="U2158">
        <v>12</v>
      </c>
      <c r="V2158">
        <f t="shared" si="198"/>
        <v>628750</v>
      </c>
      <c r="W2158">
        <f t="shared" si="199"/>
        <v>18429897</v>
      </c>
      <c r="X2158">
        <f t="shared" si="200"/>
        <v>17801147</v>
      </c>
      <c r="Y2158">
        <f t="shared" si="201"/>
        <v>-26072970.5</v>
      </c>
      <c r="Z2158">
        <f t="shared" si="202"/>
        <v>45131617.5</v>
      </c>
      <c r="AA2158" t="str">
        <f t="shared" si="203"/>
        <v>Normal</v>
      </c>
      <c r="AE2158" s="2"/>
      <c r="AF2158" s="2"/>
    </row>
    <row r="2159" spans="1:32" x14ac:dyDescent="0.35">
      <c r="A2159">
        <v>2158</v>
      </c>
      <c r="B2159" s="1">
        <v>42352</v>
      </c>
      <c r="C2159" s="9" t="s">
        <v>3592</v>
      </c>
      <c r="D2159" s="9" t="s">
        <v>5055</v>
      </c>
      <c r="E2159" s="9" t="s">
        <v>1111</v>
      </c>
      <c r="F2159" s="9" t="s">
        <v>15</v>
      </c>
      <c r="G2159" s="9" t="s">
        <v>3499</v>
      </c>
      <c r="H2159" s="9" t="s">
        <v>105</v>
      </c>
      <c r="I2159" s="11">
        <v>18429897</v>
      </c>
      <c r="J2159" s="11">
        <v>1683874</v>
      </c>
      <c r="K2159" s="11">
        <v>5367832</v>
      </c>
      <c r="L2159" s="3">
        <v>440</v>
      </c>
      <c r="M2159" s="3">
        <v>1549</v>
      </c>
      <c r="N2159" s="3">
        <v>78889</v>
      </c>
      <c r="O2159" s="2">
        <v>-0.156</v>
      </c>
      <c r="P2159" s="2">
        <v>1.1140000000000001</v>
      </c>
      <c r="Q2159" s="2">
        <v>-1.2999999999999999E-2</v>
      </c>
      <c r="R2159" s="11">
        <v>185100356</v>
      </c>
      <c r="S2159" s="11">
        <v>1238241</v>
      </c>
      <c r="T2159">
        <v>2015</v>
      </c>
      <c r="U2159">
        <v>12</v>
      </c>
      <c r="V2159">
        <f t="shared" si="198"/>
        <v>627500</v>
      </c>
      <c r="W2159">
        <f t="shared" si="199"/>
        <v>18429897</v>
      </c>
      <c r="X2159">
        <f t="shared" si="200"/>
        <v>17802397</v>
      </c>
      <c r="Y2159">
        <f t="shared" si="201"/>
        <v>-26076095.5</v>
      </c>
      <c r="Z2159">
        <f t="shared" si="202"/>
        <v>45133492.5</v>
      </c>
      <c r="AA2159" t="str">
        <f t="shared" si="203"/>
        <v>Normal</v>
      </c>
      <c r="AE2159" s="2"/>
      <c r="AF2159" s="2"/>
    </row>
    <row r="2160" spans="1:32" x14ac:dyDescent="0.35">
      <c r="A2160">
        <v>2159</v>
      </c>
      <c r="B2160" s="1">
        <v>42352</v>
      </c>
      <c r="C2160" s="9" t="s">
        <v>3593</v>
      </c>
      <c r="D2160" s="9" t="s">
        <v>5056</v>
      </c>
      <c r="E2160" s="9" t="s">
        <v>1111</v>
      </c>
      <c r="F2160" s="9" t="s">
        <v>27</v>
      </c>
      <c r="G2160" s="9" t="s">
        <v>3594</v>
      </c>
      <c r="H2160" s="9" t="s">
        <v>86</v>
      </c>
      <c r="I2160" s="11">
        <v>200000</v>
      </c>
      <c r="J2160" s="11">
        <v>4049542</v>
      </c>
      <c r="K2160" s="11">
        <v>12003550</v>
      </c>
      <c r="L2160" s="3">
        <v>479</v>
      </c>
      <c r="M2160" s="3">
        <v>3781</v>
      </c>
      <c r="N2160" s="3">
        <v>669999</v>
      </c>
      <c r="O2160" s="2">
        <v>0.156</v>
      </c>
      <c r="P2160" s="2">
        <v>0.67400000000000004</v>
      </c>
      <c r="Q2160" s="2">
        <v>0.105</v>
      </c>
      <c r="R2160" s="11">
        <v>269007634</v>
      </c>
      <c r="S2160" s="11">
        <v>992728</v>
      </c>
      <c r="T2160">
        <v>2015</v>
      </c>
      <c r="U2160">
        <v>12</v>
      </c>
      <c r="V2160">
        <f t="shared" si="198"/>
        <v>626250</v>
      </c>
      <c r="W2160">
        <f t="shared" si="199"/>
        <v>18429897</v>
      </c>
      <c r="X2160">
        <f t="shared" si="200"/>
        <v>17803647</v>
      </c>
      <c r="Y2160">
        <f t="shared" si="201"/>
        <v>-26079220.5</v>
      </c>
      <c r="Z2160">
        <f t="shared" si="202"/>
        <v>45135367.5</v>
      </c>
      <c r="AA2160" t="str">
        <f t="shared" si="203"/>
        <v>Normal</v>
      </c>
      <c r="AE2160" s="2"/>
      <c r="AF2160" s="2"/>
    </row>
    <row r="2161" spans="1:32" x14ac:dyDescent="0.35">
      <c r="A2161">
        <v>2160</v>
      </c>
      <c r="B2161" s="1">
        <v>42352</v>
      </c>
      <c r="C2161" s="9" t="s">
        <v>3595</v>
      </c>
      <c r="D2161" s="9" t="s">
        <v>5057</v>
      </c>
      <c r="E2161" s="9" t="s">
        <v>1111</v>
      </c>
      <c r="F2161" s="9" t="s">
        <v>3596</v>
      </c>
      <c r="G2161" s="9" t="s">
        <v>3597</v>
      </c>
      <c r="H2161" s="9" t="s">
        <v>105</v>
      </c>
      <c r="I2161" s="11">
        <v>3000000</v>
      </c>
      <c r="J2161" s="11">
        <v>1236140</v>
      </c>
      <c r="K2161" s="11">
        <v>10153449</v>
      </c>
      <c r="L2161" s="3">
        <v>409</v>
      </c>
      <c r="M2161" s="3">
        <v>2571</v>
      </c>
      <c r="N2161" s="3">
        <v>23581</v>
      </c>
      <c r="O2161" s="2">
        <v>-0.04</v>
      </c>
      <c r="P2161" s="2">
        <v>0.86799999999999999</v>
      </c>
      <c r="Q2161" s="2">
        <v>0.28499999999999998</v>
      </c>
      <c r="R2161" s="11">
        <v>258905106</v>
      </c>
      <c r="S2161" s="11">
        <v>90733</v>
      </c>
      <c r="T2161">
        <v>2015</v>
      </c>
      <c r="U2161">
        <v>12</v>
      </c>
      <c r="V2161">
        <f t="shared" si="198"/>
        <v>630000</v>
      </c>
      <c r="W2161">
        <f t="shared" si="199"/>
        <v>18429897</v>
      </c>
      <c r="X2161">
        <f t="shared" si="200"/>
        <v>17799897</v>
      </c>
      <c r="Y2161">
        <f t="shared" si="201"/>
        <v>-26069845.5</v>
      </c>
      <c r="Z2161">
        <f t="shared" si="202"/>
        <v>45129742.5</v>
      </c>
      <c r="AA2161" t="str">
        <f t="shared" si="203"/>
        <v>Normal</v>
      </c>
      <c r="AE2161" s="2"/>
      <c r="AF2161" s="2"/>
    </row>
    <row r="2162" spans="1:32" x14ac:dyDescent="0.35">
      <c r="A2162">
        <v>2161</v>
      </c>
      <c r="B2162" s="1">
        <v>42353</v>
      </c>
      <c r="C2162" s="9" t="s">
        <v>2019</v>
      </c>
      <c r="D2162" s="9" t="s">
        <v>5058</v>
      </c>
      <c r="E2162" s="9" t="s">
        <v>1111</v>
      </c>
      <c r="F2162" s="9" t="s">
        <v>31</v>
      </c>
      <c r="G2162" s="9" t="s">
        <v>3598</v>
      </c>
      <c r="H2162" s="9" t="s">
        <v>86</v>
      </c>
      <c r="I2162" s="11">
        <v>18429897</v>
      </c>
      <c r="J2162" s="11">
        <v>2026081</v>
      </c>
      <c r="K2162" s="11">
        <v>8563432</v>
      </c>
      <c r="L2162" s="3">
        <v>395</v>
      </c>
      <c r="M2162" s="3">
        <v>2950</v>
      </c>
      <c r="N2162" s="3">
        <v>793664</v>
      </c>
      <c r="O2162" s="2">
        <v>3.6000000000000004E-2</v>
      </c>
      <c r="P2162" s="2">
        <v>0.30399999999999999</v>
      </c>
      <c r="Q2162" s="2">
        <v>0.309</v>
      </c>
      <c r="R2162" s="11">
        <v>418152287</v>
      </c>
      <c r="S2162" s="11">
        <v>928117</v>
      </c>
      <c r="T2162">
        <v>2015</v>
      </c>
      <c r="U2162">
        <v>12</v>
      </c>
      <c r="V2162">
        <f t="shared" si="198"/>
        <v>628750</v>
      </c>
      <c r="W2162">
        <f t="shared" si="199"/>
        <v>18429897</v>
      </c>
      <c r="X2162">
        <f t="shared" si="200"/>
        <v>17801147</v>
      </c>
      <c r="Y2162">
        <f t="shared" si="201"/>
        <v>-26072970.5</v>
      </c>
      <c r="Z2162">
        <f t="shared" si="202"/>
        <v>45131617.5</v>
      </c>
      <c r="AA2162" t="str">
        <f t="shared" si="203"/>
        <v>Normal</v>
      </c>
      <c r="AE2162" s="2"/>
      <c r="AF2162" s="2"/>
    </row>
    <row r="2163" spans="1:32" x14ac:dyDescent="0.35">
      <c r="A2163">
        <v>2162</v>
      </c>
      <c r="B2163" s="1">
        <v>42353</v>
      </c>
      <c r="C2163" s="9" t="s">
        <v>3599</v>
      </c>
      <c r="D2163" s="9" t="s">
        <v>5059</v>
      </c>
      <c r="E2163" s="9" t="s">
        <v>1111</v>
      </c>
      <c r="F2163" s="9" t="s">
        <v>177</v>
      </c>
      <c r="G2163" s="9" t="s">
        <v>3600</v>
      </c>
      <c r="H2163" s="9" t="s">
        <v>86</v>
      </c>
      <c r="I2163" s="11">
        <v>18429897</v>
      </c>
      <c r="J2163" s="11">
        <v>4565105</v>
      </c>
      <c r="K2163" s="11">
        <v>856595</v>
      </c>
      <c r="L2163" s="3">
        <v>241</v>
      </c>
      <c r="M2163" s="3">
        <v>1087</v>
      </c>
      <c r="N2163" s="3">
        <v>1218633</v>
      </c>
      <c r="O2163" s="2">
        <v>-0.182</v>
      </c>
      <c r="P2163" s="2">
        <v>1.179E-2</v>
      </c>
      <c r="Q2163" s="2">
        <v>0.47499999999999998</v>
      </c>
      <c r="R2163" s="11">
        <v>387929897</v>
      </c>
      <c r="S2163" s="11">
        <v>1250133</v>
      </c>
      <c r="T2163">
        <v>2015</v>
      </c>
      <c r="U2163">
        <v>12</v>
      </c>
      <c r="V2163">
        <f t="shared" si="198"/>
        <v>627500</v>
      </c>
      <c r="W2163">
        <f t="shared" si="199"/>
        <v>18429897</v>
      </c>
      <c r="X2163">
        <f t="shared" si="200"/>
        <v>17802397</v>
      </c>
      <c r="Y2163">
        <f t="shared" si="201"/>
        <v>-26076095.5</v>
      </c>
      <c r="Z2163">
        <f t="shared" si="202"/>
        <v>45133492.5</v>
      </c>
      <c r="AA2163" t="str">
        <f t="shared" si="203"/>
        <v>Normal</v>
      </c>
      <c r="AE2163" s="2"/>
      <c r="AF2163" s="2"/>
    </row>
    <row r="2164" spans="1:32" x14ac:dyDescent="0.35">
      <c r="A2164">
        <v>2163</v>
      </c>
      <c r="B2164" s="1">
        <v>42353</v>
      </c>
      <c r="C2164" s="9" t="s">
        <v>3601</v>
      </c>
      <c r="D2164" s="9" t="s">
        <v>3602</v>
      </c>
      <c r="E2164" s="9" t="s">
        <v>1111</v>
      </c>
      <c r="F2164" s="9" t="s">
        <v>3603</v>
      </c>
      <c r="G2164" s="9" t="s">
        <v>193</v>
      </c>
      <c r="H2164" s="9" t="s">
        <v>86</v>
      </c>
      <c r="I2164" s="11">
        <v>1000000</v>
      </c>
      <c r="J2164" s="11">
        <v>4773176</v>
      </c>
      <c r="K2164" s="11">
        <v>18257418</v>
      </c>
      <c r="L2164" s="3">
        <v>126</v>
      </c>
      <c r="M2164" s="3">
        <v>1287</v>
      </c>
      <c r="N2164" s="3">
        <v>1927417</v>
      </c>
      <c r="O2164" s="2">
        <v>7.2000000000000008E-2</v>
      </c>
      <c r="P2164" s="2">
        <v>1.1440000000000001</v>
      </c>
      <c r="Q2164" s="2">
        <v>8.4000000000000005E-2</v>
      </c>
      <c r="R2164" s="11">
        <v>315811803</v>
      </c>
      <c r="S2164" s="11">
        <v>1413991</v>
      </c>
      <c r="T2164">
        <v>2015</v>
      </c>
      <c r="U2164">
        <v>12</v>
      </c>
      <c r="V2164">
        <f t="shared" si="198"/>
        <v>626250</v>
      </c>
      <c r="W2164">
        <f t="shared" si="199"/>
        <v>18429897</v>
      </c>
      <c r="X2164">
        <f t="shared" si="200"/>
        <v>17803647</v>
      </c>
      <c r="Y2164">
        <f t="shared" si="201"/>
        <v>-26079220.5</v>
      </c>
      <c r="Z2164">
        <f t="shared" si="202"/>
        <v>45135367.5</v>
      </c>
      <c r="AA2164" t="str">
        <f t="shared" si="203"/>
        <v>Normal</v>
      </c>
      <c r="AE2164" s="2"/>
      <c r="AF2164" s="2"/>
    </row>
    <row r="2165" spans="1:32" x14ac:dyDescent="0.35">
      <c r="A2165">
        <v>2164</v>
      </c>
      <c r="B2165" s="1">
        <v>42354</v>
      </c>
      <c r="C2165" s="9" t="s">
        <v>3604</v>
      </c>
      <c r="D2165" s="9" t="s">
        <v>5060</v>
      </c>
      <c r="E2165" s="9" t="s">
        <v>1111</v>
      </c>
      <c r="F2165" s="9" t="s">
        <v>15</v>
      </c>
      <c r="G2165" s="9" t="s">
        <v>3605</v>
      </c>
      <c r="H2165" s="9" t="s">
        <v>105</v>
      </c>
      <c r="I2165" s="11">
        <v>22500000</v>
      </c>
      <c r="J2165" s="11">
        <v>4620895</v>
      </c>
      <c r="K2165" s="11">
        <v>4018113</v>
      </c>
      <c r="L2165" s="3">
        <v>492</v>
      </c>
      <c r="M2165" s="3">
        <v>3280</v>
      </c>
      <c r="N2165" s="3">
        <v>1681479</v>
      </c>
      <c r="O2165" s="2">
        <v>-0.30499999999999999</v>
      </c>
      <c r="P2165" s="2">
        <v>0.79599999999999993</v>
      </c>
      <c r="Q2165" s="2">
        <v>0.183</v>
      </c>
      <c r="R2165" s="11">
        <v>76798629</v>
      </c>
      <c r="S2165" s="11">
        <v>557801</v>
      </c>
      <c r="T2165">
        <v>2015</v>
      </c>
      <c r="U2165">
        <v>12</v>
      </c>
      <c r="V2165">
        <f t="shared" si="198"/>
        <v>625000</v>
      </c>
      <c r="W2165">
        <f t="shared" si="199"/>
        <v>18429897</v>
      </c>
      <c r="X2165">
        <f t="shared" si="200"/>
        <v>17804897</v>
      </c>
      <c r="Y2165">
        <f t="shared" si="201"/>
        <v>-26082345.5</v>
      </c>
      <c r="Z2165">
        <f t="shared" si="202"/>
        <v>45137242.5</v>
      </c>
      <c r="AA2165" t="str">
        <f t="shared" si="203"/>
        <v>Normal</v>
      </c>
      <c r="AE2165" s="2"/>
      <c r="AF2165" s="2"/>
    </row>
    <row r="2166" spans="1:32" x14ac:dyDescent="0.35">
      <c r="A2166">
        <v>2165</v>
      </c>
      <c r="B2166" s="1">
        <v>42354</v>
      </c>
      <c r="C2166" s="9" t="s">
        <v>3606</v>
      </c>
      <c r="D2166" s="9" t="s">
        <v>5061</v>
      </c>
      <c r="E2166" s="9" t="s">
        <v>1111</v>
      </c>
      <c r="F2166" s="9" t="s">
        <v>15</v>
      </c>
      <c r="G2166" s="9" t="s">
        <v>3607</v>
      </c>
      <c r="H2166" s="9" t="s">
        <v>86</v>
      </c>
      <c r="I2166" s="11">
        <v>2000000</v>
      </c>
      <c r="J2166" s="11">
        <v>1593899</v>
      </c>
      <c r="K2166" s="11">
        <v>19471751</v>
      </c>
      <c r="L2166" s="3">
        <v>266</v>
      </c>
      <c r="M2166" s="3">
        <v>1336</v>
      </c>
      <c r="N2166" s="3">
        <v>1871615</v>
      </c>
      <c r="O2166" s="2">
        <v>0</v>
      </c>
      <c r="P2166" s="2">
        <v>0.34299999999999997</v>
      </c>
      <c r="Q2166" s="2">
        <v>-0.28499999999999998</v>
      </c>
      <c r="R2166" s="11">
        <v>43146988</v>
      </c>
      <c r="S2166" s="11">
        <v>635247</v>
      </c>
      <c r="T2166">
        <v>2015</v>
      </c>
      <c r="U2166">
        <v>12</v>
      </c>
      <c r="V2166">
        <f t="shared" si="198"/>
        <v>618750</v>
      </c>
      <c r="W2166">
        <f t="shared" si="199"/>
        <v>18429897</v>
      </c>
      <c r="X2166">
        <f t="shared" si="200"/>
        <v>17811147</v>
      </c>
      <c r="Y2166">
        <f t="shared" si="201"/>
        <v>-26097970.5</v>
      </c>
      <c r="Z2166">
        <f t="shared" si="202"/>
        <v>45146617.5</v>
      </c>
      <c r="AA2166" t="str">
        <f t="shared" si="203"/>
        <v>Normal</v>
      </c>
      <c r="AE2166" s="2"/>
      <c r="AF2166" s="2"/>
    </row>
    <row r="2167" spans="1:32" x14ac:dyDescent="0.35">
      <c r="A2167">
        <v>2166</v>
      </c>
      <c r="B2167" s="1">
        <v>42354</v>
      </c>
      <c r="C2167" s="9" t="s">
        <v>3608</v>
      </c>
      <c r="D2167" s="9" t="s">
        <v>5062</v>
      </c>
      <c r="E2167" s="9" t="s">
        <v>1111</v>
      </c>
      <c r="F2167" s="9" t="s">
        <v>31</v>
      </c>
      <c r="G2167" s="9" t="s">
        <v>3609</v>
      </c>
      <c r="H2167" s="9" t="s">
        <v>105</v>
      </c>
      <c r="I2167" s="11">
        <v>1200000</v>
      </c>
      <c r="J2167" s="11">
        <v>4219747</v>
      </c>
      <c r="K2167" s="11">
        <v>475386</v>
      </c>
      <c r="L2167" s="3">
        <v>409</v>
      </c>
      <c r="M2167" s="3">
        <v>3361</v>
      </c>
      <c r="N2167" s="3">
        <v>1304748</v>
      </c>
      <c r="O2167" s="2">
        <v>-4.4999999999999998E-2</v>
      </c>
      <c r="P2167" s="2">
        <v>1.1470000000000001E-2</v>
      </c>
      <c r="Q2167" s="2">
        <v>-0.16800000000000001</v>
      </c>
      <c r="R2167" s="11">
        <v>36111605</v>
      </c>
      <c r="S2167" s="11">
        <v>1759162</v>
      </c>
      <c r="T2167">
        <v>2015</v>
      </c>
      <c r="U2167">
        <v>12</v>
      </c>
      <c r="V2167">
        <f t="shared" si="198"/>
        <v>612500</v>
      </c>
      <c r="W2167">
        <f t="shared" si="199"/>
        <v>18429897</v>
      </c>
      <c r="X2167">
        <f t="shared" si="200"/>
        <v>17817397</v>
      </c>
      <c r="Y2167">
        <f t="shared" si="201"/>
        <v>-26113595.5</v>
      </c>
      <c r="Z2167">
        <f t="shared" si="202"/>
        <v>45155992.5</v>
      </c>
      <c r="AA2167" t="str">
        <f t="shared" si="203"/>
        <v>Normal</v>
      </c>
      <c r="AE2167" s="2"/>
      <c r="AF2167" s="2"/>
    </row>
    <row r="2168" spans="1:32" x14ac:dyDescent="0.35">
      <c r="A2168">
        <v>2167</v>
      </c>
      <c r="B2168" s="1">
        <v>42354</v>
      </c>
      <c r="C2168" s="9" t="s">
        <v>3610</v>
      </c>
      <c r="D2168" s="9" t="s">
        <v>5063</v>
      </c>
      <c r="E2168" s="9" t="s">
        <v>1111</v>
      </c>
      <c r="F2168" s="9" t="s">
        <v>27</v>
      </c>
      <c r="G2168" s="9" t="s">
        <v>3611</v>
      </c>
      <c r="H2168" s="9" t="s">
        <v>86</v>
      </c>
      <c r="I2168" s="11">
        <v>18429897</v>
      </c>
      <c r="J2168" s="11">
        <v>4681714</v>
      </c>
      <c r="K2168" s="11">
        <v>14810782</v>
      </c>
      <c r="L2168" s="3">
        <v>358</v>
      </c>
      <c r="M2168" s="3">
        <v>4957</v>
      </c>
      <c r="N2168" s="3">
        <v>786407</v>
      </c>
      <c r="O2168" s="2">
        <v>0.02</v>
      </c>
      <c r="P2168" s="2">
        <v>1.0959999999999999</v>
      </c>
      <c r="Q2168" s="2">
        <v>7.6999999999999999E-2</v>
      </c>
      <c r="R2168" s="11">
        <v>313623628</v>
      </c>
      <c r="S2168" s="11">
        <v>1684134</v>
      </c>
      <c r="T2168">
        <v>2015</v>
      </c>
      <c r="U2168">
        <v>12</v>
      </c>
      <c r="V2168">
        <f t="shared" si="198"/>
        <v>606250</v>
      </c>
      <c r="W2168">
        <f t="shared" si="199"/>
        <v>18429897</v>
      </c>
      <c r="X2168">
        <f t="shared" si="200"/>
        <v>17823647</v>
      </c>
      <c r="Y2168">
        <f t="shared" si="201"/>
        <v>-26129220.5</v>
      </c>
      <c r="Z2168">
        <f t="shared" si="202"/>
        <v>45165367.5</v>
      </c>
      <c r="AA2168" t="str">
        <f t="shared" si="203"/>
        <v>Normal</v>
      </c>
      <c r="AE2168" s="2"/>
      <c r="AF2168" s="2"/>
    </row>
    <row r="2169" spans="1:32" x14ac:dyDescent="0.35">
      <c r="A2169">
        <v>2168</v>
      </c>
      <c r="B2169" s="1">
        <v>42355</v>
      </c>
      <c r="C2169" s="9" t="s">
        <v>49</v>
      </c>
      <c r="D2169" s="9" t="s">
        <v>5064</v>
      </c>
      <c r="E2169" s="9" t="s">
        <v>1111</v>
      </c>
      <c r="F2169" s="9" t="s">
        <v>19</v>
      </c>
      <c r="G2169" s="9" t="s">
        <v>3612</v>
      </c>
      <c r="H2169" s="9" t="s">
        <v>105</v>
      </c>
      <c r="I2169" s="11">
        <v>30000000</v>
      </c>
      <c r="J2169" s="11">
        <v>4891458</v>
      </c>
      <c r="K2169" s="11">
        <v>12718232</v>
      </c>
      <c r="L2169" s="3">
        <v>352</v>
      </c>
      <c r="M2169" s="3">
        <v>457</v>
      </c>
      <c r="N2169" s="3">
        <v>1813058</v>
      </c>
      <c r="O2169" s="2">
        <v>-3.3000000000000002E-2</v>
      </c>
      <c r="P2169" s="2">
        <v>1.191E-2</v>
      </c>
      <c r="Q2169" s="2">
        <v>0.189</v>
      </c>
      <c r="R2169" s="11">
        <v>435472379</v>
      </c>
      <c r="S2169" s="11">
        <v>1464337</v>
      </c>
      <c r="T2169">
        <v>2015</v>
      </c>
      <c r="U2169">
        <v>12</v>
      </c>
      <c r="V2169">
        <f t="shared" si="198"/>
        <v>600000</v>
      </c>
      <c r="W2169">
        <f t="shared" si="199"/>
        <v>18429897</v>
      </c>
      <c r="X2169">
        <f t="shared" si="200"/>
        <v>17829897</v>
      </c>
      <c r="Y2169">
        <f t="shared" si="201"/>
        <v>-26144845.5</v>
      </c>
      <c r="Z2169">
        <f t="shared" si="202"/>
        <v>45174742.5</v>
      </c>
      <c r="AA2169" t="str">
        <f t="shared" si="203"/>
        <v>Normal</v>
      </c>
      <c r="AE2169" s="2"/>
      <c r="AF2169" s="2"/>
    </row>
    <row r="2170" spans="1:32" x14ac:dyDescent="0.35">
      <c r="A2170">
        <v>2169</v>
      </c>
      <c r="B2170" s="1">
        <v>42355</v>
      </c>
      <c r="C2170" s="9" t="s">
        <v>911</v>
      </c>
      <c r="D2170" s="9" t="s">
        <v>5065</v>
      </c>
      <c r="E2170" s="9" t="s">
        <v>1111</v>
      </c>
      <c r="F2170" s="9" t="s">
        <v>15</v>
      </c>
      <c r="G2170" s="9" t="s">
        <v>3613</v>
      </c>
      <c r="H2170" s="9" t="s">
        <v>86</v>
      </c>
      <c r="I2170" s="11">
        <v>1700000</v>
      </c>
      <c r="J2170" s="11">
        <v>124099</v>
      </c>
      <c r="K2170" s="11">
        <v>4690383</v>
      </c>
      <c r="L2170" s="3">
        <v>179</v>
      </c>
      <c r="M2170" s="3">
        <v>4630</v>
      </c>
      <c r="N2170" s="3">
        <v>119325</v>
      </c>
      <c r="O2170" s="2">
        <v>0.127</v>
      </c>
      <c r="P2170" s="2">
        <v>0.70799999999999996</v>
      </c>
      <c r="Q2170" s="2">
        <v>0.36749999999999999</v>
      </c>
      <c r="R2170" s="11">
        <v>39167484</v>
      </c>
      <c r="S2170" s="11">
        <v>763971</v>
      </c>
      <c r="T2170">
        <v>2015</v>
      </c>
      <c r="U2170">
        <v>12</v>
      </c>
      <c r="V2170">
        <f t="shared" si="198"/>
        <v>600000</v>
      </c>
      <c r="W2170">
        <f t="shared" si="199"/>
        <v>18429897</v>
      </c>
      <c r="X2170">
        <f t="shared" si="200"/>
        <v>17829897</v>
      </c>
      <c r="Y2170">
        <f t="shared" si="201"/>
        <v>-26144845.5</v>
      </c>
      <c r="Z2170">
        <f t="shared" si="202"/>
        <v>45174742.5</v>
      </c>
      <c r="AA2170" t="str">
        <f t="shared" si="203"/>
        <v>Normal</v>
      </c>
      <c r="AE2170" s="2"/>
      <c r="AF2170" s="2"/>
    </row>
    <row r="2171" spans="1:32" x14ac:dyDescent="0.35">
      <c r="A2171">
        <v>2170</v>
      </c>
      <c r="B2171" s="1">
        <v>42355</v>
      </c>
      <c r="C2171" s="9" t="s">
        <v>3614</v>
      </c>
      <c r="D2171" s="9" t="s">
        <v>5066</v>
      </c>
      <c r="E2171" s="9" t="s">
        <v>1111</v>
      </c>
      <c r="F2171" s="9" t="s">
        <v>15</v>
      </c>
      <c r="G2171" s="9" t="s">
        <v>2031</v>
      </c>
      <c r="H2171" s="9" t="s">
        <v>105</v>
      </c>
      <c r="I2171" s="11">
        <v>18429897</v>
      </c>
      <c r="J2171" s="11">
        <v>3730057</v>
      </c>
      <c r="K2171" s="11">
        <v>16274378</v>
      </c>
      <c r="L2171" s="3">
        <v>216</v>
      </c>
      <c r="M2171" s="3">
        <v>899</v>
      </c>
      <c r="N2171" s="3">
        <v>1630108</v>
      </c>
      <c r="O2171" s="2">
        <v>0.29799999999999999</v>
      </c>
      <c r="P2171" s="2">
        <v>0.54799999999999993</v>
      </c>
      <c r="Q2171" s="2">
        <v>0.23100000000000001</v>
      </c>
      <c r="R2171" s="11">
        <v>301923765</v>
      </c>
      <c r="S2171" s="11">
        <v>729416</v>
      </c>
      <c r="T2171">
        <v>2015</v>
      </c>
      <c r="U2171">
        <v>12</v>
      </c>
      <c r="V2171">
        <f t="shared" si="198"/>
        <v>600000</v>
      </c>
      <c r="W2171">
        <f t="shared" si="199"/>
        <v>18429897</v>
      </c>
      <c r="X2171">
        <f t="shared" si="200"/>
        <v>17829897</v>
      </c>
      <c r="Y2171">
        <f t="shared" si="201"/>
        <v>-26144845.5</v>
      </c>
      <c r="Z2171">
        <f t="shared" si="202"/>
        <v>45174742.5</v>
      </c>
      <c r="AA2171" t="str">
        <f t="shared" si="203"/>
        <v>Normal</v>
      </c>
      <c r="AE2171" s="2"/>
      <c r="AF2171" s="2"/>
    </row>
    <row r="2172" spans="1:32" x14ac:dyDescent="0.35">
      <c r="A2172">
        <v>2171</v>
      </c>
      <c r="B2172" s="1">
        <v>42356</v>
      </c>
      <c r="C2172" s="9" t="s">
        <v>3615</v>
      </c>
      <c r="D2172" s="9" t="s">
        <v>5067</v>
      </c>
      <c r="E2172" s="9" t="s">
        <v>1111</v>
      </c>
      <c r="F2172" s="9" t="s">
        <v>601</v>
      </c>
      <c r="G2172" s="9" t="s">
        <v>3616</v>
      </c>
      <c r="H2172" s="9" t="s">
        <v>86</v>
      </c>
      <c r="I2172" s="11">
        <v>1200000</v>
      </c>
      <c r="J2172" s="11">
        <v>4983793</v>
      </c>
      <c r="K2172" s="11">
        <v>2316523</v>
      </c>
      <c r="L2172" s="3">
        <v>222</v>
      </c>
      <c r="M2172" s="3">
        <v>735</v>
      </c>
      <c r="N2172" s="3">
        <v>1018455</v>
      </c>
      <c r="O2172" s="2">
        <v>0.192</v>
      </c>
      <c r="P2172" s="2">
        <v>0.57700000000000007</v>
      </c>
      <c r="Q2172" s="2">
        <v>8.5999999999999993E-2</v>
      </c>
      <c r="R2172" s="11">
        <v>186731325</v>
      </c>
      <c r="S2172" s="11">
        <v>1044222</v>
      </c>
      <c r="T2172">
        <v>2015</v>
      </c>
      <c r="U2172">
        <v>12</v>
      </c>
      <c r="V2172">
        <f t="shared" si="198"/>
        <v>600000</v>
      </c>
      <c r="W2172">
        <f t="shared" si="199"/>
        <v>18429897</v>
      </c>
      <c r="X2172">
        <f t="shared" si="200"/>
        <v>17829897</v>
      </c>
      <c r="Y2172">
        <f t="shared" si="201"/>
        <v>-26144845.5</v>
      </c>
      <c r="Z2172">
        <f t="shared" si="202"/>
        <v>45174742.5</v>
      </c>
      <c r="AA2172" t="str">
        <f t="shared" si="203"/>
        <v>Normal</v>
      </c>
      <c r="AE2172" s="2"/>
      <c r="AF2172" s="2"/>
    </row>
    <row r="2173" spans="1:32" x14ac:dyDescent="0.35">
      <c r="A2173">
        <v>2172</v>
      </c>
      <c r="B2173" s="1">
        <v>42356</v>
      </c>
      <c r="C2173" s="9" t="s">
        <v>3617</v>
      </c>
      <c r="D2173" s="9" t="s">
        <v>5068</v>
      </c>
      <c r="E2173" s="9" t="s">
        <v>1111</v>
      </c>
      <c r="F2173" s="9" t="s">
        <v>27</v>
      </c>
      <c r="G2173" s="9" t="s">
        <v>3618</v>
      </c>
      <c r="H2173" s="9" t="s">
        <v>86</v>
      </c>
      <c r="I2173" s="11">
        <v>18429897</v>
      </c>
      <c r="J2173" s="11">
        <v>2531926</v>
      </c>
      <c r="K2173" s="11">
        <v>5048915</v>
      </c>
      <c r="L2173" s="3">
        <v>303</v>
      </c>
      <c r="M2173" s="3">
        <v>4178</v>
      </c>
      <c r="N2173" s="3">
        <v>44412</v>
      </c>
      <c r="O2173" s="2">
        <v>0.38</v>
      </c>
      <c r="P2173" s="2">
        <v>0.69700000000000006</v>
      </c>
      <c r="Q2173" s="2">
        <v>4.2000000000000003E-2</v>
      </c>
      <c r="R2173" s="11">
        <v>459055363</v>
      </c>
      <c r="S2173" s="11">
        <v>886660</v>
      </c>
      <c r="T2173">
        <v>2015</v>
      </c>
      <c r="U2173">
        <v>12</v>
      </c>
      <c r="V2173">
        <f t="shared" si="198"/>
        <v>600000</v>
      </c>
      <c r="W2173">
        <f t="shared" si="199"/>
        <v>18429897</v>
      </c>
      <c r="X2173">
        <f t="shared" si="200"/>
        <v>17829897</v>
      </c>
      <c r="Y2173">
        <f t="shared" si="201"/>
        <v>-26144845.5</v>
      </c>
      <c r="Z2173">
        <f t="shared" si="202"/>
        <v>45174742.5</v>
      </c>
      <c r="AA2173" t="str">
        <f t="shared" si="203"/>
        <v>Normal</v>
      </c>
      <c r="AE2173" s="2"/>
      <c r="AF2173" s="2"/>
    </row>
    <row r="2174" spans="1:32" x14ac:dyDescent="0.35">
      <c r="A2174">
        <v>2173</v>
      </c>
      <c r="B2174" s="1">
        <v>42356</v>
      </c>
      <c r="C2174" s="9" t="s">
        <v>3619</v>
      </c>
      <c r="D2174" s="9" t="s">
        <v>5069</v>
      </c>
      <c r="E2174" s="9" t="s">
        <v>1111</v>
      </c>
      <c r="F2174" s="9" t="s">
        <v>15</v>
      </c>
      <c r="G2174" s="9" t="s">
        <v>3620</v>
      </c>
      <c r="H2174" s="9" t="s">
        <v>86</v>
      </c>
      <c r="I2174" s="11">
        <v>18429897</v>
      </c>
      <c r="J2174" s="11">
        <v>1181208</v>
      </c>
      <c r="K2174" s="11">
        <v>18983496</v>
      </c>
      <c r="L2174" s="3">
        <v>360</v>
      </c>
      <c r="M2174" s="3">
        <v>1060</v>
      </c>
      <c r="N2174" s="3">
        <v>1307541</v>
      </c>
      <c r="O2174" s="2">
        <v>0.02</v>
      </c>
      <c r="P2174" s="2">
        <v>1.1120000000000001E-2</v>
      </c>
      <c r="Q2174" s="2">
        <v>0.7</v>
      </c>
      <c r="R2174" s="11">
        <v>184004065</v>
      </c>
      <c r="S2174" s="11">
        <v>1592090</v>
      </c>
      <c r="T2174">
        <v>2015</v>
      </c>
      <c r="U2174">
        <v>12</v>
      </c>
      <c r="V2174">
        <f t="shared" si="198"/>
        <v>600000</v>
      </c>
      <c r="W2174">
        <f t="shared" si="199"/>
        <v>18429897</v>
      </c>
      <c r="X2174">
        <f t="shared" si="200"/>
        <v>17829897</v>
      </c>
      <c r="Y2174">
        <f t="shared" si="201"/>
        <v>-26144845.5</v>
      </c>
      <c r="Z2174">
        <f t="shared" si="202"/>
        <v>45174742.5</v>
      </c>
      <c r="AA2174" t="str">
        <f t="shared" si="203"/>
        <v>Normal</v>
      </c>
      <c r="AE2174" s="2"/>
      <c r="AF2174" s="2"/>
    </row>
    <row r="2175" spans="1:32" x14ac:dyDescent="0.35">
      <c r="A2175">
        <v>2174</v>
      </c>
      <c r="B2175" s="1">
        <v>42356</v>
      </c>
      <c r="C2175" s="9" t="s">
        <v>3621</v>
      </c>
      <c r="D2175" s="9" t="s">
        <v>5070</v>
      </c>
      <c r="E2175" s="9" t="s">
        <v>1111</v>
      </c>
      <c r="F2175" s="9" t="s">
        <v>4915</v>
      </c>
      <c r="G2175" s="9" t="s">
        <v>3622</v>
      </c>
      <c r="H2175" s="9" t="s">
        <v>86</v>
      </c>
      <c r="I2175" s="11">
        <v>200000</v>
      </c>
      <c r="J2175" s="11">
        <v>3817698</v>
      </c>
      <c r="K2175" s="11">
        <v>14882508</v>
      </c>
      <c r="L2175" s="3">
        <v>103</v>
      </c>
      <c r="M2175" s="3">
        <v>2505.5</v>
      </c>
      <c r="N2175" s="3">
        <v>1751699</v>
      </c>
      <c r="O2175" s="2">
        <v>0.185</v>
      </c>
      <c r="P2175" s="2">
        <v>0.32899999999999996</v>
      </c>
      <c r="Q2175" s="2">
        <v>3.4000000000000002E-2</v>
      </c>
      <c r="R2175" s="11">
        <v>366363147</v>
      </c>
      <c r="S2175" s="11">
        <v>1440037</v>
      </c>
      <c r="T2175">
        <v>2015</v>
      </c>
      <c r="U2175">
        <v>12</v>
      </c>
      <c r="V2175">
        <f t="shared" si="198"/>
        <v>600000</v>
      </c>
      <c r="W2175">
        <f t="shared" si="199"/>
        <v>18429897</v>
      </c>
      <c r="X2175">
        <f t="shared" si="200"/>
        <v>17829897</v>
      </c>
      <c r="Y2175">
        <f t="shared" si="201"/>
        <v>-26144845.5</v>
      </c>
      <c r="Z2175">
        <f t="shared" si="202"/>
        <v>45174742.5</v>
      </c>
      <c r="AA2175" t="str">
        <f t="shared" si="203"/>
        <v>Normal</v>
      </c>
      <c r="AE2175" s="2"/>
      <c r="AF2175" s="2"/>
    </row>
    <row r="2176" spans="1:32" x14ac:dyDescent="0.35">
      <c r="A2176">
        <v>2175</v>
      </c>
      <c r="B2176" s="1">
        <v>42359</v>
      </c>
      <c r="C2176" s="9" t="s">
        <v>3623</v>
      </c>
      <c r="D2176" s="9" t="s">
        <v>5071</v>
      </c>
      <c r="E2176" s="9" t="s">
        <v>1111</v>
      </c>
      <c r="F2176" s="9" t="s">
        <v>27</v>
      </c>
      <c r="G2176" s="9" t="s">
        <v>3624</v>
      </c>
      <c r="H2176" s="9" t="s">
        <v>105</v>
      </c>
      <c r="I2176" s="11">
        <v>2000000</v>
      </c>
      <c r="J2176" s="11">
        <v>544116</v>
      </c>
      <c r="K2176" s="11">
        <v>2332534</v>
      </c>
      <c r="L2176" s="3">
        <v>117</v>
      </c>
      <c r="M2176" s="3">
        <v>578</v>
      </c>
      <c r="N2176" s="3">
        <v>1386034</v>
      </c>
      <c r="O2176" s="2">
        <v>0.193</v>
      </c>
      <c r="P2176" s="2">
        <v>0.84899999999999998</v>
      </c>
      <c r="Q2176" s="2">
        <v>0.35299999999999998</v>
      </c>
      <c r="R2176" s="11">
        <v>493070728</v>
      </c>
      <c r="S2176" s="11">
        <v>349162</v>
      </c>
      <c r="T2176">
        <v>2015</v>
      </c>
      <c r="U2176">
        <v>12</v>
      </c>
      <c r="V2176">
        <f t="shared" si="198"/>
        <v>600000</v>
      </c>
      <c r="W2176">
        <f t="shared" si="199"/>
        <v>18429897</v>
      </c>
      <c r="X2176">
        <f t="shared" si="200"/>
        <v>17829897</v>
      </c>
      <c r="Y2176">
        <f t="shared" si="201"/>
        <v>-26144845.5</v>
      </c>
      <c r="Z2176">
        <f t="shared" si="202"/>
        <v>45174742.5</v>
      </c>
      <c r="AA2176" t="str">
        <f t="shared" si="203"/>
        <v>Normal</v>
      </c>
      <c r="AE2176" s="2"/>
      <c r="AF2176" s="2"/>
    </row>
    <row r="2177" spans="1:32" x14ac:dyDescent="0.35">
      <c r="A2177">
        <v>2176</v>
      </c>
      <c r="B2177" s="1">
        <v>42359</v>
      </c>
      <c r="C2177" s="9" t="s">
        <v>3625</v>
      </c>
      <c r="D2177" s="9" t="s">
        <v>5072</v>
      </c>
      <c r="E2177" s="9" t="s">
        <v>1111</v>
      </c>
      <c r="F2177" s="9" t="s">
        <v>19</v>
      </c>
      <c r="G2177" s="9" t="s">
        <v>376</v>
      </c>
      <c r="H2177" s="9" t="s">
        <v>105</v>
      </c>
      <c r="I2177" s="11">
        <v>4000000</v>
      </c>
      <c r="J2177" s="11">
        <v>2413426</v>
      </c>
      <c r="K2177" s="11">
        <v>2967192</v>
      </c>
      <c r="L2177" s="3">
        <v>28</v>
      </c>
      <c r="M2177" s="3">
        <v>478</v>
      </c>
      <c r="N2177" s="3">
        <v>1018455</v>
      </c>
      <c r="O2177" s="2">
        <v>0.35</v>
      </c>
      <c r="P2177" s="2">
        <v>1.115</v>
      </c>
      <c r="Q2177" s="2">
        <v>-0.22600000000000001</v>
      </c>
      <c r="R2177" s="11">
        <v>175485337</v>
      </c>
      <c r="S2177" s="11">
        <v>1857605</v>
      </c>
      <c r="T2177">
        <v>2015</v>
      </c>
      <c r="U2177">
        <v>12</v>
      </c>
      <c r="V2177">
        <f t="shared" si="198"/>
        <v>600000</v>
      </c>
      <c r="W2177">
        <f t="shared" si="199"/>
        <v>18429897</v>
      </c>
      <c r="X2177">
        <f t="shared" si="200"/>
        <v>17829897</v>
      </c>
      <c r="Y2177">
        <f t="shared" si="201"/>
        <v>-26144845.5</v>
      </c>
      <c r="Z2177">
        <f t="shared" si="202"/>
        <v>45174742.5</v>
      </c>
      <c r="AA2177" t="str">
        <f t="shared" si="203"/>
        <v>Normal</v>
      </c>
      <c r="AE2177" s="2"/>
      <c r="AF2177" s="2"/>
    </row>
    <row r="2178" spans="1:32" x14ac:dyDescent="0.35">
      <c r="A2178">
        <v>2177</v>
      </c>
      <c r="B2178" s="1">
        <v>42359</v>
      </c>
      <c r="C2178" s="9" t="s">
        <v>2265</v>
      </c>
      <c r="D2178" s="9" t="s">
        <v>5073</v>
      </c>
      <c r="E2178" s="9" t="s">
        <v>1111</v>
      </c>
      <c r="F2178" s="9" t="s">
        <v>31</v>
      </c>
      <c r="G2178" s="9" t="s">
        <v>3626</v>
      </c>
      <c r="H2178" s="9" t="s">
        <v>105</v>
      </c>
      <c r="I2178" s="11">
        <v>2000000</v>
      </c>
      <c r="J2178" s="11">
        <v>3138613</v>
      </c>
      <c r="K2178" s="11">
        <v>5215693</v>
      </c>
      <c r="L2178" s="3">
        <v>265</v>
      </c>
      <c r="M2178" s="3">
        <v>1046</v>
      </c>
      <c r="N2178" s="3">
        <v>549263</v>
      </c>
      <c r="O2178" s="2">
        <v>-2.6000000000000002E-2</v>
      </c>
      <c r="P2178" s="2">
        <v>0.47399999999999998</v>
      </c>
      <c r="Q2178" s="2">
        <v>0.13100000000000001</v>
      </c>
      <c r="R2178" s="11">
        <v>250264963</v>
      </c>
      <c r="S2178" s="11">
        <v>929104</v>
      </c>
      <c r="T2178">
        <v>2015</v>
      </c>
      <c r="U2178">
        <v>12</v>
      </c>
      <c r="V2178">
        <f t="shared" ref="V2178:V2241" si="204">_xlfn.PERCENTILE.INC(I2178:I5221,0.25)</f>
        <v>600000</v>
      </c>
      <c r="W2178">
        <f t="shared" ref="W2178:W2241" si="205">_xlfn.PERCENTILE.INC(I2178:I5221,0.75)</f>
        <v>18429897</v>
      </c>
      <c r="X2178">
        <f t="shared" ref="X2178:X2241" si="206">W2178-V2178</f>
        <v>17829897</v>
      </c>
      <c r="Y2178">
        <f t="shared" ref="Y2178:Y2241" si="207">V2178-1.5*X2178</f>
        <v>-26144845.5</v>
      </c>
      <c r="Z2178">
        <f t="shared" ref="Z2178:Z2241" si="208">W2178+1.5*X2178</f>
        <v>45174742.5</v>
      </c>
      <c r="AA2178" t="str">
        <f t="shared" ref="AA2178:AA2241" si="209">IF(OR(I2178&lt;$Y$2, I2178&gt;$Z$2), "Outlier", "Normal")</f>
        <v>Normal</v>
      </c>
      <c r="AE2178" s="2"/>
      <c r="AF2178" s="2"/>
    </row>
    <row r="2179" spans="1:32" x14ac:dyDescent="0.35">
      <c r="A2179">
        <v>2178</v>
      </c>
      <c r="B2179" s="1">
        <v>42360</v>
      </c>
      <c r="C2179" s="9" t="s">
        <v>1360</v>
      </c>
      <c r="D2179" s="9" t="s">
        <v>5074</v>
      </c>
      <c r="E2179" s="9" t="s">
        <v>1111</v>
      </c>
      <c r="F2179" s="9" t="s">
        <v>15</v>
      </c>
      <c r="G2179" s="9" t="s">
        <v>3627</v>
      </c>
      <c r="H2179" s="9" t="s">
        <v>86</v>
      </c>
      <c r="I2179" s="11">
        <v>18429897</v>
      </c>
      <c r="J2179" s="11">
        <v>2293131</v>
      </c>
      <c r="K2179" s="11">
        <v>1504175</v>
      </c>
      <c r="L2179" s="3">
        <v>336</v>
      </c>
      <c r="M2179" s="3">
        <v>2627</v>
      </c>
      <c r="N2179" s="3">
        <v>1277359</v>
      </c>
      <c r="O2179" s="2">
        <v>0.27800000000000002</v>
      </c>
      <c r="P2179" s="2">
        <v>0.72499999999999998</v>
      </c>
      <c r="Q2179" s="2">
        <v>-6.9000000000000006E-2</v>
      </c>
      <c r="R2179" s="11">
        <v>473138460</v>
      </c>
      <c r="S2179" s="11">
        <v>1008193.5</v>
      </c>
      <c r="T2179">
        <v>2015</v>
      </c>
      <c r="U2179">
        <v>12</v>
      </c>
      <c r="V2179">
        <f t="shared" si="204"/>
        <v>600000</v>
      </c>
      <c r="W2179">
        <f t="shared" si="205"/>
        <v>18429897</v>
      </c>
      <c r="X2179">
        <f t="shared" si="206"/>
        <v>17829897</v>
      </c>
      <c r="Y2179">
        <f t="shared" si="207"/>
        <v>-26144845.5</v>
      </c>
      <c r="Z2179">
        <f t="shared" si="208"/>
        <v>45174742.5</v>
      </c>
      <c r="AA2179" t="str">
        <f t="shared" si="209"/>
        <v>Normal</v>
      </c>
      <c r="AE2179" s="2"/>
      <c r="AF2179" s="2"/>
    </row>
    <row r="2180" spans="1:32" x14ac:dyDescent="0.35">
      <c r="A2180">
        <v>2179</v>
      </c>
      <c r="B2180" s="1">
        <v>42360</v>
      </c>
      <c r="C2180" s="9" t="s">
        <v>3466</v>
      </c>
      <c r="D2180" s="9" t="s">
        <v>5075</v>
      </c>
      <c r="E2180" s="9" t="s">
        <v>1111</v>
      </c>
      <c r="F2180" s="9" t="s">
        <v>27</v>
      </c>
      <c r="G2180" s="9" t="s">
        <v>3628</v>
      </c>
      <c r="H2180" s="9" t="s">
        <v>86</v>
      </c>
      <c r="I2180" s="11">
        <v>18429897</v>
      </c>
      <c r="J2180" s="11">
        <v>3505171</v>
      </c>
      <c r="K2180" s="11">
        <v>3734416</v>
      </c>
      <c r="L2180" s="3">
        <v>108</v>
      </c>
      <c r="M2180" s="3">
        <v>1486</v>
      </c>
      <c r="N2180" s="3">
        <v>1637427</v>
      </c>
      <c r="O2180" s="2">
        <v>-5.0999999999999997E-2</v>
      </c>
      <c r="P2180" s="2">
        <v>0.99400000000000011</v>
      </c>
      <c r="Q2180" s="2">
        <v>0.59499999999999997</v>
      </c>
      <c r="R2180" s="11">
        <v>423799240</v>
      </c>
      <c r="S2180" s="11">
        <v>850581</v>
      </c>
      <c r="T2180">
        <v>2015</v>
      </c>
      <c r="U2180">
        <v>12</v>
      </c>
      <c r="V2180">
        <f t="shared" si="204"/>
        <v>600000</v>
      </c>
      <c r="W2180">
        <f t="shared" si="205"/>
        <v>18429897</v>
      </c>
      <c r="X2180">
        <f t="shared" si="206"/>
        <v>17829897</v>
      </c>
      <c r="Y2180">
        <f t="shared" si="207"/>
        <v>-26144845.5</v>
      </c>
      <c r="Z2180">
        <f t="shared" si="208"/>
        <v>45174742.5</v>
      </c>
      <c r="AA2180" t="str">
        <f t="shared" si="209"/>
        <v>Normal</v>
      </c>
      <c r="AE2180" s="2"/>
      <c r="AF2180" s="2"/>
    </row>
    <row r="2181" spans="1:32" x14ac:dyDescent="0.35">
      <c r="A2181">
        <v>2180</v>
      </c>
      <c r="B2181" s="1">
        <v>42360</v>
      </c>
      <c r="C2181" s="9" t="s">
        <v>1711</v>
      </c>
      <c r="D2181" s="9" t="s">
        <v>5076</v>
      </c>
      <c r="E2181" s="9" t="s">
        <v>1111</v>
      </c>
      <c r="F2181" s="9" t="s">
        <v>19</v>
      </c>
      <c r="G2181" s="9" t="s">
        <v>3385</v>
      </c>
      <c r="H2181" s="9" t="s">
        <v>86</v>
      </c>
      <c r="I2181" s="11">
        <v>18429897</v>
      </c>
      <c r="J2181" s="11">
        <v>1216326</v>
      </c>
      <c r="K2181" s="11">
        <v>11478045</v>
      </c>
      <c r="L2181" s="3">
        <v>357</v>
      </c>
      <c r="M2181" s="3">
        <v>1155</v>
      </c>
      <c r="N2181" s="3">
        <v>139229</v>
      </c>
      <c r="O2181" s="2">
        <v>0.6</v>
      </c>
      <c r="P2181" s="2">
        <v>0.71499999999999997</v>
      </c>
      <c r="Q2181" s="2">
        <v>-3.9E-2</v>
      </c>
      <c r="R2181" s="11">
        <v>250264963</v>
      </c>
      <c r="S2181" s="11">
        <v>1543382</v>
      </c>
      <c r="T2181">
        <v>2015</v>
      </c>
      <c r="U2181">
        <v>12</v>
      </c>
      <c r="V2181">
        <f t="shared" si="204"/>
        <v>600000</v>
      </c>
      <c r="W2181">
        <f t="shared" si="205"/>
        <v>18429897</v>
      </c>
      <c r="X2181">
        <f t="shared" si="206"/>
        <v>17829897</v>
      </c>
      <c r="Y2181">
        <f t="shared" si="207"/>
        <v>-26144845.5</v>
      </c>
      <c r="Z2181">
        <f t="shared" si="208"/>
        <v>45174742.5</v>
      </c>
      <c r="AA2181" t="str">
        <f t="shared" si="209"/>
        <v>Normal</v>
      </c>
      <c r="AE2181" s="2"/>
      <c r="AF2181" s="2"/>
    </row>
    <row r="2182" spans="1:32" x14ac:dyDescent="0.35">
      <c r="A2182">
        <v>2181</v>
      </c>
      <c r="B2182" s="1">
        <v>42360</v>
      </c>
      <c r="C2182" s="9" t="s">
        <v>1736</v>
      </c>
      <c r="D2182" s="9" t="s">
        <v>5077</v>
      </c>
      <c r="E2182" s="9" t="s">
        <v>1111</v>
      </c>
      <c r="F2182" s="9" t="s">
        <v>124</v>
      </c>
      <c r="G2182" s="9" t="s">
        <v>3629</v>
      </c>
      <c r="H2182" s="9" t="s">
        <v>105</v>
      </c>
      <c r="I2182" s="11">
        <v>3000000</v>
      </c>
      <c r="J2182" s="11">
        <v>3038978</v>
      </c>
      <c r="K2182" s="11">
        <v>248530</v>
      </c>
      <c r="L2182" s="3">
        <v>6</v>
      </c>
      <c r="M2182" s="3">
        <v>4196</v>
      </c>
      <c r="N2182" s="3">
        <v>1115008</v>
      </c>
      <c r="O2182" s="2">
        <v>4.8000000000000001E-2</v>
      </c>
      <c r="P2182" s="2">
        <v>0.72699999999999998</v>
      </c>
      <c r="Q2182" s="2">
        <v>9.1999999999999998E-2</v>
      </c>
      <c r="R2182" s="11">
        <v>152153209</v>
      </c>
      <c r="S2182" s="11">
        <v>716545</v>
      </c>
      <c r="T2182">
        <v>2015</v>
      </c>
      <c r="U2182">
        <v>12</v>
      </c>
      <c r="V2182">
        <f t="shared" si="204"/>
        <v>600000</v>
      </c>
      <c r="W2182">
        <f t="shared" si="205"/>
        <v>18429897</v>
      </c>
      <c r="X2182">
        <f t="shared" si="206"/>
        <v>17829897</v>
      </c>
      <c r="Y2182">
        <f t="shared" si="207"/>
        <v>-26144845.5</v>
      </c>
      <c r="Z2182">
        <f t="shared" si="208"/>
        <v>45174742.5</v>
      </c>
      <c r="AA2182" t="str">
        <f t="shared" si="209"/>
        <v>Normal</v>
      </c>
      <c r="AE2182" s="2"/>
      <c r="AF2182" s="2"/>
    </row>
    <row r="2183" spans="1:32" x14ac:dyDescent="0.35">
      <c r="A2183">
        <v>2182</v>
      </c>
      <c r="B2183" s="1">
        <v>42360</v>
      </c>
      <c r="C2183" s="9" t="s">
        <v>3630</v>
      </c>
      <c r="D2183" s="9" t="s">
        <v>5078</v>
      </c>
      <c r="E2183" s="9" t="s">
        <v>1111</v>
      </c>
      <c r="F2183" s="9" t="s">
        <v>19</v>
      </c>
      <c r="G2183" s="9" t="s">
        <v>3631</v>
      </c>
      <c r="H2183" s="9" t="s">
        <v>86</v>
      </c>
      <c r="I2183" s="11">
        <v>18429897</v>
      </c>
      <c r="J2183" s="11">
        <v>3231199</v>
      </c>
      <c r="K2183" s="11">
        <v>5820197</v>
      </c>
      <c r="L2183" s="3">
        <v>433</v>
      </c>
      <c r="M2183" s="3">
        <v>911</v>
      </c>
      <c r="N2183" s="3">
        <v>1920711</v>
      </c>
      <c r="O2183" s="2">
        <v>0.21100000000000002</v>
      </c>
      <c r="P2183" s="2">
        <v>0.96699999999999997</v>
      </c>
      <c r="Q2183" s="2">
        <v>-0.106</v>
      </c>
      <c r="R2183" s="11">
        <v>273880420</v>
      </c>
      <c r="S2183" s="11">
        <v>1379271</v>
      </c>
      <c r="T2183">
        <v>2015</v>
      </c>
      <c r="U2183">
        <v>12</v>
      </c>
      <c r="V2183">
        <f t="shared" si="204"/>
        <v>600000</v>
      </c>
      <c r="W2183">
        <f t="shared" si="205"/>
        <v>18429897</v>
      </c>
      <c r="X2183">
        <f t="shared" si="206"/>
        <v>17829897</v>
      </c>
      <c r="Y2183">
        <f t="shared" si="207"/>
        <v>-26144845.5</v>
      </c>
      <c r="Z2183">
        <f t="shared" si="208"/>
        <v>45174742.5</v>
      </c>
      <c r="AA2183" t="str">
        <f t="shared" si="209"/>
        <v>Normal</v>
      </c>
      <c r="AE2183" s="2"/>
      <c r="AF2183" s="2"/>
    </row>
    <row r="2184" spans="1:32" x14ac:dyDescent="0.35">
      <c r="A2184">
        <v>2183</v>
      </c>
      <c r="B2184" s="1">
        <v>42360</v>
      </c>
      <c r="C2184" s="9" t="s">
        <v>3632</v>
      </c>
      <c r="D2184" s="9" t="s">
        <v>5079</v>
      </c>
      <c r="E2184" s="9" t="s">
        <v>1111</v>
      </c>
      <c r="F2184" s="9" t="s">
        <v>31</v>
      </c>
      <c r="G2184" s="9" t="s">
        <v>3633</v>
      </c>
      <c r="H2184" s="9" t="s">
        <v>105</v>
      </c>
      <c r="I2184" s="11">
        <v>750000</v>
      </c>
      <c r="J2184" s="11">
        <v>3176304</v>
      </c>
      <c r="K2184" s="11">
        <v>19420292</v>
      </c>
      <c r="L2184" s="3">
        <v>346</v>
      </c>
      <c r="M2184" s="3">
        <v>521</v>
      </c>
      <c r="N2184" s="3">
        <v>1018455</v>
      </c>
      <c r="O2184" s="2">
        <v>-9.6999999999999989E-2</v>
      </c>
      <c r="P2184" s="2">
        <v>0.36499999999999999</v>
      </c>
      <c r="Q2184" s="2">
        <v>-0.121</v>
      </c>
      <c r="R2184" s="11">
        <v>240502104</v>
      </c>
      <c r="S2184" s="11">
        <v>1227246</v>
      </c>
      <c r="T2184">
        <v>2015</v>
      </c>
      <c r="U2184">
        <v>12</v>
      </c>
      <c r="V2184">
        <f t="shared" si="204"/>
        <v>600000</v>
      </c>
      <c r="W2184">
        <f t="shared" si="205"/>
        <v>18429897</v>
      </c>
      <c r="X2184">
        <f t="shared" si="206"/>
        <v>17829897</v>
      </c>
      <c r="Y2184">
        <f t="shared" si="207"/>
        <v>-26144845.5</v>
      </c>
      <c r="Z2184">
        <f t="shared" si="208"/>
        <v>45174742.5</v>
      </c>
      <c r="AA2184" t="str">
        <f t="shared" si="209"/>
        <v>Normal</v>
      </c>
      <c r="AE2184" s="2"/>
      <c r="AF2184" s="2"/>
    </row>
    <row r="2185" spans="1:32" x14ac:dyDescent="0.35">
      <c r="A2185">
        <v>2184</v>
      </c>
      <c r="B2185" s="1">
        <v>42360</v>
      </c>
      <c r="C2185" s="9" t="s">
        <v>2039</v>
      </c>
      <c r="D2185" s="9" t="s">
        <v>5080</v>
      </c>
      <c r="E2185" s="9" t="s">
        <v>1111</v>
      </c>
      <c r="F2185" s="9" t="s">
        <v>19</v>
      </c>
      <c r="G2185" s="9" t="s">
        <v>3634</v>
      </c>
      <c r="H2185" s="9" t="s">
        <v>105</v>
      </c>
      <c r="I2185" s="11">
        <v>500000</v>
      </c>
      <c r="J2185" s="11">
        <v>1460814</v>
      </c>
      <c r="K2185" s="11">
        <v>19486159</v>
      </c>
      <c r="L2185" s="3">
        <v>343</v>
      </c>
      <c r="M2185" s="3">
        <v>595</v>
      </c>
      <c r="N2185" s="3">
        <v>1632002</v>
      </c>
      <c r="O2185" s="2">
        <v>-7.0000000000000007E-2</v>
      </c>
      <c r="P2185" s="2">
        <v>0.91500000000000004</v>
      </c>
      <c r="Q2185" s="2">
        <v>8.1000000000000003E-2</v>
      </c>
      <c r="R2185" s="11">
        <v>247150644</v>
      </c>
      <c r="S2185" s="11">
        <v>486340</v>
      </c>
      <c r="T2185">
        <v>2015</v>
      </c>
      <c r="U2185">
        <v>12</v>
      </c>
      <c r="V2185">
        <f t="shared" si="204"/>
        <v>600000</v>
      </c>
      <c r="W2185">
        <f t="shared" si="205"/>
        <v>18429897</v>
      </c>
      <c r="X2185">
        <f t="shared" si="206"/>
        <v>17829897</v>
      </c>
      <c r="Y2185">
        <f t="shared" si="207"/>
        <v>-26144845.5</v>
      </c>
      <c r="Z2185">
        <f t="shared" si="208"/>
        <v>45174742.5</v>
      </c>
      <c r="AA2185" t="str">
        <f t="shared" si="209"/>
        <v>Normal</v>
      </c>
      <c r="AE2185" s="2"/>
      <c r="AF2185" s="2"/>
    </row>
    <row r="2186" spans="1:32" x14ac:dyDescent="0.35">
      <c r="A2186">
        <v>2185</v>
      </c>
      <c r="B2186" s="1">
        <v>42360</v>
      </c>
      <c r="C2186" s="9" t="s">
        <v>1012</v>
      </c>
      <c r="D2186" s="9" t="s">
        <v>5081</v>
      </c>
      <c r="E2186" s="9" t="s">
        <v>1111</v>
      </c>
      <c r="F2186" s="9" t="s">
        <v>866</v>
      </c>
      <c r="G2186" s="9" t="s">
        <v>3635</v>
      </c>
      <c r="H2186" s="9" t="s">
        <v>105</v>
      </c>
      <c r="I2186" s="11">
        <v>1000000</v>
      </c>
      <c r="J2186" s="11">
        <v>2531926</v>
      </c>
      <c r="K2186" s="11">
        <v>16924909</v>
      </c>
      <c r="L2186" s="3">
        <v>355</v>
      </c>
      <c r="M2186" s="3">
        <v>4416</v>
      </c>
      <c r="N2186" s="3">
        <v>1482429</v>
      </c>
      <c r="O2186" s="2">
        <v>-0.9</v>
      </c>
      <c r="P2186" s="2">
        <v>1.1140000000000001</v>
      </c>
      <c r="Q2186" s="2">
        <v>0.191</v>
      </c>
      <c r="R2186" s="11">
        <v>443510235</v>
      </c>
      <c r="S2186" s="11">
        <v>1139509</v>
      </c>
      <c r="T2186">
        <v>2015</v>
      </c>
      <c r="U2186">
        <v>12</v>
      </c>
      <c r="V2186">
        <f t="shared" si="204"/>
        <v>600000</v>
      </c>
      <c r="W2186">
        <f t="shared" si="205"/>
        <v>18429897</v>
      </c>
      <c r="X2186">
        <f t="shared" si="206"/>
        <v>17829897</v>
      </c>
      <c r="Y2186">
        <f t="shared" si="207"/>
        <v>-26144845.5</v>
      </c>
      <c r="Z2186">
        <f t="shared" si="208"/>
        <v>45174742.5</v>
      </c>
      <c r="AA2186" t="str">
        <f t="shared" si="209"/>
        <v>Normal</v>
      </c>
      <c r="AE2186" s="2"/>
      <c r="AF2186" s="2"/>
    </row>
    <row r="2187" spans="1:32" x14ac:dyDescent="0.35">
      <c r="A2187">
        <v>2186</v>
      </c>
      <c r="B2187" s="1">
        <v>42361</v>
      </c>
      <c r="C2187" s="9" t="s">
        <v>3636</v>
      </c>
      <c r="D2187" s="9" t="s">
        <v>5082</v>
      </c>
      <c r="E2187" s="9" t="s">
        <v>1111</v>
      </c>
      <c r="F2187" s="9" t="s">
        <v>31</v>
      </c>
      <c r="G2187" s="9" t="s">
        <v>3637</v>
      </c>
      <c r="H2187" s="9" t="s">
        <v>105</v>
      </c>
      <c r="I2187" s="11">
        <v>18429897</v>
      </c>
      <c r="J2187" s="11">
        <v>1303885</v>
      </c>
      <c r="K2187" s="11">
        <v>6903875</v>
      </c>
      <c r="L2187" s="3">
        <v>182</v>
      </c>
      <c r="M2187" s="3">
        <v>2404</v>
      </c>
      <c r="N2187" s="3">
        <v>539262</v>
      </c>
      <c r="O2187" s="2">
        <v>0.13</v>
      </c>
      <c r="P2187" s="2">
        <v>0.30199999999999999</v>
      </c>
      <c r="Q2187" s="2">
        <v>0.36399999999999999</v>
      </c>
      <c r="R2187" s="11">
        <v>417094481</v>
      </c>
      <c r="S2187" s="11">
        <v>507185</v>
      </c>
      <c r="T2187">
        <v>2015</v>
      </c>
      <c r="U2187">
        <v>12</v>
      </c>
      <c r="V2187">
        <f t="shared" si="204"/>
        <v>600000</v>
      </c>
      <c r="W2187">
        <f t="shared" si="205"/>
        <v>18429897</v>
      </c>
      <c r="X2187">
        <f t="shared" si="206"/>
        <v>17829897</v>
      </c>
      <c r="Y2187">
        <f t="shared" si="207"/>
        <v>-26144845.5</v>
      </c>
      <c r="Z2187">
        <f t="shared" si="208"/>
        <v>45174742.5</v>
      </c>
      <c r="AA2187" t="str">
        <f t="shared" si="209"/>
        <v>Normal</v>
      </c>
      <c r="AE2187" s="2"/>
      <c r="AF2187" s="2"/>
    </row>
    <row r="2188" spans="1:32" x14ac:dyDescent="0.35">
      <c r="A2188">
        <v>2187</v>
      </c>
      <c r="B2188" s="1">
        <v>42361</v>
      </c>
      <c r="C2188" s="9" t="s">
        <v>1595</v>
      </c>
      <c r="D2188" s="9" t="s">
        <v>5083</v>
      </c>
      <c r="E2188" s="9" t="s">
        <v>1111</v>
      </c>
      <c r="F2188" s="9" t="s">
        <v>15</v>
      </c>
      <c r="G2188" s="9" t="s">
        <v>3638</v>
      </c>
      <c r="H2188" s="9" t="s">
        <v>86</v>
      </c>
      <c r="I2188" s="11">
        <v>1000000</v>
      </c>
      <c r="J2188" s="11">
        <v>2319649</v>
      </c>
      <c r="K2188" s="11">
        <v>10593468</v>
      </c>
      <c r="L2188" s="3">
        <v>497</v>
      </c>
      <c r="M2188" s="3">
        <v>4861</v>
      </c>
      <c r="N2188" s="3">
        <v>743861</v>
      </c>
      <c r="O2188" s="2">
        <v>-6.7000000000000004E-2</v>
      </c>
      <c r="P2188" s="2">
        <v>0.26</v>
      </c>
      <c r="Q2188" s="2">
        <v>-4.4999999999999998E-2</v>
      </c>
      <c r="R2188" s="11">
        <v>210475131</v>
      </c>
      <c r="S2188" s="11">
        <v>1601917</v>
      </c>
      <c r="T2188">
        <v>2015</v>
      </c>
      <c r="U2188">
        <v>12</v>
      </c>
      <c r="V2188">
        <f t="shared" si="204"/>
        <v>600000</v>
      </c>
      <c r="W2188">
        <f t="shared" si="205"/>
        <v>18429897</v>
      </c>
      <c r="X2188">
        <f t="shared" si="206"/>
        <v>17829897</v>
      </c>
      <c r="Y2188">
        <f t="shared" si="207"/>
        <v>-26144845.5</v>
      </c>
      <c r="Z2188">
        <f t="shared" si="208"/>
        <v>45174742.5</v>
      </c>
      <c r="AA2188" t="str">
        <f t="shared" si="209"/>
        <v>Normal</v>
      </c>
      <c r="AE2188" s="2"/>
      <c r="AF2188" s="2"/>
    </row>
    <row r="2189" spans="1:32" x14ac:dyDescent="0.35">
      <c r="A2189">
        <v>2188</v>
      </c>
      <c r="B2189" s="1">
        <v>42361</v>
      </c>
      <c r="C2189" s="9" t="s">
        <v>3639</v>
      </c>
      <c r="D2189" s="9" t="s">
        <v>5084</v>
      </c>
      <c r="E2189" s="9" t="s">
        <v>1111</v>
      </c>
      <c r="F2189" s="9" t="s">
        <v>15</v>
      </c>
      <c r="G2189" s="9" t="s">
        <v>3640</v>
      </c>
      <c r="H2189" s="9" t="s">
        <v>105</v>
      </c>
      <c r="I2189" s="11">
        <v>5000000</v>
      </c>
      <c r="J2189" s="11">
        <v>2938087</v>
      </c>
      <c r="K2189" s="11">
        <v>10135667</v>
      </c>
      <c r="L2189" s="3">
        <v>374</v>
      </c>
      <c r="M2189" s="3">
        <v>4045</v>
      </c>
      <c r="N2189" s="3">
        <v>981285</v>
      </c>
      <c r="O2189" s="2">
        <v>0.17300000000000001</v>
      </c>
      <c r="P2189" s="2">
        <v>0.28699999999999998</v>
      </c>
      <c r="Q2189" s="2">
        <v>-4.9000000000000002E-2</v>
      </c>
      <c r="R2189" s="11">
        <v>357702605</v>
      </c>
      <c r="S2189" s="11">
        <v>434548</v>
      </c>
      <c r="T2189">
        <v>2015</v>
      </c>
      <c r="U2189">
        <v>12</v>
      </c>
      <c r="V2189">
        <f t="shared" si="204"/>
        <v>600000</v>
      </c>
      <c r="W2189">
        <f t="shared" si="205"/>
        <v>18429897</v>
      </c>
      <c r="X2189">
        <f t="shared" si="206"/>
        <v>17829897</v>
      </c>
      <c r="Y2189">
        <f t="shared" si="207"/>
        <v>-26144845.5</v>
      </c>
      <c r="Z2189">
        <f t="shared" si="208"/>
        <v>45174742.5</v>
      </c>
      <c r="AA2189" t="str">
        <f t="shared" si="209"/>
        <v>Normal</v>
      </c>
      <c r="AE2189" s="2"/>
      <c r="AF2189" s="2"/>
    </row>
    <row r="2190" spans="1:32" x14ac:dyDescent="0.35">
      <c r="A2190">
        <v>2189</v>
      </c>
      <c r="B2190" s="1">
        <v>42361</v>
      </c>
      <c r="C2190" s="9" t="s">
        <v>2655</v>
      </c>
      <c r="D2190" s="9" t="s">
        <v>5085</v>
      </c>
      <c r="E2190" s="9" t="s">
        <v>1111</v>
      </c>
      <c r="F2190" s="9" t="s">
        <v>19</v>
      </c>
      <c r="G2190" s="9" t="s">
        <v>3641</v>
      </c>
      <c r="H2190" s="9" t="s">
        <v>86</v>
      </c>
      <c r="I2190" s="11">
        <v>18429897</v>
      </c>
      <c r="J2190" s="11">
        <v>1825429</v>
      </c>
      <c r="K2190" s="11">
        <v>10153449</v>
      </c>
      <c r="L2190" s="3">
        <v>94</v>
      </c>
      <c r="M2190" s="3">
        <v>1444</v>
      </c>
      <c r="N2190" s="3">
        <v>858866</v>
      </c>
      <c r="O2190" s="2">
        <v>4.8000000000000001E-2</v>
      </c>
      <c r="P2190" s="2">
        <v>0.93500000000000005</v>
      </c>
      <c r="Q2190" s="2">
        <v>0.42099999999999999</v>
      </c>
      <c r="R2190" s="11">
        <v>338432573</v>
      </c>
      <c r="S2190" s="11">
        <v>664351</v>
      </c>
      <c r="T2190">
        <v>2015</v>
      </c>
      <c r="U2190">
        <v>12</v>
      </c>
      <c r="V2190">
        <f t="shared" si="204"/>
        <v>600000</v>
      </c>
      <c r="W2190">
        <f t="shared" si="205"/>
        <v>18429897</v>
      </c>
      <c r="X2190">
        <f t="shared" si="206"/>
        <v>17829897</v>
      </c>
      <c r="Y2190">
        <f t="shared" si="207"/>
        <v>-26144845.5</v>
      </c>
      <c r="Z2190">
        <f t="shared" si="208"/>
        <v>45174742.5</v>
      </c>
      <c r="AA2190" t="str">
        <f t="shared" si="209"/>
        <v>Normal</v>
      </c>
      <c r="AE2190" s="2"/>
      <c r="AF2190" s="2"/>
    </row>
    <row r="2191" spans="1:32" x14ac:dyDescent="0.35">
      <c r="A2191">
        <v>2190</v>
      </c>
      <c r="B2191" s="1">
        <v>42362</v>
      </c>
      <c r="C2191" s="9" t="s">
        <v>3642</v>
      </c>
      <c r="D2191" s="9" t="s">
        <v>5086</v>
      </c>
      <c r="E2191" s="9" t="s">
        <v>1111</v>
      </c>
      <c r="F2191" s="9" t="s">
        <v>31</v>
      </c>
      <c r="G2191" s="9" t="s">
        <v>3643</v>
      </c>
      <c r="H2191" s="9" t="s">
        <v>86</v>
      </c>
      <c r="I2191" s="11">
        <v>303000</v>
      </c>
      <c r="J2191" s="11">
        <v>2061712</v>
      </c>
      <c r="K2191" s="11">
        <v>14944122</v>
      </c>
      <c r="L2191" s="3">
        <v>461</v>
      </c>
      <c r="M2191" s="3">
        <v>2505.5</v>
      </c>
      <c r="N2191" s="3">
        <v>1190634</v>
      </c>
      <c r="O2191" s="2">
        <v>0.252</v>
      </c>
      <c r="P2191" s="2">
        <v>0.59099999999999997</v>
      </c>
      <c r="Q2191" s="2">
        <v>0.498</v>
      </c>
      <c r="R2191" s="11">
        <v>248900770</v>
      </c>
      <c r="S2191" s="11">
        <v>355424</v>
      </c>
      <c r="T2191">
        <v>2015</v>
      </c>
      <c r="U2191">
        <v>12</v>
      </c>
      <c r="V2191">
        <f t="shared" si="204"/>
        <v>600000</v>
      </c>
      <c r="W2191">
        <f t="shared" si="205"/>
        <v>18429897</v>
      </c>
      <c r="X2191">
        <f t="shared" si="206"/>
        <v>17829897</v>
      </c>
      <c r="Y2191">
        <f t="shared" si="207"/>
        <v>-26144845.5</v>
      </c>
      <c r="Z2191">
        <f t="shared" si="208"/>
        <v>45174742.5</v>
      </c>
      <c r="AA2191" t="str">
        <f t="shared" si="209"/>
        <v>Normal</v>
      </c>
      <c r="AE2191" s="2"/>
      <c r="AF2191" s="2"/>
    </row>
    <row r="2192" spans="1:32" x14ac:dyDescent="0.35">
      <c r="A2192">
        <v>2191</v>
      </c>
      <c r="B2192" s="1">
        <v>42362</v>
      </c>
      <c r="C2192" s="9" t="s">
        <v>3644</v>
      </c>
      <c r="D2192" s="9" t="s">
        <v>5087</v>
      </c>
      <c r="E2192" s="9" t="s">
        <v>1111</v>
      </c>
      <c r="F2192" s="9" t="s">
        <v>19</v>
      </c>
      <c r="G2192" s="9" t="s">
        <v>3645</v>
      </c>
      <c r="H2192" s="9" t="s">
        <v>86</v>
      </c>
      <c r="I2192" s="11">
        <v>18429897</v>
      </c>
      <c r="J2192" s="11">
        <v>1446329</v>
      </c>
      <c r="K2192" s="11">
        <v>18140843</v>
      </c>
      <c r="L2192" s="3">
        <v>371</v>
      </c>
      <c r="M2192" s="3">
        <v>2505.5</v>
      </c>
      <c r="N2192" s="3">
        <v>1304688</v>
      </c>
      <c r="O2192" s="2">
        <v>0.13300000000000001</v>
      </c>
      <c r="P2192" s="2">
        <v>0.66400000000000003</v>
      </c>
      <c r="Q2192" s="2">
        <v>7.9000000000000001E-2</v>
      </c>
      <c r="R2192" s="11">
        <v>441995052</v>
      </c>
      <c r="S2192" s="11">
        <v>631319</v>
      </c>
      <c r="T2192">
        <v>2015</v>
      </c>
      <c r="U2192">
        <v>12</v>
      </c>
      <c r="V2192">
        <f t="shared" si="204"/>
        <v>600000</v>
      </c>
      <c r="W2192">
        <f t="shared" si="205"/>
        <v>18429897</v>
      </c>
      <c r="X2192">
        <f t="shared" si="206"/>
        <v>17829897</v>
      </c>
      <c r="Y2192">
        <f t="shared" si="207"/>
        <v>-26144845.5</v>
      </c>
      <c r="Z2192">
        <f t="shared" si="208"/>
        <v>45174742.5</v>
      </c>
      <c r="AA2192" t="str">
        <f t="shared" si="209"/>
        <v>Normal</v>
      </c>
      <c r="AE2192" s="2"/>
      <c r="AF2192" s="2"/>
    </row>
    <row r="2193" spans="1:32" x14ac:dyDescent="0.35">
      <c r="A2193">
        <v>2192</v>
      </c>
      <c r="B2193" s="1">
        <v>42362</v>
      </c>
      <c r="C2193" s="9" t="s">
        <v>1108</v>
      </c>
      <c r="D2193" s="9" t="s">
        <v>5088</v>
      </c>
      <c r="E2193" s="9" t="s">
        <v>1111</v>
      </c>
      <c r="F2193" s="9" t="s">
        <v>15</v>
      </c>
      <c r="G2193" s="9" t="s">
        <v>436</v>
      </c>
      <c r="H2193" s="9" t="s">
        <v>105</v>
      </c>
      <c r="I2193" s="11">
        <v>2200000</v>
      </c>
      <c r="J2193" s="11">
        <v>1109905</v>
      </c>
      <c r="K2193" s="11">
        <v>11066494</v>
      </c>
      <c r="L2193" s="3">
        <v>158</v>
      </c>
      <c r="M2193" s="3">
        <v>2822</v>
      </c>
      <c r="N2193" s="3">
        <v>826396</v>
      </c>
      <c r="O2193" s="2">
        <v>0.47</v>
      </c>
      <c r="P2193" s="2">
        <v>0.92800000000000005</v>
      </c>
      <c r="Q2193" s="2">
        <v>0.21600000000000003</v>
      </c>
      <c r="R2193" s="11">
        <v>360421711</v>
      </c>
      <c r="S2193" s="11">
        <v>628053</v>
      </c>
      <c r="T2193">
        <v>2015</v>
      </c>
      <c r="U2193">
        <v>12</v>
      </c>
      <c r="V2193">
        <f t="shared" si="204"/>
        <v>600000</v>
      </c>
      <c r="W2193">
        <f t="shared" si="205"/>
        <v>18429897</v>
      </c>
      <c r="X2193">
        <f t="shared" si="206"/>
        <v>17829897</v>
      </c>
      <c r="Y2193">
        <f t="shared" si="207"/>
        <v>-26144845.5</v>
      </c>
      <c r="Z2193">
        <f t="shared" si="208"/>
        <v>45174742.5</v>
      </c>
      <c r="AA2193" t="str">
        <f t="shared" si="209"/>
        <v>Normal</v>
      </c>
      <c r="AE2193" s="2"/>
      <c r="AF2193" s="2"/>
    </row>
    <row r="2194" spans="1:32" x14ac:dyDescent="0.35">
      <c r="A2194">
        <v>2193</v>
      </c>
      <c r="B2194" s="1">
        <v>42366</v>
      </c>
      <c r="C2194" s="9" t="s">
        <v>3646</v>
      </c>
      <c r="D2194" s="9" t="s">
        <v>5089</v>
      </c>
      <c r="E2194" s="9" t="s">
        <v>1111</v>
      </c>
      <c r="F2194" s="9" t="s">
        <v>15</v>
      </c>
      <c r="G2194" s="9" t="s">
        <v>3647</v>
      </c>
      <c r="H2194" s="9" t="s">
        <v>86</v>
      </c>
      <c r="I2194" s="11">
        <v>1000000</v>
      </c>
      <c r="J2194" s="11">
        <v>3294042</v>
      </c>
      <c r="K2194" s="11">
        <v>18392057</v>
      </c>
      <c r="L2194" s="3">
        <v>474</v>
      </c>
      <c r="M2194" s="3">
        <v>2670</v>
      </c>
      <c r="N2194" s="3">
        <v>1279208</v>
      </c>
      <c r="O2194" s="2">
        <v>0.14400000000000002</v>
      </c>
      <c r="P2194" s="2">
        <v>0.72299999999999998</v>
      </c>
      <c r="Q2194" s="2">
        <v>0.36749999999999999</v>
      </c>
      <c r="R2194" s="11">
        <v>99818031</v>
      </c>
      <c r="S2194" s="11">
        <v>780200</v>
      </c>
      <c r="T2194">
        <v>2015</v>
      </c>
      <c r="U2194">
        <v>12</v>
      </c>
      <c r="V2194">
        <f t="shared" si="204"/>
        <v>600000</v>
      </c>
      <c r="W2194">
        <f t="shared" si="205"/>
        <v>18429897</v>
      </c>
      <c r="X2194">
        <f t="shared" si="206"/>
        <v>17829897</v>
      </c>
      <c r="Y2194">
        <f t="shared" si="207"/>
        <v>-26144845.5</v>
      </c>
      <c r="Z2194">
        <f t="shared" si="208"/>
        <v>45174742.5</v>
      </c>
      <c r="AA2194" t="str">
        <f t="shared" si="209"/>
        <v>Normal</v>
      </c>
      <c r="AE2194" s="2"/>
      <c r="AF2194" s="2"/>
    </row>
    <row r="2195" spans="1:32" x14ac:dyDescent="0.35">
      <c r="A2195">
        <v>2194</v>
      </c>
      <c r="B2195" s="1">
        <v>42366</v>
      </c>
      <c r="C2195" s="9" t="s">
        <v>3648</v>
      </c>
      <c r="D2195" s="9" t="s">
        <v>5090</v>
      </c>
      <c r="E2195" s="9" t="s">
        <v>1111</v>
      </c>
      <c r="F2195" s="9" t="s">
        <v>15</v>
      </c>
      <c r="G2195" s="9" t="s">
        <v>120</v>
      </c>
      <c r="H2195" s="9" t="s">
        <v>86</v>
      </c>
      <c r="I2195" s="11">
        <v>500000</v>
      </c>
      <c r="J2195" s="11">
        <v>4083958</v>
      </c>
      <c r="K2195" s="11">
        <v>14897470</v>
      </c>
      <c r="L2195" s="3">
        <v>127</v>
      </c>
      <c r="M2195" s="3">
        <v>3803</v>
      </c>
      <c r="N2195" s="3">
        <v>1318371</v>
      </c>
      <c r="O2195" s="2">
        <v>-0.124</v>
      </c>
      <c r="P2195" s="2">
        <v>0.8</v>
      </c>
      <c r="Q2195" s="2">
        <v>0.76200000000000001</v>
      </c>
      <c r="R2195" s="11">
        <v>174454054</v>
      </c>
      <c r="S2195" s="11">
        <v>267009</v>
      </c>
      <c r="T2195">
        <v>2015</v>
      </c>
      <c r="U2195">
        <v>12</v>
      </c>
      <c r="V2195">
        <f t="shared" si="204"/>
        <v>600000</v>
      </c>
      <c r="W2195">
        <f t="shared" si="205"/>
        <v>18429897</v>
      </c>
      <c r="X2195">
        <f t="shared" si="206"/>
        <v>17829897</v>
      </c>
      <c r="Y2195">
        <f t="shared" si="207"/>
        <v>-26144845.5</v>
      </c>
      <c r="Z2195">
        <f t="shared" si="208"/>
        <v>45174742.5</v>
      </c>
      <c r="AA2195" t="str">
        <f t="shared" si="209"/>
        <v>Normal</v>
      </c>
      <c r="AE2195" s="2"/>
      <c r="AF2195" s="2"/>
    </row>
    <row r="2196" spans="1:32" x14ac:dyDescent="0.35">
      <c r="A2196">
        <v>2195</v>
      </c>
      <c r="B2196" s="1">
        <v>42367</v>
      </c>
      <c r="C2196" s="9" t="s">
        <v>3649</v>
      </c>
      <c r="D2196" s="9" t="s">
        <v>5091</v>
      </c>
      <c r="E2196" s="9" t="s">
        <v>1111</v>
      </c>
      <c r="F2196" s="9" t="s">
        <v>15</v>
      </c>
      <c r="G2196" s="9" t="s">
        <v>3650</v>
      </c>
      <c r="H2196" s="9" t="s">
        <v>86</v>
      </c>
      <c r="I2196" s="11">
        <v>150000</v>
      </c>
      <c r="J2196" s="11">
        <v>1467707</v>
      </c>
      <c r="K2196" s="11">
        <v>14802712</v>
      </c>
      <c r="L2196" s="3">
        <v>324</v>
      </c>
      <c r="M2196" s="3">
        <v>1068</v>
      </c>
      <c r="N2196" s="3">
        <v>1942374</v>
      </c>
      <c r="O2196" s="2">
        <v>7.6999999999999999E-2</v>
      </c>
      <c r="P2196" s="2">
        <v>0.50800000000000001</v>
      </c>
      <c r="Q2196" s="2">
        <v>0.20499999999999999</v>
      </c>
      <c r="R2196" s="11">
        <v>165519873</v>
      </c>
      <c r="S2196" s="11">
        <v>1400000</v>
      </c>
      <c r="T2196">
        <v>2015</v>
      </c>
      <c r="U2196">
        <v>12</v>
      </c>
      <c r="V2196">
        <f t="shared" si="204"/>
        <v>600000</v>
      </c>
      <c r="W2196">
        <f t="shared" si="205"/>
        <v>18429897</v>
      </c>
      <c r="X2196">
        <f t="shared" si="206"/>
        <v>17829897</v>
      </c>
      <c r="Y2196">
        <f t="shared" si="207"/>
        <v>-26144845.5</v>
      </c>
      <c r="Z2196">
        <f t="shared" si="208"/>
        <v>45174742.5</v>
      </c>
      <c r="AA2196" t="str">
        <f t="shared" si="209"/>
        <v>Normal</v>
      </c>
      <c r="AE2196" s="2"/>
      <c r="AF2196" s="2"/>
    </row>
    <row r="2197" spans="1:32" x14ac:dyDescent="0.35">
      <c r="A2197">
        <v>2196</v>
      </c>
      <c r="B2197" s="1">
        <v>42367</v>
      </c>
      <c r="C2197" s="9" t="s">
        <v>2574</v>
      </c>
      <c r="D2197" s="9" t="s">
        <v>5092</v>
      </c>
      <c r="E2197" s="9" t="s">
        <v>1111</v>
      </c>
      <c r="F2197" s="9" t="s">
        <v>19</v>
      </c>
      <c r="G2197" s="9" t="s">
        <v>3651</v>
      </c>
      <c r="H2197" s="9" t="s">
        <v>105</v>
      </c>
      <c r="I2197" s="11">
        <v>6600000</v>
      </c>
      <c r="J2197" s="11">
        <v>4305638</v>
      </c>
      <c r="K2197" s="11">
        <v>13266553</v>
      </c>
      <c r="L2197" s="3">
        <v>336</v>
      </c>
      <c r="M2197" s="3">
        <v>344</v>
      </c>
      <c r="N2197" s="3">
        <v>1632434</v>
      </c>
      <c r="O2197" s="2">
        <v>0.124</v>
      </c>
      <c r="P2197" s="2">
        <v>0.65099999999999991</v>
      </c>
      <c r="Q2197" s="2">
        <v>0.28800000000000003</v>
      </c>
      <c r="R2197" s="11">
        <v>463022474</v>
      </c>
      <c r="S2197" s="11">
        <v>511035</v>
      </c>
      <c r="T2197">
        <v>2015</v>
      </c>
      <c r="U2197">
        <v>12</v>
      </c>
      <c r="V2197">
        <f t="shared" si="204"/>
        <v>600000</v>
      </c>
      <c r="W2197">
        <f t="shared" si="205"/>
        <v>18429897</v>
      </c>
      <c r="X2197">
        <f t="shared" si="206"/>
        <v>17829897</v>
      </c>
      <c r="Y2197">
        <f t="shared" si="207"/>
        <v>-26144845.5</v>
      </c>
      <c r="Z2197">
        <f t="shared" si="208"/>
        <v>45174742.5</v>
      </c>
      <c r="AA2197" t="str">
        <f t="shared" si="209"/>
        <v>Normal</v>
      </c>
      <c r="AE2197" s="2"/>
      <c r="AF2197" s="2"/>
    </row>
    <row r="2198" spans="1:32" x14ac:dyDescent="0.35">
      <c r="A2198">
        <v>2197</v>
      </c>
      <c r="B2198" s="1">
        <v>42368</v>
      </c>
      <c r="C2198" s="9" t="s">
        <v>3589</v>
      </c>
      <c r="D2198" s="9" t="s">
        <v>5053</v>
      </c>
      <c r="E2198" s="9" t="s">
        <v>1111</v>
      </c>
      <c r="F2198" s="9" t="s">
        <v>15</v>
      </c>
      <c r="G2198" s="9" t="s">
        <v>1347</v>
      </c>
      <c r="H2198" s="9" t="s">
        <v>86</v>
      </c>
      <c r="I2198" s="11">
        <v>18429897</v>
      </c>
      <c r="J2198" s="11">
        <v>2863471</v>
      </c>
      <c r="K2198" s="11">
        <v>6779728</v>
      </c>
      <c r="L2198" s="3">
        <v>481</v>
      </c>
      <c r="M2198" s="3">
        <v>3671</v>
      </c>
      <c r="N2198" s="3">
        <v>1125746</v>
      </c>
      <c r="O2198" s="2">
        <v>-6.2E-2</v>
      </c>
      <c r="P2198" s="2">
        <v>1.075</v>
      </c>
      <c r="Q2198" s="2">
        <v>0.13300000000000001</v>
      </c>
      <c r="R2198" s="11">
        <v>304026853</v>
      </c>
      <c r="S2198" s="11">
        <v>748906</v>
      </c>
      <c r="T2198">
        <v>2015</v>
      </c>
      <c r="U2198">
        <v>12</v>
      </c>
      <c r="V2198">
        <f t="shared" si="204"/>
        <v>600000</v>
      </c>
      <c r="W2198">
        <f t="shared" si="205"/>
        <v>18429897</v>
      </c>
      <c r="X2198">
        <f t="shared" si="206"/>
        <v>17829897</v>
      </c>
      <c r="Y2198">
        <f t="shared" si="207"/>
        <v>-26144845.5</v>
      </c>
      <c r="Z2198">
        <f t="shared" si="208"/>
        <v>45174742.5</v>
      </c>
      <c r="AA2198" t="str">
        <f t="shared" si="209"/>
        <v>Normal</v>
      </c>
      <c r="AE2198" s="2"/>
      <c r="AF2198" s="2"/>
    </row>
    <row r="2199" spans="1:32" x14ac:dyDescent="0.35">
      <c r="A2199">
        <v>2198</v>
      </c>
      <c r="B2199" s="1">
        <v>42310</v>
      </c>
      <c r="C2199" s="9" t="s">
        <v>2649</v>
      </c>
      <c r="D2199" s="9" t="s">
        <v>5016</v>
      </c>
      <c r="E2199" s="9" t="s">
        <v>1111</v>
      </c>
      <c r="F2199" s="9" t="s">
        <v>19</v>
      </c>
      <c r="G2199" s="9" t="s">
        <v>3652</v>
      </c>
      <c r="H2199" s="9" t="s">
        <v>86</v>
      </c>
      <c r="I2199" s="11">
        <v>200000</v>
      </c>
      <c r="J2199" s="11">
        <v>855143</v>
      </c>
      <c r="K2199" s="11">
        <v>12210404</v>
      </c>
      <c r="L2199" s="3">
        <v>287</v>
      </c>
      <c r="M2199" s="3">
        <v>4771</v>
      </c>
      <c r="N2199" s="3">
        <v>353825</v>
      </c>
      <c r="O2199" s="2">
        <v>0.42299999999999999</v>
      </c>
      <c r="P2199" s="2">
        <v>0.72299999999999998</v>
      </c>
      <c r="Q2199" s="2">
        <v>-0.27</v>
      </c>
      <c r="R2199" s="11">
        <v>1722170</v>
      </c>
      <c r="S2199" s="11">
        <v>728382</v>
      </c>
      <c r="T2199">
        <v>2015</v>
      </c>
      <c r="U2199">
        <v>11</v>
      </c>
      <c r="V2199">
        <f t="shared" si="204"/>
        <v>600000</v>
      </c>
      <c r="W2199">
        <f t="shared" si="205"/>
        <v>18429897</v>
      </c>
      <c r="X2199">
        <f t="shared" si="206"/>
        <v>17829897</v>
      </c>
      <c r="Y2199">
        <f t="shared" si="207"/>
        <v>-26144845.5</v>
      </c>
      <c r="Z2199">
        <f t="shared" si="208"/>
        <v>45174742.5</v>
      </c>
      <c r="AA2199" t="str">
        <f t="shared" si="209"/>
        <v>Normal</v>
      </c>
      <c r="AE2199" s="2"/>
      <c r="AF2199" s="2"/>
    </row>
    <row r="2200" spans="1:32" x14ac:dyDescent="0.35">
      <c r="A2200">
        <v>2199</v>
      </c>
      <c r="B2200" s="1">
        <v>42310</v>
      </c>
      <c r="C2200" s="9" t="s">
        <v>3653</v>
      </c>
      <c r="D2200" s="9" t="s">
        <v>5093</v>
      </c>
      <c r="E2200" s="9" t="s">
        <v>1111</v>
      </c>
      <c r="F2200" s="9" t="s">
        <v>31</v>
      </c>
      <c r="G2200" s="9" t="s">
        <v>877</v>
      </c>
      <c r="H2200" s="9" t="s">
        <v>86</v>
      </c>
      <c r="I2200" s="11">
        <v>750000</v>
      </c>
      <c r="J2200" s="11">
        <v>1842675</v>
      </c>
      <c r="K2200" s="11">
        <v>7196023</v>
      </c>
      <c r="L2200" s="3">
        <v>497</v>
      </c>
      <c r="M2200" s="3">
        <v>2920</v>
      </c>
      <c r="N2200" s="3">
        <v>1018455</v>
      </c>
      <c r="O2200" s="2">
        <v>5.7999999999999996E-2</v>
      </c>
      <c r="P2200" s="2">
        <v>0.60199999999999998</v>
      </c>
      <c r="Q2200" s="2">
        <v>0.187</v>
      </c>
      <c r="R2200" s="11">
        <v>186872873</v>
      </c>
      <c r="S2200" s="11">
        <v>1976735</v>
      </c>
      <c r="T2200">
        <v>2015</v>
      </c>
      <c r="U2200">
        <v>11</v>
      </c>
      <c r="V2200">
        <f t="shared" si="204"/>
        <v>600000</v>
      </c>
      <c r="W2200">
        <f t="shared" si="205"/>
        <v>18429897</v>
      </c>
      <c r="X2200">
        <f t="shared" si="206"/>
        <v>17829897</v>
      </c>
      <c r="Y2200">
        <f t="shared" si="207"/>
        <v>-26144845.5</v>
      </c>
      <c r="Z2200">
        <f t="shared" si="208"/>
        <v>45174742.5</v>
      </c>
      <c r="AA2200" t="str">
        <f t="shared" si="209"/>
        <v>Normal</v>
      </c>
      <c r="AE2200" s="2"/>
      <c r="AF2200" s="2"/>
    </row>
    <row r="2201" spans="1:32" x14ac:dyDescent="0.35">
      <c r="A2201">
        <v>2200</v>
      </c>
      <c r="B2201" s="1">
        <v>42311</v>
      </c>
      <c r="C2201" s="9" t="s">
        <v>3654</v>
      </c>
      <c r="D2201" s="9" t="s">
        <v>5094</v>
      </c>
      <c r="E2201" s="9" t="s">
        <v>1111</v>
      </c>
      <c r="F2201" s="9" t="s">
        <v>63</v>
      </c>
      <c r="G2201" s="9" t="s">
        <v>3655</v>
      </c>
      <c r="H2201" s="9" t="s">
        <v>105</v>
      </c>
      <c r="I2201" s="11">
        <v>18429897</v>
      </c>
      <c r="J2201" s="11">
        <v>57385</v>
      </c>
      <c r="K2201" s="11">
        <v>13028013</v>
      </c>
      <c r="L2201" s="3">
        <v>145</v>
      </c>
      <c r="M2201" s="3">
        <v>631</v>
      </c>
      <c r="N2201" s="3">
        <v>662999</v>
      </c>
      <c r="O2201" s="2">
        <v>-0.9</v>
      </c>
      <c r="P2201" s="2">
        <v>0.46100000000000002</v>
      </c>
      <c r="Q2201" s="2">
        <v>0.44299999999999995</v>
      </c>
      <c r="R2201" s="11">
        <v>338344122</v>
      </c>
      <c r="S2201" s="11">
        <v>1117230</v>
      </c>
      <c r="T2201">
        <v>2015</v>
      </c>
      <c r="U2201">
        <v>11</v>
      </c>
      <c r="V2201">
        <f t="shared" si="204"/>
        <v>600000</v>
      </c>
      <c r="W2201">
        <f t="shared" si="205"/>
        <v>18429897</v>
      </c>
      <c r="X2201">
        <f t="shared" si="206"/>
        <v>17829897</v>
      </c>
      <c r="Y2201">
        <f t="shared" si="207"/>
        <v>-26144845.5</v>
      </c>
      <c r="Z2201">
        <f t="shared" si="208"/>
        <v>45174742.5</v>
      </c>
      <c r="AA2201" t="str">
        <f t="shared" si="209"/>
        <v>Normal</v>
      </c>
      <c r="AE2201" s="2"/>
      <c r="AF2201" s="2"/>
    </row>
    <row r="2202" spans="1:32" x14ac:dyDescent="0.35">
      <c r="A2202">
        <v>2201</v>
      </c>
      <c r="B2202" s="1">
        <v>42311</v>
      </c>
      <c r="C2202" s="9" t="s">
        <v>3656</v>
      </c>
      <c r="D2202" s="9" t="s">
        <v>5095</v>
      </c>
      <c r="E2202" s="9" t="s">
        <v>1111</v>
      </c>
      <c r="F2202" s="9" t="s">
        <v>31</v>
      </c>
      <c r="G2202" s="9" t="s">
        <v>715</v>
      </c>
      <c r="H2202" s="9" t="s">
        <v>105</v>
      </c>
      <c r="I2202" s="11">
        <v>18429897</v>
      </c>
      <c r="J2202" s="11">
        <v>215064</v>
      </c>
      <c r="K2202" s="11">
        <v>10153449</v>
      </c>
      <c r="L2202" s="3">
        <v>401</v>
      </c>
      <c r="M2202" s="3">
        <v>605</v>
      </c>
      <c r="N2202" s="3">
        <v>574949</v>
      </c>
      <c r="O2202" s="2">
        <v>0.156</v>
      </c>
      <c r="P2202" s="2">
        <v>0.93</v>
      </c>
      <c r="Q2202" s="2">
        <v>-8.7999999999999995E-2</v>
      </c>
      <c r="R2202" s="11">
        <v>221395307</v>
      </c>
      <c r="S2202" s="11">
        <v>1711781</v>
      </c>
      <c r="T2202">
        <v>2015</v>
      </c>
      <c r="U2202">
        <v>11</v>
      </c>
      <c r="V2202">
        <f t="shared" si="204"/>
        <v>600000</v>
      </c>
      <c r="W2202">
        <f t="shared" si="205"/>
        <v>18429897</v>
      </c>
      <c r="X2202">
        <f t="shared" si="206"/>
        <v>17829897</v>
      </c>
      <c r="Y2202">
        <f t="shared" si="207"/>
        <v>-26144845.5</v>
      </c>
      <c r="Z2202">
        <f t="shared" si="208"/>
        <v>45174742.5</v>
      </c>
      <c r="AA2202" t="str">
        <f t="shared" si="209"/>
        <v>Normal</v>
      </c>
      <c r="AE2202" s="2"/>
      <c r="AF2202" s="2"/>
    </row>
    <row r="2203" spans="1:32" x14ac:dyDescent="0.35">
      <c r="A2203">
        <v>2202</v>
      </c>
      <c r="B2203" s="1">
        <v>42311</v>
      </c>
      <c r="C2203" s="9" t="s">
        <v>3657</v>
      </c>
      <c r="D2203" s="9" t="s">
        <v>5096</v>
      </c>
      <c r="E2203" s="9" t="s">
        <v>1111</v>
      </c>
      <c r="F2203" s="9" t="s">
        <v>31</v>
      </c>
      <c r="G2203" s="9" t="s">
        <v>4874</v>
      </c>
      <c r="H2203" s="9" t="s">
        <v>105</v>
      </c>
      <c r="I2203" s="11">
        <v>5000000</v>
      </c>
      <c r="J2203" s="11">
        <v>1693927</v>
      </c>
      <c r="K2203" s="11">
        <v>16003370</v>
      </c>
      <c r="L2203" s="3">
        <v>126</v>
      </c>
      <c r="M2203" s="3">
        <v>2746</v>
      </c>
      <c r="N2203" s="3">
        <v>1892508</v>
      </c>
      <c r="O2203" s="2">
        <v>-6.0999999999999999E-2</v>
      </c>
      <c r="P2203" s="2">
        <v>0.82199999999999995</v>
      </c>
      <c r="Q2203" s="2">
        <v>-0.36399999999999999</v>
      </c>
      <c r="R2203" s="11">
        <v>328760148</v>
      </c>
      <c r="S2203" s="11">
        <v>877904</v>
      </c>
      <c r="T2203">
        <v>2015</v>
      </c>
      <c r="U2203">
        <v>11</v>
      </c>
      <c r="V2203">
        <f t="shared" si="204"/>
        <v>600000</v>
      </c>
      <c r="W2203">
        <f t="shared" si="205"/>
        <v>18429897</v>
      </c>
      <c r="X2203">
        <f t="shared" si="206"/>
        <v>17829897</v>
      </c>
      <c r="Y2203">
        <f t="shared" si="207"/>
        <v>-26144845.5</v>
      </c>
      <c r="Z2203">
        <f t="shared" si="208"/>
        <v>45174742.5</v>
      </c>
      <c r="AA2203" t="str">
        <f t="shared" si="209"/>
        <v>Normal</v>
      </c>
      <c r="AE2203" s="2"/>
      <c r="AF2203" s="2"/>
    </row>
    <row r="2204" spans="1:32" x14ac:dyDescent="0.35">
      <c r="A2204">
        <v>2203</v>
      </c>
      <c r="B2204" s="1">
        <v>42311</v>
      </c>
      <c r="C2204" s="9" t="s">
        <v>3658</v>
      </c>
      <c r="D2204" s="9" t="s">
        <v>5097</v>
      </c>
      <c r="E2204" s="9" t="s">
        <v>1111</v>
      </c>
      <c r="F2204" s="9" t="s">
        <v>1255</v>
      </c>
      <c r="G2204" s="9" t="s">
        <v>3659</v>
      </c>
      <c r="H2204" s="9" t="s">
        <v>86</v>
      </c>
      <c r="I2204" s="11">
        <v>150000</v>
      </c>
      <c r="J2204" s="11">
        <v>2283222</v>
      </c>
      <c r="K2204" s="11">
        <v>11470201</v>
      </c>
      <c r="L2204" s="3">
        <v>254</v>
      </c>
      <c r="M2204" s="3">
        <v>4485</v>
      </c>
      <c r="N2204" s="3">
        <v>1068084</v>
      </c>
      <c r="O2204" s="2">
        <v>0.313</v>
      </c>
      <c r="P2204" s="2">
        <v>1.008</v>
      </c>
      <c r="Q2204" s="2">
        <v>0.36749999999999999</v>
      </c>
      <c r="R2204" s="11">
        <v>357472428</v>
      </c>
      <c r="S2204" s="11">
        <v>1588770</v>
      </c>
      <c r="T2204">
        <v>2015</v>
      </c>
      <c r="U2204">
        <v>11</v>
      </c>
      <c r="V2204">
        <f t="shared" si="204"/>
        <v>600000</v>
      </c>
      <c r="W2204">
        <f t="shared" si="205"/>
        <v>18429897</v>
      </c>
      <c r="X2204">
        <f t="shared" si="206"/>
        <v>17829897</v>
      </c>
      <c r="Y2204">
        <f t="shared" si="207"/>
        <v>-26144845.5</v>
      </c>
      <c r="Z2204">
        <f t="shared" si="208"/>
        <v>45174742.5</v>
      </c>
      <c r="AA2204" t="str">
        <f t="shared" si="209"/>
        <v>Normal</v>
      </c>
      <c r="AE2204" s="2"/>
      <c r="AF2204" s="2"/>
    </row>
    <row r="2205" spans="1:32" x14ac:dyDescent="0.35">
      <c r="A2205">
        <v>2204</v>
      </c>
      <c r="B2205" s="1">
        <v>42311</v>
      </c>
      <c r="C2205" s="9" t="s">
        <v>3660</v>
      </c>
      <c r="D2205" s="9" t="s">
        <v>5098</v>
      </c>
      <c r="E2205" s="9" t="s">
        <v>1111</v>
      </c>
      <c r="F2205" s="9" t="s">
        <v>31</v>
      </c>
      <c r="G2205" s="9" t="s">
        <v>3661</v>
      </c>
      <c r="H2205" s="9" t="s">
        <v>86</v>
      </c>
      <c r="I2205" s="11">
        <v>385000</v>
      </c>
      <c r="J2205" s="11">
        <v>3991603</v>
      </c>
      <c r="K2205" s="11">
        <v>14232808</v>
      </c>
      <c r="L2205" s="3">
        <v>383</v>
      </c>
      <c r="M2205" s="3">
        <v>3088</v>
      </c>
      <c r="N2205" s="3">
        <v>1978676</v>
      </c>
      <c r="O2205" s="2">
        <v>0.27300000000000002</v>
      </c>
      <c r="P2205" s="2">
        <v>0.747</v>
      </c>
      <c r="Q2205" s="2">
        <v>-0.33899999999999997</v>
      </c>
      <c r="R2205" s="11">
        <v>44341251</v>
      </c>
      <c r="S2205" s="11">
        <v>642402</v>
      </c>
      <c r="T2205">
        <v>2015</v>
      </c>
      <c r="U2205">
        <v>11</v>
      </c>
      <c r="V2205">
        <f t="shared" si="204"/>
        <v>600000</v>
      </c>
      <c r="W2205">
        <f t="shared" si="205"/>
        <v>18429897</v>
      </c>
      <c r="X2205">
        <f t="shared" si="206"/>
        <v>17829897</v>
      </c>
      <c r="Y2205">
        <f t="shared" si="207"/>
        <v>-26144845.5</v>
      </c>
      <c r="Z2205">
        <f t="shared" si="208"/>
        <v>45174742.5</v>
      </c>
      <c r="AA2205" t="str">
        <f t="shared" si="209"/>
        <v>Normal</v>
      </c>
      <c r="AE2205" s="2"/>
      <c r="AF2205" s="2"/>
    </row>
    <row r="2206" spans="1:32" x14ac:dyDescent="0.35">
      <c r="A2206">
        <v>2205</v>
      </c>
      <c r="B2206" s="1">
        <v>42311</v>
      </c>
      <c r="C2206" s="9" t="s">
        <v>3662</v>
      </c>
      <c r="D2206" s="9" t="s">
        <v>5099</v>
      </c>
      <c r="E2206" s="9" t="s">
        <v>1111</v>
      </c>
      <c r="F2206" s="9" t="s">
        <v>31</v>
      </c>
      <c r="G2206" s="9" t="s">
        <v>58</v>
      </c>
      <c r="H2206" s="9" t="s">
        <v>86</v>
      </c>
      <c r="I2206" s="11">
        <v>320000</v>
      </c>
      <c r="J2206" s="11">
        <v>688826</v>
      </c>
      <c r="K2206" s="11">
        <v>4513641</v>
      </c>
      <c r="L2206" s="3">
        <v>314</v>
      </c>
      <c r="M2206" s="3">
        <v>1545</v>
      </c>
      <c r="N2206" s="3">
        <v>239205</v>
      </c>
      <c r="O2206" s="2">
        <v>0.14599999999999999</v>
      </c>
      <c r="P2206" s="2">
        <v>1.0669999999999999</v>
      </c>
      <c r="Q2206" s="2">
        <v>-0.29299999999999998</v>
      </c>
      <c r="R2206" s="11">
        <v>343760861</v>
      </c>
      <c r="S2206" s="11">
        <v>1075739</v>
      </c>
      <c r="T2206">
        <v>2015</v>
      </c>
      <c r="U2206">
        <v>11</v>
      </c>
      <c r="V2206">
        <f t="shared" si="204"/>
        <v>600000</v>
      </c>
      <c r="W2206">
        <f t="shared" si="205"/>
        <v>18429897</v>
      </c>
      <c r="X2206">
        <f t="shared" si="206"/>
        <v>17829897</v>
      </c>
      <c r="Y2206">
        <f t="shared" si="207"/>
        <v>-26144845.5</v>
      </c>
      <c r="Z2206">
        <f t="shared" si="208"/>
        <v>45174742.5</v>
      </c>
      <c r="AA2206" t="str">
        <f t="shared" si="209"/>
        <v>Normal</v>
      </c>
      <c r="AE2206" s="2"/>
      <c r="AF2206" s="2"/>
    </row>
    <row r="2207" spans="1:32" x14ac:dyDescent="0.35">
      <c r="A2207">
        <v>2206</v>
      </c>
      <c r="B2207" s="1">
        <v>42311</v>
      </c>
      <c r="C2207" s="9" t="s">
        <v>3663</v>
      </c>
      <c r="D2207" s="9" t="s">
        <v>5100</v>
      </c>
      <c r="E2207" s="9" t="s">
        <v>1111</v>
      </c>
      <c r="F2207" s="9" t="s">
        <v>27</v>
      </c>
      <c r="G2207" s="9" t="s">
        <v>3664</v>
      </c>
      <c r="H2207" s="9" t="s">
        <v>86</v>
      </c>
      <c r="I2207" s="11">
        <v>500000</v>
      </c>
      <c r="J2207" s="11">
        <v>4199085</v>
      </c>
      <c r="K2207" s="11">
        <v>15856320</v>
      </c>
      <c r="L2207" s="3">
        <v>37</v>
      </c>
      <c r="M2207" s="3">
        <v>3123</v>
      </c>
      <c r="N2207" s="3">
        <v>1425839</v>
      </c>
      <c r="O2207" s="2">
        <v>0.23800000000000002</v>
      </c>
      <c r="P2207" s="2">
        <v>0.50800000000000001</v>
      </c>
      <c r="Q2207" s="2">
        <v>-0.309</v>
      </c>
      <c r="R2207" s="11">
        <v>234269783</v>
      </c>
      <c r="S2207" s="11">
        <v>241553</v>
      </c>
      <c r="T2207">
        <v>2015</v>
      </c>
      <c r="U2207">
        <v>11</v>
      </c>
      <c r="V2207">
        <f t="shared" si="204"/>
        <v>600000</v>
      </c>
      <c r="W2207">
        <f t="shared" si="205"/>
        <v>18429897</v>
      </c>
      <c r="X2207">
        <f t="shared" si="206"/>
        <v>17829897</v>
      </c>
      <c r="Y2207">
        <f t="shared" si="207"/>
        <v>-26144845.5</v>
      </c>
      <c r="Z2207">
        <f t="shared" si="208"/>
        <v>45174742.5</v>
      </c>
      <c r="AA2207" t="str">
        <f t="shared" si="209"/>
        <v>Normal</v>
      </c>
      <c r="AE2207" s="2"/>
      <c r="AF2207" s="2"/>
    </row>
    <row r="2208" spans="1:32" x14ac:dyDescent="0.35">
      <c r="A2208">
        <v>2207</v>
      </c>
      <c r="B2208" s="1">
        <v>42311</v>
      </c>
      <c r="C2208" s="9" t="s">
        <v>3665</v>
      </c>
      <c r="D2208" s="9" t="s">
        <v>5101</v>
      </c>
      <c r="E2208" s="9" t="s">
        <v>1111</v>
      </c>
      <c r="F2208" s="9" t="s">
        <v>4916</v>
      </c>
      <c r="G2208" s="9" t="s">
        <v>3666</v>
      </c>
      <c r="H2208" s="9" t="s">
        <v>105</v>
      </c>
      <c r="I2208" s="11">
        <v>16600000</v>
      </c>
      <c r="J2208" s="11">
        <v>1187923</v>
      </c>
      <c r="K2208" s="11">
        <v>16071835</v>
      </c>
      <c r="L2208" s="3">
        <v>251</v>
      </c>
      <c r="M2208" s="3">
        <v>823</v>
      </c>
      <c r="N2208" s="3">
        <v>1176239</v>
      </c>
      <c r="O2208" s="2">
        <v>0.02</v>
      </c>
      <c r="P2208" s="2">
        <v>0.93100000000000005</v>
      </c>
      <c r="Q2208" s="2">
        <v>-0.40100000000000002</v>
      </c>
      <c r="R2208" s="11">
        <v>133439245</v>
      </c>
      <c r="S2208" s="11">
        <v>550062</v>
      </c>
      <c r="T2208">
        <v>2015</v>
      </c>
      <c r="U2208">
        <v>11</v>
      </c>
      <c r="V2208">
        <f t="shared" si="204"/>
        <v>606250</v>
      </c>
      <c r="W2208">
        <f t="shared" si="205"/>
        <v>18429897</v>
      </c>
      <c r="X2208">
        <f t="shared" si="206"/>
        <v>17823647</v>
      </c>
      <c r="Y2208">
        <f t="shared" si="207"/>
        <v>-26129220.5</v>
      </c>
      <c r="Z2208">
        <f t="shared" si="208"/>
        <v>45165367.5</v>
      </c>
      <c r="AA2208" t="str">
        <f t="shared" si="209"/>
        <v>Normal</v>
      </c>
      <c r="AE2208" s="2"/>
      <c r="AF2208" s="2"/>
    </row>
    <row r="2209" spans="1:32" x14ac:dyDescent="0.35">
      <c r="A2209">
        <v>2208</v>
      </c>
      <c r="B2209" s="1">
        <v>42312</v>
      </c>
      <c r="C2209" s="9" t="s">
        <v>755</v>
      </c>
      <c r="D2209" s="9" t="s">
        <v>5102</v>
      </c>
      <c r="E2209" s="9" t="s">
        <v>1111</v>
      </c>
      <c r="F2209" s="9" t="s">
        <v>31</v>
      </c>
      <c r="G2209" s="9" t="s">
        <v>2912</v>
      </c>
      <c r="H2209" s="9" t="s">
        <v>86</v>
      </c>
      <c r="I2209" s="11">
        <v>250000</v>
      </c>
      <c r="J2209" s="11">
        <v>708878</v>
      </c>
      <c r="K2209" s="11">
        <v>10153449</v>
      </c>
      <c r="L2209" s="3">
        <v>76</v>
      </c>
      <c r="M2209" s="3">
        <v>2421</v>
      </c>
      <c r="N2209" s="3">
        <v>1525740</v>
      </c>
      <c r="O2209" s="2">
        <v>-0.18100000000000002</v>
      </c>
      <c r="P2209" s="2">
        <v>0.59299999999999997</v>
      </c>
      <c r="Q2209" s="2">
        <v>0.36399999999999999</v>
      </c>
      <c r="R2209" s="11">
        <v>299400444</v>
      </c>
      <c r="S2209" s="11">
        <v>1126082</v>
      </c>
      <c r="T2209">
        <v>2015</v>
      </c>
      <c r="U2209">
        <v>11</v>
      </c>
      <c r="V2209">
        <f t="shared" si="204"/>
        <v>600000</v>
      </c>
      <c r="W2209">
        <f t="shared" si="205"/>
        <v>18429897</v>
      </c>
      <c r="X2209">
        <f t="shared" si="206"/>
        <v>17829897</v>
      </c>
      <c r="Y2209">
        <f t="shared" si="207"/>
        <v>-26144845.5</v>
      </c>
      <c r="Z2209">
        <f t="shared" si="208"/>
        <v>45174742.5</v>
      </c>
      <c r="AA2209" t="str">
        <f t="shared" si="209"/>
        <v>Normal</v>
      </c>
      <c r="AE2209" s="2"/>
      <c r="AF2209" s="2"/>
    </row>
    <row r="2210" spans="1:32" x14ac:dyDescent="0.35">
      <c r="A2210">
        <v>2209</v>
      </c>
      <c r="B2210" s="1">
        <v>42312</v>
      </c>
      <c r="C2210" s="9" t="s">
        <v>2744</v>
      </c>
      <c r="D2210" s="9" t="s">
        <v>5103</v>
      </c>
      <c r="E2210" s="9" t="s">
        <v>1111</v>
      </c>
      <c r="F2210" s="9" t="s">
        <v>27</v>
      </c>
      <c r="G2210" s="9" t="s">
        <v>931</v>
      </c>
      <c r="H2210" s="9" t="s">
        <v>86</v>
      </c>
      <c r="I2210" s="11">
        <v>18429897</v>
      </c>
      <c r="J2210" s="11">
        <v>3505465</v>
      </c>
      <c r="K2210" s="11">
        <v>7065323</v>
      </c>
      <c r="L2210" s="3">
        <v>459</v>
      </c>
      <c r="M2210" s="3">
        <v>4910</v>
      </c>
      <c r="N2210" s="3">
        <v>780570</v>
      </c>
      <c r="O2210" s="2">
        <v>5.5E-2</v>
      </c>
      <c r="P2210" s="2">
        <v>0.314</v>
      </c>
      <c r="Q2210" s="2">
        <v>0.13500000000000001</v>
      </c>
      <c r="R2210" s="11">
        <v>366098011</v>
      </c>
      <c r="S2210" s="11">
        <v>771753</v>
      </c>
      <c r="T2210">
        <v>2015</v>
      </c>
      <c r="U2210">
        <v>11</v>
      </c>
      <c r="V2210">
        <f t="shared" si="204"/>
        <v>618750</v>
      </c>
      <c r="W2210">
        <f t="shared" si="205"/>
        <v>18429897</v>
      </c>
      <c r="X2210">
        <f t="shared" si="206"/>
        <v>17811147</v>
      </c>
      <c r="Y2210">
        <f t="shared" si="207"/>
        <v>-26097970.5</v>
      </c>
      <c r="Z2210">
        <f t="shared" si="208"/>
        <v>45146617.5</v>
      </c>
      <c r="AA2210" t="str">
        <f t="shared" si="209"/>
        <v>Normal</v>
      </c>
      <c r="AE2210" s="2"/>
      <c r="AF2210" s="2"/>
    </row>
    <row r="2211" spans="1:32" x14ac:dyDescent="0.35">
      <c r="A2211">
        <v>2210</v>
      </c>
      <c r="B2211" s="1">
        <v>42312</v>
      </c>
      <c r="C2211" s="9" t="s">
        <v>2827</v>
      </c>
      <c r="D2211" s="9" t="s">
        <v>5104</v>
      </c>
      <c r="E2211" s="9" t="s">
        <v>1111</v>
      </c>
      <c r="F2211" s="9" t="s">
        <v>1929</v>
      </c>
      <c r="G2211" s="9" t="s">
        <v>3667</v>
      </c>
      <c r="H2211" s="9" t="s">
        <v>86</v>
      </c>
      <c r="I2211" s="11">
        <v>400000</v>
      </c>
      <c r="J2211" s="11">
        <v>3876192</v>
      </c>
      <c r="K2211" s="11">
        <v>13585707</v>
      </c>
      <c r="L2211" s="3">
        <v>192</v>
      </c>
      <c r="M2211" s="3">
        <v>3165</v>
      </c>
      <c r="N2211" s="3">
        <v>1038655</v>
      </c>
      <c r="O2211" s="2">
        <v>0.02</v>
      </c>
      <c r="P2211" s="2">
        <v>0.72799999999999998</v>
      </c>
      <c r="Q2211" s="2">
        <v>0.61399999999999999</v>
      </c>
      <c r="R2211" s="11">
        <v>267677938</v>
      </c>
      <c r="S2211" s="11">
        <v>1681827</v>
      </c>
      <c r="T2211">
        <v>2015</v>
      </c>
      <c r="U2211">
        <v>11</v>
      </c>
      <c r="V2211">
        <f t="shared" si="204"/>
        <v>612500</v>
      </c>
      <c r="W2211">
        <f t="shared" si="205"/>
        <v>18429897</v>
      </c>
      <c r="X2211">
        <f t="shared" si="206"/>
        <v>17817397</v>
      </c>
      <c r="Y2211">
        <f t="shared" si="207"/>
        <v>-26113595.5</v>
      </c>
      <c r="Z2211">
        <f t="shared" si="208"/>
        <v>45155992.5</v>
      </c>
      <c r="AA2211" t="str">
        <f t="shared" si="209"/>
        <v>Normal</v>
      </c>
      <c r="AE2211" s="2"/>
      <c r="AF2211" s="2"/>
    </row>
    <row r="2212" spans="1:32" x14ac:dyDescent="0.35">
      <c r="A2212">
        <v>2211</v>
      </c>
      <c r="B2212" s="1">
        <v>42313</v>
      </c>
      <c r="C2212" s="9" t="s">
        <v>3668</v>
      </c>
      <c r="D2212" s="9" t="s">
        <v>5105</v>
      </c>
      <c r="E2212" s="9" t="s">
        <v>1111</v>
      </c>
      <c r="F2212" s="9" t="s">
        <v>31</v>
      </c>
      <c r="G2212" s="9" t="s">
        <v>3669</v>
      </c>
      <c r="H2212" s="9" t="s">
        <v>86</v>
      </c>
      <c r="I2212" s="11">
        <v>150000</v>
      </c>
      <c r="J2212" s="11">
        <v>3032462</v>
      </c>
      <c r="K2212" s="11">
        <v>17483533</v>
      </c>
      <c r="L2212" s="3">
        <v>416</v>
      </c>
      <c r="M2212" s="3">
        <v>559</v>
      </c>
      <c r="N2212" s="3">
        <v>704058</v>
      </c>
      <c r="O2212" s="2">
        <v>-0.28699999999999998</v>
      </c>
      <c r="P2212" s="2">
        <v>0.43099999999999999</v>
      </c>
      <c r="Q2212" s="2">
        <v>0.28399999999999997</v>
      </c>
      <c r="R2212" s="11">
        <v>298699828</v>
      </c>
      <c r="S2212" s="11">
        <v>1020967</v>
      </c>
      <c r="T2212">
        <v>2015</v>
      </c>
      <c r="U2212">
        <v>11</v>
      </c>
      <c r="V2212">
        <f t="shared" si="204"/>
        <v>626250</v>
      </c>
      <c r="W2212">
        <f t="shared" si="205"/>
        <v>18429897</v>
      </c>
      <c r="X2212">
        <f t="shared" si="206"/>
        <v>17803647</v>
      </c>
      <c r="Y2212">
        <f t="shared" si="207"/>
        <v>-26079220.5</v>
      </c>
      <c r="Z2212">
        <f t="shared" si="208"/>
        <v>45135367.5</v>
      </c>
      <c r="AA2212" t="str">
        <f t="shared" si="209"/>
        <v>Normal</v>
      </c>
      <c r="AE2212" s="2"/>
      <c r="AF2212" s="2"/>
    </row>
    <row r="2213" spans="1:32" x14ac:dyDescent="0.35">
      <c r="A2213">
        <v>2212</v>
      </c>
      <c r="B2213" s="1">
        <v>42313</v>
      </c>
      <c r="C2213" s="9" t="s">
        <v>3670</v>
      </c>
      <c r="D2213" s="9" t="s">
        <v>5106</v>
      </c>
      <c r="E2213" s="9" t="s">
        <v>1111</v>
      </c>
      <c r="F2213" s="9" t="s">
        <v>866</v>
      </c>
      <c r="G2213" s="9" t="s">
        <v>856</v>
      </c>
      <c r="H2213" s="9" t="s">
        <v>86</v>
      </c>
      <c r="I2213" s="11">
        <v>200000</v>
      </c>
      <c r="J2213" s="11">
        <v>596206</v>
      </c>
      <c r="K2213" s="11">
        <v>14766736</v>
      </c>
      <c r="L2213" s="3">
        <v>453</v>
      </c>
      <c r="M2213" s="3">
        <v>1047</v>
      </c>
      <c r="N2213" s="3">
        <v>1393840</v>
      </c>
      <c r="O2213" s="2">
        <v>-9.1999999999999998E-2</v>
      </c>
      <c r="P2213" s="2">
        <v>0.26200000000000001</v>
      </c>
      <c r="Q2213" s="2">
        <v>0.61499999999999999</v>
      </c>
      <c r="R2213" s="11">
        <v>385463312</v>
      </c>
      <c r="S2213" s="11">
        <v>1233248</v>
      </c>
      <c r="T2213">
        <v>2015</v>
      </c>
      <c r="U2213">
        <v>11</v>
      </c>
      <c r="V2213">
        <f t="shared" si="204"/>
        <v>630000</v>
      </c>
      <c r="W2213">
        <f t="shared" si="205"/>
        <v>18429897</v>
      </c>
      <c r="X2213">
        <f t="shared" si="206"/>
        <v>17799897</v>
      </c>
      <c r="Y2213">
        <f t="shared" si="207"/>
        <v>-26069845.5</v>
      </c>
      <c r="Z2213">
        <f t="shared" si="208"/>
        <v>45129742.5</v>
      </c>
      <c r="AA2213" t="str">
        <f t="shared" si="209"/>
        <v>Normal</v>
      </c>
      <c r="AE2213" s="2"/>
      <c r="AF2213" s="2"/>
    </row>
    <row r="2214" spans="1:32" x14ac:dyDescent="0.35">
      <c r="A2214">
        <v>2213</v>
      </c>
      <c r="B2214" s="1">
        <v>42313</v>
      </c>
      <c r="C2214" s="9" t="s">
        <v>3671</v>
      </c>
      <c r="D2214" s="9" t="s">
        <v>5107</v>
      </c>
      <c r="E2214" s="9" t="s">
        <v>1111</v>
      </c>
      <c r="F2214" s="9" t="s">
        <v>27</v>
      </c>
      <c r="G2214" s="9" t="s">
        <v>3672</v>
      </c>
      <c r="H2214" s="9" t="s">
        <v>105</v>
      </c>
      <c r="I2214" s="11">
        <v>18429897</v>
      </c>
      <c r="J2214" s="11">
        <v>594416</v>
      </c>
      <c r="K2214" s="11">
        <v>9486757</v>
      </c>
      <c r="L2214" s="3">
        <v>59</v>
      </c>
      <c r="M2214" s="3">
        <v>345</v>
      </c>
      <c r="N2214" s="3">
        <v>385035</v>
      </c>
      <c r="O2214" s="2">
        <v>-0.126</v>
      </c>
      <c r="P2214" s="2">
        <v>0.56299999999999994</v>
      </c>
      <c r="Q2214" s="2">
        <v>-6.0999999999999999E-2</v>
      </c>
      <c r="R2214" s="11">
        <v>371598432</v>
      </c>
      <c r="S2214" s="11">
        <v>318817</v>
      </c>
      <c r="T2214">
        <v>2015</v>
      </c>
      <c r="U2214">
        <v>11</v>
      </c>
      <c r="V2214">
        <f t="shared" si="204"/>
        <v>630000</v>
      </c>
      <c r="W2214">
        <f t="shared" si="205"/>
        <v>18429897</v>
      </c>
      <c r="X2214">
        <f t="shared" si="206"/>
        <v>17799897</v>
      </c>
      <c r="Y2214">
        <f t="shared" si="207"/>
        <v>-26069845.5</v>
      </c>
      <c r="Z2214">
        <f t="shared" si="208"/>
        <v>45129742.5</v>
      </c>
      <c r="AA2214" t="str">
        <f t="shared" si="209"/>
        <v>Normal</v>
      </c>
      <c r="AE2214" s="2"/>
      <c r="AF2214" s="2"/>
    </row>
    <row r="2215" spans="1:32" x14ac:dyDescent="0.35">
      <c r="A2215">
        <v>2214</v>
      </c>
      <c r="B2215" s="1">
        <v>42314</v>
      </c>
      <c r="C2215" s="9" t="s">
        <v>3673</v>
      </c>
      <c r="D2215" s="9" t="s">
        <v>5108</v>
      </c>
      <c r="E2215" s="9" t="s">
        <v>1111</v>
      </c>
      <c r="F2215" s="9" t="s">
        <v>19</v>
      </c>
      <c r="G2215" s="9" t="s">
        <v>1315</v>
      </c>
      <c r="H2215" s="9" t="s">
        <v>86</v>
      </c>
      <c r="I2215" s="11">
        <v>18429897</v>
      </c>
      <c r="J2215" s="11">
        <v>1962511</v>
      </c>
      <c r="K2215" s="11">
        <v>6069332</v>
      </c>
      <c r="L2215" s="3">
        <v>380</v>
      </c>
      <c r="M2215" s="3">
        <v>2039</v>
      </c>
      <c r="N2215" s="3">
        <v>1320040</v>
      </c>
      <c r="O2215" s="2">
        <v>-9.0999999999999998E-2</v>
      </c>
      <c r="P2215" s="2">
        <v>0.50800000000000001</v>
      </c>
      <c r="Q2215" s="2">
        <v>0.191</v>
      </c>
      <c r="R2215" s="11">
        <v>388833257</v>
      </c>
      <c r="S2215" s="11">
        <v>1138145</v>
      </c>
      <c r="T2215">
        <v>2015</v>
      </c>
      <c r="U2215">
        <v>11</v>
      </c>
      <c r="V2215">
        <f t="shared" si="204"/>
        <v>630000</v>
      </c>
      <c r="W2215">
        <f t="shared" si="205"/>
        <v>18429897</v>
      </c>
      <c r="X2215">
        <f t="shared" si="206"/>
        <v>17799897</v>
      </c>
      <c r="Y2215">
        <f t="shared" si="207"/>
        <v>-26069845.5</v>
      </c>
      <c r="Z2215">
        <f t="shared" si="208"/>
        <v>45129742.5</v>
      </c>
      <c r="AA2215" t="str">
        <f t="shared" si="209"/>
        <v>Normal</v>
      </c>
      <c r="AE2215" s="2"/>
      <c r="AF2215" s="2"/>
    </row>
    <row r="2216" spans="1:32" x14ac:dyDescent="0.35">
      <c r="A2216">
        <v>2215</v>
      </c>
      <c r="B2216" s="1">
        <v>42314</v>
      </c>
      <c r="C2216" s="9" t="s">
        <v>2668</v>
      </c>
      <c r="D2216" s="9" t="s">
        <v>5109</v>
      </c>
      <c r="E2216" s="9" t="s">
        <v>1111</v>
      </c>
      <c r="F2216" s="9" t="s">
        <v>19</v>
      </c>
      <c r="G2216" s="9" t="s">
        <v>2466</v>
      </c>
      <c r="H2216" s="9" t="s">
        <v>105</v>
      </c>
      <c r="I2216" s="11">
        <v>1800000</v>
      </c>
      <c r="J2216" s="11">
        <v>2263988</v>
      </c>
      <c r="K2216" s="11">
        <v>18208370</v>
      </c>
      <c r="L2216" s="3">
        <v>154</v>
      </c>
      <c r="M2216" s="3">
        <v>1225</v>
      </c>
      <c r="N2216" s="3">
        <v>990877</v>
      </c>
      <c r="O2216" s="2">
        <v>0.38700000000000001</v>
      </c>
      <c r="P2216" s="2">
        <v>1.0940000000000001</v>
      </c>
      <c r="Q2216" s="2">
        <v>-0.21899999999999997</v>
      </c>
      <c r="R2216" s="11">
        <v>470054636</v>
      </c>
      <c r="S2216" s="11">
        <v>176596</v>
      </c>
      <c r="T2216">
        <v>2015</v>
      </c>
      <c r="U2216">
        <v>11</v>
      </c>
      <c r="V2216">
        <f t="shared" si="204"/>
        <v>630000</v>
      </c>
      <c r="W2216">
        <f t="shared" si="205"/>
        <v>18429897</v>
      </c>
      <c r="X2216">
        <f t="shared" si="206"/>
        <v>17799897</v>
      </c>
      <c r="Y2216">
        <f t="shared" si="207"/>
        <v>-26069845.5</v>
      </c>
      <c r="Z2216">
        <f t="shared" si="208"/>
        <v>45129742.5</v>
      </c>
      <c r="AA2216" t="str">
        <f t="shared" si="209"/>
        <v>Normal</v>
      </c>
      <c r="AE2216" s="2"/>
      <c r="AF2216" s="2"/>
    </row>
    <row r="2217" spans="1:32" x14ac:dyDescent="0.35">
      <c r="A2217">
        <v>2216</v>
      </c>
      <c r="B2217" s="1">
        <v>42314</v>
      </c>
      <c r="C2217" s="9" t="s">
        <v>648</v>
      </c>
      <c r="D2217" s="9" t="s">
        <v>5110</v>
      </c>
      <c r="E2217" s="9" t="s">
        <v>1111</v>
      </c>
      <c r="F2217" s="9" t="s">
        <v>27</v>
      </c>
      <c r="G2217" s="9" t="s">
        <v>3674</v>
      </c>
      <c r="H2217" s="9" t="s">
        <v>105</v>
      </c>
      <c r="I2217" s="11">
        <v>2000000</v>
      </c>
      <c r="J2217" s="11">
        <v>4993075</v>
      </c>
      <c r="K2217" s="11">
        <v>17504088</v>
      </c>
      <c r="L2217" s="3">
        <v>58</v>
      </c>
      <c r="M2217" s="3">
        <v>4899</v>
      </c>
      <c r="N2217" s="3">
        <v>1594538</v>
      </c>
      <c r="O2217" s="2">
        <v>0.222</v>
      </c>
      <c r="P2217" s="2">
        <v>1.18E-2</v>
      </c>
      <c r="Q2217" s="2">
        <v>3.1E-2</v>
      </c>
      <c r="R2217" s="11">
        <v>349095809</v>
      </c>
      <c r="S2217" s="11">
        <v>772517</v>
      </c>
      <c r="T2217">
        <v>2015</v>
      </c>
      <c r="U2217">
        <v>11</v>
      </c>
      <c r="V2217">
        <f t="shared" si="204"/>
        <v>630000</v>
      </c>
      <c r="W2217">
        <f t="shared" si="205"/>
        <v>18429897</v>
      </c>
      <c r="X2217">
        <f t="shared" si="206"/>
        <v>17799897</v>
      </c>
      <c r="Y2217">
        <f t="shared" si="207"/>
        <v>-26069845.5</v>
      </c>
      <c r="Z2217">
        <f t="shared" si="208"/>
        <v>45129742.5</v>
      </c>
      <c r="AA2217" t="str">
        <f t="shared" si="209"/>
        <v>Normal</v>
      </c>
      <c r="AE2217" s="2"/>
      <c r="AF2217" s="2"/>
    </row>
    <row r="2218" spans="1:32" x14ac:dyDescent="0.35">
      <c r="A2218">
        <v>2217</v>
      </c>
      <c r="B2218" s="1">
        <v>42314</v>
      </c>
      <c r="C2218" s="9" t="s">
        <v>3675</v>
      </c>
      <c r="D2218" s="9" t="s">
        <v>5111</v>
      </c>
      <c r="E2218" s="9" t="s">
        <v>1111</v>
      </c>
      <c r="F2218" s="9" t="s">
        <v>41</v>
      </c>
      <c r="G2218" s="9" t="s">
        <v>3676</v>
      </c>
      <c r="H2218" s="9" t="s">
        <v>86</v>
      </c>
      <c r="I2218" s="11">
        <v>460000</v>
      </c>
      <c r="J2218" s="11">
        <v>1446645</v>
      </c>
      <c r="K2218" s="11">
        <v>17946795</v>
      </c>
      <c r="L2218" s="3">
        <v>134</v>
      </c>
      <c r="M2218" s="3">
        <v>1630</v>
      </c>
      <c r="N2218" s="3">
        <v>75362</v>
      </c>
      <c r="O2218" s="2">
        <v>0.313</v>
      </c>
      <c r="P2218" s="2">
        <v>0.22900000000000001</v>
      </c>
      <c r="Q2218" s="2">
        <v>0.45899999999999996</v>
      </c>
      <c r="R2218" s="11">
        <v>115078910</v>
      </c>
      <c r="S2218" s="11">
        <v>207624</v>
      </c>
      <c r="T2218">
        <v>2015</v>
      </c>
      <c r="U2218">
        <v>11</v>
      </c>
      <c r="V2218">
        <f t="shared" si="204"/>
        <v>628750</v>
      </c>
      <c r="W2218">
        <f t="shared" si="205"/>
        <v>18429897</v>
      </c>
      <c r="X2218">
        <f t="shared" si="206"/>
        <v>17801147</v>
      </c>
      <c r="Y2218">
        <f t="shared" si="207"/>
        <v>-26072970.5</v>
      </c>
      <c r="Z2218">
        <f t="shared" si="208"/>
        <v>45131617.5</v>
      </c>
      <c r="AA2218" t="str">
        <f t="shared" si="209"/>
        <v>Normal</v>
      </c>
      <c r="AE2218" s="2"/>
      <c r="AF2218" s="2"/>
    </row>
    <row r="2219" spans="1:32" x14ac:dyDescent="0.35">
      <c r="A2219">
        <v>2218</v>
      </c>
      <c r="B2219" s="1">
        <v>42314</v>
      </c>
      <c r="C2219" s="9" t="s">
        <v>3677</v>
      </c>
      <c r="D2219" s="9" t="s">
        <v>5112</v>
      </c>
      <c r="E2219" s="9" t="s">
        <v>1111</v>
      </c>
      <c r="F2219" s="9" t="s">
        <v>41</v>
      </c>
      <c r="G2219" s="9" t="s">
        <v>3678</v>
      </c>
      <c r="H2219" s="9" t="s">
        <v>105</v>
      </c>
      <c r="I2219" s="11">
        <v>490000</v>
      </c>
      <c r="J2219" s="11">
        <v>979102</v>
      </c>
      <c r="K2219" s="11">
        <v>6163760</v>
      </c>
      <c r="L2219" s="3">
        <v>277</v>
      </c>
      <c r="M2219" s="3">
        <v>222</v>
      </c>
      <c r="N2219" s="3">
        <v>364667</v>
      </c>
      <c r="O2219" s="2">
        <v>0.222</v>
      </c>
      <c r="P2219" s="2">
        <v>0.35299999999999998</v>
      </c>
      <c r="Q2219" s="2">
        <v>0.09</v>
      </c>
      <c r="R2219" s="11">
        <v>126988092</v>
      </c>
      <c r="S2219" s="11">
        <v>1067068</v>
      </c>
      <c r="T2219">
        <v>2015</v>
      </c>
      <c r="U2219">
        <v>11</v>
      </c>
      <c r="V2219">
        <f t="shared" si="204"/>
        <v>630000</v>
      </c>
      <c r="W2219">
        <f t="shared" si="205"/>
        <v>18429897</v>
      </c>
      <c r="X2219">
        <f t="shared" si="206"/>
        <v>17799897</v>
      </c>
      <c r="Y2219">
        <f t="shared" si="207"/>
        <v>-26069845.5</v>
      </c>
      <c r="Z2219">
        <f t="shared" si="208"/>
        <v>45129742.5</v>
      </c>
      <c r="AA2219" t="str">
        <f t="shared" si="209"/>
        <v>Normal</v>
      </c>
      <c r="AE2219" s="2"/>
      <c r="AF2219" s="2"/>
    </row>
    <row r="2220" spans="1:32" x14ac:dyDescent="0.35">
      <c r="A2220">
        <v>2219</v>
      </c>
      <c r="B2220" s="1">
        <v>42314</v>
      </c>
      <c r="C2220" s="9" t="s">
        <v>3679</v>
      </c>
      <c r="D2220" s="9" t="s">
        <v>5113</v>
      </c>
      <c r="E2220" s="9" t="s">
        <v>1111</v>
      </c>
      <c r="F2220" s="9" t="s">
        <v>63</v>
      </c>
      <c r="G2220" s="9" t="s">
        <v>3680</v>
      </c>
      <c r="H2220" s="9" t="s">
        <v>86</v>
      </c>
      <c r="I2220" s="11">
        <v>18429897</v>
      </c>
      <c r="J2220" s="11">
        <v>4730588</v>
      </c>
      <c r="K2220" s="11">
        <v>8784840</v>
      </c>
      <c r="L2220" s="3">
        <v>428</v>
      </c>
      <c r="M2220" s="3">
        <v>2197</v>
      </c>
      <c r="N2220" s="3">
        <v>1214407</v>
      </c>
      <c r="O2220" s="2">
        <v>0.33700000000000002</v>
      </c>
      <c r="P2220" s="2">
        <v>0.435</v>
      </c>
      <c r="Q2220" s="2">
        <v>4.1000000000000002E-2</v>
      </c>
      <c r="R2220" s="11">
        <v>54353739</v>
      </c>
      <c r="S2220" s="11">
        <v>1295399</v>
      </c>
      <c r="T2220">
        <v>2015</v>
      </c>
      <c r="U2220">
        <v>11</v>
      </c>
      <c r="V2220">
        <f t="shared" si="204"/>
        <v>632500</v>
      </c>
      <c r="W2220">
        <f t="shared" si="205"/>
        <v>18429897</v>
      </c>
      <c r="X2220">
        <f t="shared" si="206"/>
        <v>17797397</v>
      </c>
      <c r="Y2220">
        <f t="shared" si="207"/>
        <v>-26063595.5</v>
      </c>
      <c r="Z2220">
        <f t="shared" si="208"/>
        <v>45125992.5</v>
      </c>
      <c r="AA2220" t="str">
        <f t="shared" si="209"/>
        <v>Normal</v>
      </c>
      <c r="AE2220" s="2"/>
      <c r="AF2220" s="2"/>
    </row>
    <row r="2221" spans="1:32" x14ac:dyDescent="0.35">
      <c r="A2221">
        <v>2220</v>
      </c>
      <c r="B2221" s="1">
        <v>42314</v>
      </c>
      <c r="C2221" s="9" t="s">
        <v>3681</v>
      </c>
      <c r="D2221" s="9" t="s">
        <v>5114</v>
      </c>
      <c r="E2221" s="9" t="s">
        <v>1111</v>
      </c>
      <c r="F2221" s="9" t="s">
        <v>19</v>
      </c>
      <c r="G2221" s="9" t="s">
        <v>3682</v>
      </c>
      <c r="H2221" s="9" t="s">
        <v>105</v>
      </c>
      <c r="I2221" s="11">
        <v>15000000</v>
      </c>
      <c r="J2221" s="11">
        <v>786738</v>
      </c>
      <c r="K2221" s="11">
        <v>4952259</v>
      </c>
      <c r="L2221" s="3">
        <v>347</v>
      </c>
      <c r="M2221" s="3">
        <v>3699</v>
      </c>
      <c r="N2221" s="3">
        <v>747675</v>
      </c>
      <c r="O2221" s="2">
        <v>0.125</v>
      </c>
      <c r="P2221" s="2">
        <v>0.93700000000000006</v>
      </c>
      <c r="Q2221" s="2">
        <v>9.4E-2</v>
      </c>
      <c r="R2221" s="11">
        <v>136291786</v>
      </c>
      <c r="S2221" s="11">
        <v>1345076</v>
      </c>
      <c r="T2221">
        <v>2015</v>
      </c>
      <c r="U2221">
        <v>11</v>
      </c>
      <c r="V2221">
        <f t="shared" si="204"/>
        <v>630000</v>
      </c>
      <c r="W2221">
        <f t="shared" si="205"/>
        <v>18429897</v>
      </c>
      <c r="X2221">
        <f t="shared" si="206"/>
        <v>17799897</v>
      </c>
      <c r="Y2221">
        <f t="shared" si="207"/>
        <v>-26069845.5</v>
      </c>
      <c r="Z2221">
        <f t="shared" si="208"/>
        <v>45129742.5</v>
      </c>
      <c r="AA2221" t="str">
        <f t="shared" si="209"/>
        <v>Normal</v>
      </c>
      <c r="AE2221" s="2"/>
      <c r="AF2221" s="2"/>
    </row>
    <row r="2222" spans="1:32" x14ac:dyDescent="0.35">
      <c r="A2222">
        <v>2221</v>
      </c>
      <c r="B2222" s="1">
        <v>42317</v>
      </c>
      <c r="C2222" s="9" t="s">
        <v>3683</v>
      </c>
      <c r="D2222" s="9" t="s">
        <v>5115</v>
      </c>
      <c r="E2222" s="9" t="s">
        <v>1111</v>
      </c>
      <c r="F2222" s="9" t="s">
        <v>124</v>
      </c>
      <c r="G2222" s="9" t="s">
        <v>4875</v>
      </c>
      <c r="H2222" s="9" t="s">
        <v>86</v>
      </c>
      <c r="I2222" s="11">
        <v>500000</v>
      </c>
      <c r="J2222" s="11">
        <v>151484</v>
      </c>
      <c r="K2222" s="11">
        <v>10153449</v>
      </c>
      <c r="L2222" s="3">
        <v>120</v>
      </c>
      <c r="M2222" s="3">
        <v>3441</v>
      </c>
      <c r="N2222" s="3">
        <v>571169</v>
      </c>
      <c r="O2222" s="2">
        <v>0.42299999999999999</v>
      </c>
      <c r="P2222" s="2">
        <v>0.50800000000000001</v>
      </c>
      <c r="Q2222" s="2">
        <v>0.13600000000000001</v>
      </c>
      <c r="R2222" s="11">
        <v>123259747</v>
      </c>
      <c r="S2222" s="11">
        <v>1806899</v>
      </c>
      <c r="T2222">
        <v>2015</v>
      </c>
      <c r="U2222">
        <v>11</v>
      </c>
      <c r="V2222">
        <f t="shared" si="204"/>
        <v>630000</v>
      </c>
      <c r="W2222">
        <f t="shared" si="205"/>
        <v>18429897</v>
      </c>
      <c r="X2222">
        <f t="shared" si="206"/>
        <v>17799897</v>
      </c>
      <c r="Y2222">
        <f t="shared" si="207"/>
        <v>-26069845.5</v>
      </c>
      <c r="Z2222">
        <f t="shared" si="208"/>
        <v>45129742.5</v>
      </c>
      <c r="AA2222" t="str">
        <f t="shared" si="209"/>
        <v>Normal</v>
      </c>
      <c r="AE2222" s="2"/>
      <c r="AF2222" s="2"/>
    </row>
    <row r="2223" spans="1:32" x14ac:dyDescent="0.35">
      <c r="A2223">
        <v>2222</v>
      </c>
      <c r="B2223" s="1">
        <v>42317</v>
      </c>
      <c r="C2223" s="9" t="s">
        <v>3684</v>
      </c>
      <c r="D2223" s="9" t="s">
        <v>5116</v>
      </c>
      <c r="E2223" s="9" t="s">
        <v>1111</v>
      </c>
      <c r="F2223" s="9" t="s">
        <v>15</v>
      </c>
      <c r="G2223" s="9" t="s">
        <v>3685</v>
      </c>
      <c r="H2223" s="9" t="s">
        <v>105</v>
      </c>
      <c r="I2223" s="11">
        <v>1500000</v>
      </c>
      <c r="J2223" s="11">
        <v>2125545</v>
      </c>
      <c r="K2223" s="11">
        <v>17355226</v>
      </c>
      <c r="L2223" s="3">
        <v>151</v>
      </c>
      <c r="M2223" s="3">
        <v>4885</v>
      </c>
      <c r="N2223" s="3">
        <v>1865873</v>
      </c>
      <c r="O2223" s="2">
        <v>-0.126</v>
      </c>
      <c r="P2223" s="2">
        <v>0.60599999999999998</v>
      </c>
      <c r="Q2223" s="2">
        <v>0.13600000000000001</v>
      </c>
      <c r="R2223" s="11">
        <v>371172474</v>
      </c>
      <c r="S2223" s="11">
        <v>588118</v>
      </c>
      <c r="T2223">
        <v>2015</v>
      </c>
      <c r="U2223">
        <v>11</v>
      </c>
      <c r="V2223">
        <f t="shared" si="204"/>
        <v>635000</v>
      </c>
      <c r="W2223">
        <f t="shared" si="205"/>
        <v>18429897</v>
      </c>
      <c r="X2223">
        <f t="shared" si="206"/>
        <v>17794897</v>
      </c>
      <c r="Y2223">
        <f t="shared" si="207"/>
        <v>-26057345.5</v>
      </c>
      <c r="Z2223">
        <f t="shared" si="208"/>
        <v>45122242.5</v>
      </c>
      <c r="AA2223" t="str">
        <f t="shared" si="209"/>
        <v>Normal</v>
      </c>
      <c r="AE2223" s="2"/>
      <c r="AF2223" s="2"/>
    </row>
    <row r="2224" spans="1:32" x14ac:dyDescent="0.35">
      <c r="A2224">
        <v>2223</v>
      </c>
      <c r="B2224" s="1">
        <v>42317</v>
      </c>
      <c r="C2224" s="9" t="s">
        <v>1354</v>
      </c>
      <c r="D2224" s="9" t="s">
        <v>5117</v>
      </c>
      <c r="E2224" s="9" t="s">
        <v>1111</v>
      </c>
      <c r="F2224" s="9" t="s">
        <v>31</v>
      </c>
      <c r="G2224" s="9" t="s">
        <v>957</v>
      </c>
      <c r="H2224" s="9" t="s">
        <v>105</v>
      </c>
      <c r="I2224" s="11">
        <v>1000000</v>
      </c>
      <c r="J2224" s="11">
        <v>2017387</v>
      </c>
      <c r="K2224" s="11">
        <v>3548016</v>
      </c>
      <c r="L2224" s="3">
        <v>155</v>
      </c>
      <c r="M2224" s="3">
        <v>1860</v>
      </c>
      <c r="N2224" s="3">
        <v>1810149</v>
      </c>
      <c r="O2224" s="2">
        <v>0.106</v>
      </c>
      <c r="P2224" s="2">
        <v>0.78400000000000003</v>
      </c>
      <c r="Q2224" s="2">
        <v>0.433</v>
      </c>
      <c r="R2224" s="11">
        <v>360173679</v>
      </c>
      <c r="S2224" s="11">
        <v>1499734</v>
      </c>
      <c r="T2224">
        <v>2015</v>
      </c>
      <c r="U2224">
        <v>11</v>
      </c>
      <c r="V2224">
        <f t="shared" si="204"/>
        <v>632500</v>
      </c>
      <c r="W2224">
        <f t="shared" si="205"/>
        <v>18429897</v>
      </c>
      <c r="X2224">
        <f t="shared" si="206"/>
        <v>17797397</v>
      </c>
      <c r="Y2224">
        <f t="shared" si="207"/>
        <v>-26063595.5</v>
      </c>
      <c r="Z2224">
        <f t="shared" si="208"/>
        <v>45125992.5</v>
      </c>
      <c r="AA2224" t="str">
        <f t="shared" si="209"/>
        <v>Normal</v>
      </c>
      <c r="AE2224" s="2"/>
      <c r="AF2224" s="2"/>
    </row>
    <row r="2225" spans="1:32" x14ac:dyDescent="0.35">
      <c r="A2225">
        <v>2224</v>
      </c>
      <c r="B2225" s="1">
        <v>42317</v>
      </c>
      <c r="C2225" s="9" t="s">
        <v>286</v>
      </c>
      <c r="D2225" s="9" t="s">
        <v>5118</v>
      </c>
      <c r="E2225" s="9" t="s">
        <v>1111</v>
      </c>
      <c r="F2225" s="9" t="s">
        <v>2366</v>
      </c>
      <c r="G2225" s="9" t="s">
        <v>3686</v>
      </c>
      <c r="H2225" s="9" t="s">
        <v>105</v>
      </c>
      <c r="I2225" s="11">
        <v>1900000</v>
      </c>
      <c r="J2225" s="11">
        <v>2531926</v>
      </c>
      <c r="K2225" s="11">
        <v>5015694</v>
      </c>
      <c r="L2225" s="3">
        <v>369</v>
      </c>
      <c r="M2225" s="3">
        <v>2638</v>
      </c>
      <c r="N2225" s="3">
        <v>183833</v>
      </c>
      <c r="O2225" s="2">
        <v>-8.5000000000000006E-2</v>
      </c>
      <c r="P2225" s="2">
        <v>0.28800000000000003</v>
      </c>
      <c r="Q2225" s="2">
        <v>-0.08</v>
      </c>
      <c r="R2225" s="11">
        <v>198113204</v>
      </c>
      <c r="S2225" s="11">
        <v>1907357</v>
      </c>
      <c r="T2225">
        <v>2015</v>
      </c>
      <c r="U2225">
        <v>11</v>
      </c>
      <c r="V2225">
        <f t="shared" si="204"/>
        <v>630000</v>
      </c>
      <c r="W2225">
        <f t="shared" si="205"/>
        <v>18429897</v>
      </c>
      <c r="X2225">
        <f t="shared" si="206"/>
        <v>17799897</v>
      </c>
      <c r="Y2225">
        <f t="shared" si="207"/>
        <v>-26069845.5</v>
      </c>
      <c r="Z2225">
        <f t="shared" si="208"/>
        <v>45129742.5</v>
      </c>
      <c r="AA2225" t="str">
        <f t="shared" si="209"/>
        <v>Normal</v>
      </c>
      <c r="AE2225" s="2"/>
      <c r="AF2225" s="2"/>
    </row>
    <row r="2226" spans="1:32" x14ac:dyDescent="0.35">
      <c r="A2226">
        <v>2225</v>
      </c>
      <c r="B2226" s="1">
        <v>42317</v>
      </c>
      <c r="C2226" s="9" t="s">
        <v>3687</v>
      </c>
      <c r="D2226" s="9" t="s">
        <v>5119</v>
      </c>
      <c r="E2226" s="9" t="s">
        <v>1111</v>
      </c>
      <c r="F2226" s="9" t="s">
        <v>31</v>
      </c>
      <c r="G2226" s="9" t="s">
        <v>3688</v>
      </c>
      <c r="H2226" s="9" t="s">
        <v>86</v>
      </c>
      <c r="I2226" s="11">
        <v>150000</v>
      </c>
      <c r="J2226" s="11">
        <v>1000000000</v>
      </c>
      <c r="K2226" s="11">
        <v>11085797</v>
      </c>
      <c r="L2226" s="3">
        <v>261</v>
      </c>
      <c r="M2226" s="3">
        <v>2818</v>
      </c>
      <c r="N2226" s="3">
        <v>1052771</v>
      </c>
      <c r="O2226" s="2">
        <v>0.36799999999999999</v>
      </c>
      <c r="P2226" s="2">
        <v>0.50800000000000001</v>
      </c>
      <c r="Q2226" s="2">
        <v>4.8000000000000001E-2</v>
      </c>
      <c r="R2226" s="11">
        <v>143617539</v>
      </c>
      <c r="S2226" s="11">
        <v>1095696</v>
      </c>
      <c r="T2226">
        <v>2015</v>
      </c>
      <c r="U2226">
        <v>11</v>
      </c>
      <c r="V2226">
        <f t="shared" si="204"/>
        <v>630000</v>
      </c>
      <c r="W2226">
        <f t="shared" si="205"/>
        <v>18429897</v>
      </c>
      <c r="X2226">
        <f t="shared" si="206"/>
        <v>17799897</v>
      </c>
      <c r="Y2226">
        <f t="shared" si="207"/>
        <v>-26069845.5</v>
      </c>
      <c r="Z2226">
        <f t="shared" si="208"/>
        <v>45129742.5</v>
      </c>
      <c r="AA2226" t="str">
        <f t="shared" si="209"/>
        <v>Normal</v>
      </c>
      <c r="AE2226" s="2"/>
      <c r="AF2226" s="2"/>
    </row>
    <row r="2227" spans="1:32" x14ac:dyDescent="0.35">
      <c r="A2227">
        <v>2226</v>
      </c>
      <c r="B2227" s="1">
        <v>42317</v>
      </c>
      <c r="C2227" s="9" t="s">
        <v>3689</v>
      </c>
      <c r="D2227" s="9" t="s">
        <v>5120</v>
      </c>
      <c r="E2227" s="9" t="s">
        <v>1111</v>
      </c>
      <c r="F2227" s="9" t="s">
        <v>31</v>
      </c>
      <c r="G2227" s="9" t="s">
        <v>2272</v>
      </c>
      <c r="H2227" s="9" t="s">
        <v>86</v>
      </c>
      <c r="I2227" s="11">
        <v>150000</v>
      </c>
      <c r="J2227" s="11">
        <v>4665845</v>
      </c>
      <c r="K2227" s="11">
        <v>8368498</v>
      </c>
      <c r="L2227" s="3">
        <v>16</v>
      </c>
      <c r="M2227" s="3">
        <v>169</v>
      </c>
      <c r="N2227" s="3">
        <v>1333812</v>
      </c>
      <c r="O2227" s="2">
        <v>0.20399999999999999</v>
      </c>
      <c r="P2227" s="2">
        <v>1.1000000000000001</v>
      </c>
      <c r="Q2227" s="2">
        <v>0.124</v>
      </c>
      <c r="R2227" s="11">
        <v>171054562</v>
      </c>
      <c r="S2227" s="11">
        <v>53459</v>
      </c>
      <c r="T2227">
        <v>2015</v>
      </c>
      <c r="U2227">
        <v>11</v>
      </c>
      <c r="V2227">
        <f t="shared" si="204"/>
        <v>635000</v>
      </c>
      <c r="W2227">
        <f t="shared" si="205"/>
        <v>18429897</v>
      </c>
      <c r="X2227">
        <f t="shared" si="206"/>
        <v>17794897</v>
      </c>
      <c r="Y2227">
        <f t="shared" si="207"/>
        <v>-26057345.5</v>
      </c>
      <c r="Z2227">
        <f t="shared" si="208"/>
        <v>45122242.5</v>
      </c>
      <c r="AA2227" t="str">
        <f t="shared" si="209"/>
        <v>Normal</v>
      </c>
      <c r="AE2227" s="2"/>
      <c r="AF2227" s="2"/>
    </row>
    <row r="2228" spans="1:32" x14ac:dyDescent="0.35">
      <c r="A2228">
        <v>2227</v>
      </c>
      <c r="B2228" s="1">
        <v>42318</v>
      </c>
      <c r="C2228" s="9" t="s">
        <v>3690</v>
      </c>
      <c r="D2228" s="9" t="s">
        <v>5121</v>
      </c>
      <c r="E2228" s="9" t="s">
        <v>1111</v>
      </c>
      <c r="F2228" s="9" t="s">
        <v>31</v>
      </c>
      <c r="G2228" s="9" t="s">
        <v>3691</v>
      </c>
      <c r="H2228" s="9" t="s">
        <v>105</v>
      </c>
      <c r="I2228" s="11">
        <v>6000000</v>
      </c>
      <c r="J2228" s="11">
        <v>1462401</v>
      </c>
      <c r="K2228" s="11">
        <v>9252085</v>
      </c>
      <c r="L2228" s="3">
        <v>42</v>
      </c>
      <c r="M2228" s="3">
        <v>78</v>
      </c>
      <c r="N2228" s="3">
        <v>1561196</v>
      </c>
      <c r="O2228" s="2">
        <v>0.35700000000000004</v>
      </c>
      <c r="P2228" s="2">
        <v>0.8590000000000001</v>
      </c>
      <c r="Q2228" s="2">
        <v>-0.126</v>
      </c>
      <c r="R2228" s="11">
        <v>6887598</v>
      </c>
      <c r="S2228" s="11">
        <v>1571816</v>
      </c>
      <c r="T2228">
        <v>2015</v>
      </c>
      <c r="U2228">
        <v>11</v>
      </c>
      <c r="V2228">
        <f t="shared" si="204"/>
        <v>642500</v>
      </c>
      <c r="W2228">
        <f t="shared" si="205"/>
        <v>18429897</v>
      </c>
      <c r="X2228">
        <f t="shared" si="206"/>
        <v>17787397</v>
      </c>
      <c r="Y2228">
        <f t="shared" si="207"/>
        <v>-26038595.5</v>
      </c>
      <c r="Z2228">
        <f t="shared" si="208"/>
        <v>45110992.5</v>
      </c>
      <c r="AA2228" t="str">
        <f t="shared" si="209"/>
        <v>Normal</v>
      </c>
      <c r="AE2228" s="2"/>
      <c r="AF2228" s="2"/>
    </row>
    <row r="2229" spans="1:32" x14ac:dyDescent="0.35">
      <c r="A2229">
        <v>2228</v>
      </c>
      <c r="B2229" s="1">
        <v>42319</v>
      </c>
      <c r="C2229" s="9" t="s">
        <v>3251</v>
      </c>
      <c r="D2229" s="9" t="s">
        <v>5122</v>
      </c>
      <c r="E2229" s="9" t="s">
        <v>1111</v>
      </c>
      <c r="F2229" s="9" t="s">
        <v>1255</v>
      </c>
      <c r="G2229" s="9" t="s">
        <v>4876</v>
      </c>
      <c r="H2229" s="9" t="s">
        <v>86</v>
      </c>
      <c r="I2229" s="11">
        <v>18429897</v>
      </c>
      <c r="J2229" s="11">
        <v>4904489</v>
      </c>
      <c r="K2229" s="11">
        <v>7421664</v>
      </c>
      <c r="L2229" s="3">
        <v>42</v>
      </c>
      <c r="M2229" s="3">
        <v>3990</v>
      </c>
      <c r="N2229" s="3">
        <v>405291</v>
      </c>
      <c r="O2229" s="2">
        <v>-0.161</v>
      </c>
      <c r="P2229" s="2">
        <v>0.85299999999999998</v>
      </c>
      <c r="Q2229" s="2">
        <v>-1.2E-2</v>
      </c>
      <c r="R2229" s="11">
        <v>291075936</v>
      </c>
      <c r="S2229" s="11">
        <v>677106</v>
      </c>
      <c r="T2229">
        <v>2015</v>
      </c>
      <c r="U2229">
        <v>11</v>
      </c>
      <c r="V2229">
        <f t="shared" si="204"/>
        <v>640000</v>
      </c>
      <c r="W2229">
        <f t="shared" si="205"/>
        <v>18429897</v>
      </c>
      <c r="X2229">
        <f t="shared" si="206"/>
        <v>17789897</v>
      </c>
      <c r="Y2229">
        <f t="shared" si="207"/>
        <v>-26044845.5</v>
      </c>
      <c r="Z2229">
        <f t="shared" si="208"/>
        <v>45114742.5</v>
      </c>
      <c r="AA2229" t="str">
        <f t="shared" si="209"/>
        <v>Normal</v>
      </c>
      <c r="AE2229" s="2"/>
      <c r="AF2229" s="2"/>
    </row>
    <row r="2230" spans="1:32" x14ac:dyDescent="0.35">
      <c r="A2230">
        <v>2229</v>
      </c>
      <c r="B2230" s="1">
        <v>42319</v>
      </c>
      <c r="C2230" s="9" t="s">
        <v>3692</v>
      </c>
      <c r="D2230" s="9" t="s">
        <v>5123</v>
      </c>
      <c r="E2230" s="9" t="s">
        <v>1111</v>
      </c>
      <c r="F2230" s="9" t="s">
        <v>15</v>
      </c>
      <c r="G2230" s="9" t="s">
        <v>3693</v>
      </c>
      <c r="H2230" s="9" t="s">
        <v>105</v>
      </c>
      <c r="I2230" s="11">
        <v>600000</v>
      </c>
      <c r="J2230" s="11">
        <v>2531926</v>
      </c>
      <c r="K2230" s="11">
        <v>13511314</v>
      </c>
      <c r="L2230" s="3">
        <v>480</v>
      </c>
      <c r="M2230" s="3">
        <v>1955</v>
      </c>
      <c r="N2230" s="3">
        <v>1702392</v>
      </c>
      <c r="O2230" s="2">
        <v>0</v>
      </c>
      <c r="P2230" s="2">
        <v>0.68700000000000006</v>
      </c>
      <c r="Q2230" s="2">
        <v>0.29199999999999998</v>
      </c>
      <c r="R2230" s="11">
        <v>78003558</v>
      </c>
      <c r="S2230" s="11">
        <v>177423</v>
      </c>
      <c r="T2230">
        <v>2015</v>
      </c>
      <c r="U2230">
        <v>11</v>
      </c>
      <c r="V2230">
        <f t="shared" si="204"/>
        <v>637500</v>
      </c>
      <c r="W2230">
        <f t="shared" si="205"/>
        <v>18429897</v>
      </c>
      <c r="X2230">
        <f t="shared" si="206"/>
        <v>17792397</v>
      </c>
      <c r="Y2230">
        <f t="shared" si="207"/>
        <v>-26051095.5</v>
      </c>
      <c r="Z2230">
        <f t="shared" si="208"/>
        <v>45118492.5</v>
      </c>
      <c r="AA2230" t="str">
        <f t="shared" si="209"/>
        <v>Normal</v>
      </c>
      <c r="AE2230" s="2"/>
      <c r="AF2230" s="2"/>
    </row>
    <row r="2231" spans="1:32" x14ac:dyDescent="0.35">
      <c r="A2231">
        <v>2230</v>
      </c>
      <c r="B2231" s="1">
        <v>42319</v>
      </c>
      <c r="C2231" s="9" t="s">
        <v>2725</v>
      </c>
      <c r="D2231" s="9" t="s">
        <v>5124</v>
      </c>
      <c r="E2231" s="9" t="s">
        <v>1111</v>
      </c>
      <c r="F2231" s="9" t="s">
        <v>3694</v>
      </c>
      <c r="G2231" s="9" t="s">
        <v>3695</v>
      </c>
      <c r="H2231" s="9" t="s">
        <v>86</v>
      </c>
      <c r="I2231" s="11">
        <v>18429897</v>
      </c>
      <c r="J2231" s="11">
        <v>366810</v>
      </c>
      <c r="K2231" s="11">
        <v>17971430</v>
      </c>
      <c r="L2231" s="3">
        <v>254</v>
      </c>
      <c r="M2231" s="3">
        <v>3457</v>
      </c>
      <c r="N2231" s="3">
        <v>1310812</v>
      </c>
      <c r="O2231" s="2">
        <v>-0.23699999999999999</v>
      </c>
      <c r="P2231" s="2">
        <v>0.65</v>
      </c>
      <c r="Q2231" s="2">
        <v>-0.106</v>
      </c>
      <c r="R2231" s="11">
        <v>181236813</v>
      </c>
      <c r="S2231" s="11">
        <v>1964338</v>
      </c>
      <c r="T2231">
        <v>2015</v>
      </c>
      <c r="U2231">
        <v>11</v>
      </c>
      <c r="V2231">
        <f t="shared" si="204"/>
        <v>645000</v>
      </c>
      <c r="W2231">
        <f t="shared" si="205"/>
        <v>18429897</v>
      </c>
      <c r="X2231">
        <f t="shared" si="206"/>
        <v>17784897</v>
      </c>
      <c r="Y2231">
        <f t="shared" si="207"/>
        <v>-26032345.5</v>
      </c>
      <c r="Z2231">
        <f t="shared" si="208"/>
        <v>45107242.5</v>
      </c>
      <c r="AA2231" t="str">
        <f t="shared" si="209"/>
        <v>Normal</v>
      </c>
      <c r="AE2231" s="2"/>
      <c r="AF2231" s="2"/>
    </row>
    <row r="2232" spans="1:32" x14ac:dyDescent="0.35">
      <c r="A2232">
        <v>2231</v>
      </c>
      <c r="B2232" s="1">
        <v>42319</v>
      </c>
      <c r="C2232" s="9" t="s">
        <v>174</v>
      </c>
      <c r="D2232" s="9" t="s">
        <v>5125</v>
      </c>
      <c r="E2232" s="9" t="s">
        <v>1111</v>
      </c>
      <c r="F2232" s="9" t="s">
        <v>19</v>
      </c>
      <c r="G2232" s="9" t="s">
        <v>3696</v>
      </c>
      <c r="H2232" s="9" t="s">
        <v>86</v>
      </c>
      <c r="I2232" s="11">
        <v>500000</v>
      </c>
      <c r="J2232" s="11">
        <v>4693463</v>
      </c>
      <c r="K2232" s="11">
        <v>18352716</v>
      </c>
      <c r="L2232" s="3">
        <v>248</v>
      </c>
      <c r="M2232" s="3">
        <v>4727</v>
      </c>
      <c r="N2232" s="3">
        <v>1757978</v>
      </c>
      <c r="O2232" s="2">
        <v>0.192</v>
      </c>
      <c r="P2232" s="2">
        <v>0.56999999999999995</v>
      </c>
      <c r="Q2232" s="2">
        <v>0.79299999999999993</v>
      </c>
      <c r="R2232" s="11">
        <v>61234789</v>
      </c>
      <c r="S2232" s="11">
        <v>828282</v>
      </c>
      <c r="T2232">
        <v>2015</v>
      </c>
      <c r="U2232">
        <v>11</v>
      </c>
      <c r="V2232">
        <f t="shared" si="204"/>
        <v>642500</v>
      </c>
      <c r="W2232">
        <f t="shared" si="205"/>
        <v>18429897</v>
      </c>
      <c r="X2232">
        <f t="shared" si="206"/>
        <v>17787397</v>
      </c>
      <c r="Y2232">
        <f t="shared" si="207"/>
        <v>-26038595.5</v>
      </c>
      <c r="Z2232">
        <f t="shared" si="208"/>
        <v>45110992.5</v>
      </c>
      <c r="AA2232" t="str">
        <f t="shared" si="209"/>
        <v>Normal</v>
      </c>
      <c r="AE2232" s="2"/>
      <c r="AF2232" s="2"/>
    </row>
    <row r="2233" spans="1:32" x14ac:dyDescent="0.35">
      <c r="A2233">
        <v>2232</v>
      </c>
      <c r="B2233" s="1">
        <v>42319</v>
      </c>
      <c r="C2233" s="9" t="s">
        <v>2610</v>
      </c>
      <c r="D2233" s="9" t="s">
        <v>5126</v>
      </c>
      <c r="E2233" s="9" t="s">
        <v>1111</v>
      </c>
      <c r="F2233" s="9" t="s">
        <v>31</v>
      </c>
      <c r="G2233" s="9" t="s">
        <v>254</v>
      </c>
      <c r="H2233" s="9" t="s">
        <v>86</v>
      </c>
      <c r="I2233" s="11">
        <v>18429897</v>
      </c>
      <c r="J2233" s="11">
        <v>707227</v>
      </c>
      <c r="K2233" s="11">
        <v>9159191</v>
      </c>
      <c r="L2233" s="3">
        <v>381</v>
      </c>
      <c r="M2233" s="3">
        <v>1260</v>
      </c>
      <c r="N2233" s="3">
        <v>1360905</v>
      </c>
      <c r="O2233" s="2">
        <v>3.4000000000000002E-2</v>
      </c>
      <c r="P2233" s="2">
        <v>1.02</v>
      </c>
      <c r="Q2233" s="2">
        <v>0.50900000000000001</v>
      </c>
      <c r="R2233" s="11">
        <v>12520921</v>
      </c>
      <c r="S2233" s="11">
        <v>1623317</v>
      </c>
      <c r="T2233">
        <v>2015</v>
      </c>
      <c r="U2233">
        <v>11</v>
      </c>
      <c r="V2233">
        <f t="shared" si="204"/>
        <v>650000</v>
      </c>
      <c r="W2233">
        <f t="shared" si="205"/>
        <v>18429897</v>
      </c>
      <c r="X2233">
        <f t="shared" si="206"/>
        <v>17779897</v>
      </c>
      <c r="Y2233">
        <f t="shared" si="207"/>
        <v>-26019845.5</v>
      </c>
      <c r="Z2233">
        <f t="shared" si="208"/>
        <v>45099742.5</v>
      </c>
      <c r="AA2233" t="str">
        <f t="shared" si="209"/>
        <v>Normal</v>
      </c>
      <c r="AE2233" s="2"/>
      <c r="AF2233" s="2"/>
    </row>
    <row r="2234" spans="1:32" x14ac:dyDescent="0.35">
      <c r="A2234">
        <v>2233</v>
      </c>
      <c r="B2234" s="1">
        <v>42320</v>
      </c>
      <c r="C2234" s="9" t="s">
        <v>3697</v>
      </c>
      <c r="D2234" s="9" t="s">
        <v>5127</v>
      </c>
      <c r="E2234" s="9" t="s">
        <v>1111</v>
      </c>
      <c r="F2234" s="9" t="s">
        <v>124</v>
      </c>
      <c r="G2234" s="9" t="s">
        <v>3332</v>
      </c>
      <c r="H2234" s="9" t="s">
        <v>86</v>
      </c>
      <c r="I2234" s="11">
        <v>250000</v>
      </c>
      <c r="J2234" s="11">
        <v>2951206</v>
      </c>
      <c r="K2234" s="11">
        <v>16575039</v>
      </c>
      <c r="L2234" s="3">
        <v>99</v>
      </c>
      <c r="M2234" s="3">
        <v>3885</v>
      </c>
      <c r="N2234" s="3">
        <v>1741274</v>
      </c>
      <c r="O2234" s="2">
        <v>0.27100000000000002</v>
      </c>
      <c r="P2234" s="2">
        <v>0.84499999999999997</v>
      </c>
      <c r="Q2234" s="2">
        <v>0.14400000000000002</v>
      </c>
      <c r="R2234" s="11">
        <v>327034442</v>
      </c>
      <c r="S2234" s="11">
        <v>626338</v>
      </c>
      <c r="T2234">
        <v>2015</v>
      </c>
      <c r="U2234">
        <v>11</v>
      </c>
      <c r="V2234">
        <f t="shared" si="204"/>
        <v>647500</v>
      </c>
      <c r="W2234">
        <f t="shared" si="205"/>
        <v>18429897</v>
      </c>
      <c r="X2234">
        <f t="shared" si="206"/>
        <v>17782397</v>
      </c>
      <c r="Y2234">
        <f t="shared" si="207"/>
        <v>-26026095.5</v>
      </c>
      <c r="Z2234">
        <f t="shared" si="208"/>
        <v>45103492.5</v>
      </c>
      <c r="AA2234" t="str">
        <f t="shared" si="209"/>
        <v>Normal</v>
      </c>
      <c r="AE2234" s="2"/>
      <c r="AF2234" s="2"/>
    </row>
    <row r="2235" spans="1:32" x14ac:dyDescent="0.35">
      <c r="A2235">
        <v>2234</v>
      </c>
      <c r="B2235" s="1">
        <v>42321</v>
      </c>
      <c r="C2235" s="9" t="s">
        <v>3698</v>
      </c>
      <c r="D2235" s="9" t="s">
        <v>5128</v>
      </c>
      <c r="E2235" s="9" t="s">
        <v>1111</v>
      </c>
      <c r="F2235" s="9" t="s">
        <v>15</v>
      </c>
      <c r="G2235" s="9" t="s">
        <v>3699</v>
      </c>
      <c r="H2235" s="9" t="s">
        <v>86</v>
      </c>
      <c r="I2235" s="11">
        <v>18429897</v>
      </c>
      <c r="J2235" s="11">
        <v>3957875</v>
      </c>
      <c r="K2235" s="11">
        <v>13916747</v>
      </c>
      <c r="L2235" s="3">
        <v>20</v>
      </c>
      <c r="M2235" s="3">
        <v>1107</v>
      </c>
      <c r="N2235" s="3">
        <v>1018455</v>
      </c>
      <c r="O2235" s="2">
        <v>0.126</v>
      </c>
      <c r="P2235" s="2">
        <v>0.5</v>
      </c>
      <c r="Q2235" s="2">
        <v>0.24399999999999999</v>
      </c>
      <c r="R2235" s="11">
        <v>98059066</v>
      </c>
      <c r="S2235" s="11">
        <v>120973</v>
      </c>
      <c r="T2235">
        <v>2015</v>
      </c>
      <c r="U2235">
        <v>11</v>
      </c>
      <c r="V2235">
        <f t="shared" si="204"/>
        <v>650000</v>
      </c>
      <c r="W2235">
        <f t="shared" si="205"/>
        <v>18429897</v>
      </c>
      <c r="X2235">
        <f t="shared" si="206"/>
        <v>17779897</v>
      </c>
      <c r="Y2235">
        <f t="shared" si="207"/>
        <v>-26019845.5</v>
      </c>
      <c r="Z2235">
        <f t="shared" si="208"/>
        <v>45099742.5</v>
      </c>
      <c r="AA2235" t="str">
        <f t="shared" si="209"/>
        <v>Normal</v>
      </c>
      <c r="AE2235" s="2"/>
      <c r="AF2235" s="2"/>
    </row>
    <row r="2236" spans="1:32" x14ac:dyDescent="0.35">
      <c r="A2236">
        <v>2235</v>
      </c>
      <c r="B2236" s="1">
        <v>42324</v>
      </c>
      <c r="C2236" s="9" t="s">
        <v>3457</v>
      </c>
      <c r="D2236" s="9" t="s">
        <v>5129</v>
      </c>
      <c r="E2236" s="9" t="s">
        <v>1111</v>
      </c>
      <c r="F2236" s="9" t="s">
        <v>19</v>
      </c>
      <c r="G2236" s="9" t="s">
        <v>2031</v>
      </c>
      <c r="H2236" s="9" t="s">
        <v>105</v>
      </c>
      <c r="I2236" s="11">
        <v>3700000</v>
      </c>
      <c r="J2236" s="11">
        <v>1262202</v>
      </c>
      <c r="K2236" s="11">
        <v>4018476</v>
      </c>
      <c r="L2236" s="3">
        <v>139</v>
      </c>
      <c r="M2236" s="3">
        <v>3716</v>
      </c>
      <c r="N2236" s="3">
        <v>451014</v>
      </c>
      <c r="O2236" s="2">
        <v>-0.30599999999999999</v>
      </c>
      <c r="P2236" s="2">
        <v>0.71799999999999997</v>
      </c>
      <c r="Q2236" s="2">
        <v>0.29299999999999998</v>
      </c>
      <c r="R2236" s="11">
        <v>180950392</v>
      </c>
      <c r="S2236" s="11">
        <v>1067094</v>
      </c>
      <c r="T2236">
        <v>2015</v>
      </c>
      <c r="U2236">
        <v>11</v>
      </c>
      <c r="V2236">
        <f t="shared" si="204"/>
        <v>650000</v>
      </c>
      <c r="W2236">
        <f t="shared" si="205"/>
        <v>18429897</v>
      </c>
      <c r="X2236">
        <f t="shared" si="206"/>
        <v>17779897</v>
      </c>
      <c r="Y2236">
        <f t="shared" si="207"/>
        <v>-26019845.5</v>
      </c>
      <c r="Z2236">
        <f t="shared" si="208"/>
        <v>45099742.5</v>
      </c>
      <c r="AA2236" t="str">
        <f t="shared" si="209"/>
        <v>Normal</v>
      </c>
      <c r="AE2236" s="2"/>
      <c r="AF2236" s="2"/>
    </row>
    <row r="2237" spans="1:32" x14ac:dyDescent="0.35">
      <c r="A2237">
        <v>2236</v>
      </c>
      <c r="B2237" s="1">
        <v>42324</v>
      </c>
      <c r="C2237" s="9" t="s">
        <v>3700</v>
      </c>
      <c r="D2237" s="9" t="s">
        <v>5130</v>
      </c>
      <c r="E2237" s="9" t="s">
        <v>1111</v>
      </c>
      <c r="F2237" s="9" t="s">
        <v>15</v>
      </c>
      <c r="G2237" s="9" t="s">
        <v>3701</v>
      </c>
      <c r="H2237" s="9" t="s">
        <v>86</v>
      </c>
      <c r="I2237" s="11">
        <v>180000</v>
      </c>
      <c r="J2237" s="11">
        <v>1367748</v>
      </c>
      <c r="K2237" s="11">
        <v>15901374</v>
      </c>
      <c r="L2237" s="3">
        <v>108</v>
      </c>
      <c r="M2237" s="3">
        <v>841</v>
      </c>
      <c r="N2237" s="3">
        <v>1018455</v>
      </c>
      <c r="O2237" s="2">
        <v>-0.21199999999999999</v>
      </c>
      <c r="P2237" s="2">
        <v>0.316</v>
      </c>
      <c r="Q2237" s="2">
        <v>0.24</v>
      </c>
      <c r="R2237" s="11">
        <v>403583455</v>
      </c>
      <c r="S2237" s="11">
        <v>727507</v>
      </c>
      <c r="T2237">
        <v>2015</v>
      </c>
      <c r="U2237">
        <v>11</v>
      </c>
      <c r="V2237">
        <f t="shared" si="204"/>
        <v>650000</v>
      </c>
      <c r="W2237">
        <f t="shared" si="205"/>
        <v>18429897</v>
      </c>
      <c r="X2237">
        <f t="shared" si="206"/>
        <v>17779897</v>
      </c>
      <c r="Y2237">
        <f t="shared" si="207"/>
        <v>-26019845.5</v>
      </c>
      <c r="Z2237">
        <f t="shared" si="208"/>
        <v>45099742.5</v>
      </c>
      <c r="AA2237" t="str">
        <f t="shared" si="209"/>
        <v>Normal</v>
      </c>
      <c r="AE2237" s="2"/>
      <c r="AF2237" s="2"/>
    </row>
    <row r="2238" spans="1:32" x14ac:dyDescent="0.35">
      <c r="A2238">
        <v>2237</v>
      </c>
      <c r="B2238" s="1">
        <v>42324</v>
      </c>
      <c r="C2238" s="9" t="s">
        <v>2355</v>
      </c>
      <c r="D2238" s="9" t="s">
        <v>5131</v>
      </c>
      <c r="E2238" s="9" t="s">
        <v>1111</v>
      </c>
      <c r="F2238" s="9" t="s">
        <v>124</v>
      </c>
      <c r="G2238" s="9" t="s">
        <v>3702</v>
      </c>
      <c r="H2238" s="9" t="s">
        <v>86</v>
      </c>
      <c r="I2238" s="11">
        <v>18429897</v>
      </c>
      <c r="J2238" s="11">
        <v>2391362</v>
      </c>
      <c r="K2238" s="11">
        <v>7073302</v>
      </c>
      <c r="L2238" s="3">
        <v>400</v>
      </c>
      <c r="M2238" s="3">
        <v>1557</v>
      </c>
      <c r="N2238" s="3">
        <v>606700</v>
      </c>
      <c r="O2238" s="2">
        <v>0.13600000000000001</v>
      </c>
      <c r="P2238" s="2">
        <v>0.24600000000000002</v>
      </c>
      <c r="Q2238" s="2">
        <v>0.124</v>
      </c>
      <c r="R2238" s="11">
        <v>266159280</v>
      </c>
      <c r="S2238" s="11">
        <v>1343015</v>
      </c>
      <c r="T2238">
        <v>2015</v>
      </c>
      <c r="U2238">
        <v>11</v>
      </c>
      <c r="V2238">
        <f t="shared" si="204"/>
        <v>650000</v>
      </c>
      <c r="W2238">
        <f t="shared" si="205"/>
        <v>18429897</v>
      </c>
      <c r="X2238">
        <f t="shared" si="206"/>
        <v>17779897</v>
      </c>
      <c r="Y2238">
        <f t="shared" si="207"/>
        <v>-26019845.5</v>
      </c>
      <c r="Z2238">
        <f t="shared" si="208"/>
        <v>45099742.5</v>
      </c>
      <c r="AA2238" t="str">
        <f t="shared" si="209"/>
        <v>Normal</v>
      </c>
      <c r="AE2238" s="2"/>
      <c r="AF2238" s="2"/>
    </row>
    <row r="2239" spans="1:32" x14ac:dyDescent="0.35">
      <c r="A2239">
        <v>2238</v>
      </c>
      <c r="B2239" s="1">
        <v>42324</v>
      </c>
      <c r="C2239" s="9" t="s">
        <v>3703</v>
      </c>
      <c r="D2239" s="9" t="s">
        <v>3704</v>
      </c>
      <c r="E2239" s="9" t="s">
        <v>1111</v>
      </c>
      <c r="F2239" s="9" t="s">
        <v>27</v>
      </c>
      <c r="G2239" s="9" t="s">
        <v>3705</v>
      </c>
      <c r="H2239" s="9" t="s">
        <v>105</v>
      </c>
      <c r="I2239" s="11">
        <v>15000000</v>
      </c>
      <c r="J2239" s="11">
        <v>4426548</v>
      </c>
      <c r="K2239" s="11">
        <v>12595281</v>
      </c>
      <c r="L2239" s="3">
        <v>410</v>
      </c>
      <c r="M2239" s="3">
        <v>2378</v>
      </c>
      <c r="N2239" s="3">
        <v>395930</v>
      </c>
      <c r="O2239" s="2">
        <v>0.21299999999999999</v>
      </c>
      <c r="P2239" s="2">
        <v>0.33600000000000002</v>
      </c>
      <c r="Q2239" s="2">
        <v>0.78799999999999992</v>
      </c>
      <c r="R2239" s="11">
        <v>359896018</v>
      </c>
      <c r="S2239" s="11">
        <v>1378220</v>
      </c>
      <c r="T2239">
        <v>2015</v>
      </c>
      <c r="U2239">
        <v>11</v>
      </c>
      <c r="V2239">
        <f t="shared" si="204"/>
        <v>650000</v>
      </c>
      <c r="W2239">
        <f t="shared" si="205"/>
        <v>18429897</v>
      </c>
      <c r="X2239">
        <f t="shared" si="206"/>
        <v>17779897</v>
      </c>
      <c r="Y2239">
        <f t="shared" si="207"/>
        <v>-26019845.5</v>
      </c>
      <c r="Z2239">
        <f t="shared" si="208"/>
        <v>45099742.5</v>
      </c>
      <c r="AA2239" t="str">
        <f t="shared" si="209"/>
        <v>Normal</v>
      </c>
      <c r="AE2239" s="2"/>
      <c r="AF2239" s="2"/>
    </row>
    <row r="2240" spans="1:32" x14ac:dyDescent="0.35">
      <c r="A2240">
        <v>2239</v>
      </c>
      <c r="B2240" s="1">
        <v>42325</v>
      </c>
      <c r="C2240" s="9" t="s">
        <v>270</v>
      </c>
      <c r="D2240" s="9" t="s">
        <v>5132</v>
      </c>
      <c r="E2240" s="9" t="s">
        <v>1111</v>
      </c>
      <c r="F2240" s="9" t="s">
        <v>31</v>
      </c>
      <c r="G2240" s="9" t="s">
        <v>3706</v>
      </c>
      <c r="H2240" s="9" t="s">
        <v>105</v>
      </c>
      <c r="I2240" s="11">
        <v>34000000</v>
      </c>
      <c r="J2240" s="11">
        <v>1133544</v>
      </c>
      <c r="K2240" s="11">
        <v>14440648</v>
      </c>
      <c r="L2240" s="3">
        <v>318</v>
      </c>
      <c r="M2240" s="3">
        <v>2466</v>
      </c>
      <c r="N2240" s="3">
        <v>1415905</v>
      </c>
      <c r="O2240" s="2">
        <v>-0.32299999999999995</v>
      </c>
      <c r="P2240" s="2">
        <v>1.0680000000000001</v>
      </c>
      <c r="Q2240" s="2">
        <v>-0.08</v>
      </c>
      <c r="R2240" s="11">
        <v>246393259</v>
      </c>
      <c r="S2240" s="11">
        <v>1008193.5</v>
      </c>
      <c r="T2240">
        <v>2015</v>
      </c>
      <c r="U2240">
        <v>11</v>
      </c>
      <c r="V2240">
        <f t="shared" si="204"/>
        <v>650000</v>
      </c>
      <c r="W2240">
        <f t="shared" si="205"/>
        <v>18429897</v>
      </c>
      <c r="X2240">
        <f t="shared" si="206"/>
        <v>17779897</v>
      </c>
      <c r="Y2240">
        <f t="shared" si="207"/>
        <v>-26019845.5</v>
      </c>
      <c r="Z2240">
        <f t="shared" si="208"/>
        <v>45099742.5</v>
      </c>
      <c r="AA2240" t="str">
        <f t="shared" si="209"/>
        <v>Normal</v>
      </c>
      <c r="AE2240" s="2"/>
      <c r="AF2240" s="2"/>
    </row>
    <row r="2241" spans="1:32" x14ac:dyDescent="0.35">
      <c r="A2241">
        <v>2240</v>
      </c>
      <c r="B2241" s="1">
        <v>42325</v>
      </c>
      <c r="C2241" s="9" t="s">
        <v>1436</v>
      </c>
      <c r="D2241" s="9" t="s">
        <v>5133</v>
      </c>
      <c r="E2241" s="9" t="s">
        <v>1111</v>
      </c>
      <c r="F2241" s="9" t="s">
        <v>15</v>
      </c>
      <c r="G2241" s="9" t="s">
        <v>3707</v>
      </c>
      <c r="H2241" s="9" t="s">
        <v>86</v>
      </c>
      <c r="I2241" s="11">
        <v>600000</v>
      </c>
      <c r="J2241" s="11">
        <v>3323997</v>
      </c>
      <c r="K2241" s="11">
        <v>18879520</v>
      </c>
      <c r="L2241" s="3">
        <v>455</v>
      </c>
      <c r="M2241" s="3">
        <v>200</v>
      </c>
      <c r="N2241" s="3">
        <v>1985855</v>
      </c>
      <c r="O2241" s="2">
        <v>0.10300000000000001</v>
      </c>
      <c r="P2241" s="2">
        <v>0.45700000000000002</v>
      </c>
      <c r="Q2241" s="2">
        <v>0.3</v>
      </c>
      <c r="R2241" s="11">
        <v>429097090</v>
      </c>
      <c r="S2241" s="11">
        <v>1106369</v>
      </c>
      <c r="T2241">
        <v>2015</v>
      </c>
      <c r="U2241">
        <v>11</v>
      </c>
      <c r="V2241">
        <f t="shared" si="204"/>
        <v>650000</v>
      </c>
      <c r="W2241">
        <f t="shared" si="205"/>
        <v>18429897</v>
      </c>
      <c r="X2241">
        <f t="shared" si="206"/>
        <v>17779897</v>
      </c>
      <c r="Y2241">
        <f t="shared" si="207"/>
        <v>-26019845.5</v>
      </c>
      <c r="Z2241">
        <f t="shared" si="208"/>
        <v>45099742.5</v>
      </c>
      <c r="AA2241" t="str">
        <f t="shared" si="209"/>
        <v>Normal</v>
      </c>
      <c r="AE2241" s="2"/>
      <c r="AF2241" s="2"/>
    </row>
    <row r="2242" spans="1:32" x14ac:dyDescent="0.35">
      <c r="A2242">
        <v>2241</v>
      </c>
      <c r="B2242" s="1">
        <v>42325</v>
      </c>
      <c r="C2242" s="9" t="s">
        <v>3708</v>
      </c>
      <c r="D2242" s="9" t="s">
        <v>5134</v>
      </c>
      <c r="E2242" s="9" t="s">
        <v>1111</v>
      </c>
      <c r="F2242" s="9" t="s">
        <v>15</v>
      </c>
      <c r="G2242" s="9" t="s">
        <v>3709</v>
      </c>
      <c r="H2242" s="9" t="s">
        <v>86</v>
      </c>
      <c r="I2242" s="11">
        <v>7500000</v>
      </c>
      <c r="J2242" s="11">
        <v>2273906</v>
      </c>
      <c r="K2242" s="11">
        <v>18971529</v>
      </c>
      <c r="L2242" s="3">
        <v>234</v>
      </c>
      <c r="M2242" s="3">
        <v>4230</v>
      </c>
      <c r="N2242" s="3">
        <v>1018455</v>
      </c>
      <c r="O2242" s="2">
        <v>-8.3000000000000004E-2</v>
      </c>
      <c r="P2242" s="2">
        <v>1.163</v>
      </c>
      <c r="Q2242" s="2">
        <v>0.11800000000000001</v>
      </c>
      <c r="R2242" s="11">
        <v>82420251</v>
      </c>
      <c r="S2242" s="11">
        <v>1414267</v>
      </c>
      <c r="T2242">
        <v>2015</v>
      </c>
      <c r="U2242">
        <v>11</v>
      </c>
      <c r="V2242">
        <f t="shared" ref="V2242:V2305" si="210">_xlfn.PERCENTILE.INC(I2242:I5285,0.25)</f>
        <v>650000</v>
      </c>
      <c r="W2242">
        <f t="shared" ref="W2242:W2305" si="211">_xlfn.PERCENTILE.INC(I2242:I5285,0.75)</f>
        <v>18429897</v>
      </c>
      <c r="X2242">
        <f t="shared" ref="X2242:X2305" si="212">W2242-V2242</f>
        <v>17779897</v>
      </c>
      <c r="Y2242">
        <f t="shared" ref="Y2242:Y2305" si="213">V2242-1.5*X2242</f>
        <v>-26019845.5</v>
      </c>
      <c r="Z2242">
        <f t="shared" ref="Z2242:Z2305" si="214">W2242+1.5*X2242</f>
        <v>45099742.5</v>
      </c>
      <c r="AA2242" t="str">
        <f t="shared" ref="AA2242:AA2305" si="215">IF(OR(I2242&lt;$Y$2, I2242&gt;$Z$2), "Outlier", "Normal")</f>
        <v>Normal</v>
      </c>
      <c r="AE2242" s="2"/>
      <c r="AF2242" s="2"/>
    </row>
    <row r="2243" spans="1:32" x14ac:dyDescent="0.35">
      <c r="A2243">
        <v>2242</v>
      </c>
      <c r="B2243" s="1">
        <v>42325</v>
      </c>
      <c r="C2243" s="9" t="s">
        <v>3041</v>
      </c>
      <c r="D2243" s="9" t="s">
        <v>5135</v>
      </c>
      <c r="E2243" s="9" t="s">
        <v>1111</v>
      </c>
      <c r="F2243" s="9" t="s">
        <v>19</v>
      </c>
      <c r="G2243" s="9" t="s">
        <v>3710</v>
      </c>
      <c r="H2243" s="9" t="s">
        <v>86</v>
      </c>
      <c r="I2243" s="11">
        <v>200000</v>
      </c>
      <c r="J2243" s="11">
        <v>576987</v>
      </c>
      <c r="K2243" s="11">
        <v>16069899</v>
      </c>
      <c r="L2243" s="3">
        <v>124</v>
      </c>
      <c r="M2243" s="3">
        <v>79</v>
      </c>
      <c r="N2243" s="3">
        <v>1216948</v>
      </c>
      <c r="O2243" s="2">
        <v>1.6E-2</v>
      </c>
      <c r="P2243" s="2">
        <v>0.53800000000000003</v>
      </c>
      <c r="Q2243" s="2">
        <v>0.26100000000000001</v>
      </c>
      <c r="R2243" s="11">
        <v>490001909</v>
      </c>
      <c r="S2243" s="11">
        <v>1869302</v>
      </c>
      <c r="T2243">
        <v>2015</v>
      </c>
      <c r="U2243">
        <v>11</v>
      </c>
      <c r="V2243">
        <f t="shared" si="210"/>
        <v>650000</v>
      </c>
      <c r="W2243">
        <f t="shared" si="211"/>
        <v>18429897</v>
      </c>
      <c r="X2243">
        <f t="shared" si="212"/>
        <v>17779897</v>
      </c>
      <c r="Y2243">
        <f t="shared" si="213"/>
        <v>-26019845.5</v>
      </c>
      <c r="Z2243">
        <f t="shared" si="214"/>
        <v>45099742.5</v>
      </c>
      <c r="AA2243" t="str">
        <f t="shared" si="215"/>
        <v>Normal</v>
      </c>
      <c r="AE2243" s="2"/>
      <c r="AF2243" s="2"/>
    </row>
    <row r="2244" spans="1:32" x14ac:dyDescent="0.35">
      <c r="A2244">
        <v>2243</v>
      </c>
      <c r="B2244" s="1">
        <v>42325</v>
      </c>
      <c r="C2244" s="9" t="s">
        <v>3711</v>
      </c>
      <c r="D2244" s="9" t="s">
        <v>5136</v>
      </c>
      <c r="E2244" s="9" t="s">
        <v>1111</v>
      </c>
      <c r="F2244" s="9" t="s">
        <v>15</v>
      </c>
      <c r="G2244" s="9" t="s">
        <v>3712</v>
      </c>
      <c r="H2244" s="9" t="s">
        <v>86</v>
      </c>
      <c r="I2244" s="11">
        <v>530000</v>
      </c>
      <c r="J2244" s="11">
        <v>3560166</v>
      </c>
      <c r="K2244" s="11">
        <v>10169121</v>
      </c>
      <c r="L2244" s="3">
        <v>169</v>
      </c>
      <c r="M2244" s="3">
        <v>4406</v>
      </c>
      <c r="N2244" s="3">
        <v>1218703</v>
      </c>
      <c r="O2244" s="2">
        <v>-1.1000000000000001E-2</v>
      </c>
      <c r="P2244" s="2">
        <v>0.61</v>
      </c>
      <c r="Q2244" s="2">
        <v>0.60299999999999998</v>
      </c>
      <c r="R2244" s="11">
        <v>250264963</v>
      </c>
      <c r="S2244" s="11">
        <v>1929629</v>
      </c>
      <c r="T2244">
        <v>2015</v>
      </c>
      <c r="U2244">
        <v>11</v>
      </c>
      <c r="V2244">
        <f t="shared" si="210"/>
        <v>650000</v>
      </c>
      <c r="W2244">
        <f t="shared" si="211"/>
        <v>18429897</v>
      </c>
      <c r="X2244">
        <f t="shared" si="212"/>
        <v>17779897</v>
      </c>
      <c r="Y2244">
        <f t="shared" si="213"/>
        <v>-26019845.5</v>
      </c>
      <c r="Z2244">
        <f t="shared" si="214"/>
        <v>45099742.5</v>
      </c>
      <c r="AA2244" t="str">
        <f t="shared" si="215"/>
        <v>Normal</v>
      </c>
      <c r="AE2244" s="2"/>
      <c r="AF2244" s="2"/>
    </row>
    <row r="2245" spans="1:32" x14ac:dyDescent="0.35">
      <c r="A2245">
        <v>2244</v>
      </c>
      <c r="B2245" s="1">
        <v>42325</v>
      </c>
      <c r="C2245" s="9" t="s">
        <v>2559</v>
      </c>
      <c r="D2245" s="9" t="s">
        <v>5137</v>
      </c>
      <c r="E2245" s="9" t="s">
        <v>1111</v>
      </c>
      <c r="F2245" s="9" t="s">
        <v>3713</v>
      </c>
      <c r="G2245" s="9" t="s">
        <v>3714</v>
      </c>
      <c r="H2245" s="9" t="s">
        <v>86</v>
      </c>
      <c r="I2245" s="11">
        <v>300000</v>
      </c>
      <c r="J2245" s="11">
        <v>4165995</v>
      </c>
      <c r="K2245" s="11">
        <v>8064111</v>
      </c>
      <c r="L2245" s="3">
        <v>75</v>
      </c>
      <c r="M2245" s="3">
        <v>1070</v>
      </c>
      <c r="N2245" s="3">
        <v>834048</v>
      </c>
      <c r="O2245" s="2">
        <v>0.14499999999999999</v>
      </c>
      <c r="P2245" s="2">
        <v>1.012</v>
      </c>
      <c r="Q2245" s="2">
        <v>0.1</v>
      </c>
      <c r="R2245" s="11">
        <v>456744890</v>
      </c>
      <c r="S2245" s="11">
        <v>1580049</v>
      </c>
      <c r="T2245">
        <v>2015</v>
      </c>
      <c r="U2245">
        <v>11</v>
      </c>
      <c r="V2245">
        <f t="shared" si="210"/>
        <v>650000</v>
      </c>
      <c r="W2245">
        <f t="shared" si="211"/>
        <v>18429897</v>
      </c>
      <c r="X2245">
        <f t="shared" si="212"/>
        <v>17779897</v>
      </c>
      <c r="Y2245">
        <f t="shared" si="213"/>
        <v>-26019845.5</v>
      </c>
      <c r="Z2245">
        <f t="shared" si="214"/>
        <v>45099742.5</v>
      </c>
      <c r="AA2245" t="str">
        <f t="shared" si="215"/>
        <v>Normal</v>
      </c>
      <c r="AE2245" s="2"/>
      <c r="AF2245" s="2"/>
    </row>
    <row r="2246" spans="1:32" x14ac:dyDescent="0.35">
      <c r="A2246">
        <v>2245</v>
      </c>
      <c r="B2246" s="1">
        <v>42326</v>
      </c>
      <c r="C2246" s="9" t="s">
        <v>1407</v>
      </c>
      <c r="D2246" s="9" t="s">
        <v>5138</v>
      </c>
      <c r="E2246" s="9" t="s">
        <v>1111</v>
      </c>
      <c r="F2246" s="9" t="s">
        <v>15</v>
      </c>
      <c r="G2246" s="9" t="s">
        <v>3715</v>
      </c>
      <c r="H2246" s="9" t="s">
        <v>105</v>
      </c>
      <c r="I2246" s="11">
        <v>200000000</v>
      </c>
      <c r="J2246" s="11">
        <v>2886657</v>
      </c>
      <c r="K2246" s="11">
        <v>8880430</v>
      </c>
      <c r="L2246" s="3">
        <v>450</v>
      </c>
      <c r="M2246" s="3">
        <v>3567</v>
      </c>
      <c r="N2246" s="3">
        <v>1355490</v>
      </c>
      <c r="O2246" s="2">
        <v>-2.1000000000000001E-2</v>
      </c>
      <c r="P2246" s="2">
        <v>0.42399999999999999</v>
      </c>
      <c r="Q2246" s="2">
        <v>0.245</v>
      </c>
      <c r="R2246" s="11">
        <v>273119028</v>
      </c>
      <c r="S2246" s="11">
        <v>1255551</v>
      </c>
      <c r="T2246">
        <v>2015</v>
      </c>
      <c r="U2246">
        <v>11</v>
      </c>
      <c r="V2246">
        <f t="shared" si="210"/>
        <v>687500</v>
      </c>
      <c r="W2246">
        <f t="shared" si="211"/>
        <v>18429897</v>
      </c>
      <c r="X2246">
        <f t="shared" si="212"/>
        <v>17742397</v>
      </c>
      <c r="Y2246">
        <f t="shared" si="213"/>
        <v>-25926095.5</v>
      </c>
      <c r="Z2246">
        <f t="shared" si="214"/>
        <v>45043492.5</v>
      </c>
      <c r="AA2246" t="str">
        <f t="shared" si="215"/>
        <v>Outlier</v>
      </c>
      <c r="AE2246" s="2"/>
      <c r="AF2246" s="2"/>
    </row>
    <row r="2247" spans="1:32" x14ac:dyDescent="0.35">
      <c r="A2247">
        <v>2246</v>
      </c>
      <c r="B2247" s="1">
        <v>42326</v>
      </c>
      <c r="C2247" s="9" t="s">
        <v>1413</v>
      </c>
      <c r="D2247" s="9" t="s">
        <v>3716</v>
      </c>
      <c r="E2247" s="9" t="s">
        <v>1111</v>
      </c>
      <c r="F2247" s="9" t="s">
        <v>15</v>
      </c>
      <c r="G2247" s="9" t="s">
        <v>227</v>
      </c>
      <c r="H2247" s="9" t="s">
        <v>105</v>
      </c>
      <c r="I2247" s="11">
        <v>2500000</v>
      </c>
      <c r="J2247" s="11">
        <v>2531926</v>
      </c>
      <c r="K2247" s="11">
        <v>19021155</v>
      </c>
      <c r="L2247" s="3">
        <v>304</v>
      </c>
      <c r="M2247" s="3">
        <v>3571</v>
      </c>
      <c r="N2247" s="3">
        <v>1613217</v>
      </c>
      <c r="O2247" s="2">
        <v>-0.27700000000000002</v>
      </c>
      <c r="P2247" s="2">
        <v>1.1089999999999999E-2</v>
      </c>
      <c r="Q2247" s="2">
        <v>0.19600000000000001</v>
      </c>
      <c r="R2247" s="11">
        <v>397416817</v>
      </c>
      <c r="S2247" s="11">
        <v>1322591</v>
      </c>
      <c r="T2247">
        <v>2015</v>
      </c>
      <c r="U2247">
        <v>11</v>
      </c>
      <c r="V2247">
        <f t="shared" si="210"/>
        <v>675000</v>
      </c>
      <c r="W2247">
        <f t="shared" si="211"/>
        <v>18429897</v>
      </c>
      <c r="X2247">
        <f t="shared" si="212"/>
        <v>17754897</v>
      </c>
      <c r="Y2247">
        <f t="shared" si="213"/>
        <v>-25957345.5</v>
      </c>
      <c r="Z2247">
        <f t="shared" si="214"/>
        <v>45062242.5</v>
      </c>
      <c r="AA2247" t="str">
        <f t="shared" si="215"/>
        <v>Normal</v>
      </c>
      <c r="AE2247" s="2"/>
      <c r="AF2247" s="2"/>
    </row>
    <row r="2248" spans="1:32" x14ac:dyDescent="0.35">
      <c r="A2248">
        <v>2247</v>
      </c>
      <c r="B2248" s="1">
        <v>42326</v>
      </c>
      <c r="C2248" s="9" t="s">
        <v>3717</v>
      </c>
      <c r="D2248" s="9" t="s">
        <v>5139</v>
      </c>
      <c r="E2248" s="9" t="s">
        <v>1111</v>
      </c>
      <c r="F2248" s="9" t="s">
        <v>27</v>
      </c>
      <c r="G2248" s="9" t="s">
        <v>2031</v>
      </c>
      <c r="H2248" s="9" t="s">
        <v>105</v>
      </c>
      <c r="I2248" s="11">
        <v>4000000</v>
      </c>
      <c r="J2248" s="11">
        <v>795513</v>
      </c>
      <c r="K2248" s="11">
        <v>10153449</v>
      </c>
      <c r="L2248" s="3">
        <v>387</v>
      </c>
      <c r="M2248" s="3">
        <v>2309</v>
      </c>
      <c r="N2248" s="3">
        <v>228593</v>
      </c>
      <c r="O2248" s="2">
        <v>1.6E-2</v>
      </c>
      <c r="P2248" s="2">
        <v>0.85299999999999998</v>
      </c>
      <c r="Q2248" s="2">
        <v>7.9000000000000001E-2</v>
      </c>
      <c r="R2248" s="11">
        <v>195751656</v>
      </c>
      <c r="S2248" s="11">
        <v>1722165</v>
      </c>
      <c r="T2248">
        <v>2015</v>
      </c>
      <c r="U2248">
        <v>11</v>
      </c>
      <c r="V2248">
        <f t="shared" si="210"/>
        <v>662500</v>
      </c>
      <c r="W2248">
        <f t="shared" si="211"/>
        <v>18429897</v>
      </c>
      <c r="X2248">
        <f t="shared" si="212"/>
        <v>17767397</v>
      </c>
      <c r="Y2248">
        <f t="shared" si="213"/>
        <v>-25988595.5</v>
      </c>
      <c r="Z2248">
        <f t="shared" si="214"/>
        <v>45080992.5</v>
      </c>
      <c r="AA2248" t="str">
        <f t="shared" si="215"/>
        <v>Normal</v>
      </c>
      <c r="AE2248" s="2"/>
      <c r="AF2248" s="2"/>
    </row>
    <row r="2249" spans="1:32" x14ac:dyDescent="0.35">
      <c r="A2249">
        <v>2248</v>
      </c>
      <c r="B2249" s="1">
        <v>42326</v>
      </c>
      <c r="C2249" s="9" t="s">
        <v>3718</v>
      </c>
      <c r="D2249" s="9" t="s">
        <v>5140</v>
      </c>
      <c r="E2249" s="9" t="s">
        <v>1111</v>
      </c>
      <c r="F2249" s="9" t="s">
        <v>15</v>
      </c>
      <c r="G2249" s="9" t="s">
        <v>3719</v>
      </c>
      <c r="H2249" s="9" t="s">
        <v>86</v>
      </c>
      <c r="I2249" s="11">
        <v>18429897</v>
      </c>
      <c r="J2249" s="11">
        <v>2129007</v>
      </c>
      <c r="K2249" s="11">
        <v>10539039</v>
      </c>
      <c r="L2249" s="3">
        <v>144</v>
      </c>
      <c r="M2249" s="3">
        <v>2709</v>
      </c>
      <c r="N2249" s="3">
        <v>550877</v>
      </c>
      <c r="O2249" s="2">
        <v>0.05</v>
      </c>
      <c r="P2249" s="2">
        <v>0.26200000000000001</v>
      </c>
      <c r="Q2249" s="2">
        <v>0.41</v>
      </c>
      <c r="R2249" s="11">
        <v>79746602</v>
      </c>
      <c r="S2249" s="11">
        <v>1008193.5</v>
      </c>
      <c r="T2249">
        <v>2015</v>
      </c>
      <c r="U2249">
        <v>11</v>
      </c>
      <c r="V2249">
        <f t="shared" si="210"/>
        <v>650000</v>
      </c>
      <c r="W2249">
        <f t="shared" si="211"/>
        <v>18429897</v>
      </c>
      <c r="X2249">
        <f t="shared" si="212"/>
        <v>17779897</v>
      </c>
      <c r="Y2249">
        <f t="shared" si="213"/>
        <v>-26019845.5</v>
      </c>
      <c r="Z2249">
        <f t="shared" si="214"/>
        <v>45099742.5</v>
      </c>
      <c r="AA2249" t="str">
        <f t="shared" si="215"/>
        <v>Normal</v>
      </c>
      <c r="AE2249" s="2"/>
      <c r="AF2249" s="2"/>
    </row>
    <row r="2250" spans="1:32" x14ac:dyDescent="0.35">
      <c r="A2250">
        <v>2249</v>
      </c>
      <c r="B2250" s="1">
        <v>42326</v>
      </c>
      <c r="C2250" s="9" t="s">
        <v>2331</v>
      </c>
      <c r="D2250" s="9" t="s">
        <v>5141</v>
      </c>
      <c r="E2250" s="9" t="s">
        <v>1111</v>
      </c>
      <c r="F2250" s="9" t="s">
        <v>27</v>
      </c>
      <c r="G2250" s="9" t="s">
        <v>3720</v>
      </c>
      <c r="H2250" s="9" t="s">
        <v>86</v>
      </c>
      <c r="I2250" s="11">
        <v>18429897</v>
      </c>
      <c r="J2250" s="11">
        <v>2541965</v>
      </c>
      <c r="K2250" s="11">
        <v>13623211</v>
      </c>
      <c r="L2250" s="3">
        <v>360</v>
      </c>
      <c r="M2250" s="3">
        <v>2505.5</v>
      </c>
      <c r="N2250" s="3">
        <v>336696</v>
      </c>
      <c r="O2250" s="2">
        <v>-6.8000000000000005E-2</v>
      </c>
      <c r="P2250" s="2">
        <v>1.157E-2</v>
      </c>
      <c r="Q2250" s="2">
        <v>0.20699999999999999</v>
      </c>
      <c r="R2250" s="11">
        <v>229937475</v>
      </c>
      <c r="S2250" s="11">
        <v>1230167</v>
      </c>
      <c r="T2250">
        <v>2015</v>
      </c>
      <c r="U2250">
        <v>11</v>
      </c>
      <c r="V2250">
        <f t="shared" si="210"/>
        <v>650000</v>
      </c>
      <c r="W2250">
        <f t="shared" si="211"/>
        <v>18429897</v>
      </c>
      <c r="X2250">
        <f t="shared" si="212"/>
        <v>17779897</v>
      </c>
      <c r="Y2250">
        <f t="shared" si="213"/>
        <v>-26019845.5</v>
      </c>
      <c r="Z2250">
        <f t="shared" si="214"/>
        <v>45099742.5</v>
      </c>
      <c r="AA2250" t="str">
        <f t="shared" si="215"/>
        <v>Normal</v>
      </c>
      <c r="AE2250" s="2"/>
      <c r="AF2250" s="2"/>
    </row>
    <row r="2251" spans="1:32" x14ac:dyDescent="0.35">
      <c r="A2251">
        <v>2250</v>
      </c>
      <c r="B2251" s="1">
        <v>42326</v>
      </c>
      <c r="C2251" s="9" t="s">
        <v>3721</v>
      </c>
      <c r="D2251" s="9" t="s">
        <v>5142</v>
      </c>
      <c r="E2251" s="9" t="s">
        <v>1111</v>
      </c>
      <c r="F2251" s="9" t="s">
        <v>27</v>
      </c>
      <c r="G2251" s="9" t="s">
        <v>3722</v>
      </c>
      <c r="H2251" s="9" t="s">
        <v>86</v>
      </c>
      <c r="I2251" s="11">
        <v>18429897</v>
      </c>
      <c r="J2251" s="11">
        <v>2531926</v>
      </c>
      <c r="K2251" s="11">
        <v>549288</v>
      </c>
      <c r="L2251" s="3">
        <v>168</v>
      </c>
      <c r="M2251" s="3">
        <v>2505.5</v>
      </c>
      <c r="N2251" s="3">
        <v>1584934</v>
      </c>
      <c r="O2251" s="2">
        <v>1.6E-2</v>
      </c>
      <c r="P2251" s="2">
        <v>0.48700000000000004</v>
      </c>
      <c r="Q2251" s="2">
        <v>0.34700000000000003</v>
      </c>
      <c r="R2251" s="11">
        <v>276540386</v>
      </c>
      <c r="S2251" s="11">
        <v>1996932</v>
      </c>
      <c r="T2251">
        <v>2015</v>
      </c>
      <c r="U2251">
        <v>11</v>
      </c>
      <c r="V2251">
        <f t="shared" si="210"/>
        <v>650000</v>
      </c>
      <c r="W2251">
        <f t="shared" si="211"/>
        <v>18429897</v>
      </c>
      <c r="X2251">
        <f t="shared" si="212"/>
        <v>17779897</v>
      </c>
      <c r="Y2251">
        <f t="shared" si="213"/>
        <v>-26019845.5</v>
      </c>
      <c r="Z2251">
        <f t="shared" si="214"/>
        <v>45099742.5</v>
      </c>
      <c r="AA2251" t="str">
        <f t="shared" si="215"/>
        <v>Normal</v>
      </c>
      <c r="AE2251" s="2"/>
      <c r="AF2251" s="2"/>
    </row>
    <row r="2252" spans="1:32" x14ac:dyDescent="0.35">
      <c r="A2252">
        <v>2251</v>
      </c>
      <c r="B2252" s="1">
        <v>42327</v>
      </c>
      <c r="C2252" s="9" t="s">
        <v>3723</v>
      </c>
      <c r="D2252" s="9" t="s">
        <v>5143</v>
      </c>
      <c r="E2252" s="9" t="s">
        <v>1111</v>
      </c>
      <c r="F2252" s="9" t="s">
        <v>63</v>
      </c>
      <c r="G2252" s="9" t="s">
        <v>2912</v>
      </c>
      <c r="H2252" s="9" t="s">
        <v>86</v>
      </c>
      <c r="I2252" s="11">
        <v>18429897</v>
      </c>
      <c r="J2252" s="11">
        <v>1233406</v>
      </c>
      <c r="K2252" s="11">
        <v>12734393</v>
      </c>
      <c r="L2252" s="3">
        <v>225</v>
      </c>
      <c r="M2252" s="3">
        <v>640</v>
      </c>
      <c r="N2252" s="3">
        <v>1275708</v>
      </c>
      <c r="O2252" s="2">
        <v>0.05</v>
      </c>
      <c r="P2252" s="2">
        <v>0.43200000000000005</v>
      </c>
      <c r="Q2252" s="2">
        <v>2.7E-2</v>
      </c>
      <c r="R2252" s="11">
        <v>47012333</v>
      </c>
      <c r="S2252" s="11">
        <v>1560035</v>
      </c>
      <c r="T2252">
        <v>2015</v>
      </c>
      <c r="U2252">
        <v>11</v>
      </c>
      <c r="V2252">
        <f t="shared" si="210"/>
        <v>650000</v>
      </c>
      <c r="W2252">
        <f t="shared" si="211"/>
        <v>18429897</v>
      </c>
      <c r="X2252">
        <f t="shared" si="212"/>
        <v>17779897</v>
      </c>
      <c r="Y2252">
        <f t="shared" si="213"/>
        <v>-26019845.5</v>
      </c>
      <c r="Z2252">
        <f t="shared" si="214"/>
        <v>45099742.5</v>
      </c>
      <c r="AA2252" t="str">
        <f t="shared" si="215"/>
        <v>Normal</v>
      </c>
      <c r="AE2252" s="2"/>
      <c r="AF2252" s="2"/>
    </row>
    <row r="2253" spans="1:32" x14ac:dyDescent="0.35">
      <c r="A2253">
        <v>2252</v>
      </c>
      <c r="B2253" s="1">
        <v>42327</v>
      </c>
      <c r="C2253" s="9" t="s">
        <v>1466</v>
      </c>
      <c r="D2253" s="9" t="s">
        <v>5144</v>
      </c>
      <c r="E2253" s="9" t="s">
        <v>1111</v>
      </c>
      <c r="F2253" s="9" t="s">
        <v>19</v>
      </c>
      <c r="G2253" s="9" t="s">
        <v>3724</v>
      </c>
      <c r="H2253" s="9" t="s">
        <v>105</v>
      </c>
      <c r="I2253" s="11">
        <v>25000000</v>
      </c>
      <c r="J2253" s="11">
        <v>2513815</v>
      </c>
      <c r="K2253" s="11">
        <v>5274264</v>
      </c>
      <c r="L2253" s="3">
        <v>327</v>
      </c>
      <c r="M2253" s="3">
        <v>3308</v>
      </c>
      <c r="N2253" s="3">
        <v>1343348</v>
      </c>
      <c r="O2253" s="2">
        <v>0.129</v>
      </c>
      <c r="P2253" s="2">
        <v>1.0979999999999999</v>
      </c>
      <c r="Q2253" s="2">
        <v>-3.5000000000000003E-2</v>
      </c>
      <c r="R2253" s="11">
        <v>94718178</v>
      </c>
      <c r="S2253" s="11">
        <v>1009190</v>
      </c>
      <c r="T2253">
        <v>2015</v>
      </c>
      <c r="U2253">
        <v>11</v>
      </c>
      <c r="V2253">
        <f t="shared" si="210"/>
        <v>650000</v>
      </c>
      <c r="W2253">
        <f t="shared" si="211"/>
        <v>18429897</v>
      </c>
      <c r="X2253">
        <f t="shared" si="212"/>
        <v>17779897</v>
      </c>
      <c r="Y2253">
        <f t="shared" si="213"/>
        <v>-26019845.5</v>
      </c>
      <c r="Z2253">
        <f t="shared" si="214"/>
        <v>45099742.5</v>
      </c>
      <c r="AA2253" t="str">
        <f t="shared" si="215"/>
        <v>Normal</v>
      </c>
      <c r="AE2253" s="2"/>
      <c r="AF2253" s="2"/>
    </row>
    <row r="2254" spans="1:32" x14ac:dyDescent="0.35">
      <c r="A2254">
        <v>2253</v>
      </c>
      <c r="B2254" s="1">
        <v>42327</v>
      </c>
      <c r="C2254" s="9" t="s">
        <v>3725</v>
      </c>
      <c r="D2254" s="9" t="s">
        <v>5145</v>
      </c>
      <c r="E2254" s="9" t="s">
        <v>1111</v>
      </c>
      <c r="F2254" s="9" t="s">
        <v>3726</v>
      </c>
      <c r="G2254" s="9" t="s">
        <v>3727</v>
      </c>
      <c r="H2254" s="9" t="s">
        <v>86</v>
      </c>
      <c r="I2254" s="11">
        <v>500000</v>
      </c>
      <c r="J2254" s="11">
        <v>1489493</v>
      </c>
      <c r="K2254" s="11">
        <v>5684845</v>
      </c>
      <c r="L2254" s="3">
        <v>490</v>
      </c>
      <c r="M2254" s="3">
        <v>51</v>
      </c>
      <c r="N2254" s="3">
        <v>1250780</v>
      </c>
      <c r="O2254" s="2">
        <v>7.0000000000000007E-2</v>
      </c>
      <c r="P2254" s="2">
        <v>0.52500000000000002</v>
      </c>
      <c r="Q2254" s="2">
        <v>1.3999999999999999E-2</v>
      </c>
      <c r="R2254" s="11">
        <v>115903789</v>
      </c>
      <c r="S2254" s="11">
        <v>1133096</v>
      </c>
      <c r="T2254">
        <v>2015</v>
      </c>
      <c r="U2254">
        <v>11</v>
      </c>
      <c r="V2254">
        <f t="shared" si="210"/>
        <v>650000</v>
      </c>
      <c r="W2254">
        <f t="shared" si="211"/>
        <v>18429897</v>
      </c>
      <c r="X2254">
        <f t="shared" si="212"/>
        <v>17779897</v>
      </c>
      <c r="Y2254">
        <f t="shared" si="213"/>
        <v>-26019845.5</v>
      </c>
      <c r="Z2254">
        <f t="shared" si="214"/>
        <v>45099742.5</v>
      </c>
      <c r="AA2254" t="str">
        <f t="shared" si="215"/>
        <v>Normal</v>
      </c>
      <c r="AE2254" s="2"/>
      <c r="AF2254" s="2"/>
    </row>
    <row r="2255" spans="1:32" x14ac:dyDescent="0.35">
      <c r="A2255">
        <v>2254</v>
      </c>
      <c r="B2255" s="1">
        <v>42327</v>
      </c>
      <c r="C2255" s="9" t="s">
        <v>3728</v>
      </c>
      <c r="D2255" s="9" t="s">
        <v>5146</v>
      </c>
      <c r="E2255" s="9" t="s">
        <v>1111</v>
      </c>
      <c r="F2255" s="9" t="s">
        <v>15</v>
      </c>
      <c r="G2255" s="9" t="s">
        <v>4877</v>
      </c>
      <c r="H2255" s="9" t="s">
        <v>86</v>
      </c>
      <c r="I2255" s="11">
        <v>18429897</v>
      </c>
      <c r="J2255" s="11">
        <v>3437091</v>
      </c>
      <c r="K2255" s="11">
        <v>10153449</v>
      </c>
      <c r="L2255" s="3">
        <v>281</v>
      </c>
      <c r="M2255" s="3">
        <v>3741</v>
      </c>
      <c r="N2255" s="3">
        <v>1064752</v>
      </c>
      <c r="O2255" s="2">
        <v>0.153</v>
      </c>
      <c r="P2255" s="2">
        <v>0.92300000000000004</v>
      </c>
      <c r="Q2255" s="2">
        <v>0.17499999999999999</v>
      </c>
      <c r="R2255" s="11">
        <v>199765448</v>
      </c>
      <c r="S2255" s="11">
        <v>19909</v>
      </c>
      <c r="T2255">
        <v>2015</v>
      </c>
      <c r="U2255">
        <v>11</v>
      </c>
      <c r="V2255">
        <f t="shared" si="210"/>
        <v>650000</v>
      </c>
      <c r="W2255">
        <f t="shared" si="211"/>
        <v>18429897</v>
      </c>
      <c r="X2255">
        <f t="shared" si="212"/>
        <v>17779897</v>
      </c>
      <c r="Y2255">
        <f t="shared" si="213"/>
        <v>-26019845.5</v>
      </c>
      <c r="Z2255">
        <f t="shared" si="214"/>
        <v>45099742.5</v>
      </c>
      <c r="AA2255" t="str">
        <f t="shared" si="215"/>
        <v>Normal</v>
      </c>
      <c r="AE2255" s="2"/>
      <c r="AF2255" s="2"/>
    </row>
    <row r="2256" spans="1:32" x14ac:dyDescent="0.35">
      <c r="A2256">
        <v>2255</v>
      </c>
      <c r="B2256" s="1">
        <v>42327</v>
      </c>
      <c r="C2256" s="9" t="s">
        <v>3729</v>
      </c>
      <c r="D2256" s="9" t="s">
        <v>5147</v>
      </c>
      <c r="E2256" s="9" t="s">
        <v>1111</v>
      </c>
      <c r="F2256" s="9" t="s">
        <v>27</v>
      </c>
      <c r="G2256" s="9" t="s">
        <v>1315</v>
      </c>
      <c r="H2256" s="9" t="s">
        <v>86</v>
      </c>
      <c r="I2256" s="11">
        <v>455000</v>
      </c>
      <c r="J2256" s="11">
        <v>3986441</v>
      </c>
      <c r="K2256" s="11">
        <v>276917</v>
      </c>
      <c r="L2256" s="3">
        <v>356</v>
      </c>
      <c r="M2256" s="3">
        <v>1828</v>
      </c>
      <c r="N2256" s="3">
        <v>1634881</v>
      </c>
      <c r="O2256" s="2">
        <v>0.11</v>
      </c>
      <c r="P2256" s="2">
        <v>0.23399999999999999</v>
      </c>
      <c r="Q2256" s="2">
        <v>0.379</v>
      </c>
      <c r="R2256" s="11">
        <v>99540248</v>
      </c>
      <c r="S2256" s="11">
        <v>996040</v>
      </c>
      <c r="T2256">
        <v>2015</v>
      </c>
      <c r="U2256">
        <v>11</v>
      </c>
      <c r="V2256">
        <f t="shared" si="210"/>
        <v>650000</v>
      </c>
      <c r="W2256">
        <f t="shared" si="211"/>
        <v>18429897</v>
      </c>
      <c r="X2256">
        <f t="shared" si="212"/>
        <v>17779897</v>
      </c>
      <c r="Y2256">
        <f t="shared" si="213"/>
        <v>-26019845.5</v>
      </c>
      <c r="Z2256">
        <f t="shared" si="214"/>
        <v>45099742.5</v>
      </c>
      <c r="AA2256" t="str">
        <f t="shared" si="215"/>
        <v>Normal</v>
      </c>
      <c r="AE2256" s="2"/>
      <c r="AF2256" s="2"/>
    </row>
    <row r="2257" spans="1:32" x14ac:dyDescent="0.35">
      <c r="A2257">
        <v>2256</v>
      </c>
      <c r="B2257" s="1">
        <v>42328</v>
      </c>
      <c r="C2257" s="9" t="s">
        <v>893</v>
      </c>
      <c r="D2257" s="9" t="s">
        <v>5148</v>
      </c>
      <c r="E2257" s="9" t="s">
        <v>1111</v>
      </c>
      <c r="F2257" s="9" t="s">
        <v>4917</v>
      </c>
      <c r="G2257" s="9" t="s">
        <v>3730</v>
      </c>
      <c r="H2257" s="9" t="s">
        <v>105</v>
      </c>
      <c r="I2257" s="11">
        <v>12500000</v>
      </c>
      <c r="J2257" s="11">
        <v>3270379</v>
      </c>
      <c r="K2257" s="11">
        <v>3220616</v>
      </c>
      <c r="L2257" s="3">
        <v>299</v>
      </c>
      <c r="M2257" s="3">
        <v>2434</v>
      </c>
      <c r="N2257" s="3">
        <v>314494</v>
      </c>
      <c r="O2257" s="2">
        <v>0.28399999999999997</v>
      </c>
      <c r="P2257" s="2">
        <v>1.121</v>
      </c>
      <c r="Q2257" s="2">
        <v>0.624</v>
      </c>
      <c r="R2257" s="11">
        <v>438536790</v>
      </c>
      <c r="S2257" s="11">
        <v>1487481</v>
      </c>
      <c r="T2257">
        <v>2015</v>
      </c>
      <c r="U2257">
        <v>11</v>
      </c>
      <c r="V2257">
        <f t="shared" si="210"/>
        <v>650000</v>
      </c>
      <c r="W2257">
        <f t="shared" si="211"/>
        <v>18429897</v>
      </c>
      <c r="X2257">
        <f t="shared" si="212"/>
        <v>17779897</v>
      </c>
      <c r="Y2257">
        <f t="shared" si="213"/>
        <v>-26019845.5</v>
      </c>
      <c r="Z2257">
        <f t="shared" si="214"/>
        <v>45099742.5</v>
      </c>
      <c r="AA2257" t="str">
        <f t="shared" si="215"/>
        <v>Normal</v>
      </c>
      <c r="AE2257" s="2"/>
      <c r="AF2257" s="2"/>
    </row>
    <row r="2258" spans="1:32" x14ac:dyDescent="0.35">
      <c r="A2258">
        <v>2257</v>
      </c>
      <c r="B2258" s="1">
        <v>42328</v>
      </c>
      <c r="C2258" s="9" t="s">
        <v>3731</v>
      </c>
      <c r="D2258" s="9" t="s">
        <v>3732</v>
      </c>
      <c r="E2258" s="9" t="s">
        <v>1111</v>
      </c>
      <c r="F2258" s="9" t="s">
        <v>31</v>
      </c>
      <c r="G2258" s="9" t="s">
        <v>3733</v>
      </c>
      <c r="H2258" s="9" t="s">
        <v>86</v>
      </c>
      <c r="I2258" s="11">
        <v>18429897</v>
      </c>
      <c r="J2258" s="11">
        <v>26211</v>
      </c>
      <c r="K2258" s="11">
        <v>9153896</v>
      </c>
      <c r="L2258" s="3">
        <v>214</v>
      </c>
      <c r="M2258" s="3">
        <v>165</v>
      </c>
      <c r="N2258" s="3">
        <v>1387594</v>
      </c>
      <c r="O2258" s="2">
        <v>0.43700000000000006</v>
      </c>
      <c r="P2258" s="2">
        <v>0.60899999999999999</v>
      </c>
      <c r="Q2258" s="2">
        <v>0.14400000000000002</v>
      </c>
      <c r="R2258" s="11">
        <v>58912327</v>
      </c>
      <c r="S2258" s="11">
        <v>638095</v>
      </c>
      <c r="T2258">
        <v>2015</v>
      </c>
      <c r="U2258">
        <v>11</v>
      </c>
      <c r="V2258">
        <f t="shared" si="210"/>
        <v>650000</v>
      </c>
      <c r="W2258">
        <f t="shared" si="211"/>
        <v>18429897</v>
      </c>
      <c r="X2258">
        <f t="shared" si="212"/>
        <v>17779897</v>
      </c>
      <c r="Y2258">
        <f t="shared" si="213"/>
        <v>-26019845.5</v>
      </c>
      <c r="Z2258">
        <f t="shared" si="214"/>
        <v>45099742.5</v>
      </c>
      <c r="AA2258" t="str">
        <f t="shared" si="215"/>
        <v>Normal</v>
      </c>
      <c r="AE2258" s="2"/>
      <c r="AF2258" s="2"/>
    </row>
    <row r="2259" spans="1:32" x14ac:dyDescent="0.35">
      <c r="A2259">
        <v>2258</v>
      </c>
      <c r="B2259" s="1">
        <v>42328</v>
      </c>
      <c r="C2259" s="9" t="s">
        <v>1273</v>
      </c>
      <c r="D2259" s="9" t="s">
        <v>5149</v>
      </c>
      <c r="E2259" s="9" t="s">
        <v>1111</v>
      </c>
      <c r="F2259" s="9" t="s">
        <v>15</v>
      </c>
      <c r="G2259" s="9" t="s">
        <v>3734</v>
      </c>
      <c r="H2259" s="9" t="s">
        <v>86</v>
      </c>
      <c r="I2259" s="11">
        <v>305000</v>
      </c>
      <c r="J2259" s="11">
        <v>4960369</v>
      </c>
      <c r="K2259" s="11">
        <v>11722954</v>
      </c>
      <c r="L2259" s="3">
        <v>466</v>
      </c>
      <c r="M2259" s="3">
        <v>1133</v>
      </c>
      <c r="N2259" s="3">
        <v>1668822</v>
      </c>
      <c r="O2259" s="2">
        <v>0.11699999999999999</v>
      </c>
      <c r="P2259" s="2">
        <v>0.379</v>
      </c>
      <c r="Q2259" s="2">
        <v>0.56600000000000006</v>
      </c>
      <c r="R2259" s="11">
        <v>163006131</v>
      </c>
      <c r="S2259" s="11">
        <v>1052782</v>
      </c>
      <c r="T2259">
        <v>2015</v>
      </c>
      <c r="U2259">
        <v>11</v>
      </c>
      <c r="V2259">
        <f t="shared" si="210"/>
        <v>650000</v>
      </c>
      <c r="W2259">
        <f t="shared" si="211"/>
        <v>18429897</v>
      </c>
      <c r="X2259">
        <f t="shared" si="212"/>
        <v>17779897</v>
      </c>
      <c r="Y2259">
        <f t="shared" si="213"/>
        <v>-26019845.5</v>
      </c>
      <c r="Z2259">
        <f t="shared" si="214"/>
        <v>45099742.5</v>
      </c>
      <c r="AA2259" t="str">
        <f t="shared" si="215"/>
        <v>Normal</v>
      </c>
      <c r="AE2259" s="2"/>
      <c r="AF2259" s="2"/>
    </row>
    <row r="2260" spans="1:32" x14ac:dyDescent="0.35">
      <c r="A2260">
        <v>2259</v>
      </c>
      <c r="B2260" s="1">
        <v>42328</v>
      </c>
      <c r="C2260" s="9" t="s">
        <v>3735</v>
      </c>
      <c r="D2260" s="9" t="s">
        <v>5150</v>
      </c>
      <c r="E2260" s="9" t="s">
        <v>1111</v>
      </c>
      <c r="F2260" s="9" t="s">
        <v>31</v>
      </c>
      <c r="G2260" s="9" t="s">
        <v>856</v>
      </c>
      <c r="H2260" s="9" t="s">
        <v>86</v>
      </c>
      <c r="I2260" s="11">
        <v>150000</v>
      </c>
      <c r="J2260" s="11">
        <v>138362</v>
      </c>
      <c r="K2260" s="11">
        <v>2271471</v>
      </c>
      <c r="L2260" s="3">
        <v>480</v>
      </c>
      <c r="M2260" s="3">
        <v>2505.5</v>
      </c>
      <c r="N2260" s="3">
        <v>415432</v>
      </c>
      <c r="O2260" s="2">
        <v>-4.0000000000000001E-3</v>
      </c>
      <c r="P2260" s="2">
        <v>1.181</v>
      </c>
      <c r="Q2260" s="2">
        <v>0.25700000000000001</v>
      </c>
      <c r="R2260" s="11">
        <v>168906421</v>
      </c>
      <c r="S2260" s="11">
        <v>967402</v>
      </c>
      <c r="T2260">
        <v>2015</v>
      </c>
      <c r="U2260">
        <v>11</v>
      </c>
      <c r="V2260">
        <f t="shared" si="210"/>
        <v>662500</v>
      </c>
      <c r="W2260">
        <f t="shared" si="211"/>
        <v>18429897</v>
      </c>
      <c r="X2260">
        <f t="shared" si="212"/>
        <v>17767397</v>
      </c>
      <c r="Y2260">
        <f t="shared" si="213"/>
        <v>-25988595.5</v>
      </c>
      <c r="Z2260">
        <f t="shared" si="214"/>
        <v>45080992.5</v>
      </c>
      <c r="AA2260" t="str">
        <f t="shared" si="215"/>
        <v>Normal</v>
      </c>
      <c r="AE2260" s="2"/>
      <c r="AF2260" s="2"/>
    </row>
    <row r="2261" spans="1:32" x14ac:dyDescent="0.35">
      <c r="A2261">
        <v>2260</v>
      </c>
      <c r="B2261" s="1">
        <v>42328</v>
      </c>
      <c r="C2261" s="9" t="s">
        <v>3736</v>
      </c>
      <c r="D2261" s="9" t="s">
        <v>5151</v>
      </c>
      <c r="E2261" s="9" t="s">
        <v>1111</v>
      </c>
      <c r="F2261" s="9" t="s">
        <v>15</v>
      </c>
      <c r="G2261" s="9" t="s">
        <v>3737</v>
      </c>
      <c r="H2261" s="9" t="s">
        <v>105</v>
      </c>
      <c r="I2261" s="11">
        <v>3000000</v>
      </c>
      <c r="J2261" s="11">
        <v>4997121</v>
      </c>
      <c r="K2261" s="11">
        <v>7295800</v>
      </c>
      <c r="L2261" s="3">
        <v>158</v>
      </c>
      <c r="M2261" s="3">
        <v>3602</v>
      </c>
      <c r="N2261" s="3">
        <v>1419119</v>
      </c>
      <c r="O2261" s="2">
        <v>-0.16699999999999998</v>
      </c>
      <c r="P2261" s="2">
        <v>0.94200000000000006</v>
      </c>
      <c r="Q2261" s="2">
        <v>-6.7000000000000004E-2</v>
      </c>
      <c r="R2261" s="11">
        <v>134239098</v>
      </c>
      <c r="S2261" s="11">
        <v>1687125</v>
      </c>
      <c r="T2261">
        <v>2015</v>
      </c>
      <c r="U2261">
        <v>11</v>
      </c>
      <c r="V2261">
        <f t="shared" si="210"/>
        <v>700000</v>
      </c>
      <c r="W2261">
        <f t="shared" si="211"/>
        <v>18429897</v>
      </c>
      <c r="X2261">
        <f t="shared" si="212"/>
        <v>17729897</v>
      </c>
      <c r="Y2261">
        <f t="shared" si="213"/>
        <v>-25894845.5</v>
      </c>
      <c r="Z2261">
        <f t="shared" si="214"/>
        <v>45024742.5</v>
      </c>
      <c r="AA2261" t="str">
        <f t="shared" si="215"/>
        <v>Normal</v>
      </c>
      <c r="AE2261" s="2"/>
      <c r="AF2261" s="2"/>
    </row>
    <row r="2262" spans="1:32" x14ac:dyDescent="0.35">
      <c r="A2262">
        <v>2261</v>
      </c>
      <c r="B2262" s="1">
        <v>42329</v>
      </c>
      <c r="C2262" s="9" t="s">
        <v>3738</v>
      </c>
      <c r="D2262" s="9" t="s">
        <v>5152</v>
      </c>
      <c r="E2262" s="9" t="s">
        <v>1111</v>
      </c>
      <c r="F2262" s="9" t="s">
        <v>27</v>
      </c>
      <c r="G2262" s="9" t="s">
        <v>3739</v>
      </c>
      <c r="H2262" s="9" t="s">
        <v>86</v>
      </c>
      <c r="I2262" s="11">
        <v>18429897</v>
      </c>
      <c r="J2262" s="11">
        <v>178236</v>
      </c>
      <c r="K2262" s="11">
        <v>6220193</v>
      </c>
      <c r="L2262" s="3">
        <v>254</v>
      </c>
      <c r="M2262" s="3">
        <v>3007</v>
      </c>
      <c r="N2262" s="3">
        <v>140237</v>
      </c>
      <c r="O2262" s="2">
        <v>0.249</v>
      </c>
      <c r="P2262" s="2">
        <v>0.99299999999999999</v>
      </c>
      <c r="Q2262" s="2">
        <v>0.13</v>
      </c>
      <c r="R2262" s="11">
        <v>309731610</v>
      </c>
      <c r="S2262" s="11">
        <v>635225</v>
      </c>
      <c r="T2262">
        <v>2015</v>
      </c>
      <c r="U2262">
        <v>11</v>
      </c>
      <c r="V2262">
        <f t="shared" si="210"/>
        <v>687500</v>
      </c>
      <c r="W2262">
        <f t="shared" si="211"/>
        <v>18429897</v>
      </c>
      <c r="X2262">
        <f t="shared" si="212"/>
        <v>17742397</v>
      </c>
      <c r="Y2262">
        <f t="shared" si="213"/>
        <v>-25926095.5</v>
      </c>
      <c r="Z2262">
        <f t="shared" si="214"/>
        <v>45043492.5</v>
      </c>
      <c r="AA2262" t="str">
        <f t="shared" si="215"/>
        <v>Normal</v>
      </c>
      <c r="AE2262" s="2"/>
      <c r="AF2262" s="2"/>
    </row>
    <row r="2263" spans="1:32" x14ac:dyDescent="0.35">
      <c r="A2263">
        <v>2262</v>
      </c>
      <c r="B2263" s="1">
        <v>42329</v>
      </c>
      <c r="C2263" s="9" t="s">
        <v>3740</v>
      </c>
      <c r="D2263" s="9" t="s">
        <v>5153</v>
      </c>
      <c r="E2263" s="9" t="s">
        <v>1111</v>
      </c>
      <c r="F2263" s="9" t="s">
        <v>15</v>
      </c>
      <c r="G2263" s="9" t="s">
        <v>3741</v>
      </c>
      <c r="H2263" s="9" t="s">
        <v>105</v>
      </c>
      <c r="I2263" s="11">
        <v>1200000</v>
      </c>
      <c r="J2263" s="11">
        <v>2591967</v>
      </c>
      <c r="K2263" s="11">
        <v>10734271</v>
      </c>
      <c r="L2263" s="3">
        <v>228</v>
      </c>
      <c r="M2263" s="3">
        <v>1339</v>
      </c>
      <c r="N2263" s="3">
        <v>327020</v>
      </c>
      <c r="O2263" s="2">
        <v>-0.06</v>
      </c>
      <c r="P2263" s="2">
        <v>0.70099999999999996</v>
      </c>
      <c r="Q2263" s="2">
        <v>0.29199999999999998</v>
      </c>
      <c r="R2263" s="11">
        <v>365565792</v>
      </c>
      <c r="S2263" s="11">
        <v>906224</v>
      </c>
      <c r="T2263">
        <v>2015</v>
      </c>
      <c r="U2263">
        <v>11</v>
      </c>
      <c r="V2263">
        <f t="shared" si="210"/>
        <v>675000</v>
      </c>
      <c r="W2263">
        <f t="shared" si="211"/>
        <v>18429897</v>
      </c>
      <c r="X2263">
        <f t="shared" si="212"/>
        <v>17754897</v>
      </c>
      <c r="Y2263">
        <f t="shared" si="213"/>
        <v>-25957345.5</v>
      </c>
      <c r="Z2263">
        <f t="shared" si="214"/>
        <v>45062242.5</v>
      </c>
      <c r="AA2263" t="str">
        <f t="shared" si="215"/>
        <v>Normal</v>
      </c>
      <c r="AE2263" s="2"/>
      <c r="AF2263" s="2"/>
    </row>
    <row r="2264" spans="1:32" x14ac:dyDescent="0.35">
      <c r="A2264">
        <v>2263</v>
      </c>
      <c r="B2264" s="1">
        <v>42329</v>
      </c>
      <c r="C2264" s="9" t="s">
        <v>3742</v>
      </c>
      <c r="D2264" s="9" t="s">
        <v>5154</v>
      </c>
      <c r="E2264" s="9" t="s">
        <v>1111</v>
      </c>
      <c r="F2264" s="9" t="s">
        <v>15</v>
      </c>
      <c r="G2264" s="9" t="s">
        <v>856</v>
      </c>
      <c r="H2264" s="9" t="s">
        <v>86</v>
      </c>
      <c r="I2264" s="11">
        <v>100000</v>
      </c>
      <c r="J2264" s="11">
        <v>547735</v>
      </c>
      <c r="K2264" s="11">
        <v>6081873</v>
      </c>
      <c r="L2264" s="3">
        <v>371</v>
      </c>
      <c r="M2264" s="3">
        <v>2999</v>
      </c>
      <c r="N2264" s="3">
        <v>782110</v>
      </c>
      <c r="O2264" s="2">
        <v>0.59</v>
      </c>
      <c r="P2264" s="2">
        <v>0.88800000000000001</v>
      </c>
      <c r="Q2264" s="2">
        <v>0.312</v>
      </c>
      <c r="R2264" s="11">
        <v>262408219</v>
      </c>
      <c r="S2264" s="11">
        <v>451252</v>
      </c>
      <c r="T2264">
        <v>2015</v>
      </c>
      <c r="U2264">
        <v>11</v>
      </c>
      <c r="V2264">
        <f t="shared" si="210"/>
        <v>662500</v>
      </c>
      <c r="W2264">
        <f t="shared" si="211"/>
        <v>18429897</v>
      </c>
      <c r="X2264">
        <f t="shared" si="212"/>
        <v>17767397</v>
      </c>
      <c r="Y2264">
        <f t="shared" si="213"/>
        <v>-25988595.5</v>
      </c>
      <c r="Z2264">
        <f t="shared" si="214"/>
        <v>45080992.5</v>
      </c>
      <c r="AA2264" t="str">
        <f t="shared" si="215"/>
        <v>Normal</v>
      </c>
      <c r="AE2264" s="2"/>
      <c r="AF2264" s="2"/>
    </row>
    <row r="2265" spans="1:32" x14ac:dyDescent="0.35">
      <c r="A2265">
        <v>2264</v>
      </c>
      <c r="B2265" s="1">
        <v>42331</v>
      </c>
      <c r="C2265" s="9" t="s">
        <v>1328</v>
      </c>
      <c r="D2265" s="9" t="s">
        <v>5155</v>
      </c>
      <c r="E2265" s="9" t="s">
        <v>1111</v>
      </c>
      <c r="F2265" s="9" t="s">
        <v>15</v>
      </c>
      <c r="G2265" s="9" t="s">
        <v>4878</v>
      </c>
      <c r="H2265" s="9" t="s">
        <v>105</v>
      </c>
      <c r="I2265" s="11">
        <v>2000000</v>
      </c>
      <c r="J2265" s="11">
        <v>494091</v>
      </c>
      <c r="K2265" s="11">
        <v>137309</v>
      </c>
      <c r="L2265" s="3">
        <v>260</v>
      </c>
      <c r="M2265" s="3">
        <v>1154</v>
      </c>
      <c r="N2265" s="3">
        <v>1999635</v>
      </c>
      <c r="O2265" s="2">
        <v>0.67600000000000005</v>
      </c>
      <c r="P2265" s="2">
        <v>0.49099999999999999</v>
      </c>
      <c r="Q2265" s="2">
        <v>0.36749999999999999</v>
      </c>
      <c r="R2265" s="11">
        <v>276953657</v>
      </c>
      <c r="S2265" s="11">
        <v>333446</v>
      </c>
      <c r="T2265">
        <v>2015</v>
      </c>
      <c r="U2265">
        <v>11</v>
      </c>
      <c r="V2265">
        <f t="shared" si="210"/>
        <v>700000</v>
      </c>
      <c r="W2265">
        <f t="shared" si="211"/>
        <v>18429897</v>
      </c>
      <c r="X2265">
        <f t="shared" si="212"/>
        <v>17729897</v>
      </c>
      <c r="Y2265">
        <f t="shared" si="213"/>
        <v>-25894845.5</v>
      </c>
      <c r="Z2265">
        <f t="shared" si="214"/>
        <v>45024742.5</v>
      </c>
      <c r="AA2265" t="str">
        <f t="shared" si="215"/>
        <v>Normal</v>
      </c>
      <c r="AE2265" s="2"/>
      <c r="AF2265" s="2"/>
    </row>
    <row r="2266" spans="1:32" x14ac:dyDescent="0.35">
      <c r="A2266">
        <v>2265</v>
      </c>
      <c r="B2266" s="1">
        <v>42331</v>
      </c>
      <c r="C2266" s="9" t="s">
        <v>3743</v>
      </c>
      <c r="D2266" s="9" t="s">
        <v>5156</v>
      </c>
      <c r="E2266" s="9" t="s">
        <v>1111</v>
      </c>
      <c r="F2266" s="9" t="s">
        <v>15</v>
      </c>
      <c r="G2266" s="9" t="s">
        <v>3744</v>
      </c>
      <c r="H2266" s="9" t="s">
        <v>86</v>
      </c>
      <c r="I2266" s="11">
        <v>100000</v>
      </c>
      <c r="J2266" s="11">
        <v>3423311</v>
      </c>
      <c r="K2266" s="11">
        <v>10648530</v>
      </c>
      <c r="L2266" s="3">
        <v>384</v>
      </c>
      <c r="M2266" s="3">
        <v>2798</v>
      </c>
      <c r="N2266" s="3">
        <v>742607</v>
      </c>
      <c r="O2266" s="2">
        <v>7.6999999999999999E-2</v>
      </c>
      <c r="P2266" s="2">
        <v>0.71799999999999997</v>
      </c>
      <c r="Q2266" s="2">
        <v>1.1000000000000001E-2</v>
      </c>
      <c r="R2266" s="11">
        <v>304850007</v>
      </c>
      <c r="S2266" s="11">
        <v>1163236</v>
      </c>
      <c r="T2266">
        <v>2015</v>
      </c>
      <c r="U2266">
        <v>11</v>
      </c>
      <c r="V2266">
        <f t="shared" si="210"/>
        <v>687500</v>
      </c>
      <c r="W2266">
        <f t="shared" si="211"/>
        <v>18429897</v>
      </c>
      <c r="X2266">
        <f t="shared" si="212"/>
        <v>17742397</v>
      </c>
      <c r="Y2266">
        <f t="shared" si="213"/>
        <v>-25926095.5</v>
      </c>
      <c r="Z2266">
        <f t="shared" si="214"/>
        <v>45043492.5</v>
      </c>
      <c r="AA2266" t="str">
        <f t="shared" si="215"/>
        <v>Normal</v>
      </c>
      <c r="AE2266" s="2"/>
      <c r="AF2266" s="2"/>
    </row>
    <row r="2267" spans="1:32" x14ac:dyDescent="0.35">
      <c r="A2267">
        <v>2266</v>
      </c>
      <c r="B2267" s="1">
        <v>42332</v>
      </c>
      <c r="C2267" s="9" t="s">
        <v>3281</v>
      </c>
      <c r="D2267" s="9" t="s">
        <v>5157</v>
      </c>
      <c r="E2267" s="9" t="s">
        <v>1111</v>
      </c>
      <c r="F2267" s="9" t="s">
        <v>19</v>
      </c>
      <c r="G2267" s="9" t="s">
        <v>3745</v>
      </c>
      <c r="H2267" s="9" t="s">
        <v>86</v>
      </c>
      <c r="I2267" s="11">
        <v>250000</v>
      </c>
      <c r="J2267" s="11">
        <v>3644659</v>
      </c>
      <c r="K2267" s="11">
        <v>16983584</v>
      </c>
      <c r="L2267" s="3">
        <v>436</v>
      </c>
      <c r="M2267" s="3">
        <v>2725</v>
      </c>
      <c r="N2267" s="3">
        <v>857809</v>
      </c>
      <c r="O2267" s="2">
        <v>-0.21299999999999999</v>
      </c>
      <c r="P2267" s="2">
        <v>0.50800000000000001</v>
      </c>
      <c r="Q2267" s="2">
        <v>1.6E-2</v>
      </c>
      <c r="R2267" s="11">
        <v>250264963</v>
      </c>
      <c r="S2267" s="11">
        <v>1315359</v>
      </c>
      <c r="T2267">
        <v>2015</v>
      </c>
      <c r="U2267">
        <v>11</v>
      </c>
      <c r="V2267">
        <f t="shared" si="210"/>
        <v>700000</v>
      </c>
      <c r="W2267">
        <f t="shared" si="211"/>
        <v>18429897</v>
      </c>
      <c r="X2267">
        <f t="shared" si="212"/>
        <v>17729897</v>
      </c>
      <c r="Y2267">
        <f t="shared" si="213"/>
        <v>-25894845.5</v>
      </c>
      <c r="Z2267">
        <f t="shared" si="214"/>
        <v>45024742.5</v>
      </c>
      <c r="AA2267" t="str">
        <f t="shared" si="215"/>
        <v>Normal</v>
      </c>
      <c r="AE2267" s="2"/>
      <c r="AF2267" s="2"/>
    </row>
    <row r="2268" spans="1:32" x14ac:dyDescent="0.35">
      <c r="A2268">
        <v>2267</v>
      </c>
      <c r="B2268" s="1">
        <v>42332</v>
      </c>
      <c r="C2268" s="9" t="s">
        <v>3746</v>
      </c>
      <c r="D2268" s="9" t="s">
        <v>5158</v>
      </c>
      <c r="E2268" s="9" t="s">
        <v>1111</v>
      </c>
      <c r="F2268" s="9" t="s">
        <v>27</v>
      </c>
      <c r="G2268" s="9" t="s">
        <v>3747</v>
      </c>
      <c r="H2268" s="9" t="s">
        <v>86</v>
      </c>
      <c r="I2268" s="11">
        <v>18429897</v>
      </c>
      <c r="J2268" s="11">
        <v>608818</v>
      </c>
      <c r="K2268" s="11">
        <v>11736369</v>
      </c>
      <c r="L2268" s="3">
        <v>214</v>
      </c>
      <c r="M2268" s="3">
        <v>1169</v>
      </c>
      <c r="N2268" s="3">
        <v>1534855</v>
      </c>
      <c r="O2268" s="2">
        <v>0.251</v>
      </c>
      <c r="P2268" s="2">
        <v>0.625</v>
      </c>
      <c r="Q2268" s="2">
        <v>5.0999999999999997E-2</v>
      </c>
      <c r="R2268" s="11">
        <v>166656144</v>
      </c>
      <c r="S2268" s="11">
        <v>1151579</v>
      </c>
      <c r="T2268">
        <v>2015</v>
      </c>
      <c r="U2268">
        <v>11</v>
      </c>
      <c r="V2268">
        <f t="shared" si="210"/>
        <v>700000</v>
      </c>
      <c r="W2268">
        <f t="shared" si="211"/>
        <v>18429897</v>
      </c>
      <c r="X2268">
        <f t="shared" si="212"/>
        <v>17729897</v>
      </c>
      <c r="Y2268">
        <f t="shared" si="213"/>
        <v>-25894845.5</v>
      </c>
      <c r="Z2268">
        <f t="shared" si="214"/>
        <v>45024742.5</v>
      </c>
      <c r="AA2268" t="str">
        <f t="shared" si="215"/>
        <v>Normal</v>
      </c>
      <c r="AE2268" s="2"/>
      <c r="AF2268" s="2"/>
    </row>
    <row r="2269" spans="1:32" x14ac:dyDescent="0.35">
      <c r="A2269">
        <v>2268</v>
      </c>
      <c r="B2269" s="1">
        <v>42332</v>
      </c>
      <c r="C2269" s="9" t="s">
        <v>3748</v>
      </c>
      <c r="D2269" s="9" t="s">
        <v>5159</v>
      </c>
      <c r="E2269" s="9" t="s">
        <v>1111</v>
      </c>
      <c r="F2269" s="9" t="s">
        <v>31</v>
      </c>
      <c r="G2269" s="9" t="s">
        <v>3749</v>
      </c>
      <c r="H2269" s="9" t="s">
        <v>105</v>
      </c>
      <c r="I2269" s="11">
        <v>52000000</v>
      </c>
      <c r="J2269" s="11">
        <v>4883787</v>
      </c>
      <c r="K2269" s="11">
        <v>7302317</v>
      </c>
      <c r="L2269" s="3">
        <v>351</v>
      </c>
      <c r="M2269" s="3">
        <v>1041</v>
      </c>
      <c r="N2269" s="3">
        <v>1596633</v>
      </c>
      <c r="O2269" s="2">
        <v>0.54</v>
      </c>
      <c r="P2269" s="2">
        <v>0.20399999999999999</v>
      </c>
      <c r="Q2269" s="2">
        <v>0.17600000000000002</v>
      </c>
      <c r="R2269" s="11">
        <v>44878293</v>
      </c>
      <c r="S2269" s="11">
        <v>1830766</v>
      </c>
      <c r="T2269">
        <v>2015</v>
      </c>
      <c r="U2269">
        <v>11</v>
      </c>
      <c r="V2269">
        <f t="shared" si="210"/>
        <v>700000</v>
      </c>
      <c r="W2269">
        <f t="shared" si="211"/>
        <v>18429897</v>
      </c>
      <c r="X2269">
        <f t="shared" si="212"/>
        <v>17729897</v>
      </c>
      <c r="Y2269">
        <f t="shared" si="213"/>
        <v>-25894845.5</v>
      </c>
      <c r="Z2269">
        <f t="shared" si="214"/>
        <v>45024742.5</v>
      </c>
      <c r="AA2269" t="str">
        <f t="shared" si="215"/>
        <v>Outlier</v>
      </c>
      <c r="AE2269" s="2"/>
      <c r="AF2269" s="2"/>
    </row>
    <row r="2270" spans="1:32" x14ac:dyDescent="0.35">
      <c r="A2270">
        <v>2269</v>
      </c>
      <c r="B2270" s="1">
        <v>42332</v>
      </c>
      <c r="C2270" s="9" t="s">
        <v>943</v>
      </c>
      <c r="D2270" s="9" t="s">
        <v>5160</v>
      </c>
      <c r="E2270" s="9" t="s">
        <v>1111</v>
      </c>
      <c r="F2270" s="9" t="s">
        <v>3750</v>
      </c>
      <c r="G2270" s="9" t="s">
        <v>715</v>
      </c>
      <c r="H2270" s="9" t="s">
        <v>105</v>
      </c>
      <c r="I2270" s="11">
        <v>18429897</v>
      </c>
      <c r="J2270" s="11">
        <v>1615897</v>
      </c>
      <c r="K2270" s="11">
        <v>9699245</v>
      </c>
      <c r="L2270" s="3">
        <v>256</v>
      </c>
      <c r="M2270" s="3">
        <v>2619</v>
      </c>
      <c r="N2270" s="3">
        <v>1342999</v>
      </c>
      <c r="O2270" s="2">
        <v>-0.14199999999999999</v>
      </c>
      <c r="P2270" s="2">
        <v>1.0109999999999999E-2</v>
      </c>
      <c r="Q2270" s="2">
        <v>0.57200000000000006</v>
      </c>
      <c r="R2270" s="11">
        <v>321019806</v>
      </c>
      <c r="S2270" s="11">
        <v>1415653</v>
      </c>
      <c r="T2270">
        <v>2015</v>
      </c>
      <c r="U2270">
        <v>11</v>
      </c>
      <c r="V2270">
        <f t="shared" si="210"/>
        <v>700000</v>
      </c>
      <c r="W2270">
        <f t="shared" si="211"/>
        <v>18429897</v>
      </c>
      <c r="X2270">
        <f t="shared" si="212"/>
        <v>17729897</v>
      </c>
      <c r="Y2270">
        <f t="shared" si="213"/>
        <v>-25894845.5</v>
      </c>
      <c r="Z2270">
        <f t="shared" si="214"/>
        <v>45024742.5</v>
      </c>
      <c r="AA2270" t="str">
        <f t="shared" si="215"/>
        <v>Normal</v>
      </c>
      <c r="AE2270" s="2"/>
      <c r="AF2270" s="2"/>
    </row>
    <row r="2271" spans="1:32" x14ac:dyDescent="0.35">
      <c r="A2271">
        <v>2270</v>
      </c>
      <c r="B2271" s="1">
        <v>42333</v>
      </c>
      <c r="C2271" s="9" t="s">
        <v>794</v>
      </c>
      <c r="D2271" s="9" t="s">
        <v>5161</v>
      </c>
      <c r="E2271" s="9" t="s">
        <v>1111</v>
      </c>
      <c r="F2271" s="9" t="s">
        <v>31</v>
      </c>
      <c r="G2271" s="9" t="s">
        <v>3751</v>
      </c>
      <c r="H2271" s="9" t="s">
        <v>86</v>
      </c>
      <c r="I2271" s="11">
        <v>1500000</v>
      </c>
      <c r="J2271" s="11">
        <v>1605265</v>
      </c>
      <c r="K2271" s="11">
        <v>2889152</v>
      </c>
      <c r="L2271" s="3">
        <v>400</v>
      </c>
      <c r="M2271" s="3">
        <v>2955</v>
      </c>
      <c r="N2271" s="3">
        <v>60677</v>
      </c>
      <c r="O2271" s="2">
        <v>0.5</v>
      </c>
      <c r="P2271" s="2">
        <v>0.41799999999999998</v>
      </c>
      <c r="Q2271" s="2">
        <v>-5.0000000000000001E-3</v>
      </c>
      <c r="R2271" s="11">
        <v>100510219</v>
      </c>
      <c r="S2271" s="11">
        <v>190156</v>
      </c>
      <c r="T2271">
        <v>2015</v>
      </c>
      <c r="U2271">
        <v>11</v>
      </c>
      <c r="V2271">
        <f t="shared" si="210"/>
        <v>700000</v>
      </c>
      <c r="W2271">
        <f t="shared" si="211"/>
        <v>18429897</v>
      </c>
      <c r="X2271">
        <f t="shared" si="212"/>
        <v>17729897</v>
      </c>
      <c r="Y2271">
        <f t="shared" si="213"/>
        <v>-25894845.5</v>
      </c>
      <c r="Z2271">
        <f t="shared" si="214"/>
        <v>45024742.5</v>
      </c>
      <c r="AA2271" t="str">
        <f t="shared" si="215"/>
        <v>Normal</v>
      </c>
      <c r="AE2271" s="2"/>
      <c r="AF2271" s="2"/>
    </row>
    <row r="2272" spans="1:32" x14ac:dyDescent="0.35">
      <c r="A2272">
        <v>2271</v>
      </c>
      <c r="B2272" s="1">
        <v>42333</v>
      </c>
      <c r="C2272" s="9" t="s">
        <v>3752</v>
      </c>
      <c r="D2272" s="9" t="s">
        <v>5162</v>
      </c>
      <c r="E2272" s="9" t="s">
        <v>1111</v>
      </c>
      <c r="F2272" s="9" t="s">
        <v>27</v>
      </c>
      <c r="G2272" s="9" t="s">
        <v>3753</v>
      </c>
      <c r="H2272" s="9" t="s">
        <v>86</v>
      </c>
      <c r="I2272" s="11">
        <v>110000</v>
      </c>
      <c r="J2272" s="11">
        <v>1498947</v>
      </c>
      <c r="K2272" s="11">
        <v>4808958</v>
      </c>
      <c r="L2272" s="3">
        <v>99</v>
      </c>
      <c r="M2272" s="3">
        <v>4900</v>
      </c>
      <c r="N2272" s="3">
        <v>1744417</v>
      </c>
      <c r="O2272" s="2">
        <v>-0.25</v>
      </c>
      <c r="P2272" s="2">
        <v>0.67400000000000004</v>
      </c>
      <c r="Q2272" s="2">
        <v>-0.31</v>
      </c>
      <c r="R2272" s="11">
        <v>314504399</v>
      </c>
      <c r="S2272" s="11">
        <v>1167689</v>
      </c>
      <c r="T2272">
        <v>2015</v>
      </c>
      <c r="U2272">
        <v>11</v>
      </c>
      <c r="V2272">
        <f t="shared" si="210"/>
        <v>700000</v>
      </c>
      <c r="W2272">
        <f t="shared" si="211"/>
        <v>18429897</v>
      </c>
      <c r="X2272">
        <f t="shared" si="212"/>
        <v>17729897</v>
      </c>
      <c r="Y2272">
        <f t="shared" si="213"/>
        <v>-25894845.5</v>
      </c>
      <c r="Z2272">
        <f t="shared" si="214"/>
        <v>45024742.5</v>
      </c>
      <c r="AA2272" t="str">
        <f t="shared" si="215"/>
        <v>Normal</v>
      </c>
      <c r="AE2272" s="2"/>
      <c r="AF2272" s="2"/>
    </row>
    <row r="2273" spans="1:32" x14ac:dyDescent="0.35">
      <c r="A2273">
        <v>2272</v>
      </c>
      <c r="B2273" s="1">
        <v>42333</v>
      </c>
      <c r="C2273" s="9" t="s">
        <v>3754</v>
      </c>
      <c r="D2273" s="9" t="s">
        <v>5163</v>
      </c>
      <c r="E2273" s="9" t="s">
        <v>1111</v>
      </c>
      <c r="F2273" s="9" t="s">
        <v>27</v>
      </c>
      <c r="G2273" s="9" t="s">
        <v>3755</v>
      </c>
      <c r="H2273" s="9" t="s">
        <v>105</v>
      </c>
      <c r="I2273" s="11">
        <v>27000000</v>
      </c>
      <c r="J2273" s="11">
        <v>2531926</v>
      </c>
      <c r="K2273" s="11">
        <v>8814525</v>
      </c>
      <c r="L2273" s="3">
        <v>365</v>
      </c>
      <c r="M2273" s="3">
        <v>2502</v>
      </c>
      <c r="N2273" s="3">
        <v>521955</v>
      </c>
      <c r="O2273" s="2">
        <v>-0.17100000000000001</v>
      </c>
      <c r="P2273" s="2">
        <v>0.8590000000000001</v>
      </c>
      <c r="Q2273" s="2">
        <v>-0.32600000000000001</v>
      </c>
      <c r="R2273" s="11">
        <v>250264963</v>
      </c>
      <c r="S2273" s="11">
        <v>371461</v>
      </c>
      <c r="T2273">
        <v>2015</v>
      </c>
      <c r="U2273">
        <v>11</v>
      </c>
      <c r="V2273">
        <f t="shared" si="210"/>
        <v>700000</v>
      </c>
      <c r="W2273">
        <f t="shared" si="211"/>
        <v>18429897</v>
      </c>
      <c r="X2273">
        <f t="shared" si="212"/>
        <v>17729897</v>
      </c>
      <c r="Y2273">
        <f t="shared" si="213"/>
        <v>-25894845.5</v>
      </c>
      <c r="Z2273">
        <f t="shared" si="214"/>
        <v>45024742.5</v>
      </c>
      <c r="AA2273" t="str">
        <f t="shared" si="215"/>
        <v>Normal</v>
      </c>
      <c r="AE2273" s="2"/>
      <c r="AF2273" s="2"/>
    </row>
    <row r="2274" spans="1:32" x14ac:dyDescent="0.35">
      <c r="A2274">
        <v>2273</v>
      </c>
      <c r="B2274" s="1">
        <v>42334</v>
      </c>
      <c r="C2274" s="9" t="s">
        <v>3756</v>
      </c>
      <c r="D2274" s="9" t="s">
        <v>5164</v>
      </c>
      <c r="E2274" s="9" t="s">
        <v>1111</v>
      </c>
      <c r="F2274" s="9" t="s">
        <v>35</v>
      </c>
      <c r="G2274" s="9" t="s">
        <v>1800</v>
      </c>
      <c r="H2274" s="9" t="s">
        <v>105</v>
      </c>
      <c r="I2274" s="11">
        <v>18429897</v>
      </c>
      <c r="J2274" s="11">
        <v>905614</v>
      </c>
      <c r="K2274" s="11">
        <v>11887491</v>
      </c>
      <c r="L2274" s="3">
        <v>299</v>
      </c>
      <c r="M2274" s="3">
        <v>2250</v>
      </c>
      <c r="N2274" s="3">
        <v>1008573</v>
      </c>
      <c r="O2274" s="2">
        <v>0.182</v>
      </c>
      <c r="P2274" s="2">
        <v>0.23400000000000001</v>
      </c>
      <c r="Q2274" s="2">
        <v>0.30399999999999999</v>
      </c>
      <c r="R2274" s="11">
        <v>381269085</v>
      </c>
      <c r="S2274" s="11">
        <v>168914</v>
      </c>
      <c r="T2274">
        <v>2015</v>
      </c>
      <c r="U2274">
        <v>11</v>
      </c>
      <c r="V2274">
        <f t="shared" si="210"/>
        <v>700000</v>
      </c>
      <c r="W2274">
        <f t="shared" si="211"/>
        <v>18429897</v>
      </c>
      <c r="X2274">
        <f t="shared" si="212"/>
        <v>17729897</v>
      </c>
      <c r="Y2274">
        <f t="shared" si="213"/>
        <v>-25894845.5</v>
      </c>
      <c r="Z2274">
        <f t="shared" si="214"/>
        <v>45024742.5</v>
      </c>
      <c r="AA2274" t="str">
        <f t="shared" si="215"/>
        <v>Normal</v>
      </c>
      <c r="AE2274" s="2"/>
      <c r="AF2274" s="2"/>
    </row>
    <row r="2275" spans="1:32" x14ac:dyDescent="0.35">
      <c r="A2275">
        <v>2274</v>
      </c>
      <c r="B2275" s="1">
        <v>42334</v>
      </c>
      <c r="C2275" s="9" t="s">
        <v>133</v>
      </c>
      <c r="D2275" s="9" t="s">
        <v>5165</v>
      </c>
      <c r="E2275" s="9" t="s">
        <v>1111</v>
      </c>
      <c r="F2275" s="9" t="s">
        <v>31</v>
      </c>
      <c r="G2275" s="9" t="s">
        <v>3757</v>
      </c>
      <c r="H2275" s="9" t="s">
        <v>105</v>
      </c>
      <c r="I2275" s="11">
        <v>13400000</v>
      </c>
      <c r="J2275" s="11">
        <v>1000000000</v>
      </c>
      <c r="K2275" s="11">
        <v>9774928</v>
      </c>
      <c r="L2275" s="3">
        <v>254</v>
      </c>
      <c r="M2275" s="3">
        <v>2405</v>
      </c>
      <c r="N2275" s="3">
        <v>1463509</v>
      </c>
      <c r="O2275" s="2">
        <v>0.32300000000000001</v>
      </c>
      <c r="P2275" s="2">
        <v>0.54200000000000004</v>
      </c>
      <c r="Q2275" s="2">
        <v>-3.6000000000000004E-2</v>
      </c>
      <c r="R2275" s="11">
        <v>375224171</v>
      </c>
      <c r="S2275" s="11">
        <v>464703</v>
      </c>
      <c r="T2275">
        <v>2015</v>
      </c>
      <c r="U2275">
        <v>11</v>
      </c>
      <c r="V2275">
        <f t="shared" si="210"/>
        <v>700000</v>
      </c>
      <c r="W2275">
        <f t="shared" si="211"/>
        <v>18429897</v>
      </c>
      <c r="X2275">
        <f t="shared" si="212"/>
        <v>17729897</v>
      </c>
      <c r="Y2275">
        <f t="shared" si="213"/>
        <v>-25894845.5</v>
      </c>
      <c r="Z2275">
        <f t="shared" si="214"/>
        <v>45024742.5</v>
      </c>
      <c r="AA2275" t="str">
        <f t="shared" si="215"/>
        <v>Normal</v>
      </c>
      <c r="AE2275" s="2"/>
      <c r="AF2275" s="2"/>
    </row>
    <row r="2276" spans="1:32" x14ac:dyDescent="0.35">
      <c r="A2276">
        <v>2275</v>
      </c>
      <c r="B2276" s="1">
        <v>42334</v>
      </c>
      <c r="C2276" s="9" t="s">
        <v>171</v>
      </c>
      <c r="D2276" s="9" t="s">
        <v>5166</v>
      </c>
      <c r="E2276" s="9" t="s">
        <v>1111</v>
      </c>
      <c r="F2276" s="9" t="s">
        <v>19</v>
      </c>
      <c r="G2276" s="9" t="s">
        <v>3758</v>
      </c>
      <c r="H2276" s="9" t="s">
        <v>105</v>
      </c>
      <c r="I2276" s="11">
        <v>120000000</v>
      </c>
      <c r="J2276" s="11">
        <v>1065707</v>
      </c>
      <c r="K2276" s="11">
        <v>19261459</v>
      </c>
      <c r="L2276" s="3">
        <v>188</v>
      </c>
      <c r="M2276" s="3">
        <v>4378</v>
      </c>
      <c r="N2276" s="3">
        <v>577469</v>
      </c>
      <c r="O2276" s="2">
        <v>0.107</v>
      </c>
      <c r="P2276" s="2">
        <v>0.46400000000000002</v>
      </c>
      <c r="Q2276" s="2">
        <v>0.16699999999999998</v>
      </c>
      <c r="R2276" s="11">
        <v>253708944</v>
      </c>
      <c r="S2276" s="11">
        <v>1565031</v>
      </c>
      <c r="T2276">
        <v>2015</v>
      </c>
      <c r="U2276">
        <v>11</v>
      </c>
      <c r="V2276">
        <f t="shared" si="210"/>
        <v>700000</v>
      </c>
      <c r="W2276">
        <f t="shared" si="211"/>
        <v>18429897</v>
      </c>
      <c r="X2276">
        <f t="shared" si="212"/>
        <v>17729897</v>
      </c>
      <c r="Y2276">
        <f t="shared" si="213"/>
        <v>-25894845.5</v>
      </c>
      <c r="Z2276">
        <f t="shared" si="214"/>
        <v>45024742.5</v>
      </c>
      <c r="AA2276" t="str">
        <f t="shared" si="215"/>
        <v>Outlier</v>
      </c>
      <c r="AE2276" s="2"/>
      <c r="AF2276" s="2"/>
    </row>
    <row r="2277" spans="1:32" x14ac:dyDescent="0.35">
      <c r="A2277">
        <v>2276</v>
      </c>
      <c r="B2277" s="1">
        <v>42334</v>
      </c>
      <c r="C2277" s="9" t="s">
        <v>3759</v>
      </c>
      <c r="D2277" s="9" t="s">
        <v>5167</v>
      </c>
      <c r="E2277" s="9" t="s">
        <v>1111</v>
      </c>
      <c r="F2277" s="9" t="s">
        <v>19</v>
      </c>
      <c r="G2277" s="9" t="s">
        <v>3760</v>
      </c>
      <c r="H2277" s="9" t="s">
        <v>105</v>
      </c>
      <c r="I2277" s="11">
        <v>1000000</v>
      </c>
      <c r="J2277" s="11">
        <v>276067</v>
      </c>
      <c r="K2277" s="11">
        <v>12784313</v>
      </c>
      <c r="L2277" s="3">
        <v>352</v>
      </c>
      <c r="M2277" s="3">
        <v>1569</v>
      </c>
      <c r="N2277" s="3">
        <v>1371140</v>
      </c>
      <c r="O2277" s="2">
        <v>0.21</v>
      </c>
      <c r="P2277" s="2">
        <v>0.33299999999999996</v>
      </c>
      <c r="Q2277" s="2">
        <v>-7.6999999999999999E-2</v>
      </c>
      <c r="R2277" s="11">
        <v>277828916</v>
      </c>
      <c r="S2277" s="11">
        <v>290067</v>
      </c>
      <c r="T2277">
        <v>2015</v>
      </c>
      <c r="U2277">
        <v>11</v>
      </c>
      <c r="V2277">
        <f t="shared" si="210"/>
        <v>700000</v>
      </c>
      <c r="W2277">
        <f t="shared" si="211"/>
        <v>18429897</v>
      </c>
      <c r="X2277">
        <f t="shared" si="212"/>
        <v>17729897</v>
      </c>
      <c r="Y2277">
        <f t="shared" si="213"/>
        <v>-25894845.5</v>
      </c>
      <c r="Z2277">
        <f t="shared" si="214"/>
        <v>45024742.5</v>
      </c>
      <c r="AA2277" t="str">
        <f t="shared" si="215"/>
        <v>Normal</v>
      </c>
      <c r="AE2277" s="2"/>
      <c r="AF2277" s="2"/>
    </row>
    <row r="2278" spans="1:32" x14ac:dyDescent="0.35">
      <c r="A2278">
        <v>2277</v>
      </c>
      <c r="B2278" s="1">
        <v>42334</v>
      </c>
      <c r="C2278" s="9" t="s">
        <v>3761</v>
      </c>
      <c r="D2278" s="9" t="s">
        <v>5168</v>
      </c>
      <c r="E2278" s="9" t="s">
        <v>1111</v>
      </c>
      <c r="F2278" s="9" t="s">
        <v>15</v>
      </c>
      <c r="G2278" s="9" t="s">
        <v>3762</v>
      </c>
      <c r="H2278" s="9" t="s">
        <v>86</v>
      </c>
      <c r="I2278" s="11">
        <v>18429897</v>
      </c>
      <c r="J2278" s="11">
        <v>2531926</v>
      </c>
      <c r="K2278" s="11">
        <v>557546</v>
      </c>
      <c r="L2278" s="3">
        <v>176</v>
      </c>
      <c r="M2278" s="3">
        <v>1937</v>
      </c>
      <c r="N2278" s="3">
        <v>1008550</v>
      </c>
      <c r="O2278" s="2">
        <v>0.34100000000000003</v>
      </c>
      <c r="P2278" s="2">
        <v>1.0129999999999999</v>
      </c>
      <c r="Q2278" s="2">
        <v>6.3E-2</v>
      </c>
      <c r="R2278" s="11">
        <v>382613097</v>
      </c>
      <c r="S2278" s="11">
        <v>1981120</v>
      </c>
      <c r="T2278">
        <v>2015</v>
      </c>
      <c r="U2278">
        <v>11</v>
      </c>
      <c r="V2278">
        <f t="shared" si="210"/>
        <v>687500</v>
      </c>
      <c r="W2278">
        <f t="shared" si="211"/>
        <v>18429897</v>
      </c>
      <c r="X2278">
        <f t="shared" si="212"/>
        <v>17742397</v>
      </c>
      <c r="Y2278">
        <f t="shared" si="213"/>
        <v>-25926095.5</v>
      </c>
      <c r="Z2278">
        <f t="shared" si="214"/>
        <v>45043492.5</v>
      </c>
      <c r="AA2278" t="str">
        <f t="shared" si="215"/>
        <v>Normal</v>
      </c>
      <c r="AE2278" s="2"/>
      <c r="AF2278" s="2"/>
    </row>
    <row r="2279" spans="1:32" x14ac:dyDescent="0.35">
      <c r="A2279">
        <v>2278</v>
      </c>
      <c r="B2279" s="1">
        <v>42335</v>
      </c>
      <c r="C2279" s="9" t="s">
        <v>3763</v>
      </c>
      <c r="D2279" s="9" t="s">
        <v>5169</v>
      </c>
      <c r="E2279" s="9" t="s">
        <v>1111</v>
      </c>
      <c r="F2279" s="9" t="s">
        <v>15</v>
      </c>
      <c r="G2279" s="9" t="s">
        <v>3764</v>
      </c>
      <c r="H2279" s="9" t="s">
        <v>105</v>
      </c>
      <c r="I2279" s="11">
        <v>18429897</v>
      </c>
      <c r="J2279" s="11">
        <v>3367876</v>
      </c>
      <c r="K2279" s="11">
        <v>10538792</v>
      </c>
      <c r="L2279" s="3">
        <v>254</v>
      </c>
      <c r="M2279" s="3">
        <v>1875</v>
      </c>
      <c r="N2279" s="3">
        <v>312587</v>
      </c>
      <c r="O2279" s="2">
        <v>0.36399999999999999</v>
      </c>
      <c r="P2279" s="2">
        <v>0.74199999999999999</v>
      </c>
      <c r="Q2279" s="2">
        <v>1.9E-2</v>
      </c>
      <c r="R2279" s="11">
        <v>473000684</v>
      </c>
      <c r="S2279" s="11">
        <v>1130136</v>
      </c>
      <c r="T2279">
        <v>2015</v>
      </c>
      <c r="U2279">
        <v>11</v>
      </c>
      <c r="V2279">
        <f t="shared" si="210"/>
        <v>675000</v>
      </c>
      <c r="W2279">
        <f t="shared" si="211"/>
        <v>18429897</v>
      </c>
      <c r="X2279">
        <f t="shared" si="212"/>
        <v>17754897</v>
      </c>
      <c r="Y2279">
        <f t="shared" si="213"/>
        <v>-25957345.5</v>
      </c>
      <c r="Z2279">
        <f t="shared" si="214"/>
        <v>45062242.5</v>
      </c>
      <c r="AA2279" t="str">
        <f t="shared" si="215"/>
        <v>Normal</v>
      </c>
      <c r="AE2279" s="2"/>
      <c r="AF2279" s="2"/>
    </row>
    <row r="2280" spans="1:32" x14ac:dyDescent="0.35">
      <c r="A2280">
        <v>2279</v>
      </c>
      <c r="B2280" s="1">
        <v>42335</v>
      </c>
      <c r="C2280" s="9" t="s">
        <v>2132</v>
      </c>
      <c r="D2280" s="9" t="s">
        <v>5170</v>
      </c>
      <c r="E2280" s="9" t="s">
        <v>1111</v>
      </c>
      <c r="F2280" s="9" t="s">
        <v>31</v>
      </c>
      <c r="G2280" s="9" t="s">
        <v>58</v>
      </c>
      <c r="H2280" s="9" t="s">
        <v>105</v>
      </c>
      <c r="I2280" s="11">
        <v>2000000</v>
      </c>
      <c r="J2280" s="11">
        <v>3820187</v>
      </c>
      <c r="K2280" s="11">
        <v>11697841</v>
      </c>
      <c r="L2280" s="3">
        <v>474</v>
      </c>
      <c r="M2280" s="3">
        <v>3134</v>
      </c>
      <c r="N2280" s="3">
        <v>431082</v>
      </c>
      <c r="O2280" s="2">
        <v>-0.4</v>
      </c>
      <c r="P2280" s="2">
        <v>0.65599999999999992</v>
      </c>
      <c r="Q2280" s="2">
        <v>0.36749999999999999</v>
      </c>
      <c r="R2280" s="11">
        <v>487914149</v>
      </c>
      <c r="S2280" s="11">
        <v>725868</v>
      </c>
      <c r="T2280">
        <v>2015</v>
      </c>
      <c r="U2280">
        <v>11</v>
      </c>
      <c r="V2280">
        <f t="shared" si="210"/>
        <v>662500</v>
      </c>
      <c r="W2280">
        <f t="shared" si="211"/>
        <v>18429897</v>
      </c>
      <c r="X2280">
        <f t="shared" si="212"/>
        <v>17767397</v>
      </c>
      <c r="Y2280">
        <f t="shared" si="213"/>
        <v>-25988595.5</v>
      </c>
      <c r="Z2280">
        <f t="shared" si="214"/>
        <v>45080992.5</v>
      </c>
      <c r="AA2280" t="str">
        <f t="shared" si="215"/>
        <v>Normal</v>
      </c>
      <c r="AE2280" s="2"/>
      <c r="AF2280" s="2"/>
    </row>
    <row r="2281" spans="1:32" x14ac:dyDescent="0.35">
      <c r="A2281">
        <v>2280</v>
      </c>
      <c r="B2281" s="1">
        <v>42335</v>
      </c>
      <c r="C2281" s="9" t="s">
        <v>2454</v>
      </c>
      <c r="D2281" s="9" t="s">
        <v>5171</v>
      </c>
      <c r="E2281" s="9" t="s">
        <v>1111</v>
      </c>
      <c r="F2281" s="9" t="s">
        <v>63</v>
      </c>
      <c r="G2281" s="9" t="s">
        <v>2967</v>
      </c>
      <c r="H2281" s="9" t="s">
        <v>86</v>
      </c>
      <c r="I2281" s="11">
        <v>18429897</v>
      </c>
      <c r="J2281" s="11">
        <v>1779621</v>
      </c>
      <c r="K2281" s="11">
        <v>966119</v>
      </c>
      <c r="L2281" s="3">
        <v>226</v>
      </c>
      <c r="M2281" s="3">
        <v>3512</v>
      </c>
      <c r="N2281" s="3">
        <v>1525686</v>
      </c>
      <c r="O2281" s="2">
        <v>1.6E-2</v>
      </c>
      <c r="P2281" s="2">
        <v>0.33200000000000002</v>
      </c>
      <c r="Q2281" s="2">
        <v>0.40899999999999997</v>
      </c>
      <c r="R2281" s="11">
        <v>22429918</v>
      </c>
      <c r="S2281" s="11">
        <v>162166</v>
      </c>
      <c r="T2281">
        <v>2015</v>
      </c>
      <c r="U2281">
        <v>11</v>
      </c>
      <c r="V2281">
        <f t="shared" si="210"/>
        <v>650000</v>
      </c>
      <c r="W2281">
        <f t="shared" si="211"/>
        <v>18429897</v>
      </c>
      <c r="X2281">
        <f t="shared" si="212"/>
        <v>17779897</v>
      </c>
      <c r="Y2281">
        <f t="shared" si="213"/>
        <v>-26019845.5</v>
      </c>
      <c r="Z2281">
        <f t="shared" si="214"/>
        <v>45099742.5</v>
      </c>
      <c r="AA2281" t="str">
        <f t="shared" si="215"/>
        <v>Normal</v>
      </c>
      <c r="AE2281" s="2"/>
      <c r="AF2281" s="2"/>
    </row>
    <row r="2282" spans="1:32" x14ac:dyDescent="0.35">
      <c r="A2282">
        <v>2281</v>
      </c>
      <c r="B2282" s="1">
        <v>42335</v>
      </c>
      <c r="C2282" s="9" t="s">
        <v>3765</v>
      </c>
      <c r="D2282" s="9" t="s">
        <v>5172</v>
      </c>
      <c r="E2282" s="9" t="s">
        <v>1111</v>
      </c>
      <c r="F2282" s="9" t="s">
        <v>35</v>
      </c>
      <c r="G2282" s="9" t="s">
        <v>3766</v>
      </c>
      <c r="H2282" s="9" t="s">
        <v>86</v>
      </c>
      <c r="I2282" s="11">
        <v>18429897</v>
      </c>
      <c r="J2282" s="11">
        <v>2531926</v>
      </c>
      <c r="K2282" s="11">
        <v>7761868</v>
      </c>
      <c r="L2282" s="3">
        <v>86</v>
      </c>
      <c r="M2282" s="3">
        <v>2435</v>
      </c>
      <c r="N2282" s="3">
        <v>121155</v>
      </c>
      <c r="O2282" s="2">
        <v>0.33100000000000002</v>
      </c>
      <c r="P2282" s="2">
        <v>0.71400000000000008</v>
      </c>
      <c r="Q2282" s="2">
        <v>0.42699999999999999</v>
      </c>
      <c r="R2282" s="11">
        <v>161571355</v>
      </c>
      <c r="S2282" s="11">
        <v>640469</v>
      </c>
      <c r="T2282">
        <v>2015</v>
      </c>
      <c r="U2282">
        <v>11</v>
      </c>
      <c r="V2282">
        <f t="shared" si="210"/>
        <v>650000</v>
      </c>
      <c r="W2282">
        <f t="shared" si="211"/>
        <v>18429897</v>
      </c>
      <c r="X2282">
        <f t="shared" si="212"/>
        <v>17779897</v>
      </c>
      <c r="Y2282">
        <f t="shared" si="213"/>
        <v>-26019845.5</v>
      </c>
      <c r="Z2282">
        <f t="shared" si="214"/>
        <v>45099742.5</v>
      </c>
      <c r="AA2282" t="str">
        <f t="shared" si="215"/>
        <v>Normal</v>
      </c>
      <c r="AE2282" s="2"/>
      <c r="AF2282" s="2"/>
    </row>
    <row r="2283" spans="1:32" x14ac:dyDescent="0.35">
      <c r="A2283">
        <v>2282</v>
      </c>
      <c r="B2283" s="1">
        <v>42335</v>
      </c>
      <c r="C2283" s="9" t="s">
        <v>3767</v>
      </c>
      <c r="D2283" s="9" t="s">
        <v>5173</v>
      </c>
      <c r="E2283" s="9" t="s">
        <v>1111</v>
      </c>
      <c r="F2283" s="9" t="s">
        <v>27</v>
      </c>
      <c r="G2283" s="9" t="s">
        <v>3768</v>
      </c>
      <c r="H2283" s="9" t="s">
        <v>86</v>
      </c>
      <c r="I2283" s="11">
        <v>18429897</v>
      </c>
      <c r="J2283" s="11">
        <v>3941570</v>
      </c>
      <c r="K2283" s="11">
        <v>17443095</v>
      </c>
      <c r="L2283" s="3">
        <v>116</v>
      </c>
      <c r="M2283" s="3">
        <v>1356</v>
      </c>
      <c r="N2283" s="3">
        <v>763385</v>
      </c>
      <c r="O2283" s="2">
        <v>0.21099999999999999</v>
      </c>
      <c r="P2283" s="2">
        <v>0.46700000000000003</v>
      </c>
      <c r="Q2283" s="2">
        <v>0.26</v>
      </c>
      <c r="R2283" s="11">
        <v>451226280</v>
      </c>
      <c r="S2283" s="11">
        <v>1969330</v>
      </c>
      <c r="T2283">
        <v>2015</v>
      </c>
      <c r="U2283">
        <v>11</v>
      </c>
      <c r="V2283">
        <f t="shared" si="210"/>
        <v>650000</v>
      </c>
      <c r="W2283">
        <f t="shared" si="211"/>
        <v>18429897</v>
      </c>
      <c r="X2283">
        <f t="shared" si="212"/>
        <v>17779897</v>
      </c>
      <c r="Y2283">
        <f t="shared" si="213"/>
        <v>-26019845.5</v>
      </c>
      <c r="Z2283">
        <f t="shared" si="214"/>
        <v>45099742.5</v>
      </c>
      <c r="AA2283" t="str">
        <f t="shared" si="215"/>
        <v>Normal</v>
      </c>
      <c r="AE2283" s="2"/>
      <c r="AF2283" s="2"/>
    </row>
    <row r="2284" spans="1:32" x14ac:dyDescent="0.35">
      <c r="A2284">
        <v>2283</v>
      </c>
      <c r="B2284" s="1">
        <v>42336</v>
      </c>
      <c r="C2284" s="9" t="s">
        <v>3769</v>
      </c>
      <c r="D2284" s="9" t="s">
        <v>5174</v>
      </c>
      <c r="E2284" s="9" t="s">
        <v>1111</v>
      </c>
      <c r="F2284" s="9" t="s">
        <v>19</v>
      </c>
      <c r="G2284" s="9" t="s">
        <v>3770</v>
      </c>
      <c r="H2284" s="9" t="s">
        <v>86</v>
      </c>
      <c r="I2284" s="11">
        <v>18429897</v>
      </c>
      <c r="J2284" s="11">
        <v>3412317</v>
      </c>
      <c r="K2284" s="11">
        <v>7202183</v>
      </c>
      <c r="L2284" s="3">
        <v>415</v>
      </c>
      <c r="M2284" s="3">
        <v>3458</v>
      </c>
      <c r="N2284" s="3">
        <v>999416</v>
      </c>
      <c r="O2284" s="2">
        <v>1.6E-2</v>
      </c>
      <c r="P2284" s="2">
        <v>0.32700000000000001</v>
      </c>
      <c r="Q2284" s="2">
        <v>0.61099999999999999</v>
      </c>
      <c r="R2284" s="11">
        <v>320645142</v>
      </c>
      <c r="S2284" s="11">
        <v>866443</v>
      </c>
      <c r="T2284">
        <v>2015</v>
      </c>
      <c r="U2284">
        <v>11</v>
      </c>
      <c r="V2284">
        <f t="shared" si="210"/>
        <v>650000</v>
      </c>
      <c r="W2284">
        <f t="shared" si="211"/>
        <v>18429897</v>
      </c>
      <c r="X2284">
        <f t="shared" si="212"/>
        <v>17779897</v>
      </c>
      <c r="Y2284">
        <f t="shared" si="213"/>
        <v>-26019845.5</v>
      </c>
      <c r="Z2284">
        <f t="shared" si="214"/>
        <v>45099742.5</v>
      </c>
      <c r="AA2284" t="str">
        <f t="shared" si="215"/>
        <v>Normal</v>
      </c>
      <c r="AE2284" s="2"/>
      <c r="AF2284" s="2"/>
    </row>
    <row r="2285" spans="1:32" x14ac:dyDescent="0.35">
      <c r="A2285">
        <v>2284</v>
      </c>
      <c r="B2285" s="1">
        <v>42338</v>
      </c>
      <c r="C2285" s="9" t="s">
        <v>3771</v>
      </c>
      <c r="D2285" s="9" t="s">
        <v>5174</v>
      </c>
      <c r="E2285" s="9" t="s">
        <v>1111</v>
      </c>
      <c r="F2285" s="9" t="s">
        <v>19</v>
      </c>
      <c r="G2285" s="9" t="s">
        <v>4879</v>
      </c>
      <c r="H2285" s="9" t="s">
        <v>86</v>
      </c>
      <c r="I2285" s="11">
        <v>1450000</v>
      </c>
      <c r="J2285" s="11">
        <v>4163957</v>
      </c>
      <c r="K2285" s="11">
        <v>9184527</v>
      </c>
      <c r="L2285" s="3">
        <v>254</v>
      </c>
      <c r="M2285" s="3">
        <v>2505.5</v>
      </c>
      <c r="N2285" s="3">
        <v>768049</v>
      </c>
      <c r="O2285" s="2">
        <v>-1.2E-2</v>
      </c>
      <c r="P2285" s="2">
        <v>0.72699999999999998</v>
      </c>
      <c r="Q2285" s="2">
        <v>-0.22899999999999998</v>
      </c>
      <c r="R2285" s="11">
        <v>216933319</v>
      </c>
      <c r="S2285" s="11">
        <v>1008193.5</v>
      </c>
      <c r="T2285">
        <v>2015</v>
      </c>
      <c r="U2285">
        <v>11</v>
      </c>
      <c r="V2285">
        <f t="shared" si="210"/>
        <v>650000</v>
      </c>
      <c r="W2285">
        <f t="shared" si="211"/>
        <v>18429897</v>
      </c>
      <c r="X2285">
        <f t="shared" si="212"/>
        <v>17779897</v>
      </c>
      <c r="Y2285">
        <f t="shared" si="213"/>
        <v>-26019845.5</v>
      </c>
      <c r="Z2285">
        <f t="shared" si="214"/>
        <v>45099742.5</v>
      </c>
      <c r="AA2285" t="str">
        <f t="shared" si="215"/>
        <v>Normal</v>
      </c>
      <c r="AE2285" s="2"/>
      <c r="AF2285" s="2"/>
    </row>
    <row r="2286" spans="1:32" x14ac:dyDescent="0.35">
      <c r="A2286">
        <v>2285</v>
      </c>
      <c r="B2286" s="1">
        <v>42338</v>
      </c>
      <c r="C2286" s="9" t="s">
        <v>3772</v>
      </c>
      <c r="D2286" s="9" t="s">
        <v>3773</v>
      </c>
      <c r="E2286" s="9" t="s">
        <v>1111</v>
      </c>
      <c r="F2286" s="9" t="s">
        <v>31</v>
      </c>
      <c r="G2286" s="9" t="s">
        <v>2298</v>
      </c>
      <c r="H2286" s="9" t="s">
        <v>86</v>
      </c>
      <c r="I2286" s="11">
        <v>540000</v>
      </c>
      <c r="J2286" s="11">
        <v>4532385</v>
      </c>
      <c r="K2286" s="11">
        <v>4501093</v>
      </c>
      <c r="L2286" s="3">
        <v>144</v>
      </c>
      <c r="M2286" s="3">
        <v>4492</v>
      </c>
      <c r="N2286" s="3">
        <v>827268</v>
      </c>
      <c r="O2286" s="2">
        <v>0.248</v>
      </c>
      <c r="P2286" s="2">
        <v>0.88200000000000001</v>
      </c>
      <c r="Q2286" s="2">
        <v>4.7E-2</v>
      </c>
      <c r="R2286" s="11">
        <v>456219661</v>
      </c>
      <c r="S2286" s="11">
        <v>1873856</v>
      </c>
      <c r="T2286">
        <v>2015</v>
      </c>
      <c r="U2286">
        <v>11</v>
      </c>
      <c r="V2286">
        <f t="shared" si="210"/>
        <v>650000</v>
      </c>
      <c r="W2286">
        <f t="shared" si="211"/>
        <v>18429897</v>
      </c>
      <c r="X2286">
        <f t="shared" si="212"/>
        <v>17779897</v>
      </c>
      <c r="Y2286">
        <f t="shared" si="213"/>
        <v>-26019845.5</v>
      </c>
      <c r="Z2286">
        <f t="shared" si="214"/>
        <v>45099742.5</v>
      </c>
      <c r="AA2286" t="str">
        <f t="shared" si="215"/>
        <v>Normal</v>
      </c>
      <c r="AE2286" s="2"/>
      <c r="AF2286" s="2"/>
    </row>
    <row r="2287" spans="1:32" x14ac:dyDescent="0.35">
      <c r="A2287">
        <v>2286</v>
      </c>
      <c r="B2287" s="1">
        <v>42338</v>
      </c>
      <c r="C2287" s="9" t="s">
        <v>3774</v>
      </c>
      <c r="D2287" s="9" t="s">
        <v>5175</v>
      </c>
      <c r="E2287" s="9" t="s">
        <v>1111</v>
      </c>
      <c r="F2287" s="9" t="s">
        <v>27</v>
      </c>
      <c r="G2287" s="9" t="s">
        <v>3775</v>
      </c>
      <c r="H2287" s="9" t="s">
        <v>105</v>
      </c>
      <c r="I2287" s="11">
        <v>18429897</v>
      </c>
      <c r="J2287" s="11">
        <v>4109729</v>
      </c>
      <c r="K2287" s="11">
        <v>1632056</v>
      </c>
      <c r="L2287" s="3">
        <v>246</v>
      </c>
      <c r="M2287" s="3">
        <v>3139</v>
      </c>
      <c r="N2287" s="3">
        <v>1018455</v>
      </c>
      <c r="O2287" s="2">
        <v>-9.9000000000000005E-2</v>
      </c>
      <c r="P2287" s="2">
        <v>0.25700000000000001</v>
      </c>
      <c r="Q2287" s="2">
        <v>1.2999999999999999E-2</v>
      </c>
      <c r="R2287" s="11">
        <v>387196862</v>
      </c>
      <c r="S2287" s="11">
        <v>109012</v>
      </c>
      <c r="T2287">
        <v>2015</v>
      </c>
      <c r="U2287">
        <v>11</v>
      </c>
      <c r="V2287">
        <f t="shared" si="210"/>
        <v>650000</v>
      </c>
      <c r="W2287">
        <f t="shared" si="211"/>
        <v>18429897</v>
      </c>
      <c r="X2287">
        <f t="shared" si="212"/>
        <v>17779897</v>
      </c>
      <c r="Y2287">
        <f t="shared" si="213"/>
        <v>-26019845.5</v>
      </c>
      <c r="Z2287">
        <f t="shared" si="214"/>
        <v>45099742.5</v>
      </c>
      <c r="AA2287" t="str">
        <f t="shared" si="215"/>
        <v>Normal</v>
      </c>
      <c r="AE2287" s="2"/>
      <c r="AF2287" s="2"/>
    </row>
    <row r="2288" spans="1:32" x14ac:dyDescent="0.35">
      <c r="A2288">
        <v>2287</v>
      </c>
      <c r="B2288" s="1">
        <v>42338</v>
      </c>
      <c r="C2288" s="9" t="s">
        <v>3776</v>
      </c>
      <c r="D2288" s="9" t="s">
        <v>5176</v>
      </c>
      <c r="E2288" s="9" t="s">
        <v>1111</v>
      </c>
      <c r="F2288" s="9" t="s">
        <v>15</v>
      </c>
      <c r="G2288" s="9" t="s">
        <v>3777</v>
      </c>
      <c r="H2288" s="9" t="s">
        <v>105</v>
      </c>
      <c r="I2288" s="11">
        <v>9000000</v>
      </c>
      <c r="J2288" s="11">
        <v>2531926</v>
      </c>
      <c r="K2288" s="11">
        <v>6432234</v>
      </c>
      <c r="L2288" s="3">
        <v>19</v>
      </c>
      <c r="M2288" s="3">
        <v>2232</v>
      </c>
      <c r="N2288" s="3">
        <v>64554</v>
      </c>
      <c r="O2288" s="2">
        <v>0.16899999999999998</v>
      </c>
      <c r="P2288" s="2">
        <v>0.25600000000000001</v>
      </c>
      <c r="Q2288" s="2">
        <v>0.27699999999999997</v>
      </c>
      <c r="R2288" s="11">
        <v>233343621</v>
      </c>
      <c r="S2288" s="11">
        <v>959757</v>
      </c>
      <c r="T2288">
        <v>2015</v>
      </c>
      <c r="U2288">
        <v>11</v>
      </c>
      <c r="V2288">
        <f t="shared" si="210"/>
        <v>650000</v>
      </c>
      <c r="W2288">
        <f t="shared" si="211"/>
        <v>18429897</v>
      </c>
      <c r="X2288">
        <f t="shared" si="212"/>
        <v>17779897</v>
      </c>
      <c r="Y2288">
        <f t="shared" si="213"/>
        <v>-26019845.5</v>
      </c>
      <c r="Z2288">
        <f t="shared" si="214"/>
        <v>45099742.5</v>
      </c>
      <c r="AA2288" t="str">
        <f t="shared" si="215"/>
        <v>Normal</v>
      </c>
      <c r="AE2288" s="2"/>
      <c r="AF2288" s="2"/>
    </row>
    <row r="2289" spans="1:32" x14ac:dyDescent="0.35">
      <c r="A2289">
        <v>2288</v>
      </c>
      <c r="B2289" s="1">
        <v>42338</v>
      </c>
      <c r="C2289" s="9" t="s">
        <v>3778</v>
      </c>
      <c r="D2289" s="9" t="s">
        <v>3779</v>
      </c>
      <c r="E2289" s="9" t="s">
        <v>1111</v>
      </c>
      <c r="F2289" s="9" t="s">
        <v>27</v>
      </c>
      <c r="G2289" s="9" t="s">
        <v>856</v>
      </c>
      <c r="H2289" s="9" t="s">
        <v>86</v>
      </c>
      <c r="I2289" s="11">
        <v>18429897</v>
      </c>
      <c r="J2289" s="11">
        <v>2094996</v>
      </c>
      <c r="K2289" s="11">
        <v>15479281</v>
      </c>
      <c r="L2289" s="3">
        <v>254</v>
      </c>
      <c r="M2289" s="3">
        <v>1204</v>
      </c>
      <c r="N2289" s="3">
        <v>1963124</v>
      </c>
      <c r="O2289" s="2">
        <v>0.14199999999999999</v>
      </c>
      <c r="P2289" s="2">
        <v>0.93899999999999995</v>
      </c>
      <c r="Q2289" s="2">
        <v>-0.215</v>
      </c>
      <c r="R2289" s="11">
        <v>362604066</v>
      </c>
      <c r="S2289" s="11">
        <v>674883</v>
      </c>
      <c r="T2289">
        <v>2015</v>
      </c>
      <c r="U2289">
        <v>11</v>
      </c>
      <c r="V2289">
        <f t="shared" si="210"/>
        <v>650000</v>
      </c>
      <c r="W2289">
        <f t="shared" si="211"/>
        <v>18429897</v>
      </c>
      <c r="X2289">
        <f t="shared" si="212"/>
        <v>17779897</v>
      </c>
      <c r="Y2289">
        <f t="shared" si="213"/>
        <v>-26019845.5</v>
      </c>
      <c r="Z2289">
        <f t="shared" si="214"/>
        <v>45099742.5</v>
      </c>
      <c r="AA2289" t="str">
        <f t="shared" si="215"/>
        <v>Normal</v>
      </c>
      <c r="AE2289" s="2"/>
      <c r="AF2289" s="2"/>
    </row>
    <row r="2290" spans="1:32" x14ac:dyDescent="0.35">
      <c r="A2290">
        <v>2289</v>
      </c>
      <c r="B2290" s="1">
        <v>42338</v>
      </c>
      <c r="C2290" s="9" t="s">
        <v>3780</v>
      </c>
      <c r="D2290" s="9" t="s">
        <v>5177</v>
      </c>
      <c r="E2290" s="9" t="s">
        <v>1111</v>
      </c>
      <c r="F2290" s="9" t="s">
        <v>15</v>
      </c>
      <c r="G2290" s="9" t="s">
        <v>3781</v>
      </c>
      <c r="H2290" s="9" t="s">
        <v>86</v>
      </c>
      <c r="I2290" s="11">
        <v>18429897</v>
      </c>
      <c r="J2290" s="11">
        <v>1985465</v>
      </c>
      <c r="K2290" s="11">
        <v>19665012</v>
      </c>
      <c r="L2290" s="3">
        <v>25</v>
      </c>
      <c r="M2290" s="3">
        <v>3799</v>
      </c>
      <c r="N2290" s="3">
        <v>1442575</v>
      </c>
      <c r="O2290" s="2">
        <v>0.14400000000000002</v>
      </c>
      <c r="P2290" s="2">
        <v>0.40700000000000003</v>
      </c>
      <c r="Q2290" s="2">
        <v>0.26700000000000002</v>
      </c>
      <c r="R2290" s="11">
        <v>385218528</v>
      </c>
      <c r="S2290" s="11">
        <v>816639</v>
      </c>
      <c r="T2290">
        <v>2015</v>
      </c>
      <c r="U2290">
        <v>11</v>
      </c>
      <c r="V2290">
        <f t="shared" si="210"/>
        <v>650000</v>
      </c>
      <c r="W2290">
        <f t="shared" si="211"/>
        <v>18429897</v>
      </c>
      <c r="X2290">
        <f t="shared" si="212"/>
        <v>17779897</v>
      </c>
      <c r="Y2290">
        <f t="shared" si="213"/>
        <v>-26019845.5</v>
      </c>
      <c r="Z2290">
        <f t="shared" si="214"/>
        <v>45099742.5</v>
      </c>
      <c r="AA2290" t="str">
        <f t="shared" si="215"/>
        <v>Normal</v>
      </c>
      <c r="AE2290" s="2"/>
      <c r="AF2290" s="2"/>
    </row>
    <row r="2291" spans="1:32" x14ac:dyDescent="0.35">
      <c r="A2291">
        <v>2290</v>
      </c>
      <c r="B2291" s="1">
        <v>42278</v>
      </c>
      <c r="C2291" s="9" t="s">
        <v>2043</v>
      </c>
      <c r="D2291" s="9" t="s">
        <v>5178</v>
      </c>
      <c r="E2291" s="9" t="s">
        <v>1111</v>
      </c>
      <c r="F2291" s="9" t="s">
        <v>19</v>
      </c>
      <c r="G2291" s="9" t="s">
        <v>3782</v>
      </c>
      <c r="H2291" s="9" t="s">
        <v>86</v>
      </c>
      <c r="I2291" s="11">
        <v>18429897</v>
      </c>
      <c r="J2291" s="11">
        <v>1621297</v>
      </c>
      <c r="K2291" s="11">
        <v>13237072</v>
      </c>
      <c r="L2291" s="3">
        <v>418</v>
      </c>
      <c r="M2291" s="3">
        <v>3068</v>
      </c>
      <c r="N2291" s="3">
        <v>1835703</v>
      </c>
      <c r="O2291" s="2">
        <v>0.27600000000000002</v>
      </c>
      <c r="P2291" s="2">
        <v>0.35399999999999998</v>
      </c>
      <c r="Q2291" s="2">
        <v>-0.26100000000000001</v>
      </c>
      <c r="R2291" s="11">
        <v>348223248</v>
      </c>
      <c r="S2291" s="11">
        <v>957466</v>
      </c>
      <c r="T2291">
        <v>2015</v>
      </c>
      <c r="U2291">
        <v>10</v>
      </c>
      <c r="V2291">
        <f t="shared" si="210"/>
        <v>650000</v>
      </c>
      <c r="W2291">
        <f t="shared" si="211"/>
        <v>18429897</v>
      </c>
      <c r="X2291">
        <f t="shared" si="212"/>
        <v>17779897</v>
      </c>
      <c r="Y2291">
        <f t="shared" si="213"/>
        <v>-26019845.5</v>
      </c>
      <c r="Z2291">
        <f t="shared" si="214"/>
        <v>45099742.5</v>
      </c>
      <c r="AA2291" t="str">
        <f t="shared" si="215"/>
        <v>Normal</v>
      </c>
      <c r="AE2291" s="2"/>
      <c r="AF2291" s="2"/>
    </row>
    <row r="2292" spans="1:32" x14ac:dyDescent="0.35">
      <c r="A2292">
        <v>2291</v>
      </c>
      <c r="B2292" s="1">
        <v>42278</v>
      </c>
      <c r="C2292" s="9" t="s">
        <v>743</v>
      </c>
      <c r="D2292" s="9" t="s">
        <v>5179</v>
      </c>
      <c r="E2292" s="9" t="s">
        <v>1111</v>
      </c>
      <c r="F2292" s="9" t="s">
        <v>27</v>
      </c>
      <c r="G2292" s="9" t="s">
        <v>1000</v>
      </c>
      <c r="H2292" s="9" t="s">
        <v>86</v>
      </c>
      <c r="I2292" s="11">
        <v>18429897</v>
      </c>
      <c r="J2292" s="11">
        <v>1191408</v>
      </c>
      <c r="K2292" s="11">
        <v>16634652</v>
      </c>
      <c r="L2292" s="3">
        <v>217</v>
      </c>
      <c r="M2292" s="3">
        <v>4418</v>
      </c>
      <c r="N2292" s="3">
        <v>1288737</v>
      </c>
      <c r="O2292" s="2">
        <v>-8.4000000000000005E-2</v>
      </c>
      <c r="P2292" s="2">
        <v>1.1619999999999998E-2</v>
      </c>
      <c r="Q2292" s="2">
        <v>0.28699999999999998</v>
      </c>
      <c r="R2292" s="11">
        <v>491997254</v>
      </c>
      <c r="S2292" s="11">
        <v>891562</v>
      </c>
      <c r="T2292">
        <v>2015</v>
      </c>
      <c r="U2292">
        <v>10</v>
      </c>
      <c r="V2292">
        <f t="shared" si="210"/>
        <v>650000</v>
      </c>
      <c r="W2292">
        <f t="shared" si="211"/>
        <v>18429897</v>
      </c>
      <c r="X2292">
        <f t="shared" si="212"/>
        <v>17779897</v>
      </c>
      <c r="Y2292">
        <f t="shared" si="213"/>
        <v>-26019845.5</v>
      </c>
      <c r="Z2292">
        <f t="shared" si="214"/>
        <v>45099742.5</v>
      </c>
      <c r="AA2292" t="str">
        <f t="shared" si="215"/>
        <v>Normal</v>
      </c>
      <c r="AE2292" s="2"/>
      <c r="AF2292" s="2"/>
    </row>
    <row r="2293" spans="1:32" x14ac:dyDescent="0.35">
      <c r="A2293">
        <v>2292</v>
      </c>
      <c r="B2293" s="1">
        <v>42278</v>
      </c>
      <c r="C2293" s="9" t="s">
        <v>3783</v>
      </c>
      <c r="D2293" s="9" t="s">
        <v>5180</v>
      </c>
      <c r="E2293" s="9" t="s">
        <v>1111</v>
      </c>
      <c r="F2293" s="9" t="s">
        <v>19</v>
      </c>
      <c r="G2293" s="9" t="s">
        <v>998</v>
      </c>
      <c r="H2293" s="9" t="s">
        <v>86</v>
      </c>
      <c r="I2293" s="11">
        <v>18429897</v>
      </c>
      <c r="J2293" s="11">
        <v>3749127</v>
      </c>
      <c r="K2293" s="11">
        <v>13023811</v>
      </c>
      <c r="L2293" s="3">
        <v>113</v>
      </c>
      <c r="M2293" s="3">
        <v>3548</v>
      </c>
      <c r="N2293" s="3">
        <v>1887732</v>
      </c>
      <c r="O2293" s="2">
        <v>0.255</v>
      </c>
      <c r="P2293" s="2">
        <v>0.38</v>
      </c>
      <c r="Q2293" s="2">
        <v>0.38900000000000001</v>
      </c>
      <c r="R2293" s="11">
        <v>220162317</v>
      </c>
      <c r="S2293" s="11">
        <v>1651912</v>
      </c>
      <c r="T2293">
        <v>2015</v>
      </c>
      <c r="U2293">
        <v>10</v>
      </c>
      <c r="V2293">
        <f t="shared" si="210"/>
        <v>650000</v>
      </c>
      <c r="W2293">
        <f t="shared" si="211"/>
        <v>18429897</v>
      </c>
      <c r="X2293">
        <f t="shared" si="212"/>
        <v>17779897</v>
      </c>
      <c r="Y2293">
        <f t="shared" si="213"/>
        <v>-26019845.5</v>
      </c>
      <c r="Z2293">
        <f t="shared" si="214"/>
        <v>45099742.5</v>
      </c>
      <c r="AA2293" t="str">
        <f t="shared" si="215"/>
        <v>Normal</v>
      </c>
      <c r="AE2293" s="2"/>
      <c r="AF2293" s="2"/>
    </row>
    <row r="2294" spans="1:32" x14ac:dyDescent="0.35">
      <c r="A2294">
        <v>2293</v>
      </c>
      <c r="B2294" s="1">
        <v>42278</v>
      </c>
      <c r="C2294" s="9" t="s">
        <v>3784</v>
      </c>
      <c r="D2294" s="9" t="s">
        <v>5181</v>
      </c>
      <c r="E2294" s="9" t="s">
        <v>1111</v>
      </c>
      <c r="F2294" s="9" t="s">
        <v>177</v>
      </c>
      <c r="G2294" s="9" t="s">
        <v>3785</v>
      </c>
      <c r="H2294" s="9" t="s">
        <v>86</v>
      </c>
      <c r="I2294" s="11">
        <v>350000</v>
      </c>
      <c r="J2294" s="11">
        <v>3577967</v>
      </c>
      <c r="K2294" s="11">
        <v>13208570</v>
      </c>
      <c r="L2294" s="3">
        <v>229</v>
      </c>
      <c r="M2294" s="3">
        <v>3958</v>
      </c>
      <c r="N2294" s="3">
        <v>147696</v>
      </c>
      <c r="O2294" s="2">
        <v>0.124</v>
      </c>
      <c r="P2294" s="2">
        <v>0.88500000000000001</v>
      </c>
      <c r="Q2294" s="2">
        <v>-0.183</v>
      </c>
      <c r="R2294" s="11">
        <v>437122157</v>
      </c>
      <c r="S2294" s="11">
        <v>176189</v>
      </c>
      <c r="T2294">
        <v>2015</v>
      </c>
      <c r="U2294">
        <v>10</v>
      </c>
      <c r="V2294">
        <f t="shared" si="210"/>
        <v>647500</v>
      </c>
      <c r="W2294">
        <f t="shared" si="211"/>
        <v>18429897</v>
      </c>
      <c r="X2294">
        <f t="shared" si="212"/>
        <v>17782397</v>
      </c>
      <c r="Y2294">
        <f t="shared" si="213"/>
        <v>-26026095.5</v>
      </c>
      <c r="Z2294">
        <f t="shared" si="214"/>
        <v>45103492.5</v>
      </c>
      <c r="AA2294" t="str">
        <f t="shared" si="215"/>
        <v>Normal</v>
      </c>
      <c r="AE2294" s="2"/>
      <c r="AF2294" s="2"/>
    </row>
    <row r="2295" spans="1:32" x14ac:dyDescent="0.35">
      <c r="A2295">
        <v>2294</v>
      </c>
      <c r="B2295" s="1">
        <v>42278</v>
      </c>
      <c r="C2295" s="9" t="s">
        <v>3786</v>
      </c>
      <c r="D2295" s="9" t="s">
        <v>3787</v>
      </c>
      <c r="E2295" s="9" t="s">
        <v>1111</v>
      </c>
      <c r="F2295" s="9" t="s">
        <v>124</v>
      </c>
      <c r="G2295" s="9" t="s">
        <v>3788</v>
      </c>
      <c r="H2295" s="9" t="s">
        <v>105</v>
      </c>
      <c r="I2295" s="11">
        <v>18429897</v>
      </c>
      <c r="J2295" s="11">
        <v>4010919</v>
      </c>
      <c r="K2295" s="11">
        <v>8595588</v>
      </c>
      <c r="L2295" s="3">
        <v>91</v>
      </c>
      <c r="M2295" s="3">
        <v>506</v>
      </c>
      <c r="N2295" s="3">
        <v>1436856</v>
      </c>
      <c r="O2295" s="2">
        <v>-3.7999999999999999E-2</v>
      </c>
      <c r="P2295" s="2">
        <v>1.0149999999999999E-2</v>
      </c>
      <c r="Q2295" s="2">
        <v>0.8</v>
      </c>
      <c r="R2295" s="11">
        <v>89582651</v>
      </c>
      <c r="S2295" s="11">
        <v>1237346</v>
      </c>
      <c r="T2295">
        <v>2015</v>
      </c>
      <c r="U2295">
        <v>10</v>
      </c>
      <c r="V2295">
        <f t="shared" si="210"/>
        <v>650000</v>
      </c>
      <c r="W2295">
        <f t="shared" si="211"/>
        <v>18429897</v>
      </c>
      <c r="X2295">
        <f t="shared" si="212"/>
        <v>17779897</v>
      </c>
      <c r="Y2295">
        <f t="shared" si="213"/>
        <v>-26019845.5</v>
      </c>
      <c r="Z2295">
        <f t="shared" si="214"/>
        <v>45099742.5</v>
      </c>
      <c r="AA2295" t="str">
        <f t="shared" si="215"/>
        <v>Normal</v>
      </c>
      <c r="AE2295" s="2"/>
      <c r="AF2295" s="2"/>
    </row>
    <row r="2296" spans="1:32" x14ac:dyDescent="0.35">
      <c r="A2296">
        <v>2295</v>
      </c>
      <c r="B2296" s="1">
        <v>42278</v>
      </c>
      <c r="C2296" s="9" t="s">
        <v>2781</v>
      </c>
      <c r="D2296" s="9" t="s">
        <v>5182</v>
      </c>
      <c r="E2296" s="9" t="s">
        <v>1111</v>
      </c>
      <c r="F2296" s="9" t="s">
        <v>27</v>
      </c>
      <c r="G2296" s="9" t="s">
        <v>3788</v>
      </c>
      <c r="H2296" s="9" t="s">
        <v>105</v>
      </c>
      <c r="I2296" s="11">
        <v>18429897</v>
      </c>
      <c r="J2296" s="11">
        <v>2531926</v>
      </c>
      <c r="K2296" s="11">
        <v>1318068</v>
      </c>
      <c r="L2296" s="3">
        <v>163</v>
      </c>
      <c r="M2296" s="3">
        <v>171</v>
      </c>
      <c r="N2296" s="3">
        <v>1420076</v>
      </c>
      <c r="O2296" s="2">
        <v>-0.14399999999999999</v>
      </c>
      <c r="P2296" s="2">
        <v>0.52900000000000003</v>
      </c>
      <c r="Q2296" s="2">
        <v>0.39799999999999996</v>
      </c>
      <c r="R2296" s="11">
        <v>45117249</v>
      </c>
      <c r="S2296" s="11">
        <v>1221983</v>
      </c>
      <c r="T2296">
        <v>2015</v>
      </c>
      <c r="U2296">
        <v>10</v>
      </c>
      <c r="V2296">
        <f t="shared" si="210"/>
        <v>650000</v>
      </c>
      <c r="W2296">
        <f t="shared" si="211"/>
        <v>18429897</v>
      </c>
      <c r="X2296">
        <f t="shared" si="212"/>
        <v>17779897</v>
      </c>
      <c r="Y2296">
        <f t="shared" si="213"/>
        <v>-26019845.5</v>
      </c>
      <c r="Z2296">
        <f t="shared" si="214"/>
        <v>45099742.5</v>
      </c>
      <c r="AA2296" t="str">
        <f t="shared" si="215"/>
        <v>Normal</v>
      </c>
      <c r="AE2296" s="2"/>
      <c r="AF2296" s="2"/>
    </row>
    <row r="2297" spans="1:32" x14ac:dyDescent="0.35">
      <c r="A2297">
        <v>2296</v>
      </c>
      <c r="B2297" s="1">
        <v>42279</v>
      </c>
      <c r="C2297" s="9" t="s">
        <v>3789</v>
      </c>
      <c r="D2297" s="9" t="s">
        <v>5183</v>
      </c>
      <c r="E2297" s="9" t="s">
        <v>1111</v>
      </c>
      <c r="F2297" s="9" t="s">
        <v>15</v>
      </c>
      <c r="G2297" s="9" t="s">
        <v>2031</v>
      </c>
      <c r="H2297" s="9" t="s">
        <v>105</v>
      </c>
      <c r="I2297" s="11">
        <v>2000000</v>
      </c>
      <c r="J2297" s="11">
        <v>2466462</v>
      </c>
      <c r="K2297" s="11">
        <v>8268891</v>
      </c>
      <c r="L2297" s="3">
        <v>69</v>
      </c>
      <c r="M2297" s="3">
        <v>3309</v>
      </c>
      <c r="N2297" s="3">
        <v>1863587</v>
      </c>
      <c r="O2297" s="2">
        <v>0.498</v>
      </c>
      <c r="P2297" s="2">
        <v>0.66299999999999992</v>
      </c>
      <c r="Q2297" s="2">
        <v>0.44800000000000001</v>
      </c>
      <c r="R2297" s="11">
        <v>250264963</v>
      </c>
      <c r="S2297" s="11">
        <v>1967182</v>
      </c>
      <c r="T2297">
        <v>2015</v>
      </c>
      <c r="U2297">
        <v>10</v>
      </c>
      <c r="V2297">
        <f t="shared" si="210"/>
        <v>650000</v>
      </c>
      <c r="W2297">
        <f t="shared" si="211"/>
        <v>18429897</v>
      </c>
      <c r="X2297">
        <f t="shared" si="212"/>
        <v>17779897</v>
      </c>
      <c r="Y2297">
        <f t="shared" si="213"/>
        <v>-26019845.5</v>
      </c>
      <c r="Z2297">
        <f t="shared" si="214"/>
        <v>45099742.5</v>
      </c>
      <c r="AA2297" t="str">
        <f t="shared" si="215"/>
        <v>Normal</v>
      </c>
      <c r="AE2297" s="2"/>
      <c r="AF2297" s="2"/>
    </row>
    <row r="2298" spans="1:32" x14ac:dyDescent="0.35">
      <c r="A2298">
        <v>2297</v>
      </c>
      <c r="B2298" s="1">
        <v>42280</v>
      </c>
      <c r="C2298" s="9" t="s">
        <v>3579</v>
      </c>
      <c r="D2298" s="9" t="s">
        <v>5184</v>
      </c>
      <c r="E2298" s="9" t="s">
        <v>1111</v>
      </c>
      <c r="F2298" s="9" t="s">
        <v>31</v>
      </c>
      <c r="G2298" s="9" t="s">
        <v>673</v>
      </c>
      <c r="H2298" s="9" t="s">
        <v>105</v>
      </c>
      <c r="I2298" s="11">
        <v>6000000</v>
      </c>
      <c r="J2298" s="11">
        <v>1125355</v>
      </c>
      <c r="K2298" s="11">
        <v>17310980</v>
      </c>
      <c r="L2298" s="3">
        <v>336</v>
      </c>
      <c r="M2298" s="3">
        <v>50</v>
      </c>
      <c r="N2298" s="3">
        <v>165736</v>
      </c>
      <c r="O2298" s="2">
        <v>0.106</v>
      </c>
      <c r="P2298" s="2">
        <v>0.754</v>
      </c>
      <c r="Q2298" s="2">
        <v>-0.25700000000000001</v>
      </c>
      <c r="R2298" s="11">
        <v>392510616</v>
      </c>
      <c r="S2298" s="11">
        <v>1833907</v>
      </c>
      <c r="T2298">
        <v>2015</v>
      </c>
      <c r="U2298">
        <v>10</v>
      </c>
      <c r="V2298">
        <f t="shared" si="210"/>
        <v>647500</v>
      </c>
      <c r="W2298">
        <f t="shared" si="211"/>
        <v>18429897</v>
      </c>
      <c r="X2298">
        <f t="shared" si="212"/>
        <v>17782397</v>
      </c>
      <c r="Y2298">
        <f t="shared" si="213"/>
        <v>-26026095.5</v>
      </c>
      <c r="Z2298">
        <f t="shared" si="214"/>
        <v>45103492.5</v>
      </c>
      <c r="AA2298" t="str">
        <f t="shared" si="215"/>
        <v>Normal</v>
      </c>
      <c r="AE2298" s="2"/>
      <c r="AF2298" s="2"/>
    </row>
    <row r="2299" spans="1:32" x14ac:dyDescent="0.35">
      <c r="A2299">
        <v>2298</v>
      </c>
      <c r="B2299" s="1">
        <v>42282</v>
      </c>
      <c r="C2299" s="9" t="s">
        <v>368</v>
      </c>
      <c r="D2299" s="9" t="s">
        <v>5185</v>
      </c>
      <c r="E2299" s="9" t="s">
        <v>1111</v>
      </c>
      <c r="F2299" s="9" t="s">
        <v>31</v>
      </c>
      <c r="G2299" s="9" t="s">
        <v>3790</v>
      </c>
      <c r="H2299" s="9" t="s">
        <v>105</v>
      </c>
      <c r="I2299" s="11">
        <v>9500000</v>
      </c>
      <c r="J2299" s="11">
        <v>4467294</v>
      </c>
      <c r="K2299" s="11">
        <v>10773138</v>
      </c>
      <c r="L2299" s="3">
        <v>488</v>
      </c>
      <c r="M2299" s="3">
        <v>4460</v>
      </c>
      <c r="N2299" s="3">
        <v>1016426</v>
      </c>
      <c r="O2299" s="2">
        <v>4.9000000000000002E-2</v>
      </c>
      <c r="P2299" s="2">
        <v>0.40100000000000002</v>
      </c>
      <c r="Q2299" s="2">
        <v>0.19399999999999998</v>
      </c>
      <c r="R2299" s="11">
        <v>101991542</v>
      </c>
      <c r="S2299" s="11">
        <v>805813</v>
      </c>
      <c r="T2299">
        <v>2015</v>
      </c>
      <c r="U2299">
        <v>10</v>
      </c>
      <c r="V2299">
        <f t="shared" si="210"/>
        <v>645000</v>
      </c>
      <c r="W2299">
        <f t="shared" si="211"/>
        <v>18429897</v>
      </c>
      <c r="X2299">
        <f t="shared" si="212"/>
        <v>17784897</v>
      </c>
      <c r="Y2299">
        <f t="shared" si="213"/>
        <v>-26032345.5</v>
      </c>
      <c r="Z2299">
        <f t="shared" si="214"/>
        <v>45107242.5</v>
      </c>
      <c r="AA2299" t="str">
        <f t="shared" si="215"/>
        <v>Normal</v>
      </c>
      <c r="AE2299" s="2"/>
      <c r="AF2299" s="2"/>
    </row>
    <row r="2300" spans="1:32" x14ac:dyDescent="0.35">
      <c r="A2300">
        <v>2299</v>
      </c>
      <c r="B2300" s="1">
        <v>42282</v>
      </c>
      <c r="C2300" s="9" t="s">
        <v>3791</v>
      </c>
      <c r="D2300" s="9" t="s">
        <v>5186</v>
      </c>
      <c r="E2300" s="9" t="s">
        <v>1111</v>
      </c>
      <c r="F2300" s="9" t="s">
        <v>294</v>
      </c>
      <c r="G2300" s="9" t="s">
        <v>3792</v>
      </c>
      <c r="H2300" s="9" t="s">
        <v>105</v>
      </c>
      <c r="I2300" s="11">
        <v>15000000</v>
      </c>
      <c r="J2300" s="11">
        <v>1351707</v>
      </c>
      <c r="K2300" s="11">
        <v>15263193</v>
      </c>
      <c r="L2300" s="3">
        <v>245</v>
      </c>
      <c r="M2300" s="3">
        <v>4420</v>
      </c>
      <c r="N2300" s="3">
        <v>1035361</v>
      </c>
      <c r="O2300" s="2">
        <v>-0.109</v>
      </c>
      <c r="P2300" s="2">
        <v>0.496</v>
      </c>
      <c r="Q2300" s="2">
        <v>0.26300000000000001</v>
      </c>
      <c r="R2300" s="11">
        <v>250264963</v>
      </c>
      <c r="S2300" s="11">
        <v>1107688</v>
      </c>
      <c r="T2300">
        <v>2015</v>
      </c>
      <c r="U2300">
        <v>10</v>
      </c>
      <c r="V2300">
        <f t="shared" si="210"/>
        <v>642500</v>
      </c>
      <c r="W2300">
        <f t="shared" si="211"/>
        <v>18429897</v>
      </c>
      <c r="X2300">
        <f t="shared" si="212"/>
        <v>17787397</v>
      </c>
      <c r="Y2300">
        <f t="shared" si="213"/>
        <v>-26038595.5</v>
      </c>
      <c r="Z2300">
        <f t="shared" si="214"/>
        <v>45110992.5</v>
      </c>
      <c r="AA2300" t="str">
        <f t="shared" si="215"/>
        <v>Normal</v>
      </c>
      <c r="AE2300" s="2"/>
      <c r="AF2300" s="2"/>
    </row>
    <row r="2301" spans="1:32" x14ac:dyDescent="0.35">
      <c r="A2301">
        <v>2300</v>
      </c>
      <c r="B2301" s="1">
        <v>42282</v>
      </c>
      <c r="C2301" s="9" t="s">
        <v>3793</v>
      </c>
      <c r="D2301" s="9" t="s">
        <v>5187</v>
      </c>
      <c r="E2301" s="9" t="s">
        <v>1111</v>
      </c>
      <c r="F2301" s="9" t="s">
        <v>27</v>
      </c>
      <c r="G2301" s="9" t="s">
        <v>3794</v>
      </c>
      <c r="H2301" s="9" t="s">
        <v>105</v>
      </c>
      <c r="I2301" s="11">
        <v>1000000</v>
      </c>
      <c r="J2301" s="11">
        <v>736665</v>
      </c>
      <c r="K2301" s="11">
        <v>1106828</v>
      </c>
      <c r="L2301" s="3">
        <v>53</v>
      </c>
      <c r="M2301" s="3">
        <v>2946</v>
      </c>
      <c r="N2301" s="3">
        <v>188819</v>
      </c>
      <c r="O2301" s="2">
        <v>0.33800000000000002</v>
      </c>
      <c r="P2301" s="2">
        <v>0.50800000000000001</v>
      </c>
      <c r="Q2301" s="2">
        <v>9.8000000000000004E-2</v>
      </c>
      <c r="R2301" s="11">
        <v>184814519</v>
      </c>
      <c r="S2301" s="11">
        <v>196339</v>
      </c>
      <c r="T2301">
        <v>2015</v>
      </c>
      <c r="U2301">
        <v>10</v>
      </c>
      <c r="V2301">
        <f t="shared" si="210"/>
        <v>640000</v>
      </c>
      <c r="W2301">
        <f t="shared" si="211"/>
        <v>18429897</v>
      </c>
      <c r="X2301">
        <f t="shared" si="212"/>
        <v>17789897</v>
      </c>
      <c r="Y2301">
        <f t="shared" si="213"/>
        <v>-26044845.5</v>
      </c>
      <c r="Z2301">
        <f t="shared" si="214"/>
        <v>45114742.5</v>
      </c>
      <c r="AA2301" t="str">
        <f t="shared" si="215"/>
        <v>Normal</v>
      </c>
      <c r="AE2301" s="2"/>
      <c r="AF2301" s="2"/>
    </row>
    <row r="2302" spans="1:32" x14ac:dyDescent="0.35">
      <c r="A2302">
        <v>2301</v>
      </c>
      <c r="B2302" s="1">
        <v>42282</v>
      </c>
      <c r="C2302" s="9" t="s">
        <v>3795</v>
      </c>
      <c r="D2302" s="9" t="s">
        <v>5188</v>
      </c>
      <c r="E2302" s="9" t="s">
        <v>1111</v>
      </c>
      <c r="F2302" s="9" t="s">
        <v>27</v>
      </c>
      <c r="G2302" s="9" t="s">
        <v>3796</v>
      </c>
      <c r="H2302" s="9" t="s">
        <v>86</v>
      </c>
      <c r="I2302" s="11">
        <v>150000</v>
      </c>
      <c r="J2302" s="11">
        <v>2857923</v>
      </c>
      <c r="K2302" s="11">
        <v>4104865</v>
      </c>
      <c r="L2302" s="3">
        <v>41</v>
      </c>
      <c r="M2302" s="3">
        <v>3660</v>
      </c>
      <c r="N2302" s="3">
        <v>1244531</v>
      </c>
      <c r="O2302" s="2">
        <v>0.32200000000000001</v>
      </c>
      <c r="P2302" s="2">
        <v>0.47399999999999998</v>
      </c>
      <c r="Q2302" s="2">
        <v>0.45899999999999996</v>
      </c>
      <c r="R2302" s="11">
        <v>144908223</v>
      </c>
      <c r="S2302" s="11">
        <v>1634225</v>
      </c>
      <c r="T2302">
        <v>2015</v>
      </c>
      <c r="U2302">
        <v>10</v>
      </c>
      <c r="V2302">
        <f t="shared" si="210"/>
        <v>637500</v>
      </c>
      <c r="W2302">
        <f t="shared" si="211"/>
        <v>18429897</v>
      </c>
      <c r="X2302">
        <f t="shared" si="212"/>
        <v>17792397</v>
      </c>
      <c r="Y2302">
        <f t="shared" si="213"/>
        <v>-26051095.5</v>
      </c>
      <c r="Z2302">
        <f t="shared" si="214"/>
        <v>45118492.5</v>
      </c>
      <c r="AA2302" t="str">
        <f t="shared" si="215"/>
        <v>Normal</v>
      </c>
      <c r="AE2302" s="2"/>
      <c r="AF2302" s="2"/>
    </row>
    <row r="2303" spans="1:32" x14ac:dyDescent="0.35">
      <c r="A2303">
        <v>2302</v>
      </c>
      <c r="B2303" s="1">
        <v>42283</v>
      </c>
      <c r="C2303" s="9" t="s">
        <v>3797</v>
      </c>
      <c r="D2303" s="9" t="s">
        <v>5189</v>
      </c>
      <c r="E2303" s="9" t="s">
        <v>1111</v>
      </c>
      <c r="F2303" s="9" t="s">
        <v>41</v>
      </c>
      <c r="G2303" s="9" t="s">
        <v>3798</v>
      </c>
      <c r="H2303" s="9" t="s">
        <v>86</v>
      </c>
      <c r="I2303" s="11">
        <v>700000</v>
      </c>
      <c r="J2303" s="11">
        <v>4397762</v>
      </c>
      <c r="K2303" s="11">
        <v>6049259</v>
      </c>
      <c r="L2303" s="3">
        <v>416</v>
      </c>
      <c r="M2303" s="3">
        <v>2138</v>
      </c>
      <c r="N2303" s="3">
        <v>961683</v>
      </c>
      <c r="O2303" s="2">
        <v>0.28399999999999997</v>
      </c>
      <c r="P2303" s="2">
        <v>0.50800000000000001</v>
      </c>
      <c r="Q2303" s="2">
        <v>-3.6999999999999998E-2</v>
      </c>
      <c r="R2303" s="11">
        <v>94903303</v>
      </c>
      <c r="S2303" s="11">
        <v>1822730</v>
      </c>
      <c r="T2303">
        <v>2015</v>
      </c>
      <c r="U2303">
        <v>10</v>
      </c>
      <c r="V2303">
        <f t="shared" si="210"/>
        <v>645000</v>
      </c>
      <c r="W2303">
        <f t="shared" si="211"/>
        <v>18429897</v>
      </c>
      <c r="X2303">
        <f t="shared" si="212"/>
        <v>17784897</v>
      </c>
      <c r="Y2303">
        <f t="shared" si="213"/>
        <v>-26032345.5</v>
      </c>
      <c r="Z2303">
        <f t="shared" si="214"/>
        <v>45107242.5</v>
      </c>
      <c r="AA2303" t="str">
        <f t="shared" si="215"/>
        <v>Normal</v>
      </c>
      <c r="AE2303" s="2"/>
      <c r="AF2303" s="2"/>
    </row>
    <row r="2304" spans="1:32" x14ac:dyDescent="0.35">
      <c r="A2304">
        <v>2303</v>
      </c>
      <c r="B2304" s="1">
        <v>42283</v>
      </c>
      <c r="C2304" s="9" t="s">
        <v>2164</v>
      </c>
      <c r="D2304" s="9" t="s">
        <v>5190</v>
      </c>
      <c r="E2304" s="9" t="s">
        <v>1111</v>
      </c>
      <c r="F2304" s="9" t="s">
        <v>31</v>
      </c>
      <c r="G2304" s="9" t="s">
        <v>3799</v>
      </c>
      <c r="H2304" s="9" t="s">
        <v>86</v>
      </c>
      <c r="I2304" s="11">
        <v>500000</v>
      </c>
      <c r="J2304" s="11">
        <v>4580340</v>
      </c>
      <c r="K2304" s="11">
        <v>7250916</v>
      </c>
      <c r="L2304" s="3">
        <v>177</v>
      </c>
      <c r="M2304" s="3">
        <v>4792</v>
      </c>
      <c r="N2304" s="3">
        <v>998021</v>
      </c>
      <c r="O2304" s="2">
        <v>0.108</v>
      </c>
      <c r="P2304" s="2">
        <v>0.73499999999999999</v>
      </c>
      <c r="Q2304" s="2">
        <v>-4.0000000000000001E-3</v>
      </c>
      <c r="R2304" s="11">
        <v>356215559</v>
      </c>
      <c r="S2304" s="11">
        <v>1738861</v>
      </c>
      <c r="T2304">
        <v>2015</v>
      </c>
      <c r="U2304">
        <v>10</v>
      </c>
      <c r="V2304">
        <f t="shared" si="210"/>
        <v>642500</v>
      </c>
      <c r="W2304">
        <f t="shared" si="211"/>
        <v>18429897</v>
      </c>
      <c r="X2304">
        <f t="shared" si="212"/>
        <v>17787397</v>
      </c>
      <c r="Y2304">
        <f t="shared" si="213"/>
        <v>-26038595.5</v>
      </c>
      <c r="Z2304">
        <f t="shared" si="214"/>
        <v>45110992.5</v>
      </c>
      <c r="AA2304" t="str">
        <f t="shared" si="215"/>
        <v>Normal</v>
      </c>
      <c r="AE2304" s="2"/>
      <c r="AF2304" s="2"/>
    </row>
    <row r="2305" spans="1:32" x14ac:dyDescent="0.35">
      <c r="A2305">
        <v>2304</v>
      </c>
      <c r="B2305" s="1">
        <v>42283</v>
      </c>
      <c r="C2305" s="9" t="s">
        <v>3800</v>
      </c>
      <c r="D2305" s="9" t="s">
        <v>5191</v>
      </c>
      <c r="E2305" s="9" t="s">
        <v>1111</v>
      </c>
      <c r="F2305" s="9" t="s">
        <v>15</v>
      </c>
      <c r="G2305" s="9" t="s">
        <v>3801</v>
      </c>
      <c r="H2305" s="9" t="s">
        <v>105</v>
      </c>
      <c r="I2305" s="11">
        <v>10000000</v>
      </c>
      <c r="J2305" s="11">
        <v>498554</v>
      </c>
      <c r="K2305" s="11">
        <v>19759094</v>
      </c>
      <c r="L2305" s="3">
        <v>151</v>
      </c>
      <c r="M2305" s="3">
        <v>228</v>
      </c>
      <c r="N2305" s="3">
        <v>1364640</v>
      </c>
      <c r="O2305" s="2">
        <v>0.27</v>
      </c>
      <c r="P2305" s="2">
        <v>0.84599999999999997</v>
      </c>
      <c r="Q2305" s="2">
        <v>-6.5000000000000002E-2</v>
      </c>
      <c r="R2305" s="11">
        <v>344588955</v>
      </c>
      <c r="S2305" s="11">
        <v>1152626</v>
      </c>
      <c r="T2305">
        <v>2015</v>
      </c>
      <c r="U2305">
        <v>10</v>
      </c>
      <c r="V2305">
        <f t="shared" si="210"/>
        <v>650000</v>
      </c>
      <c r="W2305">
        <f t="shared" si="211"/>
        <v>18429897</v>
      </c>
      <c r="X2305">
        <f t="shared" si="212"/>
        <v>17779897</v>
      </c>
      <c r="Y2305">
        <f t="shared" si="213"/>
        <v>-26019845.5</v>
      </c>
      <c r="Z2305">
        <f t="shared" si="214"/>
        <v>45099742.5</v>
      </c>
      <c r="AA2305" t="str">
        <f t="shared" si="215"/>
        <v>Normal</v>
      </c>
      <c r="AE2305" s="2"/>
      <c r="AF2305" s="2"/>
    </row>
    <row r="2306" spans="1:32" x14ac:dyDescent="0.35">
      <c r="A2306">
        <v>2305</v>
      </c>
      <c r="B2306" s="1">
        <v>42283</v>
      </c>
      <c r="C2306" s="9" t="s">
        <v>3802</v>
      </c>
      <c r="D2306" s="9" t="s">
        <v>3803</v>
      </c>
      <c r="E2306" s="9" t="s">
        <v>1111</v>
      </c>
      <c r="F2306" s="9" t="s">
        <v>41</v>
      </c>
      <c r="G2306" s="9" t="s">
        <v>1419</v>
      </c>
      <c r="H2306" s="9" t="s">
        <v>86</v>
      </c>
      <c r="I2306" s="11">
        <v>18429897</v>
      </c>
      <c r="J2306" s="11">
        <v>1642949</v>
      </c>
      <c r="K2306" s="11">
        <v>9292238</v>
      </c>
      <c r="L2306" s="3">
        <v>55</v>
      </c>
      <c r="M2306" s="3">
        <v>1497</v>
      </c>
      <c r="N2306" s="3">
        <v>1494836</v>
      </c>
      <c r="O2306" s="2">
        <v>-4.4999999999999998E-2</v>
      </c>
      <c r="P2306" s="2">
        <v>0.65700000000000003</v>
      </c>
      <c r="Q2306" s="2">
        <v>0.161</v>
      </c>
      <c r="R2306" s="11">
        <v>217259936</v>
      </c>
      <c r="S2306" s="11">
        <v>1734870</v>
      </c>
      <c r="T2306">
        <v>2015</v>
      </c>
      <c r="U2306">
        <v>10</v>
      </c>
      <c r="V2306">
        <f t="shared" ref="V2306:V2369" si="216">_xlfn.PERCENTILE.INC(I2306:I5349,0.25)</f>
        <v>647500</v>
      </c>
      <c r="W2306">
        <f t="shared" ref="W2306:W2369" si="217">_xlfn.PERCENTILE.INC(I2306:I5349,0.75)</f>
        <v>18429897</v>
      </c>
      <c r="X2306">
        <f t="shared" ref="X2306:X2369" si="218">W2306-V2306</f>
        <v>17782397</v>
      </c>
      <c r="Y2306">
        <f t="shared" ref="Y2306:Y2369" si="219">V2306-1.5*X2306</f>
        <v>-26026095.5</v>
      </c>
      <c r="Z2306">
        <f t="shared" ref="Z2306:Z2369" si="220">W2306+1.5*X2306</f>
        <v>45103492.5</v>
      </c>
      <c r="AA2306" t="str">
        <f t="shared" ref="AA2306:AA2369" si="221">IF(OR(I2306&lt;$Y$2, I2306&gt;$Z$2), "Outlier", "Normal")</f>
        <v>Normal</v>
      </c>
      <c r="AE2306" s="2"/>
      <c r="AF2306" s="2"/>
    </row>
    <row r="2307" spans="1:32" x14ac:dyDescent="0.35">
      <c r="A2307">
        <v>2306</v>
      </c>
      <c r="B2307" s="1">
        <v>42283</v>
      </c>
      <c r="C2307" s="9" t="s">
        <v>77</v>
      </c>
      <c r="D2307" s="9" t="s">
        <v>5192</v>
      </c>
      <c r="E2307" s="9" t="s">
        <v>1111</v>
      </c>
      <c r="F2307" s="9" t="s">
        <v>19</v>
      </c>
      <c r="G2307" s="9" t="s">
        <v>3804</v>
      </c>
      <c r="H2307" s="9" t="s">
        <v>86</v>
      </c>
      <c r="I2307" s="11">
        <v>500000</v>
      </c>
      <c r="J2307" s="11">
        <v>784557</v>
      </c>
      <c r="K2307" s="11">
        <v>13277630</v>
      </c>
      <c r="L2307" s="3">
        <v>333</v>
      </c>
      <c r="M2307" s="3">
        <v>3503</v>
      </c>
      <c r="N2307" s="3">
        <v>1324651</v>
      </c>
      <c r="O2307" s="2">
        <v>0.16400000000000001</v>
      </c>
      <c r="P2307" s="2">
        <v>0.78799999999999992</v>
      </c>
      <c r="Q2307" s="2">
        <v>3.3000000000000002E-2</v>
      </c>
      <c r="R2307" s="11">
        <v>340903820</v>
      </c>
      <c r="S2307" s="11">
        <v>1026728</v>
      </c>
      <c r="T2307">
        <v>2015</v>
      </c>
      <c r="U2307">
        <v>10</v>
      </c>
      <c r="V2307">
        <f t="shared" si="216"/>
        <v>645000</v>
      </c>
      <c r="W2307">
        <f t="shared" si="217"/>
        <v>18429897</v>
      </c>
      <c r="X2307">
        <f t="shared" si="218"/>
        <v>17784897</v>
      </c>
      <c r="Y2307">
        <f t="shared" si="219"/>
        <v>-26032345.5</v>
      </c>
      <c r="Z2307">
        <f t="shared" si="220"/>
        <v>45107242.5</v>
      </c>
      <c r="AA2307" t="str">
        <f t="shared" si="221"/>
        <v>Normal</v>
      </c>
      <c r="AE2307" s="2"/>
      <c r="AF2307" s="2"/>
    </row>
    <row r="2308" spans="1:32" x14ac:dyDescent="0.35">
      <c r="A2308">
        <v>2307</v>
      </c>
      <c r="B2308" s="1">
        <v>42283</v>
      </c>
      <c r="C2308" s="9" t="s">
        <v>3805</v>
      </c>
      <c r="D2308" s="9" t="s">
        <v>5193</v>
      </c>
      <c r="E2308" s="9" t="s">
        <v>1111</v>
      </c>
      <c r="F2308" s="9" t="s">
        <v>31</v>
      </c>
      <c r="G2308" s="9" t="s">
        <v>3806</v>
      </c>
      <c r="H2308" s="9" t="s">
        <v>105</v>
      </c>
      <c r="I2308" s="11">
        <v>6000000</v>
      </c>
      <c r="J2308" s="11">
        <v>1553171</v>
      </c>
      <c r="K2308" s="11">
        <v>12924610</v>
      </c>
      <c r="L2308" s="3">
        <v>36</v>
      </c>
      <c r="M2308" s="3">
        <v>3950</v>
      </c>
      <c r="N2308" s="3">
        <v>771194</v>
      </c>
      <c r="O2308" s="2">
        <v>0.109</v>
      </c>
      <c r="P2308" s="2">
        <v>0.74</v>
      </c>
      <c r="Q2308" s="2">
        <v>0.318</v>
      </c>
      <c r="R2308" s="11">
        <v>294190319</v>
      </c>
      <c r="S2308" s="11">
        <v>302172</v>
      </c>
      <c r="T2308">
        <v>2015</v>
      </c>
      <c r="U2308">
        <v>10</v>
      </c>
      <c r="V2308">
        <f t="shared" si="216"/>
        <v>650000</v>
      </c>
      <c r="W2308">
        <f t="shared" si="217"/>
        <v>18429897</v>
      </c>
      <c r="X2308">
        <f t="shared" si="218"/>
        <v>17779897</v>
      </c>
      <c r="Y2308">
        <f t="shared" si="219"/>
        <v>-26019845.5</v>
      </c>
      <c r="Z2308">
        <f t="shared" si="220"/>
        <v>45099742.5</v>
      </c>
      <c r="AA2308" t="str">
        <f t="shared" si="221"/>
        <v>Normal</v>
      </c>
      <c r="AE2308" s="2"/>
      <c r="AF2308" s="2"/>
    </row>
    <row r="2309" spans="1:32" x14ac:dyDescent="0.35">
      <c r="A2309">
        <v>2308</v>
      </c>
      <c r="B2309" s="1">
        <v>42284</v>
      </c>
      <c r="C2309" s="9" t="s">
        <v>3807</v>
      </c>
      <c r="D2309" s="9" t="s">
        <v>5194</v>
      </c>
      <c r="E2309" s="9" t="s">
        <v>1111</v>
      </c>
      <c r="F2309" s="9" t="s">
        <v>31</v>
      </c>
      <c r="G2309" s="9" t="s">
        <v>3808</v>
      </c>
      <c r="H2309" s="9" t="s">
        <v>105</v>
      </c>
      <c r="I2309" s="11">
        <v>3000000</v>
      </c>
      <c r="J2309" s="11">
        <v>2678523</v>
      </c>
      <c r="K2309" s="11">
        <v>8436789</v>
      </c>
      <c r="L2309" s="3">
        <v>452</v>
      </c>
      <c r="M2309" s="3">
        <v>1249</v>
      </c>
      <c r="N2309" s="3">
        <v>1927117</v>
      </c>
      <c r="O2309" s="2">
        <v>0.17300000000000001</v>
      </c>
      <c r="P2309" s="2">
        <v>0.68200000000000005</v>
      </c>
      <c r="Q2309" s="2">
        <v>0.36749999999999999</v>
      </c>
      <c r="R2309" s="11">
        <v>69833200</v>
      </c>
      <c r="S2309" s="11">
        <v>907415</v>
      </c>
      <c r="T2309">
        <v>2015</v>
      </c>
      <c r="U2309">
        <v>10</v>
      </c>
      <c r="V2309">
        <f t="shared" si="216"/>
        <v>650000</v>
      </c>
      <c r="W2309">
        <f t="shared" si="217"/>
        <v>18429897</v>
      </c>
      <c r="X2309">
        <f t="shared" si="218"/>
        <v>17779897</v>
      </c>
      <c r="Y2309">
        <f t="shared" si="219"/>
        <v>-26019845.5</v>
      </c>
      <c r="Z2309">
        <f t="shared" si="220"/>
        <v>45099742.5</v>
      </c>
      <c r="AA2309" t="str">
        <f t="shared" si="221"/>
        <v>Normal</v>
      </c>
      <c r="AE2309" s="2"/>
      <c r="AF2309" s="2"/>
    </row>
    <row r="2310" spans="1:32" x14ac:dyDescent="0.35">
      <c r="A2310">
        <v>2309</v>
      </c>
      <c r="B2310" s="1">
        <v>42284</v>
      </c>
      <c r="C2310" s="9" t="s">
        <v>3809</v>
      </c>
      <c r="D2310" s="9" t="s">
        <v>5195</v>
      </c>
      <c r="E2310" s="9" t="s">
        <v>1111</v>
      </c>
      <c r="F2310" s="9" t="s">
        <v>31</v>
      </c>
      <c r="G2310" s="9" t="s">
        <v>3452</v>
      </c>
      <c r="H2310" s="9" t="s">
        <v>86</v>
      </c>
      <c r="I2310" s="11">
        <v>18429897</v>
      </c>
      <c r="J2310" s="11">
        <v>1417247</v>
      </c>
      <c r="K2310" s="11">
        <v>19329914</v>
      </c>
      <c r="L2310" s="3">
        <v>108</v>
      </c>
      <c r="M2310" s="3">
        <v>4017</v>
      </c>
      <c r="N2310" s="3">
        <v>425989</v>
      </c>
      <c r="O2310" s="2">
        <v>-0.24299999999999999</v>
      </c>
      <c r="P2310" s="2">
        <v>1.0029999999999999</v>
      </c>
      <c r="Q2310" s="2">
        <v>5.9000000000000004E-2</v>
      </c>
      <c r="R2310" s="11">
        <v>391279988</v>
      </c>
      <c r="S2310" s="11">
        <v>94142</v>
      </c>
      <c r="T2310">
        <v>2015</v>
      </c>
      <c r="U2310">
        <v>10</v>
      </c>
      <c r="V2310">
        <f t="shared" si="216"/>
        <v>647500</v>
      </c>
      <c r="W2310">
        <f t="shared" si="217"/>
        <v>18429897</v>
      </c>
      <c r="X2310">
        <f t="shared" si="218"/>
        <v>17782397</v>
      </c>
      <c r="Y2310">
        <f t="shared" si="219"/>
        <v>-26026095.5</v>
      </c>
      <c r="Z2310">
        <f t="shared" si="220"/>
        <v>45103492.5</v>
      </c>
      <c r="AA2310" t="str">
        <f t="shared" si="221"/>
        <v>Normal</v>
      </c>
      <c r="AE2310" s="2"/>
      <c r="AF2310" s="2"/>
    </row>
    <row r="2311" spans="1:32" x14ac:dyDescent="0.35">
      <c r="A2311">
        <v>2310</v>
      </c>
      <c r="B2311" s="1">
        <v>42284</v>
      </c>
      <c r="C2311" s="9" t="s">
        <v>3810</v>
      </c>
      <c r="D2311" s="9" t="s">
        <v>5196</v>
      </c>
      <c r="E2311" s="9" t="s">
        <v>1111</v>
      </c>
      <c r="F2311" s="9" t="s">
        <v>19</v>
      </c>
      <c r="G2311" s="9" t="s">
        <v>3292</v>
      </c>
      <c r="H2311" s="9" t="s">
        <v>105</v>
      </c>
      <c r="I2311" s="11">
        <v>20000000</v>
      </c>
      <c r="J2311" s="11">
        <v>356242</v>
      </c>
      <c r="K2311" s="11">
        <v>4525025</v>
      </c>
      <c r="L2311" s="3">
        <v>39</v>
      </c>
      <c r="M2311" s="3">
        <v>2330</v>
      </c>
      <c r="N2311" s="3">
        <v>679858</v>
      </c>
      <c r="O2311" s="2">
        <v>0.49399999999999999</v>
      </c>
      <c r="P2311" s="2">
        <v>1.08</v>
      </c>
      <c r="Q2311" s="2">
        <v>0.16300000000000001</v>
      </c>
      <c r="R2311" s="11">
        <v>181774049</v>
      </c>
      <c r="S2311" s="11">
        <v>383645</v>
      </c>
      <c r="T2311">
        <v>2015</v>
      </c>
      <c r="U2311">
        <v>10</v>
      </c>
      <c r="V2311">
        <f t="shared" si="216"/>
        <v>645000</v>
      </c>
      <c r="W2311">
        <f t="shared" si="217"/>
        <v>18429897</v>
      </c>
      <c r="X2311">
        <f t="shared" si="218"/>
        <v>17784897</v>
      </c>
      <c r="Y2311">
        <f t="shared" si="219"/>
        <v>-26032345.5</v>
      </c>
      <c r="Z2311">
        <f t="shared" si="220"/>
        <v>45107242.5</v>
      </c>
      <c r="AA2311" t="str">
        <f t="shared" si="221"/>
        <v>Normal</v>
      </c>
      <c r="AE2311" s="2"/>
      <c r="AF2311" s="2"/>
    </row>
    <row r="2312" spans="1:32" x14ac:dyDescent="0.35">
      <c r="A2312">
        <v>2311</v>
      </c>
      <c r="B2312" s="1">
        <v>42284</v>
      </c>
      <c r="C2312" s="9" t="s">
        <v>2242</v>
      </c>
      <c r="D2312" s="9" t="s">
        <v>5197</v>
      </c>
      <c r="E2312" s="9" t="s">
        <v>1111</v>
      </c>
      <c r="F2312" s="9" t="s">
        <v>41</v>
      </c>
      <c r="G2312" s="9" t="s">
        <v>3811</v>
      </c>
      <c r="H2312" s="9" t="s">
        <v>105</v>
      </c>
      <c r="I2312" s="11">
        <v>18429897</v>
      </c>
      <c r="J2312" s="11">
        <v>2559948</v>
      </c>
      <c r="K2312" s="11">
        <v>787170</v>
      </c>
      <c r="L2312" s="3">
        <v>351</v>
      </c>
      <c r="M2312" s="3">
        <v>4293</v>
      </c>
      <c r="N2312" s="3">
        <v>1018455</v>
      </c>
      <c r="O2312" s="2">
        <v>0.44400000000000001</v>
      </c>
      <c r="P2312" s="2">
        <v>0.45600000000000002</v>
      </c>
      <c r="Q2312" s="2">
        <v>-9.4E-2</v>
      </c>
      <c r="R2312" s="11">
        <v>411389263</v>
      </c>
      <c r="S2312" s="11">
        <v>975614</v>
      </c>
      <c r="T2312">
        <v>2015</v>
      </c>
      <c r="U2312">
        <v>10</v>
      </c>
      <c r="V2312">
        <f t="shared" si="216"/>
        <v>642500</v>
      </c>
      <c r="W2312">
        <f t="shared" si="217"/>
        <v>18429897</v>
      </c>
      <c r="X2312">
        <f t="shared" si="218"/>
        <v>17787397</v>
      </c>
      <c r="Y2312">
        <f t="shared" si="219"/>
        <v>-26038595.5</v>
      </c>
      <c r="Z2312">
        <f t="shared" si="220"/>
        <v>45110992.5</v>
      </c>
      <c r="AA2312" t="str">
        <f t="shared" si="221"/>
        <v>Normal</v>
      </c>
      <c r="AE2312" s="2"/>
      <c r="AF2312" s="2"/>
    </row>
    <row r="2313" spans="1:32" x14ac:dyDescent="0.35">
      <c r="A2313">
        <v>2312</v>
      </c>
      <c r="B2313" s="1">
        <v>42284</v>
      </c>
      <c r="C2313" s="9" t="s">
        <v>1663</v>
      </c>
      <c r="D2313" s="9" t="s">
        <v>5198</v>
      </c>
      <c r="E2313" s="9" t="s">
        <v>1111</v>
      </c>
      <c r="F2313" s="9" t="s">
        <v>27</v>
      </c>
      <c r="G2313" s="9" t="s">
        <v>3812</v>
      </c>
      <c r="H2313" s="9" t="s">
        <v>105</v>
      </c>
      <c r="I2313" s="11">
        <v>18429897</v>
      </c>
      <c r="J2313" s="11">
        <v>282979</v>
      </c>
      <c r="K2313" s="11">
        <v>14929666</v>
      </c>
      <c r="L2313" s="3">
        <v>180</v>
      </c>
      <c r="M2313" s="3">
        <v>1371</v>
      </c>
      <c r="N2313" s="3">
        <v>625181</v>
      </c>
      <c r="O2313" s="2">
        <v>-0.11</v>
      </c>
      <c r="P2313" s="2">
        <v>0.33600000000000002</v>
      </c>
      <c r="Q2313" s="2">
        <v>0.36699999999999999</v>
      </c>
      <c r="R2313" s="11">
        <v>15943967</v>
      </c>
      <c r="S2313" s="11">
        <v>742012</v>
      </c>
      <c r="T2313">
        <v>2015</v>
      </c>
      <c r="U2313">
        <v>10</v>
      </c>
      <c r="V2313">
        <f t="shared" si="216"/>
        <v>640000</v>
      </c>
      <c r="W2313">
        <f t="shared" si="217"/>
        <v>18429897</v>
      </c>
      <c r="X2313">
        <f t="shared" si="218"/>
        <v>17789897</v>
      </c>
      <c r="Y2313">
        <f t="shared" si="219"/>
        <v>-26044845.5</v>
      </c>
      <c r="Z2313">
        <f t="shared" si="220"/>
        <v>45114742.5</v>
      </c>
      <c r="AA2313" t="str">
        <f t="shared" si="221"/>
        <v>Normal</v>
      </c>
      <c r="AE2313" s="2"/>
      <c r="AF2313" s="2"/>
    </row>
    <row r="2314" spans="1:32" x14ac:dyDescent="0.35">
      <c r="A2314">
        <v>2313</v>
      </c>
      <c r="B2314" s="1">
        <v>42285</v>
      </c>
      <c r="C2314" s="9" t="s">
        <v>3813</v>
      </c>
      <c r="D2314" s="9" t="s">
        <v>5199</v>
      </c>
      <c r="E2314" s="9" t="s">
        <v>1111</v>
      </c>
      <c r="F2314" s="9" t="s">
        <v>31</v>
      </c>
      <c r="G2314" s="9" t="s">
        <v>4880</v>
      </c>
      <c r="H2314" s="9" t="s">
        <v>105</v>
      </c>
      <c r="I2314" s="11">
        <v>2000000</v>
      </c>
      <c r="J2314" s="11">
        <v>1148946</v>
      </c>
      <c r="K2314" s="11">
        <v>13110692</v>
      </c>
      <c r="L2314" s="3">
        <v>349</v>
      </c>
      <c r="M2314" s="3">
        <v>3475</v>
      </c>
      <c r="N2314" s="3">
        <v>684539</v>
      </c>
      <c r="O2314" s="2">
        <v>0.23499999999999999</v>
      </c>
      <c r="P2314" s="2">
        <v>1.0109999999999999</v>
      </c>
      <c r="Q2314" s="2">
        <v>0.28499999999999998</v>
      </c>
      <c r="R2314" s="11">
        <v>233852501</v>
      </c>
      <c r="S2314" s="11">
        <v>57424</v>
      </c>
      <c r="T2314">
        <v>2015</v>
      </c>
      <c r="U2314">
        <v>10</v>
      </c>
      <c r="V2314">
        <f t="shared" si="216"/>
        <v>637500</v>
      </c>
      <c r="W2314">
        <f t="shared" si="217"/>
        <v>18429897</v>
      </c>
      <c r="X2314">
        <f t="shared" si="218"/>
        <v>17792397</v>
      </c>
      <c r="Y2314">
        <f t="shared" si="219"/>
        <v>-26051095.5</v>
      </c>
      <c r="Z2314">
        <f t="shared" si="220"/>
        <v>45118492.5</v>
      </c>
      <c r="AA2314" t="str">
        <f t="shared" si="221"/>
        <v>Normal</v>
      </c>
      <c r="AE2314" s="2"/>
      <c r="AF2314" s="2"/>
    </row>
    <row r="2315" spans="1:32" x14ac:dyDescent="0.35">
      <c r="A2315">
        <v>2314</v>
      </c>
      <c r="B2315" s="1">
        <v>42285</v>
      </c>
      <c r="C2315" s="9" t="s">
        <v>3814</v>
      </c>
      <c r="D2315" s="9" t="s">
        <v>5200</v>
      </c>
      <c r="E2315" s="9" t="s">
        <v>1111</v>
      </c>
      <c r="F2315" s="9" t="s">
        <v>27</v>
      </c>
      <c r="G2315" s="9" t="s">
        <v>3815</v>
      </c>
      <c r="H2315" s="9" t="s">
        <v>105</v>
      </c>
      <c r="I2315" s="11">
        <v>7700000</v>
      </c>
      <c r="J2315" s="11">
        <v>22583</v>
      </c>
      <c r="K2315" s="11">
        <v>5279777</v>
      </c>
      <c r="L2315" s="3">
        <v>24</v>
      </c>
      <c r="M2315" s="3">
        <v>1077</v>
      </c>
      <c r="N2315" s="3">
        <v>1854133</v>
      </c>
      <c r="O2315" s="2">
        <v>-0.17699999999999999</v>
      </c>
      <c r="P2315" s="2">
        <v>0.41200000000000003</v>
      </c>
      <c r="Q2315" s="2">
        <v>0.27699999999999997</v>
      </c>
      <c r="R2315" s="11">
        <v>470064661</v>
      </c>
      <c r="S2315" s="11">
        <v>1008193.5</v>
      </c>
      <c r="T2315">
        <v>2015</v>
      </c>
      <c r="U2315">
        <v>10</v>
      </c>
      <c r="V2315">
        <f t="shared" si="216"/>
        <v>635000</v>
      </c>
      <c r="W2315">
        <f t="shared" si="217"/>
        <v>18429897</v>
      </c>
      <c r="X2315">
        <f t="shared" si="218"/>
        <v>17794897</v>
      </c>
      <c r="Y2315">
        <f t="shared" si="219"/>
        <v>-26057345.5</v>
      </c>
      <c r="Z2315">
        <f t="shared" si="220"/>
        <v>45122242.5</v>
      </c>
      <c r="AA2315" t="str">
        <f t="shared" si="221"/>
        <v>Normal</v>
      </c>
      <c r="AE2315" s="2"/>
      <c r="AF2315" s="2"/>
    </row>
    <row r="2316" spans="1:32" x14ac:dyDescent="0.35">
      <c r="A2316">
        <v>2315</v>
      </c>
      <c r="B2316" s="1">
        <v>42285</v>
      </c>
      <c r="C2316" s="9" t="s">
        <v>1275</v>
      </c>
      <c r="D2316" s="9" t="s">
        <v>5201</v>
      </c>
      <c r="E2316" s="9" t="s">
        <v>1111</v>
      </c>
      <c r="F2316" s="9" t="s">
        <v>3816</v>
      </c>
      <c r="G2316" s="9" t="s">
        <v>3817</v>
      </c>
      <c r="H2316" s="9" t="s">
        <v>105</v>
      </c>
      <c r="I2316" s="11">
        <v>18429897</v>
      </c>
      <c r="J2316" s="11">
        <v>452371</v>
      </c>
      <c r="K2316" s="11">
        <v>17372459</v>
      </c>
      <c r="L2316" s="3">
        <v>431</v>
      </c>
      <c r="M2316" s="3">
        <v>734</v>
      </c>
      <c r="N2316" s="3">
        <v>302637</v>
      </c>
      <c r="O2316" s="2">
        <v>0.13699999999999998</v>
      </c>
      <c r="P2316" s="2">
        <v>1.0660000000000001E-2</v>
      </c>
      <c r="Q2316" s="2">
        <v>-0.14199999999999999</v>
      </c>
      <c r="R2316" s="11">
        <v>220501798</v>
      </c>
      <c r="S2316" s="11">
        <v>892068</v>
      </c>
      <c r="T2316">
        <v>2015</v>
      </c>
      <c r="U2316">
        <v>10</v>
      </c>
      <c r="V2316">
        <f t="shared" si="216"/>
        <v>632500</v>
      </c>
      <c r="W2316">
        <f t="shared" si="217"/>
        <v>18429897</v>
      </c>
      <c r="X2316">
        <f t="shared" si="218"/>
        <v>17797397</v>
      </c>
      <c r="Y2316">
        <f t="shared" si="219"/>
        <v>-26063595.5</v>
      </c>
      <c r="Z2316">
        <f t="shared" si="220"/>
        <v>45125992.5</v>
      </c>
      <c r="AA2316" t="str">
        <f t="shared" si="221"/>
        <v>Normal</v>
      </c>
      <c r="AE2316" s="2"/>
      <c r="AF2316" s="2"/>
    </row>
    <row r="2317" spans="1:32" x14ac:dyDescent="0.35">
      <c r="A2317">
        <v>2316</v>
      </c>
      <c r="B2317" s="1">
        <v>42285</v>
      </c>
      <c r="C2317" s="9" t="s">
        <v>3818</v>
      </c>
      <c r="D2317" s="9" t="s">
        <v>5202</v>
      </c>
      <c r="E2317" s="9" t="s">
        <v>1111</v>
      </c>
      <c r="F2317" s="9" t="s">
        <v>15</v>
      </c>
      <c r="G2317" s="9" t="s">
        <v>3819</v>
      </c>
      <c r="H2317" s="9" t="s">
        <v>105</v>
      </c>
      <c r="I2317" s="11">
        <v>10000000</v>
      </c>
      <c r="J2317" s="11">
        <v>2192856</v>
      </c>
      <c r="K2317" s="11">
        <v>3331165</v>
      </c>
      <c r="L2317" s="3">
        <v>158</v>
      </c>
      <c r="M2317" s="3">
        <v>3541</v>
      </c>
      <c r="N2317" s="3">
        <v>1023526</v>
      </c>
      <c r="O2317" s="2">
        <v>-0.31900000000000001</v>
      </c>
      <c r="P2317" s="2">
        <v>0.30299999999999999</v>
      </c>
      <c r="Q2317" s="2">
        <v>0.36749999999999999</v>
      </c>
      <c r="R2317" s="11">
        <v>411018373</v>
      </c>
      <c r="S2317" s="11">
        <v>720724</v>
      </c>
      <c r="T2317">
        <v>2015</v>
      </c>
      <c r="U2317">
        <v>10</v>
      </c>
      <c r="V2317">
        <f t="shared" si="216"/>
        <v>630000</v>
      </c>
      <c r="W2317">
        <f t="shared" si="217"/>
        <v>18429897</v>
      </c>
      <c r="X2317">
        <f t="shared" si="218"/>
        <v>17799897</v>
      </c>
      <c r="Y2317">
        <f t="shared" si="219"/>
        <v>-26069845.5</v>
      </c>
      <c r="Z2317">
        <f t="shared" si="220"/>
        <v>45129742.5</v>
      </c>
      <c r="AA2317" t="str">
        <f t="shared" si="221"/>
        <v>Normal</v>
      </c>
      <c r="AE2317" s="2"/>
      <c r="AF2317" s="2"/>
    </row>
    <row r="2318" spans="1:32" x14ac:dyDescent="0.35">
      <c r="A2318">
        <v>2317</v>
      </c>
      <c r="B2318" s="1">
        <v>42285</v>
      </c>
      <c r="C2318" s="9" t="s">
        <v>3820</v>
      </c>
      <c r="D2318" s="9" t="s">
        <v>5203</v>
      </c>
      <c r="E2318" s="9" t="s">
        <v>1111</v>
      </c>
      <c r="F2318" s="9" t="s">
        <v>31</v>
      </c>
      <c r="G2318" s="9" t="s">
        <v>3821</v>
      </c>
      <c r="H2318" s="9" t="s">
        <v>86</v>
      </c>
      <c r="I2318" s="11">
        <v>310000</v>
      </c>
      <c r="J2318" s="11">
        <v>4256553</v>
      </c>
      <c r="K2318" s="11">
        <v>5094236</v>
      </c>
      <c r="L2318" s="3">
        <v>379</v>
      </c>
      <c r="M2318" s="3">
        <v>3420</v>
      </c>
      <c r="N2318" s="3">
        <v>942219</v>
      </c>
      <c r="O2318" s="2">
        <v>6.2E-2</v>
      </c>
      <c r="P2318" s="2">
        <v>0.29099999999999998</v>
      </c>
      <c r="Q2318" s="2">
        <v>-0.34899999999999998</v>
      </c>
      <c r="R2318" s="11">
        <v>206853450</v>
      </c>
      <c r="S2318" s="11">
        <v>923610</v>
      </c>
      <c r="T2318">
        <v>2015</v>
      </c>
      <c r="U2318">
        <v>10</v>
      </c>
      <c r="V2318">
        <f t="shared" si="216"/>
        <v>630000</v>
      </c>
      <c r="W2318">
        <f t="shared" si="217"/>
        <v>18429897</v>
      </c>
      <c r="X2318">
        <f t="shared" si="218"/>
        <v>17799897</v>
      </c>
      <c r="Y2318">
        <f t="shared" si="219"/>
        <v>-26069845.5</v>
      </c>
      <c r="Z2318">
        <f t="shared" si="220"/>
        <v>45129742.5</v>
      </c>
      <c r="AA2318" t="str">
        <f t="shared" si="221"/>
        <v>Normal</v>
      </c>
      <c r="AE2318" s="2"/>
      <c r="AF2318" s="2"/>
    </row>
    <row r="2319" spans="1:32" x14ac:dyDescent="0.35">
      <c r="A2319">
        <v>2318</v>
      </c>
      <c r="B2319" s="1">
        <v>42286</v>
      </c>
      <c r="C2319" s="9" t="s">
        <v>1790</v>
      </c>
      <c r="D2319" s="9" t="s">
        <v>5204</v>
      </c>
      <c r="E2319" s="9" t="s">
        <v>1111</v>
      </c>
      <c r="F2319" s="9" t="s">
        <v>124</v>
      </c>
      <c r="G2319" s="9" t="s">
        <v>856</v>
      </c>
      <c r="H2319" s="9" t="s">
        <v>86</v>
      </c>
      <c r="I2319" s="11">
        <v>70000</v>
      </c>
      <c r="J2319" s="11">
        <v>3877626</v>
      </c>
      <c r="K2319" s="11">
        <v>3174846</v>
      </c>
      <c r="L2319" s="3">
        <v>468</v>
      </c>
      <c r="M2319" s="3">
        <v>1502</v>
      </c>
      <c r="N2319" s="3">
        <v>173825</v>
      </c>
      <c r="O2319" s="2">
        <v>2.2000000000000002E-2</v>
      </c>
      <c r="P2319" s="2">
        <v>0.38200000000000001</v>
      </c>
      <c r="Q2319" s="2">
        <v>0.29899999999999999</v>
      </c>
      <c r="R2319" s="11">
        <v>348891734</v>
      </c>
      <c r="S2319" s="11">
        <v>559048</v>
      </c>
      <c r="T2319">
        <v>2015</v>
      </c>
      <c r="U2319">
        <v>10</v>
      </c>
      <c r="V2319">
        <f t="shared" si="216"/>
        <v>635000</v>
      </c>
      <c r="W2319">
        <f t="shared" si="217"/>
        <v>18429897</v>
      </c>
      <c r="X2319">
        <f t="shared" si="218"/>
        <v>17794897</v>
      </c>
      <c r="Y2319">
        <f t="shared" si="219"/>
        <v>-26057345.5</v>
      </c>
      <c r="Z2319">
        <f t="shared" si="220"/>
        <v>45122242.5</v>
      </c>
      <c r="AA2319" t="str">
        <f t="shared" si="221"/>
        <v>Normal</v>
      </c>
      <c r="AE2319" s="2"/>
      <c r="AF2319" s="2"/>
    </row>
    <row r="2320" spans="1:32" x14ac:dyDescent="0.35">
      <c r="A2320">
        <v>2319</v>
      </c>
      <c r="B2320" s="1">
        <v>42286</v>
      </c>
      <c r="C2320" s="9" t="s">
        <v>903</v>
      </c>
      <c r="D2320" s="9" t="s">
        <v>5205</v>
      </c>
      <c r="E2320" s="9" t="s">
        <v>1111</v>
      </c>
      <c r="F2320" s="9" t="s">
        <v>27</v>
      </c>
      <c r="G2320" s="9" t="s">
        <v>1357</v>
      </c>
      <c r="H2320" s="9" t="s">
        <v>105</v>
      </c>
      <c r="I2320" s="11">
        <v>18429897</v>
      </c>
      <c r="J2320" s="11">
        <v>2531926</v>
      </c>
      <c r="K2320" s="11">
        <v>3806258</v>
      </c>
      <c r="L2320" s="3">
        <v>270</v>
      </c>
      <c r="M2320" s="3">
        <v>3042</v>
      </c>
      <c r="N2320" s="3">
        <v>402940</v>
      </c>
      <c r="O2320" s="2">
        <v>0.35100000000000003</v>
      </c>
      <c r="P2320" s="2">
        <v>0.21199999999999999</v>
      </c>
      <c r="Q2320" s="2">
        <v>0.14899999999999999</v>
      </c>
      <c r="R2320" s="11">
        <v>338532868</v>
      </c>
      <c r="S2320" s="11">
        <v>786883</v>
      </c>
      <c r="T2320">
        <v>2015</v>
      </c>
      <c r="U2320">
        <v>10</v>
      </c>
      <c r="V2320">
        <f t="shared" si="216"/>
        <v>642500</v>
      </c>
      <c r="W2320">
        <f t="shared" si="217"/>
        <v>18429897</v>
      </c>
      <c r="X2320">
        <f t="shared" si="218"/>
        <v>17787397</v>
      </c>
      <c r="Y2320">
        <f t="shared" si="219"/>
        <v>-26038595.5</v>
      </c>
      <c r="Z2320">
        <f t="shared" si="220"/>
        <v>45110992.5</v>
      </c>
      <c r="AA2320" t="str">
        <f t="shared" si="221"/>
        <v>Normal</v>
      </c>
      <c r="AE2320" s="2"/>
      <c r="AF2320" s="2"/>
    </row>
    <row r="2321" spans="1:32" x14ac:dyDescent="0.35">
      <c r="A2321">
        <v>2320</v>
      </c>
      <c r="B2321" s="1">
        <v>42286</v>
      </c>
      <c r="C2321" s="9" t="s">
        <v>3822</v>
      </c>
      <c r="D2321" s="9" t="s">
        <v>5206</v>
      </c>
      <c r="E2321" s="9" t="s">
        <v>1111</v>
      </c>
      <c r="F2321" s="9" t="s">
        <v>3823</v>
      </c>
      <c r="G2321" s="9" t="s">
        <v>3824</v>
      </c>
      <c r="H2321" s="9" t="s">
        <v>105</v>
      </c>
      <c r="I2321" s="11">
        <v>8000000</v>
      </c>
      <c r="J2321" s="11">
        <v>193494</v>
      </c>
      <c r="K2321" s="11">
        <v>14612339</v>
      </c>
      <c r="L2321" s="3">
        <v>170</v>
      </c>
      <c r="M2321" s="3">
        <v>4710</v>
      </c>
      <c r="N2321" s="3">
        <v>545294</v>
      </c>
      <c r="O2321" s="2">
        <v>1.6E-2</v>
      </c>
      <c r="P2321" s="2">
        <v>0.94799999999999995</v>
      </c>
      <c r="Q2321" s="2">
        <v>0.28000000000000003</v>
      </c>
      <c r="R2321" s="11">
        <v>123686025</v>
      </c>
      <c r="S2321" s="11">
        <v>1006067</v>
      </c>
      <c r="T2321">
        <v>2015</v>
      </c>
      <c r="U2321">
        <v>10</v>
      </c>
      <c r="V2321">
        <f t="shared" si="216"/>
        <v>640000</v>
      </c>
      <c r="W2321">
        <f t="shared" si="217"/>
        <v>18429897</v>
      </c>
      <c r="X2321">
        <f t="shared" si="218"/>
        <v>17789897</v>
      </c>
      <c r="Y2321">
        <f t="shared" si="219"/>
        <v>-26044845.5</v>
      </c>
      <c r="Z2321">
        <f t="shared" si="220"/>
        <v>45114742.5</v>
      </c>
      <c r="AA2321" t="str">
        <f t="shared" si="221"/>
        <v>Normal</v>
      </c>
      <c r="AE2321" s="2"/>
      <c r="AF2321" s="2"/>
    </row>
    <row r="2322" spans="1:32" x14ac:dyDescent="0.35">
      <c r="A2322">
        <v>2321</v>
      </c>
      <c r="B2322" s="1">
        <v>42286</v>
      </c>
      <c r="C2322" s="9" t="s">
        <v>3825</v>
      </c>
      <c r="D2322" s="9" t="s">
        <v>3826</v>
      </c>
      <c r="E2322" s="9" t="s">
        <v>1111</v>
      </c>
      <c r="F2322" s="9" t="s">
        <v>31</v>
      </c>
      <c r="G2322" s="9" t="s">
        <v>3827</v>
      </c>
      <c r="H2322" s="9" t="s">
        <v>86</v>
      </c>
      <c r="I2322" s="11">
        <v>300000</v>
      </c>
      <c r="J2322" s="11">
        <v>1703674</v>
      </c>
      <c r="K2322" s="11">
        <v>14099356</v>
      </c>
      <c r="L2322" s="3">
        <v>159</v>
      </c>
      <c r="M2322" s="3">
        <v>1701</v>
      </c>
      <c r="N2322" s="3">
        <v>940645</v>
      </c>
      <c r="O2322" s="2">
        <v>1.6E-2</v>
      </c>
      <c r="P2322" s="2">
        <v>0.59699999999999998</v>
      </c>
      <c r="Q2322" s="2">
        <v>0.06</v>
      </c>
      <c r="R2322" s="11">
        <v>473857207</v>
      </c>
      <c r="S2322" s="11">
        <v>379215</v>
      </c>
      <c r="T2322">
        <v>2015</v>
      </c>
      <c r="U2322">
        <v>10</v>
      </c>
      <c r="V2322">
        <f t="shared" si="216"/>
        <v>637500</v>
      </c>
      <c r="W2322">
        <f t="shared" si="217"/>
        <v>18429897</v>
      </c>
      <c r="X2322">
        <f t="shared" si="218"/>
        <v>17792397</v>
      </c>
      <c r="Y2322">
        <f t="shared" si="219"/>
        <v>-26051095.5</v>
      </c>
      <c r="Z2322">
        <f t="shared" si="220"/>
        <v>45118492.5</v>
      </c>
      <c r="AA2322" t="str">
        <f t="shared" si="221"/>
        <v>Normal</v>
      </c>
      <c r="AE2322" s="2"/>
      <c r="AF2322" s="2"/>
    </row>
    <row r="2323" spans="1:32" x14ac:dyDescent="0.35">
      <c r="A2323">
        <v>2322</v>
      </c>
      <c r="B2323" s="1">
        <v>42286</v>
      </c>
      <c r="C2323" s="9" t="s">
        <v>3828</v>
      </c>
      <c r="D2323" s="9" t="s">
        <v>3829</v>
      </c>
      <c r="E2323" s="9" t="s">
        <v>1111</v>
      </c>
      <c r="F2323" s="9" t="s">
        <v>15</v>
      </c>
      <c r="G2323" s="9" t="s">
        <v>2532</v>
      </c>
      <c r="H2323" s="9" t="s">
        <v>105</v>
      </c>
      <c r="I2323" s="11">
        <v>18429897</v>
      </c>
      <c r="J2323" s="11">
        <v>3268242</v>
      </c>
      <c r="K2323" s="11">
        <v>12891924</v>
      </c>
      <c r="L2323" s="3">
        <v>344</v>
      </c>
      <c r="M2323" s="3">
        <v>2533</v>
      </c>
      <c r="N2323" s="3">
        <v>832730</v>
      </c>
      <c r="O2323" s="2">
        <v>0.35199999999999998</v>
      </c>
      <c r="P2323" s="2">
        <v>1.145</v>
      </c>
      <c r="Q2323" s="2">
        <v>0.13500000000000001</v>
      </c>
      <c r="R2323" s="11">
        <v>150102664</v>
      </c>
      <c r="S2323" s="11">
        <v>1504170</v>
      </c>
      <c r="T2323">
        <v>2015</v>
      </c>
      <c r="U2323">
        <v>10</v>
      </c>
      <c r="V2323">
        <f t="shared" si="216"/>
        <v>645000</v>
      </c>
      <c r="W2323">
        <f t="shared" si="217"/>
        <v>18429897</v>
      </c>
      <c r="X2323">
        <f t="shared" si="218"/>
        <v>17784897</v>
      </c>
      <c r="Y2323">
        <f t="shared" si="219"/>
        <v>-26032345.5</v>
      </c>
      <c r="Z2323">
        <f t="shared" si="220"/>
        <v>45107242.5</v>
      </c>
      <c r="AA2323" t="str">
        <f t="shared" si="221"/>
        <v>Normal</v>
      </c>
      <c r="AE2323" s="2"/>
      <c r="AF2323" s="2"/>
    </row>
    <row r="2324" spans="1:32" x14ac:dyDescent="0.35">
      <c r="A2324">
        <v>2323</v>
      </c>
      <c r="B2324" s="1">
        <v>42286</v>
      </c>
      <c r="C2324" s="9" t="s">
        <v>3830</v>
      </c>
      <c r="D2324" s="9" t="s">
        <v>5207</v>
      </c>
      <c r="E2324" s="9" t="s">
        <v>1111</v>
      </c>
      <c r="F2324" s="9" t="s">
        <v>27</v>
      </c>
      <c r="G2324" s="9" t="s">
        <v>3831</v>
      </c>
      <c r="H2324" s="9" t="s">
        <v>86</v>
      </c>
      <c r="I2324" s="11">
        <v>1000000</v>
      </c>
      <c r="J2324" s="11">
        <v>3738728</v>
      </c>
      <c r="K2324" s="11">
        <v>17229161</v>
      </c>
      <c r="L2324" s="3">
        <v>7</v>
      </c>
      <c r="M2324" s="3">
        <v>1082</v>
      </c>
      <c r="N2324" s="3">
        <v>1185096</v>
      </c>
      <c r="O2324" s="2">
        <v>0.13600000000000001</v>
      </c>
      <c r="P2324" s="2">
        <v>0.56499999999999995</v>
      </c>
      <c r="Q2324" s="2">
        <v>0.28899999999999998</v>
      </c>
      <c r="R2324" s="11">
        <v>134354583</v>
      </c>
      <c r="S2324" s="11">
        <v>523852</v>
      </c>
      <c r="T2324">
        <v>2015</v>
      </c>
      <c r="U2324">
        <v>10</v>
      </c>
      <c r="V2324">
        <f t="shared" si="216"/>
        <v>642500</v>
      </c>
      <c r="W2324">
        <f t="shared" si="217"/>
        <v>18429897</v>
      </c>
      <c r="X2324">
        <f t="shared" si="218"/>
        <v>17787397</v>
      </c>
      <c r="Y2324">
        <f t="shared" si="219"/>
        <v>-26038595.5</v>
      </c>
      <c r="Z2324">
        <f t="shared" si="220"/>
        <v>45110992.5</v>
      </c>
      <c r="AA2324" t="str">
        <f t="shared" si="221"/>
        <v>Normal</v>
      </c>
      <c r="AE2324" s="2"/>
      <c r="AF2324" s="2"/>
    </row>
    <row r="2325" spans="1:32" x14ac:dyDescent="0.35">
      <c r="A2325">
        <v>2324</v>
      </c>
      <c r="B2325" s="1">
        <v>42286</v>
      </c>
      <c r="C2325" s="9" t="s">
        <v>3832</v>
      </c>
      <c r="D2325" s="9" t="s">
        <v>5208</v>
      </c>
      <c r="E2325" s="9" t="s">
        <v>1111</v>
      </c>
      <c r="F2325" s="9" t="s">
        <v>27</v>
      </c>
      <c r="G2325" s="9" t="s">
        <v>3833</v>
      </c>
      <c r="H2325" s="9" t="s">
        <v>86</v>
      </c>
      <c r="I2325" s="11">
        <v>77000</v>
      </c>
      <c r="J2325" s="11">
        <v>4119174</v>
      </c>
      <c r="K2325" s="11">
        <v>1489141</v>
      </c>
      <c r="L2325" s="3">
        <v>77</v>
      </c>
      <c r="M2325" s="3">
        <v>2614</v>
      </c>
      <c r="N2325" s="3">
        <v>753242</v>
      </c>
      <c r="O2325" s="2">
        <v>0.19800000000000001</v>
      </c>
      <c r="P2325" s="2">
        <v>0.90300000000000002</v>
      </c>
      <c r="Q2325" s="2">
        <v>0.114</v>
      </c>
      <c r="R2325" s="11">
        <v>88401630</v>
      </c>
      <c r="S2325" s="11">
        <v>1920524</v>
      </c>
      <c r="T2325">
        <v>2015</v>
      </c>
      <c r="U2325">
        <v>10</v>
      </c>
      <c r="V2325">
        <f t="shared" si="216"/>
        <v>640000</v>
      </c>
      <c r="W2325">
        <f t="shared" si="217"/>
        <v>18429897</v>
      </c>
      <c r="X2325">
        <f t="shared" si="218"/>
        <v>17789897</v>
      </c>
      <c r="Y2325">
        <f t="shared" si="219"/>
        <v>-26044845.5</v>
      </c>
      <c r="Z2325">
        <f t="shared" si="220"/>
        <v>45114742.5</v>
      </c>
      <c r="AA2325" t="str">
        <f t="shared" si="221"/>
        <v>Normal</v>
      </c>
      <c r="AE2325" s="2"/>
      <c r="AF2325" s="2"/>
    </row>
    <row r="2326" spans="1:32" x14ac:dyDescent="0.35">
      <c r="A2326">
        <v>2325</v>
      </c>
      <c r="B2326" s="1">
        <v>42289</v>
      </c>
      <c r="C2326" s="9" t="s">
        <v>3834</v>
      </c>
      <c r="D2326" s="9" t="s">
        <v>5209</v>
      </c>
      <c r="E2326" s="9" t="s">
        <v>1111</v>
      </c>
      <c r="F2326" s="9" t="s">
        <v>124</v>
      </c>
      <c r="G2326" s="9" t="s">
        <v>4881</v>
      </c>
      <c r="H2326" s="9" t="s">
        <v>86</v>
      </c>
      <c r="I2326" s="11">
        <v>190000</v>
      </c>
      <c r="J2326" s="11">
        <v>1724179</v>
      </c>
      <c r="K2326" s="11">
        <v>12446485</v>
      </c>
      <c r="L2326" s="3">
        <v>325</v>
      </c>
      <c r="M2326" s="3">
        <v>4431</v>
      </c>
      <c r="N2326" s="3">
        <v>1564416</v>
      </c>
      <c r="O2326" s="2">
        <v>0.19699999999999998</v>
      </c>
      <c r="P2326" s="2">
        <v>0.88300000000000001</v>
      </c>
      <c r="Q2326" s="2">
        <v>0.16800000000000001</v>
      </c>
      <c r="R2326" s="11">
        <v>143250286</v>
      </c>
      <c r="S2326" s="11">
        <v>693917</v>
      </c>
      <c r="T2326">
        <v>2015</v>
      </c>
      <c r="U2326">
        <v>10</v>
      </c>
      <c r="V2326">
        <f t="shared" si="216"/>
        <v>647500</v>
      </c>
      <c r="W2326">
        <f t="shared" si="217"/>
        <v>18429897</v>
      </c>
      <c r="X2326">
        <f t="shared" si="218"/>
        <v>17782397</v>
      </c>
      <c r="Y2326">
        <f t="shared" si="219"/>
        <v>-26026095.5</v>
      </c>
      <c r="Z2326">
        <f t="shared" si="220"/>
        <v>45103492.5</v>
      </c>
      <c r="AA2326" t="str">
        <f t="shared" si="221"/>
        <v>Normal</v>
      </c>
      <c r="AE2326" s="2"/>
      <c r="AF2326" s="2"/>
    </row>
    <row r="2327" spans="1:32" x14ac:dyDescent="0.35">
      <c r="A2327">
        <v>2326</v>
      </c>
      <c r="B2327" s="1">
        <v>42289</v>
      </c>
      <c r="C2327" s="9" t="s">
        <v>2503</v>
      </c>
      <c r="D2327" s="9" t="s">
        <v>5210</v>
      </c>
      <c r="E2327" s="9" t="s">
        <v>1111</v>
      </c>
      <c r="F2327" s="9" t="s">
        <v>19</v>
      </c>
      <c r="G2327" s="9" t="s">
        <v>3835</v>
      </c>
      <c r="H2327" s="9" t="s">
        <v>105</v>
      </c>
      <c r="I2327" s="11">
        <v>18429897</v>
      </c>
      <c r="J2327" s="11">
        <v>856644</v>
      </c>
      <c r="K2327" s="11">
        <v>2389352</v>
      </c>
      <c r="L2327" s="3">
        <v>17</v>
      </c>
      <c r="M2327" s="3">
        <v>3197</v>
      </c>
      <c r="N2327" s="3">
        <v>733599</v>
      </c>
      <c r="O2327" s="2">
        <v>-0.11600000000000001</v>
      </c>
      <c r="P2327" s="2">
        <v>0.52500000000000002</v>
      </c>
      <c r="Q2327" s="2">
        <v>0.17599999999999999</v>
      </c>
      <c r="R2327" s="11">
        <v>250264963</v>
      </c>
      <c r="S2327" s="11">
        <v>243821</v>
      </c>
      <c r="T2327">
        <v>2015</v>
      </c>
      <c r="U2327">
        <v>10</v>
      </c>
      <c r="V2327">
        <f t="shared" si="216"/>
        <v>650000</v>
      </c>
      <c r="W2327">
        <f t="shared" si="217"/>
        <v>18429897</v>
      </c>
      <c r="X2327">
        <f t="shared" si="218"/>
        <v>17779897</v>
      </c>
      <c r="Y2327">
        <f t="shared" si="219"/>
        <v>-26019845.5</v>
      </c>
      <c r="Z2327">
        <f t="shared" si="220"/>
        <v>45099742.5</v>
      </c>
      <c r="AA2327" t="str">
        <f t="shared" si="221"/>
        <v>Normal</v>
      </c>
      <c r="AE2327" s="2"/>
      <c r="AF2327" s="2"/>
    </row>
    <row r="2328" spans="1:32" x14ac:dyDescent="0.35">
      <c r="A2328">
        <v>2327</v>
      </c>
      <c r="B2328" s="1">
        <v>42289</v>
      </c>
      <c r="C2328" s="9" t="s">
        <v>558</v>
      </c>
      <c r="D2328" s="9" t="s">
        <v>5211</v>
      </c>
      <c r="E2328" s="9" t="s">
        <v>1111</v>
      </c>
      <c r="F2328" s="9" t="s">
        <v>31</v>
      </c>
      <c r="G2328" s="9" t="s">
        <v>853</v>
      </c>
      <c r="H2328" s="9" t="s">
        <v>86</v>
      </c>
      <c r="I2328" s="11">
        <v>18429897</v>
      </c>
      <c r="J2328" s="11">
        <v>151212</v>
      </c>
      <c r="K2328" s="11">
        <v>19117708</v>
      </c>
      <c r="L2328" s="3">
        <v>148</v>
      </c>
      <c r="M2328" s="3">
        <v>752</v>
      </c>
      <c r="N2328" s="3">
        <v>1706346</v>
      </c>
      <c r="O2328" s="2">
        <v>0.34899999999999998</v>
      </c>
      <c r="P2328" s="2">
        <v>1.093E-2</v>
      </c>
      <c r="Q2328" s="2">
        <v>0.66300000000000003</v>
      </c>
      <c r="R2328" s="11">
        <v>324118500</v>
      </c>
      <c r="S2328" s="11">
        <v>1081948</v>
      </c>
      <c r="T2328">
        <v>2015</v>
      </c>
      <c r="U2328">
        <v>10</v>
      </c>
      <c r="V2328">
        <f t="shared" si="216"/>
        <v>650000</v>
      </c>
      <c r="W2328">
        <f t="shared" si="217"/>
        <v>18429897</v>
      </c>
      <c r="X2328">
        <f t="shared" si="218"/>
        <v>17779897</v>
      </c>
      <c r="Y2328">
        <f t="shared" si="219"/>
        <v>-26019845.5</v>
      </c>
      <c r="Z2328">
        <f t="shared" si="220"/>
        <v>45099742.5</v>
      </c>
      <c r="AA2328" t="str">
        <f t="shared" si="221"/>
        <v>Normal</v>
      </c>
      <c r="AE2328" s="2"/>
      <c r="AF2328" s="2"/>
    </row>
    <row r="2329" spans="1:32" x14ac:dyDescent="0.35">
      <c r="A2329">
        <v>2328</v>
      </c>
      <c r="B2329" s="1">
        <v>42289</v>
      </c>
      <c r="C2329" s="9" t="s">
        <v>3836</v>
      </c>
      <c r="D2329" s="9" t="s">
        <v>5212</v>
      </c>
      <c r="E2329" s="9" t="s">
        <v>1111</v>
      </c>
      <c r="F2329" s="9" t="s">
        <v>408</v>
      </c>
      <c r="G2329" s="9" t="s">
        <v>575</v>
      </c>
      <c r="H2329" s="9" t="s">
        <v>86</v>
      </c>
      <c r="I2329" s="11">
        <v>100000</v>
      </c>
      <c r="J2329" s="11">
        <v>751381</v>
      </c>
      <c r="K2329" s="11">
        <v>12713552</v>
      </c>
      <c r="L2329" s="3">
        <v>325</v>
      </c>
      <c r="M2329" s="3">
        <v>3715</v>
      </c>
      <c r="N2329" s="3">
        <v>1999850</v>
      </c>
      <c r="O2329" s="2">
        <v>1.6E-2</v>
      </c>
      <c r="P2329" s="2">
        <v>0.59799999999999998</v>
      </c>
      <c r="Q2329" s="2">
        <v>-0.28499999999999998</v>
      </c>
      <c r="R2329" s="11">
        <v>306859274</v>
      </c>
      <c r="S2329" s="11">
        <v>1755310</v>
      </c>
      <c r="T2329">
        <v>2015</v>
      </c>
      <c r="U2329">
        <v>10</v>
      </c>
      <c r="V2329">
        <f t="shared" si="216"/>
        <v>650000</v>
      </c>
      <c r="W2329">
        <f t="shared" si="217"/>
        <v>18429897</v>
      </c>
      <c r="X2329">
        <f t="shared" si="218"/>
        <v>17779897</v>
      </c>
      <c r="Y2329">
        <f t="shared" si="219"/>
        <v>-26019845.5</v>
      </c>
      <c r="Z2329">
        <f t="shared" si="220"/>
        <v>45099742.5</v>
      </c>
      <c r="AA2329" t="str">
        <f t="shared" si="221"/>
        <v>Normal</v>
      </c>
      <c r="AE2329" s="2"/>
      <c r="AF2329" s="2"/>
    </row>
    <row r="2330" spans="1:32" x14ac:dyDescent="0.35">
      <c r="A2330">
        <v>2329</v>
      </c>
      <c r="B2330" s="1">
        <v>42289</v>
      </c>
      <c r="C2330" s="9" t="s">
        <v>262</v>
      </c>
      <c r="D2330" s="9" t="s">
        <v>3837</v>
      </c>
      <c r="E2330" s="9" t="s">
        <v>1111</v>
      </c>
      <c r="F2330" s="9" t="s">
        <v>27</v>
      </c>
      <c r="G2330" s="9" t="s">
        <v>3838</v>
      </c>
      <c r="H2330" s="9" t="s">
        <v>105</v>
      </c>
      <c r="I2330" s="11">
        <v>18429897</v>
      </c>
      <c r="J2330" s="11">
        <v>344505</v>
      </c>
      <c r="K2330" s="11">
        <v>15222557</v>
      </c>
      <c r="L2330" s="3">
        <v>128</v>
      </c>
      <c r="M2330" s="3">
        <v>2505.5</v>
      </c>
      <c r="N2330" s="3">
        <v>1336359</v>
      </c>
      <c r="O2330" s="2">
        <v>0.26700000000000002</v>
      </c>
      <c r="P2330" s="2">
        <v>0.75099999999999989</v>
      </c>
      <c r="Q2330" s="2">
        <v>0.36749999999999999</v>
      </c>
      <c r="R2330" s="11">
        <v>224251361</v>
      </c>
      <c r="S2330" s="11">
        <v>1090686</v>
      </c>
      <c r="T2330">
        <v>2015</v>
      </c>
      <c r="U2330">
        <v>10</v>
      </c>
      <c r="V2330">
        <f t="shared" si="216"/>
        <v>650000</v>
      </c>
      <c r="W2330">
        <f t="shared" si="217"/>
        <v>18429897</v>
      </c>
      <c r="X2330">
        <f t="shared" si="218"/>
        <v>17779897</v>
      </c>
      <c r="Y2330">
        <f t="shared" si="219"/>
        <v>-26019845.5</v>
      </c>
      <c r="Z2330">
        <f t="shared" si="220"/>
        <v>45099742.5</v>
      </c>
      <c r="AA2330" t="str">
        <f t="shared" si="221"/>
        <v>Normal</v>
      </c>
      <c r="AE2330" s="2"/>
      <c r="AF2330" s="2"/>
    </row>
    <row r="2331" spans="1:32" x14ac:dyDescent="0.35">
      <c r="A2331">
        <v>2330</v>
      </c>
      <c r="B2331" s="1">
        <v>42289</v>
      </c>
      <c r="C2331" s="9" t="s">
        <v>3839</v>
      </c>
      <c r="D2331" s="9" t="s">
        <v>5213</v>
      </c>
      <c r="E2331" s="9" t="s">
        <v>1111</v>
      </c>
      <c r="F2331" s="9" t="s">
        <v>15</v>
      </c>
      <c r="G2331" s="9" t="s">
        <v>853</v>
      </c>
      <c r="H2331" s="9" t="s">
        <v>105</v>
      </c>
      <c r="I2331" s="11">
        <v>18429897</v>
      </c>
      <c r="J2331" s="11">
        <v>2531926</v>
      </c>
      <c r="K2331" s="11">
        <v>11465210</v>
      </c>
      <c r="L2331" s="3">
        <v>465</v>
      </c>
      <c r="M2331" s="3">
        <v>140</v>
      </c>
      <c r="N2331" s="3">
        <v>203822</v>
      </c>
      <c r="O2331" s="2">
        <v>-0.33600000000000002</v>
      </c>
      <c r="P2331" s="2">
        <v>0.59799999999999998</v>
      </c>
      <c r="Q2331" s="2">
        <v>0.22700000000000001</v>
      </c>
      <c r="R2331" s="11">
        <v>119104141</v>
      </c>
      <c r="S2331" s="11">
        <v>695680</v>
      </c>
      <c r="T2331">
        <v>2015</v>
      </c>
      <c r="U2331">
        <v>10</v>
      </c>
      <c r="V2331">
        <f t="shared" si="216"/>
        <v>650000</v>
      </c>
      <c r="W2331">
        <f t="shared" si="217"/>
        <v>18429897</v>
      </c>
      <c r="X2331">
        <f t="shared" si="218"/>
        <v>17779897</v>
      </c>
      <c r="Y2331">
        <f t="shared" si="219"/>
        <v>-26019845.5</v>
      </c>
      <c r="Z2331">
        <f t="shared" si="220"/>
        <v>45099742.5</v>
      </c>
      <c r="AA2331" t="str">
        <f t="shared" si="221"/>
        <v>Normal</v>
      </c>
      <c r="AE2331" s="2"/>
      <c r="AF2331" s="2"/>
    </row>
    <row r="2332" spans="1:32" x14ac:dyDescent="0.35">
      <c r="A2332">
        <v>2331</v>
      </c>
      <c r="B2332" s="1">
        <v>42290</v>
      </c>
      <c r="C2332" s="9" t="s">
        <v>3840</v>
      </c>
      <c r="D2332" s="9" t="s">
        <v>5214</v>
      </c>
      <c r="E2332" s="9" t="s">
        <v>1111</v>
      </c>
      <c r="F2332" s="9" t="s">
        <v>27</v>
      </c>
      <c r="G2332" s="9" t="s">
        <v>120</v>
      </c>
      <c r="H2332" s="9" t="s">
        <v>86</v>
      </c>
      <c r="I2332" s="11">
        <v>1000000</v>
      </c>
      <c r="J2332" s="11">
        <v>2531926</v>
      </c>
      <c r="K2332" s="11">
        <v>7735002</v>
      </c>
      <c r="L2332" s="3">
        <v>487</v>
      </c>
      <c r="M2332" s="3">
        <v>3132</v>
      </c>
      <c r="N2332" s="3">
        <v>1787095</v>
      </c>
      <c r="O2332" s="2">
        <v>0.21100000000000002</v>
      </c>
      <c r="P2332" s="2">
        <v>0.63500000000000001</v>
      </c>
      <c r="Q2332" s="2">
        <v>0.19600000000000001</v>
      </c>
      <c r="R2332" s="11">
        <v>373878921</v>
      </c>
      <c r="S2332" s="11">
        <v>1731259</v>
      </c>
      <c r="T2332">
        <v>2015</v>
      </c>
      <c r="U2332">
        <v>10</v>
      </c>
      <c r="V2332">
        <f t="shared" si="216"/>
        <v>650000</v>
      </c>
      <c r="W2332">
        <f t="shared" si="217"/>
        <v>18429897</v>
      </c>
      <c r="X2332">
        <f t="shared" si="218"/>
        <v>17779897</v>
      </c>
      <c r="Y2332">
        <f t="shared" si="219"/>
        <v>-26019845.5</v>
      </c>
      <c r="Z2332">
        <f t="shared" si="220"/>
        <v>45099742.5</v>
      </c>
      <c r="AA2332" t="str">
        <f t="shared" si="221"/>
        <v>Normal</v>
      </c>
      <c r="AE2332" s="2"/>
      <c r="AF2332" s="2"/>
    </row>
    <row r="2333" spans="1:32" x14ac:dyDescent="0.35">
      <c r="A2333">
        <v>2332</v>
      </c>
      <c r="B2333" s="1">
        <v>42290</v>
      </c>
      <c r="C2333" s="9" t="s">
        <v>3841</v>
      </c>
      <c r="D2333" s="9" t="s">
        <v>5215</v>
      </c>
      <c r="E2333" s="9" t="s">
        <v>1111</v>
      </c>
      <c r="F2333" s="9" t="s">
        <v>15</v>
      </c>
      <c r="G2333" s="9" t="s">
        <v>3842</v>
      </c>
      <c r="H2333" s="9" t="s">
        <v>105</v>
      </c>
      <c r="I2333" s="11">
        <v>2500000</v>
      </c>
      <c r="J2333" s="11">
        <v>4119160</v>
      </c>
      <c r="K2333" s="11">
        <v>13751381</v>
      </c>
      <c r="L2333" s="3">
        <v>21</v>
      </c>
      <c r="M2333" s="3">
        <v>1530</v>
      </c>
      <c r="N2333" s="3">
        <v>1633332</v>
      </c>
      <c r="O2333" s="2">
        <v>0.32100000000000001</v>
      </c>
      <c r="P2333" s="2">
        <v>0.255</v>
      </c>
      <c r="Q2333" s="2">
        <v>-0.20399999999999999</v>
      </c>
      <c r="R2333" s="11">
        <v>36683086</v>
      </c>
      <c r="S2333" s="11">
        <v>1042178</v>
      </c>
      <c r="T2333">
        <v>2015</v>
      </c>
      <c r="U2333">
        <v>10</v>
      </c>
      <c r="V2333">
        <f t="shared" si="216"/>
        <v>650000</v>
      </c>
      <c r="W2333">
        <f t="shared" si="217"/>
        <v>18429897</v>
      </c>
      <c r="X2333">
        <f t="shared" si="218"/>
        <v>17779897</v>
      </c>
      <c r="Y2333">
        <f t="shared" si="219"/>
        <v>-26019845.5</v>
      </c>
      <c r="Z2333">
        <f t="shared" si="220"/>
        <v>45099742.5</v>
      </c>
      <c r="AA2333" t="str">
        <f t="shared" si="221"/>
        <v>Normal</v>
      </c>
      <c r="AE2333" s="2"/>
      <c r="AF2333" s="2"/>
    </row>
    <row r="2334" spans="1:32" x14ac:dyDescent="0.35">
      <c r="A2334">
        <v>2333</v>
      </c>
      <c r="B2334" s="1">
        <v>42291</v>
      </c>
      <c r="C2334" s="9" t="s">
        <v>3843</v>
      </c>
      <c r="D2334" s="9" t="s">
        <v>5216</v>
      </c>
      <c r="E2334" s="9" t="s">
        <v>1111</v>
      </c>
      <c r="F2334" s="9" t="s">
        <v>63</v>
      </c>
      <c r="G2334" s="9" t="s">
        <v>3618</v>
      </c>
      <c r="H2334" s="9" t="s">
        <v>86</v>
      </c>
      <c r="I2334" s="11">
        <v>50000</v>
      </c>
      <c r="J2334" s="11">
        <v>2774731</v>
      </c>
      <c r="K2334" s="11">
        <v>16731452</v>
      </c>
      <c r="L2334" s="3">
        <v>91</v>
      </c>
      <c r="M2334" s="3">
        <v>4860</v>
      </c>
      <c r="N2334" s="3">
        <v>1115622</v>
      </c>
      <c r="O2334" s="2">
        <v>0.11700000000000001</v>
      </c>
      <c r="P2334" s="2">
        <v>0.51</v>
      </c>
      <c r="Q2334" s="2">
        <v>0.40200000000000002</v>
      </c>
      <c r="R2334" s="11">
        <v>90633566</v>
      </c>
      <c r="S2334" s="11">
        <v>927386</v>
      </c>
      <c r="T2334">
        <v>2015</v>
      </c>
      <c r="U2334">
        <v>10</v>
      </c>
      <c r="V2334">
        <f t="shared" si="216"/>
        <v>647500</v>
      </c>
      <c r="W2334">
        <f t="shared" si="217"/>
        <v>18429897</v>
      </c>
      <c r="X2334">
        <f t="shared" si="218"/>
        <v>17782397</v>
      </c>
      <c r="Y2334">
        <f t="shared" si="219"/>
        <v>-26026095.5</v>
      </c>
      <c r="Z2334">
        <f t="shared" si="220"/>
        <v>45103492.5</v>
      </c>
      <c r="AA2334" t="str">
        <f t="shared" si="221"/>
        <v>Normal</v>
      </c>
      <c r="AE2334" s="2"/>
      <c r="AF2334" s="2"/>
    </row>
    <row r="2335" spans="1:32" x14ac:dyDescent="0.35">
      <c r="A2335">
        <v>2334</v>
      </c>
      <c r="B2335" s="1">
        <v>42291</v>
      </c>
      <c r="C2335" s="9" t="s">
        <v>786</v>
      </c>
      <c r="D2335" s="9" t="s">
        <v>5217</v>
      </c>
      <c r="E2335" s="9" t="s">
        <v>1111</v>
      </c>
      <c r="F2335" s="9" t="s">
        <v>31</v>
      </c>
      <c r="G2335" s="9" t="s">
        <v>699</v>
      </c>
      <c r="H2335" s="9" t="s">
        <v>105</v>
      </c>
      <c r="I2335" s="11">
        <v>18429897</v>
      </c>
      <c r="J2335" s="11">
        <v>2703929</v>
      </c>
      <c r="K2335" s="11">
        <v>3642974</v>
      </c>
      <c r="L2335" s="3">
        <v>454</v>
      </c>
      <c r="M2335" s="3">
        <v>4976</v>
      </c>
      <c r="N2335" s="3">
        <v>679973</v>
      </c>
      <c r="O2335" s="2">
        <v>0.02</v>
      </c>
      <c r="P2335" s="2">
        <v>1.1479999999999999</v>
      </c>
      <c r="Q2335" s="2">
        <v>-0.16899999999999998</v>
      </c>
      <c r="R2335" s="11">
        <v>302460817</v>
      </c>
      <c r="S2335" s="11">
        <v>240279</v>
      </c>
      <c r="T2335">
        <v>2015</v>
      </c>
      <c r="U2335">
        <v>10</v>
      </c>
      <c r="V2335">
        <f t="shared" si="216"/>
        <v>650000</v>
      </c>
      <c r="W2335">
        <f t="shared" si="217"/>
        <v>18429897</v>
      </c>
      <c r="X2335">
        <f t="shared" si="218"/>
        <v>17779897</v>
      </c>
      <c r="Y2335">
        <f t="shared" si="219"/>
        <v>-26019845.5</v>
      </c>
      <c r="Z2335">
        <f t="shared" si="220"/>
        <v>45099742.5</v>
      </c>
      <c r="AA2335" t="str">
        <f t="shared" si="221"/>
        <v>Normal</v>
      </c>
      <c r="AE2335" s="2"/>
      <c r="AF2335" s="2"/>
    </row>
    <row r="2336" spans="1:32" x14ac:dyDescent="0.35">
      <c r="A2336">
        <v>2335</v>
      </c>
      <c r="B2336" s="1">
        <v>42291</v>
      </c>
      <c r="C2336" s="9" t="s">
        <v>694</v>
      </c>
      <c r="D2336" s="9" t="s">
        <v>5218</v>
      </c>
      <c r="E2336" s="9" t="s">
        <v>1111</v>
      </c>
      <c r="F2336" s="9" t="s">
        <v>19</v>
      </c>
      <c r="G2336" s="9" t="s">
        <v>856</v>
      </c>
      <c r="H2336" s="9" t="s">
        <v>86</v>
      </c>
      <c r="I2336" s="11">
        <v>77000</v>
      </c>
      <c r="J2336" s="11">
        <v>2284870</v>
      </c>
      <c r="K2336" s="11">
        <v>17449774</v>
      </c>
      <c r="L2336" s="3">
        <v>21</v>
      </c>
      <c r="M2336" s="3">
        <v>3371</v>
      </c>
      <c r="N2336" s="3">
        <v>1420893</v>
      </c>
      <c r="O2336" s="2">
        <v>-0.152</v>
      </c>
      <c r="P2336" s="2">
        <v>0.50800000000000001</v>
      </c>
      <c r="Q2336" s="2">
        <v>0.48200000000000004</v>
      </c>
      <c r="R2336" s="11">
        <v>189212898</v>
      </c>
      <c r="S2336" s="11">
        <v>1335924</v>
      </c>
      <c r="T2336">
        <v>2015</v>
      </c>
      <c r="U2336">
        <v>10</v>
      </c>
      <c r="V2336">
        <f t="shared" si="216"/>
        <v>650000</v>
      </c>
      <c r="W2336">
        <f t="shared" si="217"/>
        <v>18429897</v>
      </c>
      <c r="X2336">
        <f t="shared" si="218"/>
        <v>17779897</v>
      </c>
      <c r="Y2336">
        <f t="shared" si="219"/>
        <v>-26019845.5</v>
      </c>
      <c r="Z2336">
        <f t="shared" si="220"/>
        <v>45099742.5</v>
      </c>
      <c r="AA2336" t="str">
        <f t="shared" si="221"/>
        <v>Normal</v>
      </c>
      <c r="AE2336" s="2"/>
      <c r="AF2336" s="2"/>
    </row>
    <row r="2337" spans="1:32" x14ac:dyDescent="0.35">
      <c r="A2337">
        <v>2336</v>
      </c>
      <c r="B2337" s="1">
        <v>42291</v>
      </c>
      <c r="C2337" s="9" t="s">
        <v>3844</v>
      </c>
      <c r="D2337" s="9" t="s">
        <v>5219</v>
      </c>
      <c r="E2337" s="9" t="s">
        <v>1111</v>
      </c>
      <c r="F2337" s="9" t="s">
        <v>31</v>
      </c>
      <c r="G2337" s="9" t="s">
        <v>3845</v>
      </c>
      <c r="H2337" s="9" t="s">
        <v>86</v>
      </c>
      <c r="I2337" s="11">
        <v>18429897</v>
      </c>
      <c r="J2337" s="11">
        <v>4099615</v>
      </c>
      <c r="K2337" s="11">
        <v>14559099</v>
      </c>
      <c r="L2337" s="3">
        <v>245</v>
      </c>
      <c r="M2337" s="3">
        <v>3175</v>
      </c>
      <c r="N2337" s="3">
        <v>1231186</v>
      </c>
      <c r="O2337" s="2">
        <v>-0.16699999999999998</v>
      </c>
      <c r="P2337" s="2">
        <v>1.08</v>
      </c>
      <c r="Q2337" s="2">
        <v>-2.1999999999999999E-2</v>
      </c>
      <c r="R2337" s="11">
        <v>330267896</v>
      </c>
      <c r="S2337" s="11">
        <v>283059</v>
      </c>
      <c r="T2337">
        <v>2015</v>
      </c>
      <c r="U2337">
        <v>10</v>
      </c>
      <c r="V2337">
        <f t="shared" si="216"/>
        <v>650000</v>
      </c>
      <c r="W2337">
        <f t="shared" si="217"/>
        <v>18429897</v>
      </c>
      <c r="X2337">
        <f t="shared" si="218"/>
        <v>17779897</v>
      </c>
      <c r="Y2337">
        <f t="shared" si="219"/>
        <v>-26019845.5</v>
      </c>
      <c r="Z2337">
        <f t="shared" si="220"/>
        <v>45099742.5</v>
      </c>
      <c r="AA2337" t="str">
        <f t="shared" si="221"/>
        <v>Normal</v>
      </c>
      <c r="AE2337" s="2"/>
      <c r="AF2337" s="2"/>
    </row>
    <row r="2338" spans="1:32" x14ac:dyDescent="0.35">
      <c r="A2338">
        <v>2337</v>
      </c>
      <c r="B2338" s="1">
        <v>42292</v>
      </c>
      <c r="C2338" s="9" t="s">
        <v>3846</v>
      </c>
      <c r="D2338" s="9" t="s">
        <v>5220</v>
      </c>
      <c r="E2338" s="9" t="s">
        <v>1111</v>
      </c>
      <c r="F2338" s="9" t="s">
        <v>15</v>
      </c>
      <c r="G2338" s="9" t="s">
        <v>3847</v>
      </c>
      <c r="H2338" s="9" t="s">
        <v>86</v>
      </c>
      <c r="I2338" s="11">
        <v>18429897</v>
      </c>
      <c r="J2338" s="11">
        <v>236376</v>
      </c>
      <c r="K2338" s="11">
        <v>1808294</v>
      </c>
      <c r="L2338" s="3">
        <v>474</v>
      </c>
      <c r="M2338" s="3">
        <v>1559</v>
      </c>
      <c r="N2338" s="3">
        <v>1540748</v>
      </c>
      <c r="O2338" s="2">
        <v>0.151</v>
      </c>
      <c r="P2338" s="2">
        <v>0.91299999999999992</v>
      </c>
      <c r="Q2338" s="2">
        <v>0.48200000000000004</v>
      </c>
      <c r="R2338" s="11">
        <v>312331352</v>
      </c>
      <c r="S2338" s="11">
        <v>1008193.5</v>
      </c>
      <c r="T2338">
        <v>2015</v>
      </c>
      <c r="U2338">
        <v>10</v>
      </c>
      <c r="V2338">
        <f t="shared" si="216"/>
        <v>650000</v>
      </c>
      <c r="W2338">
        <f t="shared" si="217"/>
        <v>18429897</v>
      </c>
      <c r="X2338">
        <f t="shared" si="218"/>
        <v>17779897</v>
      </c>
      <c r="Y2338">
        <f t="shared" si="219"/>
        <v>-26019845.5</v>
      </c>
      <c r="Z2338">
        <f t="shared" si="220"/>
        <v>45099742.5</v>
      </c>
      <c r="AA2338" t="str">
        <f t="shared" si="221"/>
        <v>Normal</v>
      </c>
      <c r="AE2338" s="2"/>
      <c r="AF2338" s="2"/>
    </row>
    <row r="2339" spans="1:32" x14ac:dyDescent="0.35">
      <c r="A2339">
        <v>2338</v>
      </c>
      <c r="B2339" s="1">
        <v>42293</v>
      </c>
      <c r="C2339" s="9" t="s">
        <v>3848</v>
      </c>
      <c r="D2339" s="9" t="s">
        <v>5221</v>
      </c>
      <c r="E2339" s="9" t="s">
        <v>1111</v>
      </c>
      <c r="F2339" s="9" t="s">
        <v>19</v>
      </c>
      <c r="G2339" s="9" t="s">
        <v>3849</v>
      </c>
      <c r="H2339" s="9" t="s">
        <v>86</v>
      </c>
      <c r="I2339" s="11">
        <v>18429897</v>
      </c>
      <c r="J2339" s="11">
        <v>481925</v>
      </c>
      <c r="K2339" s="11">
        <v>18728319</v>
      </c>
      <c r="L2339" s="3">
        <v>296</v>
      </c>
      <c r="M2339" s="3">
        <v>400</v>
      </c>
      <c r="N2339" s="3">
        <v>1290657</v>
      </c>
      <c r="O2339" s="2">
        <v>7.2999999999999995E-2</v>
      </c>
      <c r="P2339" s="2">
        <v>0.85299999999999998</v>
      </c>
      <c r="Q2339" s="2">
        <v>-6.3E-2</v>
      </c>
      <c r="R2339" s="11">
        <v>149606470</v>
      </c>
      <c r="S2339" s="11">
        <v>1632640</v>
      </c>
      <c r="T2339">
        <v>2015</v>
      </c>
      <c r="U2339">
        <v>10</v>
      </c>
      <c r="V2339">
        <f t="shared" si="216"/>
        <v>650000</v>
      </c>
      <c r="W2339">
        <f t="shared" si="217"/>
        <v>18429897</v>
      </c>
      <c r="X2339">
        <f t="shared" si="218"/>
        <v>17779897</v>
      </c>
      <c r="Y2339">
        <f t="shared" si="219"/>
        <v>-26019845.5</v>
      </c>
      <c r="Z2339">
        <f t="shared" si="220"/>
        <v>45099742.5</v>
      </c>
      <c r="AA2339" t="str">
        <f t="shared" si="221"/>
        <v>Normal</v>
      </c>
      <c r="AE2339" s="2"/>
      <c r="AF2339" s="2"/>
    </row>
    <row r="2340" spans="1:32" x14ac:dyDescent="0.35">
      <c r="A2340">
        <v>2339</v>
      </c>
      <c r="B2340" s="1">
        <v>42293</v>
      </c>
      <c r="C2340" s="9" t="s">
        <v>3850</v>
      </c>
      <c r="D2340" s="9" t="s">
        <v>5222</v>
      </c>
      <c r="E2340" s="9" t="s">
        <v>1111</v>
      </c>
      <c r="F2340" s="9" t="s">
        <v>27</v>
      </c>
      <c r="G2340" s="9" t="s">
        <v>3851</v>
      </c>
      <c r="H2340" s="9" t="s">
        <v>86</v>
      </c>
      <c r="I2340" s="11">
        <v>18429897</v>
      </c>
      <c r="J2340" s="11">
        <v>2128472</v>
      </c>
      <c r="K2340" s="11">
        <v>3686647</v>
      </c>
      <c r="L2340" s="3">
        <v>156</v>
      </c>
      <c r="M2340" s="3">
        <v>350</v>
      </c>
      <c r="N2340" s="3">
        <v>1649709</v>
      </c>
      <c r="O2340" s="2">
        <v>7.0000000000000007E-2</v>
      </c>
      <c r="P2340" s="2">
        <v>1.099E-2</v>
      </c>
      <c r="Q2340" s="2">
        <v>-0.11899999999999999</v>
      </c>
      <c r="R2340" s="11">
        <v>376523631</v>
      </c>
      <c r="S2340" s="11">
        <v>1168891</v>
      </c>
      <c r="T2340">
        <v>2015</v>
      </c>
      <c r="U2340">
        <v>10</v>
      </c>
      <c r="V2340">
        <f t="shared" si="216"/>
        <v>650000</v>
      </c>
      <c r="W2340">
        <f t="shared" si="217"/>
        <v>18429897</v>
      </c>
      <c r="X2340">
        <f t="shared" si="218"/>
        <v>17779897</v>
      </c>
      <c r="Y2340">
        <f t="shared" si="219"/>
        <v>-26019845.5</v>
      </c>
      <c r="Z2340">
        <f t="shared" si="220"/>
        <v>45099742.5</v>
      </c>
      <c r="AA2340" t="str">
        <f t="shared" si="221"/>
        <v>Normal</v>
      </c>
      <c r="AE2340" s="2"/>
      <c r="AF2340" s="2"/>
    </row>
    <row r="2341" spans="1:32" x14ac:dyDescent="0.35">
      <c r="A2341">
        <v>2340</v>
      </c>
      <c r="B2341" s="1">
        <v>42293</v>
      </c>
      <c r="C2341" s="9" t="s">
        <v>3852</v>
      </c>
      <c r="D2341" s="9" t="s">
        <v>5223</v>
      </c>
      <c r="E2341" s="9" t="s">
        <v>1111</v>
      </c>
      <c r="F2341" s="9" t="s">
        <v>27</v>
      </c>
      <c r="G2341" s="9" t="s">
        <v>3853</v>
      </c>
      <c r="H2341" s="9" t="s">
        <v>86</v>
      </c>
      <c r="I2341" s="11">
        <v>18429897</v>
      </c>
      <c r="J2341" s="11">
        <v>2531926</v>
      </c>
      <c r="K2341" s="11">
        <v>12060901</v>
      </c>
      <c r="L2341" s="3">
        <v>8</v>
      </c>
      <c r="M2341" s="3">
        <v>2345</v>
      </c>
      <c r="N2341" s="3">
        <v>1934719</v>
      </c>
      <c r="O2341" s="2">
        <v>0.42599999999999999</v>
      </c>
      <c r="P2341" s="2">
        <v>0.73799999999999999</v>
      </c>
      <c r="Q2341" s="2">
        <v>8.900000000000001E-2</v>
      </c>
      <c r="R2341" s="11">
        <v>485067136</v>
      </c>
      <c r="S2341" s="11">
        <v>1032429</v>
      </c>
      <c r="T2341">
        <v>2015</v>
      </c>
      <c r="U2341">
        <v>10</v>
      </c>
      <c r="V2341">
        <f t="shared" si="216"/>
        <v>650000</v>
      </c>
      <c r="W2341">
        <f t="shared" si="217"/>
        <v>18429897</v>
      </c>
      <c r="X2341">
        <f t="shared" si="218"/>
        <v>17779897</v>
      </c>
      <c r="Y2341">
        <f t="shared" si="219"/>
        <v>-26019845.5</v>
      </c>
      <c r="Z2341">
        <f t="shared" si="220"/>
        <v>45099742.5</v>
      </c>
      <c r="AA2341" t="str">
        <f t="shared" si="221"/>
        <v>Normal</v>
      </c>
      <c r="AE2341" s="2"/>
      <c r="AF2341" s="2"/>
    </row>
    <row r="2342" spans="1:32" x14ac:dyDescent="0.35">
      <c r="A2342">
        <v>2341</v>
      </c>
      <c r="B2342" s="1">
        <v>42294</v>
      </c>
      <c r="C2342" s="9" t="s">
        <v>3854</v>
      </c>
      <c r="D2342" s="9" t="s">
        <v>5224</v>
      </c>
      <c r="E2342" s="9" t="s">
        <v>1111</v>
      </c>
      <c r="F2342" s="9" t="s">
        <v>31</v>
      </c>
      <c r="G2342" s="9" t="s">
        <v>2706</v>
      </c>
      <c r="H2342" s="9" t="s">
        <v>105</v>
      </c>
      <c r="I2342" s="11">
        <v>1000000</v>
      </c>
      <c r="J2342" s="11">
        <v>2737072</v>
      </c>
      <c r="K2342" s="11">
        <v>2678930</v>
      </c>
      <c r="L2342" s="3">
        <v>199</v>
      </c>
      <c r="M2342" s="3">
        <v>1622</v>
      </c>
      <c r="N2342" s="3">
        <v>1503727</v>
      </c>
      <c r="O2342" s="2">
        <v>1.6E-2</v>
      </c>
      <c r="P2342" s="2">
        <v>1.1159999999999999</v>
      </c>
      <c r="Q2342" s="2">
        <v>-7.2000000000000008E-2</v>
      </c>
      <c r="R2342" s="11">
        <v>250264963</v>
      </c>
      <c r="S2342" s="11">
        <v>1813148</v>
      </c>
      <c r="T2342">
        <v>2015</v>
      </c>
      <c r="U2342">
        <v>10</v>
      </c>
      <c r="V2342">
        <f t="shared" si="216"/>
        <v>647500</v>
      </c>
      <c r="W2342">
        <f t="shared" si="217"/>
        <v>18429897</v>
      </c>
      <c r="X2342">
        <f t="shared" si="218"/>
        <v>17782397</v>
      </c>
      <c r="Y2342">
        <f t="shared" si="219"/>
        <v>-26026095.5</v>
      </c>
      <c r="Z2342">
        <f t="shared" si="220"/>
        <v>45103492.5</v>
      </c>
      <c r="AA2342" t="str">
        <f t="shared" si="221"/>
        <v>Normal</v>
      </c>
      <c r="AE2342" s="2"/>
      <c r="AF2342" s="2"/>
    </row>
    <row r="2343" spans="1:32" x14ac:dyDescent="0.35">
      <c r="A2343">
        <v>2342</v>
      </c>
      <c r="B2343" s="1">
        <v>42296</v>
      </c>
      <c r="C2343" s="9" t="s">
        <v>3855</v>
      </c>
      <c r="D2343" s="9" t="s">
        <v>5225</v>
      </c>
      <c r="E2343" s="9" t="s">
        <v>1111</v>
      </c>
      <c r="F2343" s="9" t="s">
        <v>15</v>
      </c>
      <c r="G2343" s="9" t="s">
        <v>3856</v>
      </c>
      <c r="H2343" s="9" t="s">
        <v>105</v>
      </c>
      <c r="I2343" s="11">
        <v>18429897</v>
      </c>
      <c r="J2343" s="11">
        <v>3694231</v>
      </c>
      <c r="K2343" s="11">
        <v>4002987</v>
      </c>
      <c r="L2343" s="3">
        <v>273</v>
      </c>
      <c r="M2343" s="3">
        <v>4804</v>
      </c>
      <c r="N2343" s="3">
        <v>635897</v>
      </c>
      <c r="O2343" s="2">
        <v>5.0999999999999997E-2</v>
      </c>
      <c r="P2343" s="2">
        <v>0.61499999999999999</v>
      </c>
      <c r="Q2343" s="2">
        <v>5.3999999999999999E-2</v>
      </c>
      <c r="R2343" s="11">
        <v>400006894</v>
      </c>
      <c r="S2343" s="11">
        <v>490286</v>
      </c>
      <c r="T2343">
        <v>2015</v>
      </c>
      <c r="U2343">
        <v>10</v>
      </c>
      <c r="V2343">
        <f t="shared" si="216"/>
        <v>645000</v>
      </c>
      <c r="W2343">
        <f t="shared" si="217"/>
        <v>18429897</v>
      </c>
      <c r="X2343">
        <f t="shared" si="218"/>
        <v>17784897</v>
      </c>
      <c r="Y2343">
        <f t="shared" si="219"/>
        <v>-26032345.5</v>
      </c>
      <c r="Z2343">
        <f t="shared" si="220"/>
        <v>45107242.5</v>
      </c>
      <c r="AA2343" t="str">
        <f t="shared" si="221"/>
        <v>Normal</v>
      </c>
      <c r="AE2343" s="2"/>
      <c r="AF2343" s="2"/>
    </row>
    <row r="2344" spans="1:32" x14ac:dyDescent="0.35">
      <c r="A2344">
        <v>2343</v>
      </c>
      <c r="B2344" s="1">
        <v>42296</v>
      </c>
      <c r="C2344" s="9" t="s">
        <v>3857</v>
      </c>
      <c r="D2344" s="9" t="s">
        <v>5226</v>
      </c>
      <c r="E2344" s="9" t="s">
        <v>1111</v>
      </c>
      <c r="F2344" s="9" t="s">
        <v>31</v>
      </c>
      <c r="G2344" s="9" t="s">
        <v>3858</v>
      </c>
      <c r="H2344" s="9" t="s">
        <v>105</v>
      </c>
      <c r="I2344" s="11">
        <v>25000000</v>
      </c>
      <c r="J2344" s="11">
        <v>2945974</v>
      </c>
      <c r="K2344" s="11">
        <v>10153449</v>
      </c>
      <c r="L2344" s="3">
        <v>45</v>
      </c>
      <c r="M2344" s="3">
        <v>1499</v>
      </c>
      <c r="N2344" s="3">
        <v>1804838</v>
      </c>
      <c r="O2344" s="2">
        <v>0.45899999999999996</v>
      </c>
      <c r="P2344" s="2">
        <v>0.79799999999999993</v>
      </c>
      <c r="Q2344" s="2">
        <v>0.53500000000000003</v>
      </c>
      <c r="R2344" s="11">
        <v>291035415</v>
      </c>
      <c r="S2344" s="11">
        <v>195352</v>
      </c>
      <c r="T2344">
        <v>2015</v>
      </c>
      <c r="U2344">
        <v>10</v>
      </c>
      <c r="V2344">
        <f t="shared" si="216"/>
        <v>642500</v>
      </c>
      <c r="W2344">
        <f t="shared" si="217"/>
        <v>18429897</v>
      </c>
      <c r="X2344">
        <f t="shared" si="218"/>
        <v>17787397</v>
      </c>
      <c r="Y2344">
        <f t="shared" si="219"/>
        <v>-26038595.5</v>
      </c>
      <c r="Z2344">
        <f t="shared" si="220"/>
        <v>45110992.5</v>
      </c>
      <c r="AA2344" t="str">
        <f t="shared" si="221"/>
        <v>Normal</v>
      </c>
      <c r="AE2344" s="2"/>
      <c r="AF2344" s="2"/>
    </row>
    <row r="2345" spans="1:32" x14ac:dyDescent="0.35">
      <c r="A2345">
        <v>2344</v>
      </c>
      <c r="B2345" s="1">
        <v>42296</v>
      </c>
      <c r="C2345" s="9" t="s">
        <v>3859</v>
      </c>
      <c r="D2345" s="9" t="s">
        <v>5227</v>
      </c>
      <c r="E2345" s="9" t="s">
        <v>1111</v>
      </c>
      <c r="F2345" s="9" t="s">
        <v>27</v>
      </c>
      <c r="G2345" s="9" t="s">
        <v>3860</v>
      </c>
      <c r="H2345" s="9" t="s">
        <v>86</v>
      </c>
      <c r="I2345" s="11">
        <v>100000</v>
      </c>
      <c r="J2345" s="11">
        <v>1302110</v>
      </c>
      <c r="K2345" s="11">
        <v>13622922</v>
      </c>
      <c r="L2345" s="3">
        <v>266</v>
      </c>
      <c r="M2345" s="3">
        <v>1112</v>
      </c>
      <c r="N2345" s="3">
        <v>1653531</v>
      </c>
      <c r="O2345" s="2">
        <v>5.8000000000000003E-2</v>
      </c>
      <c r="P2345" s="2">
        <v>0.67200000000000004</v>
      </c>
      <c r="Q2345" s="2">
        <v>-2.5000000000000001E-2</v>
      </c>
      <c r="R2345" s="11">
        <v>265507107</v>
      </c>
      <c r="S2345" s="11">
        <v>1008193.5</v>
      </c>
      <c r="T2345">
        <v>2015</v>
      </c>
      <c r="U2345">
        <v>10</v>
      </c>
      <c r="V2345">
        <f t="shared" si="216"/>
        <v>640000</v>
      </c>
      <c r="W2345">
        <f t="shared" si="217"/>
        <v>18429897</v>
      </c>
      <c r="X2345">
        <f t="shared" si="218"/>
        <v>17789897</v>
      </c>
      <c r="Y2345">
        <f t="shared" si="219"/>
        <v>-26044845.5</v>
      </c>
      <c r="Z2345">
        <f t="shared" si="220"/>
        <v>45114742.5</v>
      </c>
      <c r="AA2345" t="str">
        <f t="shared" si="221"/>
        <v>Normal</v>
      </c>
      <c r="AE2345" s="2"/>
      <c r="AF2345" s="2"/>
    </row>
    <row r="2346" spans="1:32" x14ac:dyDescent="0.35">
      <c r="A2346">
        <v>2345</v>
      </c>
      <c r="B2346" s="1">
        <v>42297</v>
      </c>
      <c r="C2346" s="9" t="s">
        <v>3861</v>
      </c>
      <c r="D2346" s="9" t="s">
        <v>5228</v>
      </c>
      <c r="E2346" s="9" t="s">
        <v>1111</v>
      </c>
      <c r="F2346" s="9" t="s">
        <v>15</v>
      </c>
      <c r="G2346" s="9" t="s">
        <v>3862</v>
      </c>
      <c r="H2346" s="9" t="s">
        <v>86</v>
      </c>
      <c r="I2346" s="11">
        <v>18429897</v>
      </c>
      <c r="J2346" s="11">
        <v>2531926</v>
      </c>
      <c r="K2346" s="11">
        <v>13770667</v>
      </c>
      <c r="L2346" s="3">
        <v>205</v>
      </c>
      <c r="M2346" s="3">
        <v>4104</v>
      </c>
      <c r="N2346" s="3">
        <v>945762</v>
      </c>
      <c r="O2346" s="2">
        <v>0.13300000000000001</v>
      </c>
      <c r="P2346" s="2">
        <v>0.219</v>
      </c>
      <c r="Q2346" s="2">
        <v>0.157</v>
      </c>
      <c r="R2346" s="11">
        <v>211543414</v>
      </c>
      <c r="S2346" s="11">
        <v>530561</v>
      </c>
      <c r="T2346">
        <v>2015</v>
      </c>
      <c r="U2346">
        <v>10</v>
      </c>
      <c r="V2346">
        <f t="shared" si="216"/>
        <v>647500</v>
      </c>
      <c r="W2346">
        <f t="shared" si="217"/>
        <v>18429897</v>
      </c>
      <c r="X2346">
        <f t="shared" si="218"/>
        <v>17782397</v>
      </c>
      <c r="Y2346">
        <f t="shared" si="219"/>
        <v>-26026095.5</v>
      </c>
      <c r="Z2346">
        <f t="shared" si="220"/>
        <v>45103492.5</v>
      </c>
      <c r="AA2346" t="str">
        <f t="shared" si="221"/>
        <v>Normal</v>
      </c>
      <c r="AE2346" s="2"/>
      <c r="AF2346" s="2"/>
    </row>
    <row r="2347" spans="1:32" x14ac:dyDescent="0.35">
      <c r="A2347">
        <v>2346</v>
      </c>
      <c r="B2347" s="1">
        <v>42297</v>
      </c>
      <c r="C2347" s="9" t="s">
        <v>3863</v>
      </c>
      <c r="D2347" s="9" t="s">
        <v>5229</v>
      </c>
      <c r="E2347" s="9" t="s">
        <v>1111</v>
      </c>
      <c r="F2347" s="9" t="s">
        <v>15</v>
      </c>
      <c r="G2347" s="9" t="s">
        <v>3864</v>
      </c>
      <c r="H2347" s="9" t="s">
        <v>105</v>
      </c>
      <c r="I2347" s="11">
        <v>7000000</v>
      </c>
      <c r="J2347" s="11">
        <v>3766597</v>
      </c>
      <c r="K2347" s="11">
        <v>6927325</v>
      </c>
      <c r="L2347" s="3">
        <v>166</v>
      </c>
      <c r="M2347" s="3">
        <v>4186</v>
      </c>
      <c r="N2347" s="3">
        <v>119787</v>
      </c>
      <c r="O2347" s="2">
        <v>8.5000000000000006E-2</v>
      </c>
      <c r="P2347" s="2">
        <v>0.39900000000000002</v>
      </c>
      <c r="Q2347" s="2">
        <v>0.36749999999999999</v>
      </c>
      <c r="R2347" s="11">
        <v>250264963</v>
      </c>
      <c r="S2347" s="11">
        <v>1726646</v>
      </c>
      <c r="T2347">
        <v>2015</v>
      </c>
      <c r="U2347">
        <v>10</v>
      </c>
      <c r="V2347">
        <f t="shared" si="216"/>
        <v>645000</v>
      </c>
      <c r="W2347">
        <f t="shared" si="217"/>
        <v>18429897</v>
      </c>
      <c r="X2347">
        <f t="shared" si="218"/>
        <v>17784897</v>
      </c>
      <c r="Y2347">
        <f t="shared" si="219"/>
        <v>-26032345.5</v>
      </c>
      <c r="Z2347">
        <f t="shared" si="220"/>
        <v>45107242.5</v>
      </c>
      <c r="AA2347" t="str">
        <f t="shared" si="221"/>
        <v>Normal</v>
      </c>
      <c r="AE2347" s="2"/>
      <c r="AF2347" s="2"/>
    </row>
    <row r="2348" spans="1:32" x14ac:dyDescent="0.35">
      <c r="A2348">
        <v>2347</v>
      </c>
      <c r="B2348" s="1">
        <v>42297</v>
      </c>
      <c r="C2348" s="9" t="s">
        <v>3865</v>
      </c>
      <c r="D2348" s="9" t="s">
        <v>5230</v>
      </c>
      <c r="E2348" s="9" t="s">
        <v>1111</v>
      </c>
      <c r="F2348" s="9" t="s">
        <v>35</v>
      </c>
      <c r="G2348" s="9" t="s">
        <v>3866</v>
      </c>
      <c r="H2348" s="9" t="s">
        <v>105</v>
      </c>
      <c r="I2348" s="11">
        <v>10000000</v>
      </c>
      <c r="J2348" s="11">
        <v>1023309</v>
      </c>
      <c r="K2348" s="11">
        <v>16422297</v>
      </c>
      <c r="L2348" s="3">
        <v>486</v>
      </c>
      <c r="M2348" s="3">
        <v>1914</v>
      </c>
      <c r="N2348" s="3">
        <v>1906968</v>
      </c>
      <c r="O2348" s="2">
        <v>0.26100000000000001</v>
      </c>
      <c r="P2348" s="2">
        <v>1.1279999999999998E-2</v>
      </c>
      <c r="Q2348" s="2">
        <v>0.17300000000000001</v>
      </c>
      <c r="R2348" s="11">
        <v>461415797</v>
      </c>
      <c r="S2348" s="11">
        <v>313914</v>
      </c>
      <c r="T2348">
        <v>2015</v>
      </c>
      <c r="U2348">
        <v>10</v>
      </c>
      <c r="V2348">
        <f t="shared" si="216"/>
        <v>642500</v>
      </c>
      <c r="W2348">
        <f t="shared" si="217"/>
        <v>18429897</v>
      </c>
      <c r="X2348">
        <f t="shared" si="218"/>
        <v>17787397</v>
      </c>
      <c r="Y2348">
        <f t="shared" si="219"/>
        <v>-26038595.5</v>
      </c>
      <c r="Z2348">
        <f t="shared" si="220"/>
        <v>45110992.5</v>
      </c>
      <c r="AA2348" t="str">
        <f t="shared" si="221"/>
        <v>Normal</v>
      </c>
      <c r="AE2348" s="2"/>
      <c r="AF2348" s="2"/>
    </row>
    <row r="2349" spans="1:32" x14ac:dyDescent="0.35">
      <c r="A2349">
        <v>2348</v>
      </c>
      <c r="B2349" s="1">
        <v>42297</v>
      </c>
      <c r="C2349" s="9" t="s">
        <v>3867</v>
      </c>
      <c r="D2349" s="9" t="s">
        <v>5231</v>
      </c>
      <c r="E2349" s="9" t="s">
        <v>1111</v>
      </c>
      <c r="F2349" s="9" t="s">
        <v>31</v>
      </c>
      <c r="G2349" s="9" t="s">
        <v>3868</v>
      </c>
      <c r="H2349" s="9" t="s">
        <v>105</v>
      </c>
      <c r="I2349" s="11">
        <v>18429897</v>
      </c>
      <c r="J2349" s="11">
        <v>2530809</v>
      </c>
      <c r="K2349" s="11">
        <v>1080826</v>
      </c>
      <c r="L2349" s="3">
        <v>447</v>
      </c>
      <c r="M2349" s="3">
        <v>454</v>
      </c>
      <c r="N2349" s="3">
        <v>1081096</v>
      </c>
      <c r="O2349" s="2">
        <v>-0.29100000000000004</v>
      </c>
      <c r="P2349" s="2">
        <v>0.79799999999999993</v>
      </c>
      <c r="Q2349" s="2">
        <v>0.39500000000000002</v>
      </c>
      <c r="R2349" s="11">
        <v>83065609</v>
      </c>
      <c r="S2349" s="11">
        <v>763638</v>
      </c>
      <c r="T2349">
        <v>2015</v>
      </c>
      <c r="U2349">
        <v>10</v>
      </c>
      <c r="V2349">
        <f t="shared" si="216"/>
        <v>640000</v>
      </c>
      <c r="W2349">
        <f t="shared" si="217"/>
        <v>18429897</v>
      </c>
      <c r="X2349">
        <f t="shared" si="218"/>
        <v>17789897</v>
      </c>
      <c r="Y2349">
        <f t="shared" si="219"/>
        <v>-26044845.5</v>
      </c>
      <c r="Z2349">
        <f t="shared" si="220"/>
        <v>45114742.5</v>
      </c>
      <c r="AA2349" t="str">
        <f t="shared" si="221"/>
        <v>Normal</v>
      </c>
      <c r="AE2349" s="2"/>
      <c r="AF2349" s="2"/>
    </row>
    <row r="2350" spans="1:32" x14ac:dyDescent="0.35">
      <c r="A2350">
        <v>2349</v>
      </c>
      <c r="B2350" s="1">
        <v>42298</v>
      </c>
      <c r="C2350" s="9" t="s">
        <v>3869</v>
      </c>
      <c r="D2350" s="9" t="s">
        <v>5232</v>
      </c>
      <c r="E2350" s="9" t="s">
        <v>1111</v>
      </c>
      <c r="F2350" s="9" t="s">
        <v>15</v>
      </c>
      <c r="G2350" s="9" t="s">
        <v>1315</v>
      </c>
      <c r="H2350" s="9" t="s">
        <v>86</v>
      </c>
      <c r="I2350" s="11">
        <v>18429897</v>
      </c>
      <c r="J2350" s="11">
        <v>2703181</v>
      </c>
      <c r="K2350" s="11">
        <v>17100333</v>
      </c>
      <c r="L2350" s="3">
        <v>348</v>
      </c>
      <c r="M2350" s="3">
        <v>537</v>
      </c>
      <c r="N2350" s="3">
        <v>800633</v>
      </c>
      <c r="O2350" s="2">
        <v>7.9000000000000001E-2</v>
      </c>
      <c r="P2350" s="2">
        <v>0.247</v>
      </c>
      <c r="Q2350" s="2">
        <v>0.252</v>
      </c>
      <c r="R2350" s="11">
        <v>482553678</v>
      </c>
      <c r="S2350" s="11">
        <v>1008193.5</v>
      </c>
      <c r="T2350">
        <v>2015</v>
      </c>
      <c r="U2350">
        <v>10</v>
      </c>
      <c r="V2350">
        <f t="shared" si="216"/>
        <v>637500</v>
      </c>
      <c r="W2350">
        <f t="shared" si="217"/>
        <v>18429897</v>
      </c>
      <c r="X2350">
        <f t="shared" si="218"/>
        <v>17792397</v>
      </c>
      <c r="Y2350">
        <f t="shared" si="219"/>
        <v>-26051095.5</v>
      </c>
      <c r="Z2350">
        <f t="shared" si="220"/>
        <v>45118492.5</v>
      </c>
      <c r="AA2350" t="str">
        <f t="shared" si="221"/>
        <v>Normal</v>
      </c>
      <c r="AE2350" s="2"/>
      <c r="AF2350" s="2"/>
    </row>
    <row r="2351" spans="1:32" x14ac:dyDescent="0.35">
      <c r="A2351">
        <v>2350</v>
      </c>
      <c r="B2351" s="1">
        <v>42298</v>
      </c>
      <c r="C2351" s="9" t="s">
        <v>3870</v>
      </c>
      <c r="D2351" s="9" t="s">
        <v>5233</v>
      </c>
      <c r="E2351" s="9" t="s">
        <v>1111</v>
      </c>
      <c r="F2351" s="9" t="s">
        <v>3871</v>
      </c>
      <c r="G2351" s="9" t="s">
        <v>3872</v>
      </c>
      <c r="H2351" s="9" t="s">
        <v>86</v>
      </c>
      <c r="I2351" s="11">
        <v>2950000</v>
      </c>
      <c r="J2351" s="11">
        <v>3756324</v>
      </c>
      <c r="K2351" s="11">
        <v>6116540</v>
      </c>
      <c r="L2351" s="3">
        <v>297</v>
      </c>
      <c r="M2351" s="3">
        <v>2628</v>
      </c>
      <c r="N2351" s="3">
        <v>1214237</v>
      </c>
      <c r="O2351" s="2">
        <v>0.13100000000000001</v>
      </c>
      <c r="P2351" s="2">
        <v>1.167</v>
      </c>
      <c r="Q2351" s="2">
        <v>0.36299999999999999</v>
      </c>
      <c r="R2351" s="11">
        <v>103300216</v>
      </c>
      <c r="S2351" s="11">
        <v>412315</v>
      </c>
      <c r="T2351">
        <v>2015</v>
      </c>
      <c r="U2351">
        <v>10</v>
      </c>
      <c r="V2351">
        <f t="shared" si="216"/>
        <v>635000</v>
      </c>
      <c r="W2351">
        <f t="shared" si="217"/>
        <v>18429897</v>
      </c>
      <c r="X2351">
        <f t="shared" si="218"/>
        <v>17794897</v>
      </c>
      <c r="Y2351">
        <f t="shared" si="219"/>
        <v>-26057345.5</v>
      </c>
      <c r="Z2351">
        <f t="shared" si="220"/>
        <v>45122242.5</v>
      </c>
      <c r="AA2351" t="str">
        <f t="shared" si="221"/>
        <v>Normal</v>
      </c>
      <c r="AE2351" s="2"/>
      <c r="AF2351" s="2"/>
    </row>
    <row r="2352" spans="1:32" x14ac:dyDescent="0.35">
      <c r="A2352">
        <v>2351</v>
      </c>
      <c r="B2352" s="1">
        <v>42298</v>
      </c>
      <c r="C2352" s="9" t="s">
        <v>3873</v>
      </c>
      <c r="D2352" s="9" t="s">
        <v>5234</v>
      </c>
      <c r="E2352" s="9" t="s">
        <v>1111</v>
      </c>
      <c r="F2352" s="9" t="s">
        <v>31</v>
      </c>
      <c r="G2352" s="9" t="s">
        <v>3874</v>
      </c>
      <c r="H2352" s="9" t="s">
        <v>105</v>
      </c>
      <c r="I2352" s="11">
        <v>1530000</v>
      </c>
      <c r="J2352" s="11">
        <v>3577485</v>
      </c>
      <c r="K2352" s="11">
        <v>12450797</v>
      </c>
      <c r="L2352" s="3">
        <v>239</v>
      </c>
      <c r="M2352" s="3">
        <v>4356</v>
      </c>
      <c r="N2352" s="3">
        <v>140473</v>
      </c>
      <c r="O2352" s="2">
        <v>-0.08</v>
      </c>
      <c r="P2352" s="2">
        <v>1.1279999999999999</v>
      </c>
      <c r="Q2352" s="2">
        <v>9.6000000000000002E-2</v>
      </c>
      <c r="R2352" s="11">
        <v>338008070</v>
      </c>
      <c r="S2352" s="11">
        <v>408324</v>
      </c>
      <c r="T2352">
        <v>2015</v>
      </c>
      <c r="U2352">
        <v>10</v>
      </c>
      <c r="V2352">
        <f t="shared" si="216"/>
        <v>632500</v>
      </c>
      <c r="W2352">
        <f t="shared" si="217"/>
        <v>18429897</v>
      </c>
      <c r="X2352">
        <f t="shared" si="218"/>
        <v>17797397</v>
      </c>
      <c r="Y2352">
        <f t="shared" si="219"/>
        <v>-26063595.5</v>
      </c>
      <c r="Z2352">
        <f t="shared" si="220"/>
        <v>45125992.5</v>
      </c>
      <c r="AA2352" t="str">
        <f t="shared" si="221"/>
        <v>Normal</v>
      </c>
      <c r="AE2352" s="2"/>
      <c r="AF2352" s="2"/>
    </row>
    <row r="2353" spans="1:32" x14ac:dyDescent="0.35">
      <c r="A2353">
        <v>2352</v>
      </c>
      <c r="B2353" s="1">
        <v>42298</v>
      </c>
      <c r="C2353" s="9" t="s">
        <v>3875</v>
      </c>
      <c r="D2353" s="9" t="s">
        <v>5235</v>
      </c>
      <c r="E2353" s="9" t="s">
        <v>1111</v>
      </c>
      <c r="F2353" s="9" t="s">
        <v>19</v>
      </c>
      <c r="G2353" s="9" t="s">
        <v>3876</v>
      </c>
      <c r="H2353" s="9" t="s">
        <v>86</v>
      </c>
      <c r="I2353" s="11">
        <v>100000</v>
      </c>
      <c r="J2353" s="11">
        <v>2334104</v>
      </c>
      <c r="K2353" s="11">
        <v>18121143</v>
      </c>
      <c r="L2353" s="3">
        <v>39</v>
      </c>
      <c r="M2353" s="3">
        <v>1964</v>
      </c>
      <c r="N2353" s="3">
        <v>1651457</v>
      </c>
      <c r="O2353" s="2">
        <v>0.18899999999999997</v>
      </c>
      <c r="P2353" s="2">
        <v>0.91200000000000003</v>
      </c>
      <c r="Q2353" s="2">
        <v>0.25900000000000001</v>
      </c>
      <c r="R2353" s="11">
        <v>297511085</v>
      </c>
      <c r="S2353" s="11">
        <v>716133</v>
      </c>
      <c r="T2353">
        <v>2015</v>
      </c>
      <c r="U2353">
        <v>10</v>
      </c>
      <c r="V2353">
        <f t="shared" si="216"/>
        <v>630000</v>
      </c>
      <c r="W2353">
        <f t="shared" si="217"/>
        <v>18429897</v>
      </c>
      <c r="X2353">
        <f t="shared" si="218"/>
        <v>17799897</v>
      </c>
      <c r="Y2353">
        <f t="shared" si="219"/>
        <v>-26069845.5</v>
      </c>
      <c r="Z2353">
        <f t="shared" si="220"/>
        <v>45129742.5</v>
      </c>
      <c r="AA2353" t="str">
        <f t="shared" si="221"/>
        <v>Normal</v>
      </c>
      <c r="AE2353" s="2"/>
      <c r="AF2353" s="2"/>
    </row>
    <row r="2354" spans="1:32" x14ac:dyDescent="0.35">
      <c r="A2354">
        <v>2353</v>
      </c>
      <c r="B2354" s="1">
        <v>42298</v>
      </c>
      <c r="C2354" s="9" t="s">
        <v>2900</v>
      </c>
      <c r="D2354" s="9" t="s">
        <v>3877</v>
      </c>
      <c r="E2354" s="9" t="s">
        <v>1111</v>
      </c>
      <c r="F2354" s="9" t="s">
        <v>15</v>
      </c>
      <c r="G2354" s="9" t="s">
        <v>3878</v>
      </c>
      <c r="H2354" s="9" t="s">
        <v>86</v>
      </c>
      <c r="I2354" s="11">
        <v>640000</v>
      </c>
      <c r="J2354" s="11">
        <v>1559639</v>
      </c>
      <c r="K2354" s="11">
        <v>5184181</v>
      </c>
      <c r="L2354" s="3">
        <v>157</v>
      </c>
      <c r="M2354" s="3">
        <v>139</v>
      </c>
      <c r="N2354" s="3">
        <v>364312</v>
      </c>
      <c r="O2354" s="2">
        <v>0.27699999999999997</v>
      </c>
      <c r="P2354" s="2">
        <v>0.48299999999999998</v>
      </c>
      <c r="Q2354" s="2">
        <v>0.56499999999999995</v>
      </c>
      <c r="R2354" s="11">
        <v>191074747</v>
      </c>
      <c r="S2354" s="11">
        <v>1392644</v>
      </c>
      <c r="T2354">
        <v>2015</v>
      </c>
      <c r="U2354">
        <v>10</v>
      </c>
      <c r="V2354">
        <f t="shared" si="216"/>
        <v>637500</v>
      </c>
      <c r="W2354">
        <f t="shared" si="217"/>
        <v>18429897</v>
      </c>
      <c r="X2354">
        <f t="shared" si="218"/>
        <v>17792397</v>
      </c>
      <c r="Y2354">
        <f t="shared" si="219"/>
        <v>-26051095.5</v>
      </c>
      <c r="Z2354">
        <f t="shared" si="220"/>
        <v>45118492.5</v>
      </c>
      <c r="AA2354" t="str">
        <f t="shared" si="221"/>
        <v>Normal</v>
      </c>
      <c r="AE2354" s="2"/>
      <c r="AF2354" s="2"/>
    </row>
    <row r="2355" spans="1:32" x14ac:dyDescent="0.35">
      <c r="A2355">
        <v>2354</v>
      </c>
      <c r="B2355" s="1">
        <v>42298</v>
      </c>
      <c r="C2355" s="9" t="s">
        <v>1387</v>
      </c>
      <c r="D2355" s="9" t="s">
        <v>5236</v>
      </c>
      <c r="E2355" s="9" t="s">
        <v>1111</v>
      </c>
      <c r="F2355" s="9" t="s">
        <v>15</v>
      </c>
      <c r="G2355" s="9" t="s">
        <v>3879</v>
      </c>
      <c r="H2355" s="9" t="s">
        <v>86</v>
      </c>
      <c r="I2355" s="11">
        <v>18429897</v>
      </c>
      <c r="J2355" s="11">
        <v>1852163</v>
      </c>
      <c r="K2355" s="11">
        <v>8281672</v>
      </c>
      <c r="L2355" s="3">
        <v>10</v>
      </c>
      <c r="M2355" s="3">
        <v>1906</v>
      </c>
      <c r="N2355" s="3">
        <v>515381</v>
      </c>
      <c r="O2355" s="2">
        <v>0.21</v>
      </c>
      <c r="P2355" s="2">
        <v>0.495</v>
      </c>
      <c r="Q2355" s="2">
        <v>0.36749999999999999</v>
      </c>
      <c r="R2355" s="11">
        <v>359548824</v>
      </c>
      <c r="S2355" s="11">
        <v>1388926</v>
      </c>
      <c r="T2355">
        <v>2015</v>
      </c>
      <c r="U2355">
        <v>10</v>
      </c>
      <c r="V2355">
        <f t="shared" si="216"/>
        <v>640000</v>
      </c>
      <c r="W2355">
        <f t="shared" si="217"/>
        <v>18429897</v>
      </c>
      <c r="X2355">
        <f t="shared" si="218"/>
        <v>17789897</v>
      </c>
      <c r="Y2355">
        <f t="shared" si="219"/>
        <v>-26044845.5</v>
      </c>
      <c r="Z2355">
        <f t="shared" si="220"/>
        <v>45114742.5</v>
      </c>
      <c r="AA2355" t="str">
        <f t="shared" si="221"/>
        <v>Normal</v>
      </c>
      <c r="AE2355" s="2"/>
      <c r="AF2355" s="2"/>
    </row>
    <row r="2356" spans="1:32" x14ac:dyDescent="0.35">
      <c r="A2356">
        <v>2355</v>
      </c>
      <c r="B2356" s="1">
        <v>42300</v>
      </c>
      <c r="C2356" s="9" t="s">
        <v>3880</v>
      </c>
      <c r="D2356" s="9" t="s">
        <v>5237</v>
      </c>
      <c r="E2356" s="9" t="s">
        <v>1111</v>
      </c>
      <c r="F2356" s="9" t="s">
        <v>31</v>
      </c>
      <c r="G2356" s="9" t="s">
        <v>3881</v>
      </c>
      <c r="H2356" s="9" t="s">
        <v>86</v>
      </c>
      <c r="I2356" s="11">
        <v>150000</v>
      </c>
      <c r="J2356" s="11">
        <v>2069719</v>
      </c>
      <c r="K2356" s="11">
        <v>16583704</v>
      </c>
      <c r="L2356" s="3">
        <v>186</v>
      </c>
      <c r="M2356" s="3">
        <v>64</v>
      </c>
      <c r="N2356" s="3">
        <v>1116575</v>
      </c>
      <c r="O2356" s="2">
        <v>0.47600000000000003</v>
      </c>
      <c r="P2356" s="2">
        <v>1.0649999999999999</v>
      </c>
      <c r="Q2356" s="2">
        <v>0.218</v>
      </c>
      <c r="R2356" s="11">
        <v>474586859</v>
      </c>
      <c r="S2356" s="11">
        <v>1418401</v>
      </c>
      <c r="T2356">
        <v>2015</v>
      </c>
      <c r="U2356">
        <v>10</v>
      </c>
      <c r="V2356">
        <f t="shared" si="216"/>
        <v>635000</v>
      </c>
      <c r="W2356">
        <f t="shared" si="217"/>
        <v>18429897</v>
      </c>
      <c r="X2356">
        <f t="shared" si="218"/>
        <v>17794897</v>
      </c>
      <c r="Y2356">
        <f t="shared" si="219"/>
        <v>-26057345.5</v>
      </c>
      <c r="Z2356">
        <f t="shared" si="220"/>
        <v>45122242.5</v>
      </c>
      <c r="AA2356" t="str">
        <f t="shared" si="221"/>
        <v>Normal</v>
      </c>
      <c r="AE2356" s="2"/>
      <c r="AF2356" s="2"/>
    </row>
    <row r="2357" spans="1:32" x14ac:dyDescent="0.35">
      <c r="A2357">
        <v>2356</v>
      </c>
      <c r="B2357" s="1">
        <v>42300</v>
      </c>
      <c r="C2357" s="9" t="s">
        <v>3882</v>
      </c>
      <c r="D2357" s="9" t="s">
        <v>5238</v>
      </c>
      <c r="E2357" s="9" t="s">
        <v>1111</v>
      </c>
      <c r="F2357" s="9" t="s">
        <v>19</v>
      </c>
      <c r="G2357" s="9" t="s">
        <v>3881</v>
      </c>
      <c r="H2357" s="9" t="s">
        <v>86</v>
      </c>
      <c r="I2357" s="11">
        <v>150000</v>
      </c>
      <c r="J2357" s="11">
        <v>1111562</v>
      </c>
      <c r="K2357" s="11">
        <v>17306840</v>
      </c>
      <c r="L2357" s="3">
        <v>239</v>
      </c>
      <c r="M2357" s="3">
        <v>2146</v>
      </c>
      <c r="N2357" s="3">
        <v>1328653</v>
      </c>
      <c r="O2357" s="2">
        <v>3.3000000000000002E-2</v>
      </c>
      <c r="P2357" s="2">
        <v>0.26100000000000001</v>
      </c>
      <c r="Q2357" s="2">
        <v>-5.7000000000000002E-2</v>
      </c>
      <c r="R2357" s="11">
        <v>411305101</v>
      </c>
      <c r="S2357" s="11">
        <v>660030</v>
      </c>
      <c r="T2357">
        <v>2015</v>
      </c>
      <c r="U2357">
        <v>10</v>
      </c>
      <c r="V2357">
        <f t="shared" si="216"/>
        <v>650000</v>
      </c>
      <c r="W2357">
        <f t="shared" si="217"/>
        <v>18429897</v>
      </c>
      <c r="X2357">
        <f t="shared" si="218"/>
        <v>17779897</v>
      </c>
      <c r="Y2357">
        <f t="shared" si="219"/>
        <v>-26019845.5</v>
      </c>
      <c r="Z2357">
        <f t="shared" si="220"/>
        <v>45099742.5</v>
      </c>
      <c r="AA2357" t="str">
        <f t="shared" si="221"/>
        <v>Normal</v>
      </c>
      <c r="AE2357" s="2"/>
      <c r="AF2357" s="2"/>
    </row>
    <row r="2358" spans="1:32" x14ac:dyDescent="0.35">
      <c r="A2358">
        <v>2357</v>
      </c>
      <c r="B2358" s="1">
        <v>42300</v>
      </c>
      <c r="C2358" s="9" t="s">
        <v>3883</v>
      </c>
      <c r="D2358" s="9" t="s">
        <v>5238</v>
      </c>
      <c r="E2358" s="9" t="s">
        <v>1111</v>
      </c>
      <c r="F2358" s="9" t="s">
        <v>19</v>
      </c>
      <c r="G2358" s="9" t="s">
        <v>3884</v>
      </c>
      <c r="H2358" s="9" t="s">
        <v>105</v>
      </c>
      <c r="I2358" s="11">
        <v>1000000</v>
      </c>
      <c r="J2358" s="11">
        <v>3134528</v>
      </c>
      <c r="K2358" s="11">
        <v>4780876</v>
      </c>
      <c r="L2358" s="3">
        <v>307</v>
      </c>
      <c r="M2358" s="3">
        <v>2400</v>
      </c>
      <c r="N2358" s="3">
        <v>29274</v>
      </c>
      <c r="O2358" s="2">
        <v>0.22</v>
      </c>
      <c r="P2358" s="2">
        <v>0.437</v>
      </c>
      <c r="Q2358" s="2">
        <v>0.372</v>
      </c>
      <c r="R2358" s="11">
        <v>168080334</v>
      </c>
      <c r="S2358" s="11">
        <v>1510988</v>
      </c>
      <c r="T2358">
        <v>2015</v>
      </c>
      <c r="U2358">
        <v>10</v>
      </c>
      <c r="V2358">
        <f t="shared" si="216"/>
        <v>650000</v>
      </c>
      <c r="W2358">
        <f t="shared" si="217"/>
        <v>18429897</v>
      </c>
      <c r="X2358">
        <f t="shared" si="218"/>
        <v>17779897</v>
      </c>
      <c r="Y2358">
        <f t="shared" si="219"/>
        <v>-26019845.5</v>
      </c>
      <c r="Z2358">
        <f t="shared" si="220"/>
        <v>45099742.5</v>
      </c>
      <c r="AA2358" t="str">
        <f t="shared" si="221"/>
        <v>Normal</v>
      </c>
      <c r="AE2358" s="2"/>
      <c r="AF2358" s="2"/>
    </row>
    <row r="2359" spans="1:32" x14ac:dyDescent="0.35">
      <c r="A2359">
        <v>2358</v>
      </c>
      <c r="B2359" s="1">
        <v>42300</v>
      </c>
      <c r="C2359" s="9" t="s">
        <v>3885</v>
      </c>
      <c r="D2359" s="9" t="s">
        <v>5239</v>
      </c>
      <c r="E2359" s="9" t="s">
        <v>1111</v>
      </c>
      <c r="F2359" s="9" t="s">
        <v>27</v>
      </c>
      <c r="G2359" s="9" t="s">
        <v>3886</v>
      </c>
      <c r="H2359" s="9" t="s">
        <v>86</v>
      </c>
      <c r="I2359" s="11">
        <v>250000</v>
      </c>
      <c r="J2359" s="11">
        <v>1057729</v>
      </c>
      <c r="K2359" s="11">
        <v>10222320</v>
      </c>
      <c r="L2359" s="3">
        <v>180</v>
      </c>
      <c r="M2359" s="3">
        <v>3667</v>
      </c>
      <c r="N2359" s="3">
        <v>1162052</v>
      </c>
      <c r="O2359" s="2">
        <v>0.215</v>
      </c>
      <c r="P2359" s="2">
        <v>0.36599999999999999</v>
      </c>
      <c r="Q2359" s="2">
        <v>-0.30499999999999999</v>
      </c>
      <c r="R2359" s="11">
        <v>202695832</v>
      </c>
      <c r="S2359" s="11">
        <v>956154</v>
      </c>
      <c r="T2359">
        <v>2015</v>
      </c>
      <c r="U2359">
        <v>10</v>
      </c>
      <c r="V2359">
        <f t="shared" si="216"/>
        <v>650000</v>
      </c>
      <c r="W2359">
        <f t="shared" si="217"/>
        <v>18429897</v>
      </c>
      <c r="X2359">
        <f t="shared" si="218"/>
        <v>17779897</v>
      </c>
      <c r="Y2359">
        <f t="shared" si="219"/>
        <v>-26019845.5</v>
      </c>
      <c r="Z2359">
        <f t="shared" si="220"/>
        <v>45099742.5</v>
      </c>
      <c r="AA2359" t="str">
        <f t="shared" si="221"/>
        <v>Normal</v>
      </c>
      <c r="AE2359" s="2"/>
      <c r="AF2359" s="2"/>
    </row>
    <row r="2360" spans="1:32" x14ac:dyDescent="0.35">
      <c r="A2360">
        <v>2359</v>
      </c>
      <c r="B2360" s="1">
        <v>42303</v>
      </c>
      <c r="C2360" s="9" t="s">
        <v>3887</v>
      </c>
      <c r="D2360" s="9" t="s">
        <v>5240</v>
      </c>
      <c r="E2360" s="9" t="s">
        <v>1111</v>
      </c>
      <c r="F2360" s="9" t="s">
        <v>15</v>
      </c>
      <c r="G2360" s="9" t="s">
        <v>1544</v>
      </c>
      <c r="H2360" s="9" t="s">
        <v>105</v>
      </c>
      <c r="I2360" s="11">
        <v>5000000</v>
      </c>
      <c r="J2360" s="11">
        <v>3250412</v>
      </c>
      <c r="K2360" s="11">
        <v>6733291</v>
      </c>
      <c r="L2360" s="3">
        <v>130</v>
      </c>
      <c r="M2360" s="3">
        <v>392</v>
      </c>
      <c r="N2360" s="3">
        <v>314872</v>
      </c>
      <c r="O2360" s="2">
        <v>7.2999999999999995E-2</v>
      </c>
      <c r="P2360" s="2">
        <v>0.91599999999999993</v>
      </c>
      <c r="Q2360" s="2">
        <v>3.9E-2</v>
      </c>
      <c r="R2360" s="11">
        <v>264996558</v>
      </c>
      <c r="S2360" s="11">
        <v>756743</v>
      </c>
      <c r="T2360">
        <v>2015</v>
      </c>
      <c r="U2360">
        <v>10</v>
      </c>
      <c r="V2360">
        <f t="shared" si="216"/>
        <v>650000</v>
      </c>
      <c r="W2360">
        <f t="shared" si="217"/>
        <v>18429897</v>
      </c>
      <c r="X2360">
        <f t="shared" si="218"/>
        <v>17779897</v>
      </c>
      <c r="Y2360">
        <f t="shared" si="219"/>
        <v>-26019845.5</v>
      </c>
      <c r="Z2360">
        <f t="shared" si="220"/>
        <v>45099742.5</v>
      </c>
      <c r="AA2360" t="str">
        <f t="shared" si="221"/>
        <v>Normal</v>
      </c>
      <c r="AE2360" s="2"/>
      <c r="AF2360" s="2"/>
    </row>
    <row r="2361" spans="1:32" x14ac:dyDescent="0.35">
      <c r="A2361">
        <v>2360</v>
      </c>
      <c r="B2361" s="1">
        <v>42303</v>
      </c>
      <c r="C2361" s="9" t="s">
        <v>3888</v>
      </c>
      <c r="D2361" s="9" t="s">
        <v>5241</v>
      </c>
      <c r="E2361" s="9" t="s">
        <v>1111</v>
      </c>
      <c r="F2361" s="9" t="s">
        <v>408</v>
      </c>
      <c r="G2361" s="9" t="s">
        <v>3889</v>
      </c>
      <c r="H2361" s="9" t="s">
        <v>86</v>
      </c>
      <c r="I2361" s="11">
        <v>400000</v>
      </c>
      <c r="J2361" s="11">
        <v>3762424</v>
      </c>
      <c r="K2361" s="11">
        <v>10387861</v>
      </c>
      <c r="L2361" s="3">
        <v>356</v>
      </c>
      <c r="M2361" s="3">
        <v>2429</v>
      </c>
      <c r="N2361" s="3">
        <v>1908195</v>
      </c>
      <c r="O2361" s="2">
        <v>0.34700000000000003</v>
      </c>
      <c r="P2361" s="2">
        <v>0.58200000000000007</v>
      </c>
      <c r="Q2361" s="2">
        <v>0.36499999999999999</v>
      </c>
      <c r="R2361" s="11">
        <v>107457757</v>
      </c>
      <c r="S2361" s="11">
        <v>1899333</v>
      </c>
      <c r="T2361">
        <v>2015</v>
      </c>
      <c r="U2361">
        <v>10</v>
      </c>
      <c r="V2361">
        <f t="shared" si="216"/>
        <v>650000</v>
      </c>
      <c r="W2361">
        <f t="shared" si="217"/>
        <v>18429897</v>
      </c>
      <c r="X2361">
        <f t="shared" si="218"/>
        <v>17779897</v>
      </c>
      <c r="Y2361">
        <f t="shared" si="219"/>
        <v>-26019845.5</v>
      </c>
      <c r="Z2361">
        <f t="shared" si="220"/>
        <v>45099742.5</v>
      </c>
      <c r="AA2361" t="str">
        <f t="shared" si="221"/>
        <v>Normal</v>
      </c>
      <c r="AE2361" s="2"/>
      <c r="AF2361" s="2"/>
    </row>
    <row r="2362" spans="1:32" x14ac:dyDescent="0.35">
      <c r="A2362">
        <v>2361</v>
      </c>
      <c r="B2362" s="1">
        <v>42303</v>
      </c>
      <c r="C2362" s="9" t="s">
        <v>3890</v>
      </c>
      <c r="D2362" s="9" t="s">
        <v>5242</v>
      </c>
      <c r="E2362" s="9" t="s">
        <v>1111</v>
      </c>
      <c r="F2362" s="9" t="s">
        <v>27</v>
      </c>
      <c r="G2362" s="9" t="s">
        <v>3891</v>
      </c>
      <c r="H2362" s="9" t="s">
        <v>86</v>
      </c>
      <c r="I2362" s="11">
        <v>500000</v>
      </c>
      <c r="J2362" s="11">
        <v>4809955</v>
      </c>
      <c r="K2362" s="11">
        <v>7645233</v>
      </c>
      <c r="L2362" s="3">
        <v>80</v>
      </c>
      <c r="M2362" s="3">
        <v>926</v>
      </c>
      <c r="N2362" s="3">
        <v>748217</v>
      </c>
      <c r="O2362" s="2">
        <v>0.17800000000000002</v>
      </c>
      <c r="P2362" s="2">
        <v>1.1159999999999999</v>
      </c>
      <c r="Q2362" s="2">
        <v>7.4999999999999997E-2</v>
      </c>
      <c r="R2362" s="11">
        <v>250264963</v>
      </c>
      <c r="S2362" s="11">
        <v>1991841</v>
      </c>
      <c r="T2362">
        <v>2015</v>
      </c>
      <c r="U2362">
        <v>10</v>
      </c>
      <c r="V2362">
        <f t="shared" si="216"/>
        <v>650000</v>
      </c>
      <c r="W2362">
        <f t="shared" si="217"/>
        <v>18429897</v>
      </c>
      <c r="X2362">
        <f t="shared" si="218"/>
        <v>17779897</v>
      </c>
      <c r="Y2362">
        <f t="shared" si="219"/>
        <v>-26019845.5</v>
      </c>
      <c r="Z2362">
        <f t="shared" si="220"/>
        <v>45099742.5</v>
      </c>
      <c r="AA2362" t="str">
        <f t="shared" si="221"/>
        <v>Normal</v>
      </c>
      <c r="AE2362" s="2"/>
      <c r="AF2362" s="2"/>
    </row>
    <row r="2363" spans="1:32" x14ac:dyDescent="0.35">
      <c r="A2363">
        <v>2362</v>
      </c>
      <c r="B2363" s="1">
        <v>42303</v>
      </c>
      <c r="C2363" s="9" t="s">
        <v>361</v>
      </c>
      <c r="D2363" s="9" t="s">
        <v>5243</v>
      </c>
      <c r="E2363" s="9" t="s">
        <v>1111</v>
      </c>
      <c r="F2363" s="9" t="s">
        <v>35</v>
      </c>
      <c r="G2363" s="9" t="s">
        <v>3892</v>
      </c>
      <c r="H2363" s="9" t="s">
        <v>105</v>
      </c>
      <c r="I2363" s="11">
        <v>50000000</v>
      </c>
      <c r="J2363" s="11">
        <v>612173</v>
      </c>
      <c r="K2363" s="11">
        <v>203804</v>
      </c>
      <c r="L2363" s="3">
        <v>67</v>
      </c>
      <c r="M2363" s="3">
        <v>2358</v>
      </c>
      <c r="N2363" s="3">
        <v>980911</v>
      </c>
      <c r="O2363" s="2">
        <v>-0.12</v>
      </c>
      <c r="P2363" s="2">
        <v>1.0029999999999999</v>
      </c>
      <c r="Q2363" s="2">
        <v>-0.33500000000000002</v>
      </c>
      <c r="R2363" s="11">
        <v>304406497</v>
      </c>
      <c r="S2363" s="11">
        <v>1885689</v>
      </c>
      <c r="T2363">
        <v>2015</v>
      </c>
      <c r="U2363">
        <v>10</v>
      </c>
      <c r="V2363">
        <f t="shared" si="216"/>
        <v>675000</v>
      </c>
      <c r="W2363">
        <f t="shared" si="217"/>
        <v>18429897</v>
      </c>
      <c r="X2363">
        <f t="shared" si="218"/>
        <v>17754897</v>
      </c>
      <c r="Y2363">
        <f t="shared" si="219"/>
        <v>-25957345.5</v>
      </c>
      <c r="Z2363">
        <f t="shared" si="220"/>
        <v>45062242.5</v>
      </c>
      <c r="AA2363" t="str">
        <f t="shared" si="221"/>
        <v>Outlier</v>
      </c>
      <c r="AE2363" s="2"/>
      <c r="AF2363" s="2"/>
    </row>
    <row r="2364" spans="1:32" x14ac:dyDescent="0.35">
      <c r="A2364">
        <v>2363</v>
      </c>
      <c r="B2364" s="1">
        <v>42303</v>
      </c>
      <c r="C2364" s="9" t="s">
        <v>814</v>
      </c>
      <c r="D2364" s="9" t="s">
        <v>5244</v>
      </c>
      <c r="E2364" s="9" t="s">
        <v>1111</v>
      </c>
      <c r="F2364" s="9" t="s">
        <v>294</v>
      </c>
      <c r="G2364" s="9" t="s">
        <v>3893</v>
      </c>
      <c r="H2364" s="9" t="s">
        <v>105</v>
      </c>
      <c r="I2364" s="11">
        <v>9000000</v>
      </c>
      <c r="J2364" s="11">
        <v>3803461</v>
      </c>
      <c r="K2364" s="11">
        <v>18498000</v>
      </c>
      <c r="L2364" s="3">
        <v>254</v>
      </c>
      <c r="M2364" s="3">
        <v>4927</v>
      </c>
      <c r="N2364" s="3">
        <v>1248631</v>
      </c>
      <c r="O2364" s="2">
        <v>0.27</v>
      </c>
      <c r="P2364" s="2">
        <v>1.1850000000000001</v>
      </c>
      <c r="Q2364" s="2">
        <v>-0.08</v>
      </c>
      <c r="R2364" s="11">
        <v>135350485</v>
      </c>
      <c r="S2364" s="11">
        <v>1074588</v>
      </c>
      <c r="T2364">
        <v>2015</v>
      </c>
      <c r="U2364">
        <v>10</v>
      </c>
      <c r="V2364">
        <f t="shared" si="216"/>
        <v>662500</v>
      </c>
      <c r="W2364">
        <f t="shared" si="217"/>
        <v>18429897</v>
      </c>
      <c r="X2364">
        <f t="shared" si="218"/>
        <v>17767397</v>
      </c>
      <c r="Y2364">
        <f t="shared" si="219"/>
        <v>-25988595.5</v>
      </c>
      <c r="Z2364">
        <f t="shared" si="220"/>
        <v>45080992.5</v>
      </c>
      <c r="AA2364" t="str">
        <f t="shared" si="221"/>
        <v>Normal</v>
      </c>
      <c r="AE2364" s="2"/>
      <c r="AF2364" s="2"/>
    </row>
    <row r="2365" spans="1:32" x14ac:dyDescent="0.35">
      <c r="A2365">
        <v>2364</v>
      </c>
      <c r="B2365" s="1">
        <v>42304</v>
      </c>
      <c r="C2365" s="9" t="s">
        <v>3894</v>
      </c>
      <c r="D2365" s="9" t="s">
        <v>5245</v>
      </c>
      <c r="E2365" s="9" t="s">
        <v>1111</v>
      </c>
      <c r="F2365" s="9" t="s">
        <v>41</v>
      </c>
      <c r="G2365" s="9" t="s">
        <v>3895</v>
      </c>
      <c r="H2365" s="9" t="s">
        <v>105</v>
      </c>
      <c r="I2365" s="11">
        <v>18429897</v>
      </c>
      <c r="J2365" s="11">
        <v>448192</v>
      </c>
      <c r="K2365" s="11">
        <v>12778371</v>
      </c>
      <c r="L2365" s="3">
        <v>295</v>
      </c>
      <c r="M2365" s="3">
        <v>3718</v>
      </c>
      <c r="N2365" s="3">
        <v>313542</v>
      </c>
      <c r="O2365" s="2">
        <v>0.02</v>
      </c>
      <c r="P2365" s="2">
        <v>0.499</v>
      </c>
      <c r="Q2365" s="2">
        <v>-5.8000000000000003E-2</v>
      </c>
      <c r="R2365" s="11">
        <v>250264963</v>
      </c>
      <c r="S2365" s="11">
        <v>912793</v>
      </c>
      <c r="T2365">
        <v>2015</v>
      </c>
      <c r="U2365">
        <v>10</v>
      </c>
      <c r="V2365">
        <f t="shared" si="216"/>
        <v>650000</v>
      </c>
      <c r="W2365">
        <f t="shared" si="217"/>
        <v>18429897</v>
      </c>
      <c r="X2365">
        <f t="shared" si="218"/>
        <v>17779897</v>
      </c>
      <c r="Y2365">
        <f t="shared" si="219"/>
        <v>-26019845.5</v>
      </c>
      <c r="Z2365">
        <f t="shared" si="220"/>
        <v>45099742.5</v>
      </c>
      <c r="AA2365" t="str">
        <f t="shared" si="221"/>
        <v>Normal</v>
      </c>
      <c r="AE2365" s="2"/>
      <c r="AF2365" s="2"/>
    </row>
    <row r="2366" spans="1:32" x14ac:dyDescent="0.35">
      <c r="A2366">
        <v>2365</v>
      </c>
      <c r="B2366" s="1">
        <v>42304</v>
      </c>
      <c r="C2366" s="9" t="s">
        <v>3896</v>
      </c>
      <c r="D2366" s="9" t="s">
        <v>5246</v>
      </c>
      <c r="E2366" s="9" t="s">
        <v>1111</v>
      </c>
      <c r="F2366" s="9" t="s">
        <v>31</v>
      </c>
      <c r="G2366" s="9" t="s">
        <v>3897</v>
      </c>
      <c r="H2366" s="9" t="s">
        <v>86</v>
      </c>
      <c r="I2366" s="11">
        <v>77000</v>
      </c>
      <c r="J2366" s="11">
        <v>1699492</v>
      </c>
      <c r="K2366" s="11">
        <v>9287177</v>
      </c>
      <c r="L2366" s="3">
        <v>435</v>
      </c>
      <c r="M2366" s="3">
        <v>4229</v>
      </c>
      <c r="N2366" s="3">
        <v>331183</v>
      </c>
      <c r="O2366" s="2">
        <v>5.5E-2</v>
      </c>
      <c r="P2366" s="2">
        <v>0.67500000000000004</v>
      </c>
      <c r="Q2366" s="2">
        <v>0.50600000000000001</v>
      </c>
      <c r="R2366" s="11">
        <v>81502837</v>
      </c>
      <c r="S2366" s="11">
        <v>210886</v>
      </c>
      <c r="T2366">
        <v>2015</v>
      </c>
      <c r="U2366">
        <v>10</v>
      </c>
      <c r="V2366">
        <f t="shared" si="216"/>
        <v>650000</v>
      </c>
      <c r="W2366">
        <f t="shared" si="217"/>
        <v>18429897</v>
      </c>
      <c r="X2366">
        <f t="shared" si="218"/>
        <v>17779897</v>
      </c>
      <c r="Y2366">
        <f t="shared" si="219"/>
        <v>-26019845.5</v>
      </c>
      <c r="Z2366">
        <f t="shared" si="220"/>
        <v>45099742.5</v>
      </c>
      <c r="AA2366" t="str">
        <f t="shared" si="221"/>
        <v>Normal</v>
      </c>
      <c r="AE2366" s="2"/>
      <c r="AF2366" s="2"/>
    </row>
    <row r="2367" spans="1:32" x14ac:dyDescent="0.35">
      <c r="A2367">
        <v>2366</v>
      </c>
      <c r="B2367" s="1">
        <v>42304</v>
      </c>
      <c r="C2367" s="9" t="s">
        <v>3435</v>
      </c>
      <c r="D2367" s="9" t="s">
        <v>5247</v>
      </c>
      <c r="E2367" s="9" t="s">
        <v>1111</v>
      </c>
      <c r="F2367" s="9" t="s">
        <v>31</v>
      </c>
      <c r="G2367" s="9" t="s">
        <v>2135</v>
      </c>
      <c r="H2367" s="9" t="s">
        <v>86</v>
      </c>
      <c r="I2367" s="11">
        <v>350000</v>
      </c>
      <c r="J2367" s="11">
        <v>897930</v>
      </c>
      <c r="K2367" s="11">
        <v>2245495</v>
      </c>
      <c r="L2367" s="3">
        <v>370</v>
      </c>
      <c r="M2367" s="3">
        <v>241</v>
      </c>
      <c r="N2367" s="3">
        <v>1918113</v>
      </c>
      <c r="O2367" s="2">
        <v>7.0000000000000007E-2</v>
      </c>
      <c r="P2367" s="2">
        <v>0.86</v>
      </c>
      <c r="Q2367" s="2">
        <v>0.31</v>
      </c>
      <c r="R2367" s="11">
        <v>16537779</v>
      </c>
      <c r="S2367" s="11">
        <v>1800162</v>
      </c>
      <c r="T2367">
        <v>2015</v>
      </c>
      <c r="U2367">
        <v>10</v>
      </c>
      <c r="V2367">
        <f t="shared" si="216"/>
        <v>675000</v>
      </c>
      <c r="W2367">
        <f t="shared" si="217"/>
        <v>18429897</v>
      </c>
      <c r="X2367">
        <f t="shared" si="218"/>
        <v>17754897</v>
      </c>
      <c r="Y2367">
        <f t="shared" si="219"/>
        <v>-25957345.5</v>
      </c>
      <c r="Z2367">
        <f t="shared" si="220"/>
        <v>45062242.5</v>
      </c>
      <c r="AA2367" t="str">
        <f t="shared" si="221"/>
        <v>Normal</v>
      </c>
      <c r="AE2367" s="2"/>
      <c r="AF2367" s="2"/>
    </row>
    <row r="2368" spans="1:32" x14ac:dyDescent="0.35">
      <c r="A2368">
        <v>2367</v>
      </c>
      <c r="B2368" s="1">
        <v>42304</v>
      </c>
      <c r="C2368" s="9" t="s">
        <v>3898</v>
      </c>
      <c r="D2368" s="9" t="s">
        <v>2611</v>
      </c>
      <c r="E2368" s="9" t="s">
        <v>1111</v>
      </c>
      <c r="F2368" s="9" t="s">
        <v>15</v>
      </c>
      <c r="G2368" s="9" t="s">
        <v>3899</v>
      </c>
      <c r="H2368" s="9" t="s">
        <v>105</v>
      </c>
      <c r="I2368" s="11">
        <v>10000000</v>
      </c>
      <c r="J2368" s="11">
        <v>828175</v>
      </c>
      <c r="K2368" s="11">
        <v>1518263</v>
      </c>
      <c r="L2368" s="3">
        <v>451</v>
      </c>
      <c r="M2368" s="3">
        <v>3831</v>
      </c>
      <c r="N2368" s="3">
        <v>1149770</v>
      </c>
      <c r="O2368" s="2">
        <v>0.26700000000000002</v>
      </c>
      <c r="P2368" s="2">
        <v>1.175</v>
      </c>
      <c r="Q2368" s="2">
        <v>0.33600000000000002</v>
      </c>
      <c r="R2368" s="11">
        <v>295678182</v>
      </c>
      <c r="S2368" s="11">
        <v>560707</v>
      </c>
      <c r="T2368">
        <v>2015</v>
      </c>
      <c r="U2368">
        <v>10</v>
      </c>
      <c r="V2368">
        <f t="shared" si="216"/>
        <v>700000</v>
      </c>
      <c r="W2368">
        <f t="shared" si="217"/>
        <v>18429897</v>
      </c>
      <c r="X2368">
        <f t="shared" si="218"/>
        <v>17729897</v>
      </c>
      <c r="Y2368">
        <f t="shared" si="219"/>
        <v>-25894845.5</v>
      </c>
      <c r="Z2368">
        <f t="shared" si="220"/>
        <v>45024742.5</v>
      </c>
      <c r="AA2368" t="str">
        <f t="shared" si="221"/>
        <v>Normal</v>
      </c>
      <c r="AE2368" s="2"/>
      <c r="AF2368" s="2"/>
    </row>
    <row r="2369" spans="1:32" x14ac:dyDescent="0.35">
      <c r="A2369">
        <v>2368</v>
      </c>
      <c r="B2369" s="1">
        <v>42304</v>
      </c>
      <c r="C2369" s="9" t="s">
        <v>3900</v>
      </c>
      <c r="D2369" s="9" t="s">
        <v>5248</v>
      </c>
      <c r="E2369" s="9" t="s">
        <v>1111</v>
      </c>
      <c r="F2369" s="9" t="s">
        <v>19</v>
      </c>
      <c r="G2369" s="9" t="s">
        <v>3901</v>
      </c>
      <c r="H2369" s="9" t="s">
        <v>105</v>
      </c>
      <c r="I2369" s="11">
        <v>18429897</v>
      </c>
      <c r="J2369" s="11">
        <v>893225</v>
      </c>
      <c r="K2369" s="11">
        <v>9627093</v>
      </c>
      <c r="L2369" s="3">
        <v>333</v>
      </c>
      <c r="M2369" s="3">
        <v>4336</v>
      </c>
      <c r="N2369" s="3">
        <v>453743</v>
      </c>
      <c r="O2369" s="2">
        <v>0.33600000000000002</v>
      </c>
      <c r="P2369" s="2">
        <v>0.54500000000000004</v>
      </c>
      <c r="Q2369" s="2">
        <v>-0.19500000000000001</v>
      </c>
      <c r="R2369" s="11">
        <v>395272581</v>
      </c>
      <c r="S2369" s="11">
        <v>1008193.5</v>
      </c>
      <c r="T2369">
        <v>2015</v>
      </c>
      <c r="U2369">
        <v>10</v>
      </c>
      <c r="V2369">
        <f t="shared" si="216"/>
        <v>700000</v>
      </c>
      <c r="W2369">
        <f t="shared" si="217"/>
        <v>18429897</v>
      </c>
      <c r="X2369">
        <f t="shared" si="218"/>
        <v>17729897</v>
      </c>
      <c r="Y2369">
        <f t="shared" si="219"/>
        <v>-25894845.5</v>
      </c>
      <c r="Z2369">
        <f t="shared" si="220"/>
        <v>45024742.5</v>
      </c>
      <c r="AA2369" t="str">
        <f t="shared" si="221"/>
        <v>Normal</v>
      </c>
      <c r="AE2369" s="2"/>
      <c r="AF2369" s="2"/>
    </row>
    <row r="2370" spans="1:32" x14ac:dyDescent="0.35">
      <c r="A2370">
        <v>2369</v>
      </c>
      <c r="B2370" s="1">
        <v>42305</v>
      </c>
      <c r="C2370" s="9" t="s">
        <v>3902</v>
      </c>
      <c r="D2370" s="9" t="s">
        <v>5249</v>
      </c>
      <c r="E2370" s="9" t="s">
        <v>1111</v>
      </c>
      <c r="F2370" s="9" t="s">
        <v>31</v>
      </c>
      <c r="G2370" s="9" t="s">
        <v>3903</v>
      </c>
      <c r="H2370" s="9" t="s">
        <v>86</v>
      </c>
      <c r="I2370" s="11">
        <v>1100000</v>
      </c>
      <c r="J2370" s="11">
        <v>238812</v>
      </c>
      <c r="K2370" s="11">
        <v>13016847</v>
      </c>
      <c r="L2370" s="3">
        <v>421</v>
      </c>
      <c r="M2370" s="3">
        <v>3370</v>
      </c>
      <c r="N2370" s="3">
        <v>1326324</v>
      </c>
      <c r="O2370" s="2">
        <v>8.8000000000000009E-2</v>
      </c>
      <c r="P2370" s="2">
        <v>0.52700000000000002</v>
      </c>
      <c r="Q2370" s="2">
        <v>0.113</v>
      </c>
      <c r="R2370" s="11">
        <v>54914725</v>
      </c>
      <c r="S2370" s="11">
        <v>698239</v>
      </c>
      <c r="T2370">
        <v>2015</v>
      </c>
      <c r="U2370">
        <v>10</v>
      </c>
      <c r="V2370">
        <f t="shared" ref="V2370:V2433" si="222">_xlfn.PERCENTILE.INC(I2370:I5413,0.25)</f>
        <v>687500</v>
      </c>
      <c r="W2370">
        <f t="shared" ref="W2370:W2433" si="223">_xlfn.PERCENTILE.INC(I2370:I5413,0.75)</f>
        <v>18429897</v>
      </c>
      <c r="X2370">
        <f t="shared" ref="X2370:X2433" si="224">W2370-V2370</f>
        <v>17742397</v>
      </c>
      <c r="Y2370">
        <f t="shared" ref="Y2370:Y2433" si="225">V2370-1.5*X2370</f>
        <v>-25926095.5</v>
      </c>
      <c r="Z2370">
        <f t="shared" ref="Z2370:Z2433" si="226">W2370+1.5*X2370</f>
        <v>45043492.5</v>
      </c>
      <c r="AA2370" t="str">
        <f t="shared" ref="AA2370:AA2433" si="227">IF(OR(I2370&lt;$Y$2, I2370&gt;$Z$2), "Outlier", "Normal")</f>
        <v>Normal</v>
      </c>
      <c r="AE2370" s="2"/>
      <c r="AF2370" s="2"/>
    </row>
    <row r="2371" spans="1:32" x14ac:dyDescent="0.35">
      <c r="A2371">
        <v>2370</v>
      </c>
      <c r="B2371" s="1">
        <v>42305</v>
      </c>
      <c r="C2371" s="9" t="s">
        <v>580</v>
      </c>
      <c r="D2371" s="9" t="s">
        <v>5250</v>
      </c>
      <c r="E2371" s="9" t="s">
        <v>1111</v>
      </c>
      <c r="F2371" s="9" t="s">
        <v>27</v>
      </c>
      <c r="G2371" s="9" t="s">
        <v>3904</v>
      </c>
      <c r="H2371" s="9" t="s">
        <v>86</v>
      </c>
      <c r="I2371" s="11">
        <v>200000</v>
      </c>
      <c r="J2371" s="11">
        <v>4119075</v>
      </c>
      <c r="K2371" s="11">
        <v>5280305</v>
      </c>
      <c r="L2371" s="3">
        <v>88</v>
      </c>
      <c r="M2371" s="3">
        <v>3921</v>
      </c>
      <c r="N2371" s="3">
        <v>1785867</v>
      </c>
      <c r="O2371" s="2">
        <v>7.6999999999999999E-2</v>
      </c>
      <c r="P2371" s="2">
        <v>0.82700000000000007</v>
      </c>
      <c r="Q2371" s="2">
        <v>0.501</v>
      </c>
      <c r="R2371" s="11">
        <v>43743364</v>
      </c>
      <c r="S2371" s="11">
        <v>968979</v>
      </c>
      <c r="T2371">
        <v>2015</v>
      </c>
      <c r="U2371">
        <v>10</v>
      </c>
      <c r="V2371">
        <f t="shared" si="222"/>
        <v>675000</v>
      </c>
      <c r="W2371">
        <f t="shared" si="223"/>
        <v>18429897</v>
      </c>
      <c r="X2371">
        <f t="shared" si="224"/>
        <v>17754897</v>
      </c>
      <c r="Y2371">
        <f t="shared" si="225"/>
        <v>-25957345.5</v>
      </c>
      <c r="Z2371">
        <f t="shared" si="226"/>
        <v>45062242.5</v>
      </c>
      <c r="AA2371" t="str">
        <f t="shared" si="227"/>
        <v>Normal</v>
      </c>
      <c r="AE2371" s="2"/>
      <c r="AF2371" s="2"/>
    </row>
    <row r="2372" spans="1:32" x14ac:dyDescent="0.35">
      <c r="A2372">
        <v>2371</v>
      </c>
      <c r="B2372" s="1">
        <v>42305</v>
      </c>
      <c r="C2372" s="9" t="s">
        <v>2008</v>
      </c>
      <c r="D2372" s="9" t="s">
        <v>5251</v>
      </c>
      <c r="E2372" s="9" t="s">
        <v>1111</v>
      </c>
      <c r="F2372" s="9" t="s">
        <v>15</v>
      </c>
      <c r="G2372" s="9" t="s">
        <v>3905</v>
      </c>
      <c r="H2372" s="9" t="s">
        <v>105</v>
      </c>
      <c r="I2372" s="11">
        <v>18429897</v>
      </c>
      <c r="J2372" s="11">
        <v>324419</v>
      </c>
      <c r="K2372" s="11">
        <v>14913423</v>
      </c>
      <c r="L2372" s="3">
        <v>267</v>
      </c>
      <c r="M2372" s="3">
        <v>286</v>
      </c>
      <c r="N2372" s="3">
        <v>1527342</v>
      </c>
      <c r="O2372" s="2">
        <v>-0.28899999999999998</v>
      </c>
      <c r="P2372" s="2">
        <v>0.86499999999999999</v>
      </c>
      <c r="Q2372" s="2">
        <v>0.36749999999999999</v>
      </c>
      <c r="R2372" s="11">
        <v>113958295</v>
      </c>
      <c r="S2372" s="11">
        <v>751411</v>
      </c>
      <c r="T2372">
        <v>2015</v>
      </c>
      <c r="U2372">
        <v>10</v>
      </c>
      <c r="V2372">
        <f t="shared" si="222"/>
        <v>700000</v>
      </c>
      <c r="W2372">
        <f t="shared" si="223"/>
        <v>18429897</v>
      </c>
      <c r="X2372">
        <f t="shared" si="224"/>
        <v>17729897</v>
      </c>
      <c r="Y2372">
        <f t="shared" si="225"/>
        <v>-25894845.5</v>
      </c>
      <c r="Z2372">
        <f t="shared" si="226"/>
        <v>45024742.5</v>
      </c>
      <c r="AA2372" t="str">
        <f t="shared" si="227"/>
        <v>Normal</v>
      </c>
      <c r="AE2372" s="2"/>
      <c r="AF2372" s="2"/>
    </row>
    <row r="2373" spans="1:32" x14ac:dyDescent="0.35">
      <c r="A2373">
        <v>2372</v>
      </c>
      <c r="B2373" s="1">
        <v>42306</v>
      </c>
      <c r="C2373" s="9" t="s">
        <v>3906</v>
      </c>
      <c r="D2373" s="9" t="s">
        <v>5252</v>
      </c>
      <c r="E2373" s="9" t="s">
        <v>1111</v>
      </c>
      <c r="F2373" s="9" t="s">
        <v>31</v>
      </c>
      <c r="G2373" s="9" t="s">
        <v>3356</v>
      </c>
      <c r="H2373" s="9" t="s">
        <v>86</v>
      </c>
      <c r="I2373" s="11">
        <v>18429897</v>
      </c>
      <c r="J2373" s="11">
        <v>2004562</v>
      </c>
      <c r="K2373" s="11">
        <v>7908421</v>
      </c>
      <c r="L2373" s="3">
        <v>472</v>
      </c>
      <c r="M2373" s="3">
        <v>3706</v>
      </c>
      <c r="N2373" s="3">
        <v>800507</v>
      </c>
      <c r="O2373" s="2">
        <v>-2.1999999999999999E-2</v>
      </c>
      <c r="P2373" s="2">
        <v>0.38900000000000001</v>
      </c>
      <c r="Q2373" s="2">
        <v>-1.4999999999999999E-2</v>
      </c>
      <c r="R2373" s="11">
        <v>45532193</v>
      </c>
      <c r="S2373" s="11">
        <v>432832</v>
      </c>
      <c r="T2373">
        <v>2015</v>
      </c>
      <c r="U2373">
        <v>10</v>
      </c>
      <c r="V2373">
        <f t="shared" si="222"/>
        <v>700000</v>
      </c>
      <c r="W2373">
        <f t="shared" si="223"/>
        <v>18429897</v>
      </c>
      <c r="X2373">
        <f t="shared" si="224"/>
        <v>17729897</v>
      </c>
      <c r="Y2373">
        <f t="shared" si="225"/>
        <v>-25894845.5</v>
      </c>
      <c r="Z2373">
        <f t="shared" si="226"/>
        <v>45024742.5</v>
      </c>
      <c r="AA2373" t="str">
        <f t="shared" si="227"/>
        <v>Normal</v>
      </c>
      <c r="AE2373" s="2"/>
      <c r="AF2373" s="2"/>
    </row>
    <row r="2374" spans="1:32" x14ac:dyDescent="0.35">
      <c r="A2374">
        <v>2373</v>
      </c>
      <c r="B2374" s="1">
        <v>42306</v>
      </c>
      <c r="C2374" s="9" t="s">
        <v>190</v>
      </c>
      <c r="D2374" s="9" t="s">
        <v>5253</v>
      </c>
      <c r="E2374" s="9" t="s">
        <v>1111</v>
      </c>
      <c r="F2374" s="9" t="s">
        <v>63</v>
      </c>
      <c r="G2374" s="9" t="s">
        <v>3907</v>
      </c>
      <c r="H2374" s="9" t="s">
        <v>105</v>
      </c>
      <c r="I2374" s="11">
        <v>18429897</v>
      </c>
      <c r="J2374" s="11">
        <v>3501829</v>
      </c>
      <c r="K2374" s="11">
        <v>320297</v>
      </c>
      <c r="L2374" s="3">
        <v>395</v>
      </c>
      <c r="M2374" s="3">
        <v>4187</v>
      </c>
      <c r="N2374" s="3">
        <v>1320991</v>
      </c>
      <c r="O2374" s="2">
        <v>-6.9000000000000006E-2</v>
      </c>
      <c r="P2374" s="2">
        <v>0.65400000000000003</v>
      </c>
      <c r="Q2374" s="2">
        <v>0.309</v>
      </c>
      <c r="R2374" s="11">
        <v>216460195</v>
      </c>
      <c r="S2374" s="11">
        <v>692384</v>
      </c>
      <c r="T2374">
        <v>2015</v>
      </c>
      <c r="U2374">
        <v>10</v>
      </c>
      <c r="V2374">
        <f t="shared" si="222"/>
        <v>687500</v>
      </c>
      <c r="W2374">
        <f t="shared" si="223"/>
        <v>18429897</v>
      </c>
      <c r="X2374">
        <f t="shared" si="224"/>
        <v>17742397</v>
      </c>
      <c r="Y2374">
        <f t="shared" si="225"/>
        <v>-25926095.5</v>
      </c>
      <c r="Z2374">
        <f t="shared" si="226"/>
        <v>45043492.5</v>
      </c>
      <c r="AA2374" t="str">
        <f t="shared" si="227"/>
        <v>Normal</v>
      </c>
      <c r="AE2374" s="2"/>
      <c r="AF2374" s="2"/>
    </row>
    <row r="2375" spans="1:32" x14ac:dyDescent="0.35">
      <c r="A2375">
        <v>2374</v>
      </c>
      <c r="B2375" s="1">
        <v>42306</v>
      </c>
      <c r="C2375" s="9" t="s">
        <v>3908</v>
      </c>
      <c r="D2375" s="9" t="s">
        <v>5254</v>
      </c>
      <c r="E2375" s="9" t="s">
        <v>1111</v>
      </c>
      <c r="F2375" s="9" t="s">
        <v>31</v>
      </c>
      <c r="G2375" s="9" t="s">
        <v>3909</v>
      </c>
      <c r="H2375" s="9" t="s">
        <v>86</v>
      </c>
      <c r="I2375" s="11">
        <v>450000</v>
      </c>
      <c r="J2375" s="11">
        <v>4952134</v>
      </c>
      <c r="K2375" s="11">
        <v>10787839</v>
      </c>
      <c r="L2375" s="3">
        <v>204</v>
      </c>
      <c r="M2375" s="3">
        <v>1192</v>
      </c>
      <c r="N2375" s="3">
        <v>1791261</v>
      </c>
      <c r="O2375" s="2">
        <v>0.182</v>
      </c>
      <c r="P2375" s="2">
        <v>0.57700000000000007</v>
      </c>
      <c r="Q2375" s="2">
        <v>-0.20899999999999999</v>
      </c>
      <c r="R2375" s="11">
        <v>114040531</v>
      </c>
      <c r="S2375" s="11">
        <v>501437</v>
      </c>
      <c r="T2375">
        <v>2015</v>
      </c>
      <c r="U2375">
        <v>10</v>
      </c>
      <c r="V2375">
        <f t="shared" si="222"/>
        <v>675000</v>
      </c>
      <c r="W2375">
        <f t="shared" si="223"/>
        <v>18429897</v>
      </c>
      <c r="X2375">
        <f t="shared" si="224"/>
        <v>17754897</v>
      </c>
      <c r="Y2375">
        <f t="shared" si="225"/>
        <v>-25957345.5</v>
      </c>
      <c r="Z2375">
        <f t="shared" si="226"/>
        <v>45062242.5</v>
      </c>
      <c r="AA2375" t="str">
        <f t="shared" si="227"/>
        <v>Normal</v>
      </c>
      <c r="AE2375" s="2"/>
      <c r="AF2375" s="2"/>
    </row>
    <row r="2376" spans="1:32" x14ac:dyDescent="0.35">
      <c r="A2376">
        <v>2375</v>
      </c>
      <c r="B2376" s="1">
        <v>42307</v>
      </c>
      <c r="C2376" s="9" t="s">
        <v>1457</v>
      </c>
      <c r="D2376" s="9" t="s">
        <v>5255</v>
      </c>
      <c r="E2376" s="9" t="s">
        <v>1111</v>
      </c>
      <c r="F2376" s="9" t="s">
        <v>15</v>
      </c>
      <c r="G2376" s="9" t="s">
        <v>3475</v>
      </c>
      <c r="H2376" s="9" t="s">
        <v>86</v>
      </c>
      <c r="I2376" s="11">
        <v>18429897</v>
      </c>
      <c r="J2376" s="11">
        <v>4271453</v>
      </c>
      <c r="K2376" s="11">
        <v>3703289</v>
      </c>
      <c r="L2376" s="3">
        <v>463</v>
      </c>
      <c r="M2376" s="3">
        <v>2382</v>
      </c>
      <c r="N2376" s="3">
        <v>500240</v>
      </c>
      <c r="O2376" s="2">
        <v>1.6E-2</v>
      </c>
      <c r="P2376" s="2">
        <v>0.621</v>
      </c>
      <c r="Q2376" s="2">
        <v>-0.10199999999999999</v>
      </c>
      <c r="R2376" s="11">
        <v>248620523</v>
      </c>
      <c r="S2376" s="11">
        <v>1520092</v>
      </c>
      <c r="T2376">
        <v>2015</v>
      </c>
      <c r="U2376">
        <v>10</v>
      </c>
      <c r="V2376">
        <f t="shared" si="222"/>
        <v>700000</v>
      </c>
      <c r="W2376">
        <f t="shared" si="223"/>
        <v>18429897</v>
      </c>
      <c r="X2376">
        <f t="shared" si="224"/>
        <v>17729897</v>
      </c>
      <c r="Y2376">
        <f t="shared" si="225"/>
        <v>-25894845.5</v>
      </c>
      <c r="Z2376">
        <f t="shared" si="226"/>
        <v>45024742.5</v>
      </c>
      <c r="AA2376" t="str">
        <f t="shared" si="227"/>
        <v>Normal</v>
      </c>
      <c r="AE2376" s="2"/>
      <c r="AF2376" s="2"/>
    </row>
    <row r="2377" spans="1:32" x14ac:dyDescent="0.35">
      <c r="A2377">
        <v>2376</v>
      </c>
      <c r="B2377" s="1">
        <v>42307</v>
      </c>
      <c r="C2377" s="9" t="s">
        <v>3910</v>
      </c>
      <c r="D2377" s="9" t="s">
        <v>5256</v>
      </c>
      <c r="E2377" s="9" t="s">
        <v>1111</v>
      </c>
      <c r="F2377" s="9" t="s">
        <v>15</v>
      </c>
      <c r="G2377" s="9" t="s">
        <v>3911</v>
      </c>
      <c r="H2377" s="9" t="s">
        <v>86</v>
      </c>
      <c r="I2377" s="11">
        <v>18429897</v>
      </c>
      <c r="J2377" s="11">
        <v>703312</v>
      </c>
      <c r="K2377" s="11">
        <v>387835</v>
      </c>
      <c r="L2377" s="3">
        <v>159</v>
      </c>
      <c r="M2377" s="3">
        <v>2142</v>
      </c>
      <c r="N2377" s="3">
        <v>1580662</v>
      </c>
      <c r="O2377" s="2">
        <v>-6.2E-2</v>
      </c>
      <c r="P2377" s="2">
        <v>0.34</v>
      </c>
      <c r="Q2377" s="2">
        <v>-0.35899999999999999</v>
      </c>
      <c r="R2377" s="11">
        <v>315472030</v>
      </c>
      <c r="S2377" s="11">
        <v>1393463</v>
      </c>
      <c r="T2377">
        <v>2015</v>
      </c>
      <c r="U2377">
        <v>10</v>
      </c>
      <c r="V2377">
        <f t="shared" si="222"/>
        <v>700000</v>
      </c>
      <c r="W2377">
        <f t="shared" si="223"/>
        <v>18429897</v>
      </c>
      <c r="X2377">
        <f t="shared" si="224"/>
        <v>17729897</v>
      </c>
      <c r="Y2377">
        <f t="shared" si="225"/>
        <v>-25894845.5</v>
      </c>
      <c r="Z2377">
        <f t="shared" si="226"/>
        <v>45024742.5</v>
      </c>
      <c r="AA2377" t="str">
        <f t="shared" si="227"/>
        <v>Normal</v>
      </c>
      <c r="AE2377" s="2"/>
      <c r="AF2377" s="2"/>
    </row>
    <row r="2378" spans="1:32" x14ac:dyDescent="0.35">
      <c r="A2378">
        <v>2377</v>
      </c>
      <c r="B2378" s="1">
        <v>42307</v>
      </c>
      <c r="C2378" s="9" t="s">
        <v>3912</v>
      </c>
      <c r="D2378" s="9" t="s">
        <v>5257</v>
      </c>
      <c r="E2378" s="9" t="s">
        <v>1111</v>
      </c>
      <c r="F2378" s="9" t="s">
        <v>31</v>
      </c>
      <c r="G2378" s="9" t="s">
        <v>3913</v>
      </c>
      <c r="H2378" s="9" t="s">
        <v>86</v>
      </c>
      <c r="I2378" s="11">
        <v>130000</v>
      </c>
      <c r="J2378" s="11">
        <v>4938938</v>
      </c>
      <c r="K2378" s="11">
        <v>2689246</v>
      </c>
      <c r="L2378" s="3">
        <v>16</v>
      </c>
      <c r="M2378" s="3">
        <v>536</v>
      </c>
      <c r="N2378" s="3">
        <v>1994720</v>
      </c>
      <c r="O2378" s="2">
        <v>0.151</v>
      </c>
      <c r="P2378" s="2">
        <v>0.84799999999999998</v>
      </c>
      <c r="Q2378" s="2">
        <v>8.4000000000000005E-2</v>
      </c>
      <c r="R2378" s="11">
        <v>157754554</v>
      </c>
      <c r="S2378" s="11">
        <v>12078</v>
      </c>
      <c r="T2378">
        <v>2015</v>
      </c>
      <c r="U2378">
        <v>10</v>
      </c>
      <c r="V2378">
        <f t="shared" si="222"/>
        <v>687500</v>
      </c>
      <c r="W2378">
        <f t="shared" si="223"/>
        <v>18429897</v>
      </c>
      <c r="X2378">
        <f t="shared" si="224"/>
        <v>17742397</v>
      </c>
      <c r="Y2378">
        <f t="shared" si="225"/>
        <v>-25926095.5</v>
      </c>
      <c r="Z2378">
        <f t="shared" si="226"/>
        <v>45043492.5</v>
      </c>
      <c r="AA2378" t="str">
        <f t="shared" si="227"/>
        <v>Normal</v>
      </c>
      <c r="AE2378" s="2"/>
      <c r="AF2378" s="2"/>
    </row>
    <row r="2379" spans="1:32" x14ac:dyDescent="0.35">
      <c r="A2379">
        <v>2378</v>
      </c>
      <c r="B2379" s="1">
        <v>42307</v>
      </c>
      <c r="C2379" s="9" t="s">
        <v>3914</v>
      </c>
      <c r="D2379" s="9" t="s">
        <v>5258</v>
      </c>
      <c r="E2379" s="9" t="s">
        <v>1111</v>
      </c>
      <c r="F2379" s="9" t="s">
        <v>31</v>
      </c>
      <c r="G2379" s="9" t="s">
        <v>3915</v>
      </c>
      <c r="H2379" s="9" t="s">
        <v>105</v>
      </c>
      <c r="I2379" s="11">
        <v>7500000</v>
      </c>
      <c r="J2379" s="11">
        <v>3274628</v>
      </c>
      <c r="K2379" s="11">
        <v>5763213</v>
      </c>
      <c r="L2379" s="3">
        <v>399</v>
      </c>
      <c r="M2379" s="3">
        <v>684</v>
      </c>
      <c r="N2379" s="3">
        <v>690414</v>
      </c>
      <c r="O2379" s="2">
        <v>0.106</v>
      </c>
      <c r="P2379" s="2">
        <v>0.38799999999999996</v>
      </c>
      <c r="Q2379" s="2">
        <v>0.27100000000000002</v>
      </c>
      <c r="R2379" s="11">
        <v>446691655</v>
      </c>
      <c r="S2379" s="11">
        <v>1560499</v>
      </c>
      <c r="T2379">
        <v>2015</v>
      </c>
      <c r="U2379">
        <v>10</v>
      </c>
      <c r="V2379">
        <f t="shared" si="222"/>
        <v>700000</v>
      </c>
      <c r="W2379">
        <f t="shared" si="223"/>
        <v>18429897</v>
      </c>
      <c r="X2379">
        <f t="shared" si="224"/>
        <v>17729897</v>
      </c>
      <c r="Y2379">
        <f t="shared" si="225"/>
        <v>-25894845.5</v>
      </c>
      <c r="Z2379">
        <f t="shared" si="226"/>
        <v>45024742.5</v>
      </c>
      <c r="AA2379" t="str">
        <f t="shared" si="227"/>
        <v>Normal</v>
      </c>
      <c r="AE2379" s="2"/>
      <c r="AF2379" s="2"/>
    </row>
    <row r="2380" spans="1:32" x14ac:dyDescent="0.35">
      <c r="A2380">
        <v>2379</v>
      </c>
      <c r="B2380" s="1">
        <v>42307</v>
      </c>
      <c r="C2380" s="9" t="s">
        <v>268</v>
      </c>
      <c r="D2380" s="9" t="s">
        <v>5259</v>
      </c>
      <c r="E2380" s="9" t="s">
        <v>1111</v>
      </c>
      <c r="F2380" s="9" t="s">
        <v>31</v>
      </c>
      <c r="G2380" s="9" t="s">
        <v>376</v>
      </c>
      <c r="H2380" s="9" t="s">
        <v>105</v>
      </c>
      <c r="I2380" s="11">
        <v>2000000</v>
      </c>
      <c r="J2380" s="11">
        <v>914249</v>
      </c>
      <c r="K2380" s="11">
        <v>10345733</v>
      </c>
      <c r="L2380" s="3">
        <v>208</v>
      </c>
      <c r="M2380" s="3">
        <v>1538</v>
      </c>
      <c r="N2380" s="3">
        <v>1776508</v>
      </c>
      <c r="O2380" s="2">
        <v>-0.38800000000000001</v>
      </c>
      <c r="P2380" s="2">
        <v>0.22500000000000001</v>
      </c>
      <c r="Q2380" s="2">
        <v>-0.129</v>
      </c>
      <c r="R2380" s="11">
        <v>254375064</v>
      </c>
      <c r="S2380" s="11">
        <v>1254549</v>
      </c>
      <c r="T2380">
        <v>2015</v>
      </c>
      <c r="U2380">
        <v>10</v>
      </c>
      <c r="V2380">
        <f t="shared" si="222"/>
        <v>700000</v>
      </c>
      <c r="W2380">
        <f t="shared" si="223"/>
        <v>18429897</v>
      </c>
      <c r="X2380">
        <f t="shared" si="224"/>
        <v>17729897</v>
      </c>
      <c r="Y2380">
        <f t="shared" si="225"/>
        <v>-25894845.5</v>
      </c>
      <c r="Z2380">
        <f t="shared" si="226"/>
        <v>45024742.5</v>
      </c>
      <c r="AA2380" t="str">
        <f t="shared" si="227"/>
        <v>Normal</v>
      </c>
      <c r="AE2380" s="2"/>
      <c r="AF2380" s="2"/>
    </row>
    <row r="2381" spans="1:32" x14ac:dyDescent="0.35">
      <c r="A2381">
        <v>2380</v>
      </c>
      <c r="B2381" s="1">
        <v>42307</v>
      </c>
      <c r="C2381" s="9" t="s">
        <v>3916</v>
      </c>
      <c r="D2381" s="9" t="s">
        <v>5260</v>
      </c>
      <c r="E2381" s="9" t="s">
        <v>1111</v>
      </c>
      <c r="F2381" s="9" t="s">
        <v>19</v>
      </c>
      <c r="G2381" s="9" t="s">
        <v>3917</v>
      </c>
      <c r="H2381" s="9" t="s">
        <v>86</v>
      </c>
      <c r="I2381" s="11">
        <v>230000</v>
      </c>
      <c r="J2381" s="11">
        <v>2254672</v>
      </c>
      <c r="K2381" s="11">
        <v>19793277</v>
      </c>
      <c r="L2381" s="3">
        <v>21</v>
      </c>
      <c r="M2381" s="3">
        <v>590</v>
      </c>
      <c r="N2381" s="3">
        <v>44419</v>
      </c>
      <c r="O2381" s="2">
        <v>0.34200000000000003</v>
      </c>
      <c r="P2381" s="2">
        <v>0.69599999999999995</v>
      </c>
      <c r="Q2381" s="2">
        <v>8.900000000000001E-2</v>
      </c>
      <c r="R2381" s="11">
        <v>4655114</v>
      </c>
      <c r="S2381" s="11">
        <v>1145710</v>
      </c>
      <c r="T2381">
        <v>2015</v>
      </c>
      <c r="U2381">
        <v>10</v>
      </c>
      <c r="V2381">
        <f t="shared" si="222"/>
        <v>700000</v>
      </c>
      <c r="W2381">
        <f t="shared" si="223"/>
        <v>18429897</v>
      </c>
      <c r="X2381">
        <f t="shared" si="224"/>
        <v>17729897</v>
      </c>
      <c r="Y2381">
        <f t="shared" si="225"/>
        <v>-25894845.5</v>
      </c>
      <c r="Z2381">
        <f t="shared" si="226"/>
        <v>45024742.5</v>
      </c>
      <c r="AA2381" t="str">
        <f t="shared" si="227"/>
        <v>Normal</v>
      </c>
      <c r="AE2381" s="2"/>
      <c r="AF2381" s="2"/>
    </row>
    <row r="2382" spans="1:32" x14ac:dyDescent="0.35">
      <c r="A2382">
        <v>2381</v>
      </c>
      <c r="B2382" s="1">
        <v>42307</v>
      </c>
      <c r="C2382" s="9" t="s">
        <v>3024</v>
      </c>
      <c r="D2382" s="9" t="s">
        <v>5261</v>
      </c>
      <c r="E2382" s="9" t="s">
        <v>1111</v>
      </c>
      <c r="F2382" s="9" t="s">
        <v>31</v>
      </c>
      <c r="G2382" s="9" t="s">
        <v>3918</v>
      </c>
      <c r="H2382" s="9" t="s">
        <v>86</v>
      </c>
      <c r="I2382" s="11">
        <v>80000</v>
      </c>
      <c r="J2382" s="11">
        <v>4591053</v>
      </c>
      <c r="K2382" s="11">
        <v>4444030</v>
      </c>
      <c r="L2382" s="3">
        <v>106</v>
      </c>
      <c r="M2382" s="3">
        <v>2534</v>
      </c>
      <c r="N2382" s="3">
        <v>747100</v>
      </c>
      <c r="O2382" s="2">
        <v>0.32200000000000001</v>
      </c>
      <c r="P2382" s="2">
        <v>0.23899999999999999</v>
      </c>
      <c r="Q2382" s="2">
        <v>-9.8000000000000004E-2</v>
      </c>
      <c r="R2382" s="11">
        <v>216952673</v>
      </c>
      <c r="S2382" s="11">
        <v>981969</v>
      </c>
      <c r="T2382">
        <v>2015</v>
      </c>
      <c r="U2382">
        <v>10</v>
      </c>
      <c r="V2382">
        <f t="shared" si="222"/>
        <v>700000</v>
      </c>
      <c r="W2382">
        <f t="shared" si="223"/>
        <v>18429897</v>
      </c>
      <c r="X2382">
        <f t="shared" si="224"/>
        <v>17729897</v>
      </c>
      <c r="Y2382">
        <f t="shared" si="225"/>
        <v>-25894845.5</v>
      </c>
      <c r="Z2382">
        <f t="shared" si="226"/>
        <v>45024742.5</v>
      </c>
      <c r="AA2382" t="str">
        <f t="shared" si="227"/>
        <v>Normal</v>
      </c>
      <c r="AE2382" s="2"/>
      <c r="AF2382" s="2"/>
    </row>
    <row r="2383" spans="1:32" x14ac:dyDescent="0.35">
      <c r="A2383">
        <v>2382</v>
      </c>
      <c r="B2383" s="1">
        <v>42308</v>
      </c>
      <c r="C2383" s="9" t="s">
        <v>3045</v>
      </c>
      <c r="D2383" s="9" t="s">
        <v>5262</v>
      </c>
      <c r="E2383" s="9" t="s">
        <v>1111</v>
      </c>
      <c r="F2383" s="9" t="s">
        <v>526</v>
      </c>
      <c r="G2383" s="9" t="s">
        <v>106</v>
      </c>
      <c r="H2383" s="9" t="s">
        <v>105</v>
      </c>
      <c r="I2383" s="11">
        <v>10000000</v>
      </c>
      <c r="J2383" s="11">
        <v>1976732</v>
      </c>
      <c r="K2383" s="11">
        <v>1242242</v>
      </c>
      <c r="L2383" s="3">
        <v>40</v>
      </c>
      <c r="M2383" s="3">
        <v>326</v>
      </c>
      <c r="N2383" s="3">
        <v>553035</v>
      </c>
      <c r="O2383" s="2">
        <v>7.2000000000000008E-2</v>
      </c>
      <c r="P2383" s="2">
        <v>0.86599999999999999</v>
      </c>
      <c r="Q2383" s="2">
        <v>-3.6000000000000004E-2</v>
      </c>
      <c r="R2383" s="11">
        <v>339165191</v>
      </c>
      <c r="S2383" s="11">
        <v>1283889</v>
      </c>
      <c r="T2383">
        <v>2015</v>
      </c>
      <c r="U2383">
        <v>10</v>
      </c>
      <c r="V2383">
        <f t="shared" si="222"/>
        <v>735000</v>
      </c>
      <c r="W2383">
        <f t="shared" si="223"/>
        <v>18429897</v>
      </c>
      <c r="X2383">
        <f t="shared" si="224"/>
        <v>17694897</v>
      </c>
      <c r="Y2383">
        <f t="shared" si="225"/>
        <v>-25807345.5</v>
      </c>
      <c r="Z2383">
        <f t="shared" si="226"/>
        <v>44972242.5</v>
      </c>
      <c r="AA2383" t="str">
        <f t="shared" si="227"/>
        <v>Normal</v>
      </c>
      <c r="AE2383" s="2"/>
      <c r="AF2383" s="2"/>
    </row>
    <row r="2384" spans="1:32" x14ac:dyDescent="0.35">
      <c r="A2384">
        <v>2383</v>
      </c>
      <c r="B2384" s="1">
        <v>42248</v>
      </c>
      <c r="C2384" s="9" t="s">
        <v>3919</v>
      </c>
      <c r="D2384" s="9" t="s">
        <v>5263</v>
      </c>
      <c r="E2384" s="9" t="s">
        <v>1111</v>
      </c>
      <c r="F2384" s="9" t="s">
        <v>31</v>
      </c>
      <c r="G2384" s="9" t="s">
        <v>3920</v>
      </c>
      <c r="H2384" s="9" t="s">
        <v>86</v>
      </c>
      <c r="I2384" s="11">
        <v>100000</v>
      </c>
      <c r="J2384" s="11">
        <v>934516</v>
      </c>
      <c r="K2384" s="11">
        <v>3906089</v>
      </c>
      <c r="L2384" s="3">
        <v>254</v>
      </c>
      <c r="M2384" s="3">
        <v>117</v>
      </c>
      <c r="N2384" s="3">
        <v>58476</v>
      </c>
      <c r="O2384" s="2">
        <v>0.191</v>
      </c>
      <c r="P2384" s="2">
        <v>0.79400000000000004</v>
      </c>
      <c r="Q2384" s="2">
        <v>-0.14899999999999999</v>
      </c>
      <c r="R2384" s="11">
        <v>227755594</v>
      </c>
      <c r="S2384" s="11">
        <v>126863</v>
      </c>
      <c r="T2384">
        <v>2015</v>
      </c>
      <c r="U2384">
        <v>9</v>
      </c>
      <c r="V2384">
        <f t="shared" si="222"/>
        <v>717500</v>
      </c>
      <c r="W2384">
        <f t="shared" si="223"/>
        <v>18429897</v>
      </c>
      <c r="X2384">
        <f t="shared" si="224"/>
        <v>17712397</v>
      </c>
      <c r="Y2384">
        <f t="shared" si="225"/>
        <v>-25851095.5</v>
      </c>
      <c r="Z2384">
        <f t="shared" si="226"/>
        <v>44998492.5</v>
      </c>
      <c r="AA2384" t="str">
        <f t="shared" si="227"/>
        <v>Normal</v>
      </c>
      <c r="AE2384" s="2"/>
      <c r="AF2384" s="2"/>
    </row>
    <row r="2385" spans="1:32" x14ac:dyDescent="0.35">
      <c r="A2385">
        <v>2384</v>
      </c>
      <c r="B2385" s="1">
        <v>42248</v>
      </c>
      <c r="C2385" s="9" t="s">
        <v>3921</v>
      </c>
      <c r="D2385" s="9" t="s">
        <v>5264</v>
      </c>
      <c r="E2385" s="9" t="s">
        <v>1111</v>
      </c>
      <c r="F2385" s="9" t="s">
        <v>526</v>
      </c>
      <c r="G2385" s="9" t="s">
        <v>398</v>
      </c>
      <c r="H2385" s="9" t="s">
        <v>105</v>
      </c>
      <c r="I2385" s="11">
        <v>18429897</v>
      </c>
      <c r="J2385" s="11">
        <v>2531926</v>
      </c>
      <c r="K2385" s="11">
        <v>6455930</v>
      </c>
      <c r="L2385" s="3">
        <v>424</v>
      </c>
      <c r="M2385" s="3">
        <v>3164</v>
      </c>
      <c r="N2385" s="3">
        <v>1205482</v>
      </c>
      <c r="O2385" s="2">
        <v>5.5E-2</v>
      </c>
      <c r="P2385" s="2">
        <v>0.76700000000000002</v>
      </c>
      <c r="Q2385" s="2">
        <v>0.42299999999999999</v>
      </c>
      <c r="R2385" s="11">
        <v>261032750</v>
      </c>
      <c r="S2385" s="11">
        <v>629267</v>
      </c>
      <c r="T2385">
        <v>2015</v>
      </c>
      <c r="U2385">
        <v>9</v>
      </c>
      <c r="V2385">
        <f t="shared" si="222"/>
        <v>770000</v>
      </c>
      <c r="W2385">
        <f t="shared" si="223"/>
        <v>18429897</v>
      </c>
      <c r="X2385">
        <f t="shared" si="224"/>
        <v>17659897</v>
      </c>
      <c r="Y2385">
        <f t="shared" si="225"/>
        <v>-25719845.5</v>
      </c>
      <c r="Z2385">
        <f t="shared" si="226"/>
        <v>44919742.5</v>
      </c>
      <c r="AA2385" t="str">
        <f t="shared" si="227"/>
        <v>Normal</v>
      </c>
      <c r="AE2385" s="2"/>
      <c r="AF2385" s="2"/>
    </row>
    <row r="2386" spans="1:32" x14ac:dyDescent="0.35">
      <c r="A2386">
        <v>2385</v>
      </c>
      <c r="B2386" s="1">
        <v>42248</v>
      </c>
      <c r="C2386" s="9" t="s">
        <v>3922</v>
      </c>
      <c r="D2386" s="9" t="s">
        <v>5265</v>
      </c>
      <c r="E2386" s="9" t="s">
        <v>1111</v>
      </c>
      <c r="F2386" s="9" t="s">
        <v>31</v>
      </c>
      <c r="G2386" s="9" t="s">
        <v>3923</v>
      </c>
      <c r="H2386" s="9" t="s">
        <v>105</v>
      </c>
      <c r="I2386" s="11">
        <v>1000000</v>
      </c>
      <c r="J2386" s="11">
        <v>4765818</v>
      </c>
      <c r="K2386" s="11">
        <v>4184414</v>
      </c>
      <c r="L2386" s="3">
        <v>465</v>
      </c>
      <c r="M2386" s="3">
        <v>1299</v>
      </c>
      <c r="N2386" s="3">
        <v>1057463</v>
      </c>
      <c r="O2386" s="2">
        <v>-0.20100000000000001</v>
      </c>
      <c r="P2386" s="2">
        <v>0.29499999999999998</v>
      </c>
      <c r="Q2386" s="2">
        <v>-6.0999999999999999E-2</v>
      </c>
      <c r="R2386" s="11">
        <v>371865332</v>
      </c>
      <c r="S2386" s="11">
        <v>1008193.5</v>
      </c>
      <c r="T2386">
        <v>2015</v>
      </c>
      <c r="U2386">
        <v>9</v>
      </c>
      <c r="V2386">
        <f t="shared" si="222"/>
        <v>752500</v>
      </c>
      <c r="W2386">
        <f t="shared" si="223"/>
        <v>18429897</v>
      </c>
      <c r="X2386">
        <f t="shared" si="224"/>
        <v>17677397</v>
      </c>
      <c r="Y2386">
        <f t="shared" si="225"/>
        <v>-25763595.5</v>
      </c>
      <c r="Z2386">
        <f t="shared" si="226"/>
        <v>44945992.5</v>
      </c>
      <c r="AA2386" t="str">
        <f t="shared" si="227"/>
        <v>Normal</v>
      </c>
      <c r="AE2386" s="2"/>
      <c r="AF2386" s="2"/>
    </row>
    <row r="2387" spans="1:32" x14ac:dyDescent="0.35">
      <c r="A2387">
        <v>2386</v>
      </c>
      <c r="B2387" s="1">
        <v>42248</v>
      </c>
      <c r="C2387" s="9" t="s">
        <v>3924</v>
      </c>
      <c r="D2387" s="9" t="s">
        <v>5266</v>
      </c>
      <c r="E2387" s="9" t="s">
        <v>1111</v>
      </c>
      <c r="F2387" s="9" t="s">
        <v>19</v>
      </c>
      <c r="G2387" s="9" t="s">
        <v>3925</v>
      </c>
      <c r="H2387" s="9" t="s">
        <v>105</v>
      </c>
      <c r="I2387" s="11">
        <v>900000</v>
      </c>
      <c r="J2387" s="11">
        <v>4878466</v>
      </c>
      <c r="K2387" s="11">
        <v>6496287</v>
      </c>
      <c r="L2387" s="3">
        <v>95</v>
      </c>
      <c r="M2387" s="3">
        <v>1921</v>
      </c>
      <c r="N2387" s="3">
        <v>758573</v>
      </c>
      <c r="O2387" s="2">
        <v>0.55299999999999994</v>
      </c>
      <c r="P2387" s="2">
        <v>0.50800000000000001</v>
      </c>
      <c r="Q2387" s="2">
        <v>0.05</v>
      </c>
      <c r="R2387" s="11">
        <v>310749004</v>
      </c>
      <c r="S2387" s="11">
        <v>1803218</v>
      </c>
      <c r="T2387">
        <v>2015</v>
      </c>
      <c r="U2387">
        <v>9</v>
      </c>
      <c r="V2387">
        <f t="shared" si="222"/>
        <v>735000</v>
      </c>
      <c r="W2387">
        <f t="shared" si="223"/>
        <v>18429897</v>
      </c>
      <c r="X2387">
        <f t="shared" si="224"/>
        <v>17694897</v>
      </c>
      <c r="Y2387">
        <f t="shared" si="225"/>
        <v>-25807345.5</v>
      </c>
      <c r="Z2387">
        <f t="shared" si="226"/>
        <v>44972242.5</v>
      </c>
      <c r="AA2387" t="str">
        <f t="shared" si="227"/>
        <v>Normal</v>
      </c>
      <c r="AE2387" s="2"/>
      <c r="AF2387" s="2"/>
    </row>
    <row r="2388" spans="1:32" x14ac:dyDescent="0.35">
      <c r="A2388">
        <v>2387</v>
      </c>
      <c r="B2388" s="1">
        <v>42249</v>
      </c>
      <c r="C2388" s="9" t="s">
        <v>746</v>
      </c>
      <c r="D2388" s="9" t="s">
        <v>5267</v>
      </c>
      <c r="E2388" s="9" t="s">
        <v>1111</v>
      </c>
      <c r="F2388" s="9" t="s">
        <v>31</v>
      </c>
      <c r="G2388" s="9" t="s">
        <v>715</v>
      </c>
      <c r="H2388" s="9" t="s">
        <v>105</v>
      </c>
      <c r="I2388" s="11">
        <v>18429897</v>
      </c>
      <c r="J2388" s="11">
        <v>4779436</v>
      </c>
      <c r="K2388" s="11">
        <v>19384240</v>
      </c>
      <c r="L2388" s="3">
        <v>402</v>
      </c>
      <c r="M2388" s="3">
        <v>1712</v>
      </c>
      <c r="N2388" s="3">
        <v>1730392</v>
      </c>
      <c r="O2388" s="2">
        <v>0.27</v>
      </c>
      <c r="P2388" s="2">
        <v>0.86499999999999999</v>
      </c>
      <c r="Q2388" s="2">
        <v>0.36749999999999999</v>
      </c>
      <c r="R2388" s="11">
        <v>70432180</v>
      </c>
      <c r="S2388" s="11">
        <v>467040</v>
      </c>
      <c r="T2388">
        <v>2015</v>
      </c>
      <c r="U2388">
        <v>9</v>
      </c>
      <c r="V2388">
        <f t="shared" si="222"/>
        <v>717500</v>
      </c>
      <c r="W2388">
        <f t="shared" si="223"/>
        <v>18429897</v>
      </c>
      <c r="X2388">
        <f t="shared" si="224"/>
        <v>17712397</v>
      </c>
      <c r="Y2388">
        <f t="shared" si="225"/>
        <v>-25851095.5</v>
      </c>
      <c r="Z2388">
        <f t="shared" si="226"/>
        <v>44998492.5</v>
      </c>
      <c r="AA2388" t="str">
        <f t="shared" si="227"/>
        <v>Normal</v>
      </c>
      <c r="AE2388" s="2"/>
      <c r="AF2388" s="2"/>
    </row>
    <row r="2389" spans="1:32" x14ac:dyDescent="0.35">
      <c r="A2389">
        <v>2388</v>
      </c>
      <c r="B2389" s="1">
        <v>42249</v>
      </c>
      <c r="C2389" s="9" t="s">
        <v>3926</v>
      </c>
      <c r="D2389" s="9" t="s">
        <v>5268</v>
      </c>
      <c r="E2389" s="9" t="s">
        <v>1111</v>
      </c>
      <c r="F2389" s="9" t="s">
        <v>15</v>
      </c>
      <c r="G2389" s="9" t="s">
        <v>3927</v>
      </c>
      <c r="H2389" s="9" t="s">
        <v>105</v>
      </c>
      <c r="I2389" s="11">
        <v>40000000</v>
      </c>
      <c r="J2389" s="11">
        <v>4366837</v>
      </c>
      <c r="K2389" s="11">
        <v>7649779</v>
      </c>
      <c r="L2389" s="3">
        <v>284</v>
      </c>
      <c r="M2389" s="3">
        <v>2372</v>
      </c>
      <c r="N2389" s="3">
        <v>496561</v>
      </c>
      <c r="O2389" s="2">
        <v>0.308</v>
      </c>
      <c r="P2389" s="2">
        <v>0.23200000000000001</v>
      </c>
      <c r="Q2389" s="2">
        <v>0.191</v>
      </c>
      <c r="R2389" s="11">
        <v>345196885</v>
      </c>
      <c r="S2389" s="11">
        <v>1387295</v>
      </c>
      <c r="T2389">
        <v>2015</v>
      </c>
      <c r="U2389">
        <v>9</v>
      </c>
      <c r="V2389">
        <f t="shared" si="222"/>
        <v>700000</v>
      </c>
      <c r="W2389">
        <f t="shared" si="223"/>
        <v>18429897</v>
      </c>
      <c r="X2389">
        <f t="shared" si="224"/>
        <v>17729897</v>
      </c>
      <c r="Y2389">
        <f t="shared" si="225"/>
        <v>-25894845.5</v>
      </c>
      <c r="Z2389">
        <f t="shared" si="226"/>
        <v>45024742.5</v>
      </c>
      <c r="AA2389" t="str">
        <f t="shared" si="227"/>
        <v>Normal</v>
      </c>
      <c r="AE2389" s="2"/>
      <c r="AF2389" s="2"/>
    </row>
    <row r="2390" spans="1:32" x14ac:dyDescent="0.35">
      <c r="A2390">
        <v>2389</v>
      </c>
      <c r="B2390" s="1">
        <v>42249</v>
      </c>
      <c r="C2390" s="9" t="s">
        <v>3928</v>
      </c>
      <c r="D2390" s="9" t="s">
        <v>5269</v>
      </c>
      <c r="E2390" s="9" t="s">
        <v>1111</v>
      </c>
      <c r="F2390" s="9" t="s">
        <v>27</v>
      </c>
      <c r="G2390" s="9" t="s">
        <v>3929</v>
      </c>
      <c r="H2390" s="9" t="s">
        <v>105</v>
      </c>
      <c r="I2390" s="11">
        <v>45000000</v>
      </c>
      <c r="J2390" s="11">
        <v>2283357</v>
      </c>
      <c r="K2390" s="11">
        <v>12730863</v>
      </c>
      <c r="L2390" s="3">
        <v>151</v>
      </c>
      <c r="M2390" s="3">
        <v>2345</v>
      </c>
      <c r="N2390" s="3">
        <v>1643904</v>
      </c>
      <c r="O2390" s="2">
        <v>6.3E-2</v>
      </c>
      <c r="P2390" s="2">
        <v>0.316</v>
      </c>
      <c r="Q2390" s="2">
        <v>0.73499999999999999</v>
      </c>
      <c r="R2390" s="11">
        <v>64123508</v>
      </c>
      <c r="S2390" s="11">
        <v>1858264</v>
      </c>
      <c r="T2390">
        <v>2015</v>
      </c>
      <c r="U2390">
        <v>9</v>
      </c>
      <c r="V2390">
        <f t="shared" si="222"/>
        <v>700000</v>
      </c>
      <c r="W2390">
        <f t="shared" si="223"/>
        <v>18429897</v>
      </c>
      <c r="X2390">
        <f t="shared" si="224"/>
        <v>17729897</v>
      </c>
      <c r="Y2390">
        <f t="shared" si="225"/>
        <v>-25894845.5</v>
      </c>
      <c r="Z2390">
        <f t="shared" si="226"/>
        <v>45024742.5</v>
      </c>
      <c r="AA2390" t="str">
        <f t="shared" si="227"/>
        <v>Outlier</v>
      </c>
      <c r="AE2390" s="2"/>
      <c r="AF2390" s="2"/>
    </row>
    <row r="2391" spans="1:32" x14ac:dyDescent="0.35">
      <c r="A2391">
        <v>2390</v>
      </c>
      <c r="B2391" s="1">
        <v>42250</v>
      </c>
      <c r="C2391" s="9" t="s">
        <v>3930</v>
      </c>
      <c r="D2391" s="9" t="s">
        <v>5270</v>
      </c>
      <c r="E2391" s="9" t="s">
        <v>1111</v>
      </c>
      <c r="F2391" s="9" t="s">
        <v>15</v>
      </c>
      <c r="G2391" s="9" t="s">
        <v>3931</v>
      </c>
      <c r="H2391" s="9" t="s">
        <v>86</v>
      </c>
      <c r="I2391" s="11">
        <v>260000</v>
      </c>
      <c r="J2391" s="11">
        <v>977657</v>
      </c>
      <c r="K2391" s="11">
        <v>13727140</v>
      </c>
      <c r="L2391" s="3">
        <v>336</v>
      </c>
      <c r="M2391" s="3">
        <v>709</v>
      </c>
      <c r="N2391" s="3">
        <v>1271631</v>
      </c>
      <c r="O2391" s="2">
        <v>0.34499999999999997</v>
      </c>
      <c r="P2391" s="2">
        <v>0.96399999999999997</v>
      </c>
      <c r="Q2391" s="2">
        <v>0.80900000000000005</v>
      </c>
      <c r="R2391" s="11">
        <v>329687904</v>
      </c>
      <c r="S2391" s="11">
        <v>1741007</v>
      </c>
      <c r="T2391">
        <v>2015</v>
      </c>
      <c r="U2391">
        <v>9</v>
      </c>
      <c r="V2391">
        <f t="shared" si="222"/>
        <v>700000</v>
      </c>
      <c r="W2391">
        <f t="shared" si="223"/>
        <v>18429897</v>
      </c>
      <c r="X2391">
        <f t="shared" si="224"/>
        <v>17729897</v>
      </c>
      <c r="Y2391">
        <f t="shared" si="225"/>
        <v>-25894845.5</v>
      </c>
      <c r="Z2391">
        <f t="shared" si="226"/>
        <v>45024742.5</v>
      </c>
      <c r="AA2391" t="str">
        <f t="shared" si="227"/>
        <v>Normal</v>
      </c>
      <c r="AE2391" s="2"/>
      <c r="AF2391" s="2"/>
    </row>
    <row r="2392" spans="1:32" x14ac:dyDescent="0.35">
      <c r="A2392">
        <v>2391</v>
      </c>
      <c r="B2392" s="1">
        <v>42250</v>
      </c>
      <c r="C2392" s="9" t="s">
        <v>3608</v>
      </c>
      <c r="D2392" s="9" t="s">
        <v>5271</v>
      </c>
      <c r="E2392" s="9" t="s">
        <v>1111</v>
      </c>
      <c r="F2392" s="9" t="s">
        <v>31</v>
      </c>
      <c r="G2392" s="9" t="s">
        <v>3932</v>
      </c>
      <c r="H2392" s="9" t="s">
        <v>86</v>
      </c>
      <c r="I2392" s="11">
        <v>18429897</v>
      </c>
      <c r="J2392" s="11">
        <v>3093439</v>
      </c>
      <c r="K2392" s="11">
        <v>2689804</v>
      </c>
      <c r="L2392" s="3">
        <v>254</v>
      </c>
      <c r="M2392" s="3">
        <v>59</v>
      </c>
      <c r="N2392" s="3">
        <v>1795124</v>
      </c>
      <c r="O2392" s="2">
        <v>-0.154</v>
      </c>
      <c r="P2392" s="2">
        <v>0.36700000000000005</v>
      </c>
      <c r="Q2392" s="2">
        <v>5.8000000000000003E-2</v>
      </c>
      <c r="R2392" s="11">
        <v>344233021</v>
      </c>
      <c r="S2392" s="11">
        <v>1008193.5</v>
      </c>
      <c r="T2392">
        <v>2015</v>
      </c>
      <c r="U2392">
        <v>9</v>
      </c>
      <c r="V2392">
        <f t="shared" si="222"/>
        <v>717500</v>
      </c>
      <c r="W2392">
        <f t="shared" si="223"/>
        <v>18429897</v>
      </c>
      <c r="X2392">
        <f t="shared" si="224"/>
        <v>17712397</v>
      </c>
      <c r="Y2392">
        <f t="shared" si="225"/>
        <v>-25851095.5</v>
      </c>
      <c r="Z2392">
        <f t="shared" si="226"/>
        <v>44998492.5</v>
      </c>
      <c r="AA2392" t="str">
        <f t="shared" si="227"/>
        <v>Normal</v>
      </c>
      <c r="AE2392" s="2"/>
      <c r="AF2392" s="2"/>
    </row>
    <row r="2393" spans="1:32" x14ac:dyDescent="0.35">
      <c r="A2393">
        <v>2392</v>
      </c>
      <c r="B2393" s="1">
        <v>42250</v>
      </c>
      <c r="C2393" s="9" t="s">
        <v>3933</v>
      </c>
      <c r="D2393" s="9" t="s">
        <v>5272</v>
      </c>
      <c r="E2393" s="9" t="s">
        <v>1111</v>
      </c>
      <c r="F2393" s="9" t="s">
        <v>15</v>
      </c>
      <c r="G2393" s="9" t="s">
        <v>4882</v>
      </c>
      <c r="H2393" s="9" t="s">
        <v>105</v>
      </c>
      <c r="I2393" s="11">
        <v>40000000</v>
      </c>
      <c r="J2393" s="11">
        <v>1119573</v>
      </c>
      <c r="K2393" s="11">
        <v>5030101</v>
      </c>
      <c r="L2393" s="3">
        <v>232</v>
      </c>
      <c r="M2393" s="3">
        <v>2505.5</v>
      </c>
      <c r="N2393" s="3">
        <v>14042</v>
      </c>
      <c r="O2393" s="2">
        <v>7.0999999999999994E-2</v>
      </c>
      <c r="P2393" s="2">
        <v>0.69599999999999995</v>
      </c>
      <c r="Q2393" s="2">
        <v>0.217</v>
      </c>
      <c r="R2393" s="11">
        <v>415354473</v>
      </c>
      <c r="S2393" s="11">
        <v>1546865</v>
      </c>
      <c r="T2393">
        <v>2015</v>
      </c>
      <c r="U2393">
        <v>9</v>
      </c>
      <c r="V2393">
        <f t="shared" si="222"/>
        <v>700000</v>
      </c>
      <c r="W2393">
        <f t="shared" si="223"/>
        <v>18429897</v>
      </c>
      <c r="X2393">
        <f t="shared" si="224"/>
        <v>17729897</v>
      </c>
      <c r="Y2393">
        <f t="shared" si="225"/>
        <v>-25894845.5</v>
      </c>
      <c r="Z2393">
        <f t="shared" si="226"/>
        <v>45024742.5</v>
      </c>
      <c r="AA2393" t="str">
        <f t="shared" si="227"/>
        <v>Normal</v>
      </c>
      <c r="AE2393" s="2"/>
      <c r="AF2393" s="2"/>
    </row>
    <row r="2394" spans="1:32" x14ac:dyDescent="0.35">
      <c r="A2394">
        <v>2393</v>
      </c>
      <c r="B2394" s="1">
        <v>42250</v>
      </c>
      <c r="C2394" s="9" t="s">
        <v>3934</v>
      </c>
      <c r="D2394" s="9" t="s">
        <v>5273</v>
      </c>
      <c r="E2394" s="9" t="s">
        <v>1111</v>
      </c>
      <c r="F2394" s="9" t="s">
        <v>31</v>
      </c>
      <c r="G2394" s="9" t="s">
        <v>3935</v>
      </c>
      <c r="H2394" s="9" t="s">
        <v>86</v>
      </c>
      <c r="I2394" s="11">
        <v>18429897</v>
      </c>
      <c r="J2394" s="11">
        <v>2376314</v>
      </c>
      <c r="K2394" s="11">
        <v>8372752</v>
      </c>
      <c r="L2394" s="3">
        <v>19</v>
      </c>
      <c r="M2394" s="3">
        <v>2848</v>
      </c>
      <c r="N2394" s="3">
        <v>1939035</v>
      </c>
      <c r="O2394" s="2">
        <v>0.26800000000000002</v>
      </c>
      <c r="P2394" s="2">
        <v>0.29899999999999999</v>
      </c>
      <c r="Q2394" s="2">
        <v>0.35299999999999998</v>
      </c>
      <c r="R2394" s="11">
        <v>491151100</v>
      </c>
      <c r="S2394" s="11">
        <v>1276701</v>
      </c>
      <c r="T2394">
        <v>2015</v>
      </c>
      <c r="U2394">
        <v>9</v>
      </c>
      <c r="V2394">
        <f t="shared" si="222"/>
        <v>700000</v>
      </c>
      <c r="W2394">
        <f t="shared" si="223"/>
        <v>18429897</v>
      </c>
      <c r="X2394">
        <f t="shared" si="224"/>
        <v>17729897</v>
      </c>
      <c r="Y2394">
        <f t="shared" si="225"/>
        <v>-25894845.5</v>
      </c>
      <c r="Z2394">
        <f t="shared" si="226"/>
        <v>45024742.5</v>
      </c>
      <c r="AA2394" t="str">
        <f t="shared" si="227"/>
        <v>Normal</v>
      </c>
      <c r="AE2394" s="2"/>
      <c r="AF2394" s="2"/>
    </row>
    <row r="2395" spans="1:32" x14ac:dyDescent="0.35">
      <c r="A2395">
        <v>2394</v>
      </c>
      <c r="B2395" s="1">
        <v>42251</v>
      </c>
      <c r="C2395" s="9" t="s">
        <v>3936</v>
      </c>
      <c r="D2395" s="9" t="s">
        <v>5274</v>
      </c>
      <c r="E2395" s="9" t="s">
        <v>1111</v>
      </c>
      <c r="F2395" s="9" t="s">
        <v>31</v>
      </c>
      <c r="G2395" s="9" t="s">
        <v>3937</v>
      </c>
      <c r="H2395" s="9" t="s">
        <v>86</v>
      </c>
      <c r="I2395" s="11">
        <v>150000</v>
      </c>
      <c r="J2395" s="11">
        <v>3287247</v>
      </c>
      <c r="K2395" s="11">
        <v>9259359</v>
      </c>
      <c r="L2395" s="3">
        <v>422</v>
      </c>
      <c r="M2395" s="3">
        <v>3854</v>
      </c>
      <c r="N2395" s="3">
        <v>4635</v>
      </c>
      <c r="O2395" s="2">
        <v>1.6E-2</v>
      </c>
      <c r="P2395" s="2">
        <v>0.435</v>
      </c>
      <c r="Q2395" s="2">
        <v>0.42700000000000005</v>
      </c>
      <c r="R2395" s="11">
        <v>54966269</v>
      </c>
      <c r="S2395" s="11">
        <v>942561</v>
      </c>
      <c r="T2395">
        <v>2015</v>
      </c>
      <c r="U2395">
        <v>9</v>
      </c>
      <c r="V2395">
        <f t="shared" si="222"/>
        <v>700000</v>
      </c>
      <c r="W2395">
        <f t="shared" si="223"/>
        <v>18429897</v>
      </c>
      <c r="X2395">
        <f t="shared" si="224"/>
        <v>17729897</v>
      </c>
      <c r="Y2395">
        <f t="shared" si="225"/>
        <v>-25894845.5</v>
      </c>
      <c r="Z2395">
        <f t="shared" si="226"/>
        <v>45024742.5</v>
      </c>
      <c r="AA2395" t="str">
        <f t="shared" si="227"/>
        <v>Normal</v>
      </c>
      <c r="AE2395" s="2"/>
      <c r="AF2395" s="2"/>
    </row>
    <row r="2396" spans="1:32" x14ac:dyDescent="0.35">
      <c r="A2396">
        <v>2395</v>
      </c>
      <c r="B2396" s="1">
        <v>42251</v>
      </c>
      <c r="C2396" s="9" t="s">
        <v>3938</v>
      </c>
      <c r="D2396" s="9" t="s">
        <v>5275</v>
      </c>
      <c r="E2396" s="9" t="s">
        <v>1111</v>
      </c>
      <c r="F2396" s="9" t="s">
        <v>31</v>
      </c>
      <c r="G2396" s="9" t="s">
        <v>3939</v>
      </c>
      <c r="H2396" s="9" t="s">
        <v>86</v>
      </c>
      <c r="I2396" s="11">
        <v>100000</v>
      </c>
      <c r="J2396" s="11">
        <v>4733967</v>
      </c>
      <c r="K2396" s="11">
        <v>362261</v>
      </c>
      <c r="L2396" s="3">
        <v>98</v>
      </c>
      <c r="M2396" s="3">
        <v>1028</v>
      </c>
      <c r="N2396" s="3">
        <v>1426084</v>
      </c>
      <c r="O2396" s="2">
        <v>0.30199999999999999</v>
      </c>
      <c r="P2396" s="2">
        <v>1.079</v>
      </c>
      <c r="Q2396" s="2">
        <v>0.27200000000000002</v>
      </c>
      <c r="R2396" s="11">
        <v>487537396</v>
      </c>
      <c r="S2396" s="11">
        <v>1008193.5</v>
      </c>
      <c r="T2396">
        <v>2015</v>
      </c>
      <c r="U2396">
        <v>9</v>
      </c>
      <c r="V2396">
        <f t="shared" si="222"/>
        <v>717500</v>
      </c>
      <c r="W2396">
        <f t="shared" si="223"/>
        <v>18429897</v>
      </c>
      <c r="X2396">
        <f t="shared" si="224"/>
        <v>17712397</v>
      </c>
      <c r="Y2396">
        <f t="shared" si="225"/>
        <v>-25851095.5</v>
      </c>
      <c r="Z2396">
        <f t="shared" si="226"/>
        <v>44998492.5</v>
      </c>
      <c r="AA2396" t="str">
        <f t="shared" si="227"/>
        <v>Normal</v>
      </c>
      <c r="AE2396" s="2"/>
      <c r="AF2396" s="2"/>
    </row>
    <row r="2397" spans="1:32" x14ac:dyDescent="0.35">
      <c r="A2397">
        <v>2396</v>
      </c>
      <c r="B2397" s="1">
        <v>42251</v>
      </c>
      <c r="C2397" s="9" t="s">
        <v>3940</v>
      </c>
      <c r="D2397" s="9" t="s">
        <v>5276</v>
      </c>
      <c r="E2397" s="9" t="s">
        <v>1111</v>
      </c>
      <c r="F2397" s="9" t="s">
        <v>15</v>
      </c>
      <c r="G2397" s="9" t="s">
        <v>3941</v>
      </c>
      <c r="H2397" s="9" t="s">
        <v>86</v>
      </c>
      <c r="I2397" s="11">
        <v>2000000</v>
      </c>
      <c r="J2397" s="11">
        <v>1459636</v>
      </c>
      <c r="K2397" s="11">
        <v>12932784</v>
      </c>
      <c r="L2397" s="3">
        <v>254</v>
      </c>
      <c r="M2397" s="3">
        <v>464</v>
      </c>
      <c r="N2397" s="3">
        <v>1505092</v>
      </c>
      <c r="O2397" s="2">
        <v>0.18099999999999999</v>
      </c>
      <c r="P2397" s="2">
        <v>0.95299999999999996</v>
      </c>
      <c r="Q2397" s="2">
        <v>0.38900000000000001</v>
      </c>
      <c r="R2397" s="11">
        <v>112084264</v>
      </c>
      <c r="S2397" s="11">
        <v>1349886</v>
      </c>
      <c r="T2397">
        <v>2015</v>
      </c>
      <c r="U2397">
        <v>9</v>
      </c>
      <c r="V2397">
        <f t="shared" si="222"/>
        <v>770000</v>
      </c>
      <c r="W2397">
        <f t="shared" si="223"/>
        <v>18429897</v>
      </c>
      <c r="X2397">
        <f t="shared" si="224"/>
        <v>17659897</v>
      </c>
      <c r="Y2397">
        <f t="shared" si="225"/>
        <v>-25719845.5</v>
      </c>
      <c r="Z2397">
        <f t="shared" si="226"/>
        <v>44919742.5</v>
      </c>
      <c r="AA2397" t="str">
        <f t="shared" si="227"/>
        <v>Normal</v>
      </c>
      <c r="AE2397" s="2"/>
      <c r="AF2397" s="2"/>
    </row>
    <row r="2398" spans="1:32" x14ac:dyDescent="0.35">
      <c r="A2398">
        <v>2397</v>
      </c>
      <c r="B2398" s="1">
        <v>42254</v>
      </c>
      <c r="C2398" s="9" t="s">
        <v>3942</v>
      </c>
      <c r="D2398" s="9" t="s">
        <v>5277</v>
      </c>
      <c r="E2398" s="9" t="s">
        <v>1111</v>
      </c>
      <c r="F2398" s="9" t="s">
        <v>27</v>
      </c>
      <c r="G2398" s="9" t="s">
        <v>3943</v>
      </c>
      <c r="H2398" s="9" t="s">
        <v>86</v>
      </c>
      <c r="I2398" s="11">
        <v>600000</v>
      </c>
      <c r="J2398" s="11">
        <v>1274531</v>
      </c>
      <c r="K2398" s="11">
        <v>6083784</v>
      </c>
      <c r="L2398" s="3">
        <v>310</v>
      </c>
      <c r="M2398" s="3">
        <v>3006</v>
      </c>
      <c r="N2398" s="3">
        <v>324878</v>
      </c>
      <c r="O2398" s="2">
        <v>0.16200000000000001</v>
      </c>
      <c r="P2398" s="2">
        <v>0.38900000000000001</v>
      </c>
      <c r="Q2398" s="2">
        <v>0.21600000000000003</v>
      </c>
      <c r="R2398" s="11">
        <v>250264963</v>
      </c>
      <c r="S2398" s="11">
        <v>1830239</v>
      </c>
      <c r="T2398">
        <v>2015</v>
      </c>
      <c r="U2398">
        <v>9</v>
      </c>
      <c r="V2398">
        <f t="shared" si="222"/>
        <v>752500</v>
      </c>
      <c r="W2398">
        <f t="shared" si="223"/>
        <v>18429897</v>
      </c>
      <c r="X2398">
        <f t="shared" si="224"/>
        <v>17677397</v>
      </c>
      <c r="Y2398">
        <f t="shared" si="225"/>
        <v>-25763595.5</v>
      </c>
      <c r="Z2398">
        <f t="shared" si="226"/>
        <v>44945992.5</v>
      </c>
      <c r="AA2398" t="str">
        <f t="shared" si="227"/>
        <v>Normal</v>
      </c>
      <c r="AE2398" s="2"/>
      <c r="AF2398" s="2"/>
    </row>
    <row r="2399" spans="1:32" x14ac:dyDescent="0.35">
      <c r="A2399">
        <v>2398</v>
      </c>
      <c r="B2399" s="1">
        <v>42254</v>
      </c>
      <c r="C2399" s="9" t="s">
        <v>2369</v>
      </c>
      <c r="D2399" s="9" t="s">
        <v>5278</v>
      </c>
      <c r="E2399" s="9" t="s">
        <v>1111</v>
      </c>
      <c r="F2399" s="9" t="s">
        <v>27</v>
      </c>
      <c r="G2399" s="9" t="s">
        <v>3944</v>
      </c>
      <c r="H2399" s="9" t="s">
        <v>86</v>
      </c>
      <c r="I2399" s="11">
        <v>205000</v>
      </c>
      <c r="J2399" s="11">
        <v>3678931</v>
      </c>
      <c r="K2399" s="11">
        <v>6514208</v>
      </c>
      <c r="L2399" s="3">
        <v>400</v>
      </c>
      <c r="M2399" s="3">
        <v>4516</v>
      </c>
      <c r="N2399" s="3">
        <v>70569</v>
      </c>
      <c r="O2399" s="2">
        <v>1.6E-2</v>
      </c>
      <c r="P2399" s="2">
        <v>0.41499999999999998</v>
      </c>
      <c r="Q2399" s="2">
        <v>-4.4999999999999998E-2</v>
      </c>
      <c r="R2399" s="11">
        <v>422356199</v>
      </c>
      <c r="S2399" s="11">
        <v>287479</v>
      </c>
      <c r="T2399">
        <v>2015</v>
      </c>
      <c r="U2399">
        <v>9</v>
      </c>
      <c r="V2399">
        <f t="shared" si="222"/>
        <v>770000</v>
      </c>
      <c r="W2399">
        <f t="shared" si="223"/>
        <v>18429897</v>
      </c>
      <c r="X2399">
        <f t="shared" si="224"/>
        <v>17659897</v>
      </c>
      <c r="Y2399">
        <f t="shared" si="225"/>
        <v>-25719845.5</v>
      </c>
      <c r="Z2399">
        <f t="shared" si="226"/>
        <v>44919742.5</v>
      </c>
      <c r="AA2399" t="str">
        <f t="shared" si="227"/>
        <v>Normal</v>
      </c>
      <c r="AE2399" s="2"/>
      <c r="AF2399" s="2"/>
    </row>
    <row r="2400" spans="1:32" x14ac:dyDescent="0.35">
      <c r="A2400">
        <v>2399</v>
      </c>
      <c r="B2400" s="1">
        <v>42254</v>
      </c>
      <c r="C2400" s="9" t="s">
        <v>38</v>
      </c>
      <c r="D2400" s="9" t="s">
        <v>5279</v>
      </c>
      <c r="E2400" s="9" t="s">
        <v>1111</v>
      </c>
      <c r="F2400" s="9" t="s">
        <v>19</v>
      </c>
      <c r="G2400" s="9" t="s">
        <v>3945</v>
      </c>
      <c r="H2400" s="9" t="s">
        <v>105</v>
      </c>
      <c r="I2400" s="11">
        <v>60000000</v>
      </c>
      <c r="J2400" s="11">
        <v>52170</v>
      </c>
      <c r="K2400" s="11">
        <v>12099822</v>
      </c>
      <c r="L2400" s="3">
        <v>397</v>
      </c>
      <c r="M2400" s="3">
        <v>1233</v>
      </c>
      <c r="N2400" s="3">
        <v>72922</v>
      </c>
      <c r="O2400" s="2">
        <v>0.20100000000000001</v>
      </c>
      <c r="P2400" s="2">
        <v>0.67400000000000004</v>
      </c>
      <c r="Q2400" s="2">
        <v>0.36749999999999999</v>
      </c>
      <c r="R2400" s="11">
        <v>451344101</v>
      </c>
      <c r="S2400" s="11">
        <v>190337</v>
      </c>
      <c r="T2400">
        <v>2015</v>
      </c>
      <c r="U2400">
        <v>9</v>
      </c>
      <c r="V2400">
        <f t="shared" si="222"/>
        <v>773750</v>
      </c>
      <c r="W2400">
        <f t="shared" si="223"/>
        <v>18429897</v>
      </c>
      <c r="X2400">
        <f t="shared" si="224"/>
        <v>17656147</v>
      </c>
      <c r="Y2400">
        <f t="shared" si="225"/>
        <v>-25710470.5</v>
      </c>
      <c r="Z2400">
        <f t="shared" si="226"/>
        <v>44914117.5</v>
      </c>
      <c r="AA2400" t="str">
        <f t="shared" si="227"/>
        <v>Outlier</v>
      </c>
      <c r="AE2400" s="2"/>
      <c r="AF2400" s="2"/>
    </row>
    <row r="2401" spans="1:32" x14ac:dyDescent="0.35">
      <c r="A2401">
        <v>2400</v>
      </c>
      <c r="B2401" s="1">
        <v>42254</v>
      </c>
      <c r="C2401" s="9" t="s">
        <v>3946</v>
      </c>
      <c r="D2401" s="9" t="s">
        <v>5280</v>
      </c>
      <c r="E2401" s="9" t="s">
        <v>1111</v>
      </c>
      <c r="F2401" s="9" t="s">
        <v>260</v>
      </c>
      <c r="G2401" s="9" t="s">
        <v>3947</v>
      </c>
      <c r="H2401" s="9" t="s">
        <v>105</v>
      </c>
      <c r="I2401" s="11">
        <v>1800000</v>
      </c>
      <c r="J2401" s="11">
        <v>2840774</v>
      </c>
      <c r="K2401" s="11">
        <v>18980574</v>
      </c>
      <c r="L2401" s="3">
        <v>434</v>
      </c>
      <c r="M2401" s="3">
        <v>474</v>
      </c>
      <c r="N2401" s="3">
        <v>259034</v>
      </c>
      <c r="O2401" s="2">
        <v>0.50700000000000001</v>
      </c>
      <c r="P2401" s="2">
        <v>0.83200000000000007</v>
      </c>
      <c r="Q2401" s="2">
        <v>0.14800000000000002</v>
      </c>
      <c r="R2401" s="11">
        <v>36048276</v>
      </c>
      <c r="S2401" s="11">
        <v>737306</v>
      </c>
      <c r="T2401">
        <v>2015</v>
      </c>
      <c r="U2401">
        <v>9</v>
      </c>
      <c r="V2401">
        <f t="shared" si="222"/>
        <v>770000</v>
      </c>
      <c r="W2401">
        <f t="shared" si="223"/>
        <v>18429897</v>
      </c>
      <c r="X2401">
        <f t="shared" si="224"/>
        <v>17659897</v>
      </c>
      <c r="Y2401">
        <f t="shared" si="225"/>
        <v>-25719845.5</v>
      </c>
      <c r="Z2401">
        <f t="shared" si="226"/>
        <v>44919742.5</v>
      </c>
      <c r="AA2401" t="str">
        <f t="shared" si="227"/>
        <v>Normal</v>
      </c>
      <c r="AE2401" s="2"/>
      <c r="AF2401" s="2"/>
    </row>
    <row r="2402" spans="1:32" x14ac:dyDescent="0.35">
      <c r="A2402">
        <v>2401</v>
      </c>
      <c r="B2402" s="1">
        <v>42255</v>
      </c>
      <c r="C2402" s="9" t="s">
        <v>3948</v>
      </c>
      <c r="D2402" s="9" t="s">
        <v>5281</v>
      </c>
      <c r="E2402" s="9" t="s">
        <v>1111</v>
      </c>
      <c r="F2402" s="9" t="s">
        <v>15</v>
      </c>
      <c r="G2402" s="9" t="s">
        <v>198</v>
      </c>
      <c r="H2402" s="9" t="s">
        <v>86</v>
      </c>
      <c r="I2402" s="11">
        <v>400000</v>
      </c>
      <c r="J2402" s="11">
        <v>3734662</v>
      </c>
      <c r="K2402" s="11">
        <v>17312767</v>
      </c>
      <c r="L2402" s="3">
        <v>442</v>
      </c>
      <c r="M2402" s="3">
        <v>2043</v>
      </c>
      <c r="N2402" s="3">
        <v>302899</v>
      </c>
      <c r="O2402" s="2">
        <v>0.155</v>
      </c>
      <c r="P2402" s="2">
        <v>0.78200000000000003</v>
      </c>
      <c r="Q2402" s="2">
        <v>0.19699999999999998</v>
      </c>
      <c r="R2402" s="11">
        <v>229231716</v>
      </c>
      <c r="S2402" s="11">
        <v>285141</v>
      </c>
      <c r="T2402">
        <v>2015</v>
      </c>
      <c r="U2402">
        <v>9</v>
      </c>
      <c r="V2402">
        <f t="shared" si="222"/>
        <v>770000</v>
      </c>
      <c r="W2402">
        <f t="shared" si="223"/>
        <v>18429897</v>
      </c>
      <c r="X2402">
        <f t="shared" si="224"/>
        <v>17659897</v>
      </c>
      <c r="Y2402">
        <f t="shared" si="225"/>
        <v>-25719845.5</v>
      </c>
      <c r="Z2402">
        <f t="shared" si="226"/>
        <v>44919742.5</v>
      </c>
      <c r="AA2402" t="str">
        <f t="shared" si="227"/>
        <v>Normal</v>
      </c>
      <c r="AE2402" s="2"/>
      <c r="AF2402" s="2"/>
    </row>
    <row r="2403" spans="1:32" x14ac:dyDescent="0.35">
      <c r="A2403">
        <v>2402</v>
      </c>
      <c r="B2403" s="1">
        <v>42255</v>
      </c>
      <c r="C2403" s="9" t="s">
        <v>3949</v>
      </c>
      <c r="D2403" s="9" t="s">
        <v>5282</v>
      </c>
      <c r="E2403" s="9" t="s">
        <v>1111</v>
      </c>
      <c r="F2403" s="9" t="s">
        <v>35</v>
      </c>
      <c r="G2403" s="9" t="s">
        <v>1961</v>
      </c>
      <c r="H2403" s="9" t="s">
        <v>86</v>
      </c>
      <c r="I2403" s="11">
        <v>18429897</v>
      </c>
      <c r="J2403" s="11">
        <v>2763525</v>
      </c>
      <c r="K2403" s="11">
        <v>19595485</v>
      </c>
      <c r="L2403" s="3">
        <v>68</v>
      </c>
      <c r="M2403" s="3">
        <v>2825</v>
      </c>
      <c r="N2403" s="3">
        <v>1934377</v>
      </c>
      <c r="O2403" s="2">
        <v>0.23100000000000001</v>
      </c>
      <c r="P2403" s="2">
        <v>0.48499999999999999</v>
      </c>
      <c r="Q2403" s="2">
        <v>-0.22600000000000001</v>
      </c>
      <c r="R2403" s="11">
        <v>356364574</v>
      </c>
      <c r="S2403" s="11">
        <v>1202321</v>
      </c>
      <c r="T2403">
        <v>2015</v>
      </c>
      <c r="U2403">
        <v>9</v>
      </c>
      <c r="V2403">
        <f t="shared" si="222"/>
        <v>777500</v>
      </c>
      <c r="W2403">
        <f t="shared" si="223"/>
        <v>18429897</v>
      </c>
      <c r="X2403">
        <f t="shared" si="224"/>
        <v>17652397</v>
      </c>
      <c r="Y2403">
        <f t="shared" si="225"/>
        <v>-25701095.5</v>
      </c>
      <c r="Z2403">
        <f t="shared" si="226"/>
        <v>44908492.5</v>
      </c>
      <c r="AA2403" t="str">
        <f t="shared" si="227"/>
        <v>Normal</v>
      </c>
      <c r="AE2403" s="2"/>
      <c r="AF2403" s="2"/>
    </row>
    <row r="2404" spans="1:32" x14ac:dyDescent="0.35">
      <c r="A2404">
        <v>2403</v>
      </c>
      <c r="B2404" s="1">
        <v>42255</v>
      </c>
      <c r="C2404" s="9" t="s">
        <v>3950</v>
      </c>
      <c r="D2404" s="9" t="s">
        <v>5283</v>
      </c>
      <c r="E2404" s="9" t="s">
        <v>1111</v>
      </c>
      <c r="F2404" s="9" t="s">
        <v>15</v>
      </c>
      <c r="G2404" s="9" t="s">
        <v>1961</v>
      </c>
      <c r="H2404" s="9" t="s">
        <v>86</v>
      </c>
      <c r="I2404" s="11">
        <v>18429897</v>
      </c>
      <c r="J2404" s="11">
        <v>1932095</v>
      </c>
      <c r="K2404" s="11">
        <v>8328703</v>
      </c>
      <c r="L2404" s="3">
        <v>153</v>
      </c>
      <c r="M2404" s="3">
        <v>3136</v>
      </c>
      <c r="N2404" s="3">
        <v>402279</v>
      </c>
      <c r="O2404" s="2">
        <v>0.26100000000000001</v>
      </c>
      <c r="P2404" s="2">
        <v>1.147</v>
      </c>
      <c r="Q2404" s="2">
        <v>-7.9000000000000001E-2</v>
      </c>
      <c r="R2404" s="11">
        <v>250264963</v>
      </c>
      <c r="S2404" s="11">
        <v>1750824</v>
      </c>
      <c r="T2404">
        <v>2015</v>
      </c>
      <c r="U2404">
        <v>9</v>
      </c>
      <c r="V2404">
        <f t="shared" si="222"/>
        <v>773750</v>
      </c>
      <c r="W2404">
        <f t="shared" si="223"/>
        <v>18429897</v>
      </c>
      <c r="X2404">
        <f t="shared" si="224"/>
        <v>17656147</v>
      </c>
      <c r="Y2404">
        <f t="shared" si="225"/>
        <v>-25710470.5</v>
      </c>
      <c r="Z2404">
        <f t="shared" si="226"/>
        <v>44914117.5</v>
      </c>
      <c r="AA2404" t="str">
        <f t="shared" si="227"/>
        <v>Normal</v>
      </c>
      <c r="AE2404" s="2"/>
      <c r="AF2404" s="2"/>
    </row>
    <row r="2405" spans="1:32" x14ac:dyDescent="0.35">
      <c r="A2405">
        <v>2404</v>
      </c>
      <c r="B2405" s="1">
        <v>42257</v>
      </c>
      <c r="C2405" s="9" t="s">
        <v>3951</v>
      </c>
      <c r="D2405" s="9" t="s">
        <v>5284</v>
      </c>
      <c r="E2405" s="9" t="s">
        <v>1111</v>
      </c>
      <c r="F2405" s="9" t="s">
        <v>19</v>
      </c>
      <c r="G2405" s="9" t="s">
        <v>3952</v>
      </c>
      <c r="H2405" s="9" t="s">
        <v>105</v>
      </c>
      <c r="I2405" s="11">
        <v>770000</v>
      </c>
      <c r="J2405" s="11">
        <v>4146163</v>
      </c>
      <c r="K2405" s="11">
        <v>2481503</v>
      </c>
      <c r="L2405" s="3">
        <v>361</v>
      </c>
      <c r="M2405" s="3">
        <v>608</v>
      </c>
      <c r="N2405" s="3">
        <v>1610557</v>
      </c>
      <c r="O2405" s="2">
        <v>-0.109</v>
      </c>
      <c r="P2405" s="2">
        <v>1.0349999999999999</v>
      </c>
      <c r="Q2405" s="2">
        <v>1.7000000000000001E-2</v>
      </c>
      <c r="R2405" s="11">
        <v>250264963</v>
      </c>
      <c r="S2405" s="11">
        <v>354800</v>
      </c>
      <c r="T2405">
        <v>2015</v>
      </c>
      <c r="U2405">
        <v>9</v>
      </c>
      <c r="V2405">
        <f t="shared" si="222"/>
        <v>770000</v>
      </c>
      <c r="W2405">
        <f t="shared" si="223"/>
        <v>18429897</v>
      </c>
      <c r="X2405">
        <f t="shared" si="224"/>
        <v>17659897</v>
      </c>
      <c r="Y2405">
        <f t="shared" si="225"/>
        <v>-25719845.5</v>
      </c>
      <c r="Z2405">
        <f t="shared" si="226"/>
        <v>44919742.5</v>
      </c>
      <c r="AA2405" t="str">
        <f t="shared" si="227"/>
        <v>Normal</v>
      </c>
      <c r="AE2405" s="2"/>
      <c r="AF2405" s="2"/>
    </row>
    <row r="2406" spans="1:32" x14ac:dyDescent="0.35">
      <c r="A2406">
        <v>2405</v>
      </c>
      <c r="B2406" s="1">
        <v>42257</v>
      </c>
      <c r="C2406" s="9" t="s">
        <v>3466</v>
      </c>
      <c r="D2406" s="9" t="s">
        <v>5285</v>
      </c>
      <c r="E2406" s="9" t="s">
        <v>1111</v>
      </c>
      <c r="F2406" s="9" t="s">
        <v>27</v>
      </c>
      <c r="G2406" s="9" t="s">
        <v>3953</v>
      </c>
      <c r="H2406" s="9" t="s">
        <v>105</v>
      </c>
      <c r="I2406" s="11">
        <v>9200000</v>
      </c>
      <c r="J2406" s="11">
        <v>1867752</v>
      </c>
      <c r="K2406" s="11">
        <v>4398004</v>
      </c>
      <c r="L2406" s="3">
        <v>198</v>
      </c>
      <c r="M2406" s="3">
        <v>3300</v>
      </c>
      <c r="N2406" s="3">
        <v>122874</v>
      </c>
      <c r="O2406" s="2">
        <v>9.3000000000000013E-2</v>
      </c>
      <c r="P2406" s="2">
        <v>0.85199999999999998</v>
      </c>
      <c r="Q2406" s="2">
        <v>0.245</v>
      </c>
      <c r="R2406" s="11">
        <v>144213612</v>
      </c>
      <c r="S2406" s="11">
        <v>1726011</v>
      </c>
      <c r="T2406">
        <v>2015</v>
      </c>
      <c r="U2406">
        <v>9</v>
      </c>
      <c r="V2406">
        <f t="shared" si="222"/>
        <v>781250</v>
      </c>
      <c r="W2406">
        <f t="shared" si="223"/>
        <v>18429897</v>
      </c>
      <c r="X2406">
        <f t="shared" si="224"/>
        <v>17648647</v>
      </c>
      <c r="Y2406">
        <f t="shared" si="225"/>
        <v>-25691720.5</v>
      </c>
      <c r="Z2406">
        <f t="shared" si="226"/>
        <v>44902867.5</v>
      </c>
      <c r="AA2406" t="str">
        <f t="shared" si="227"/>
        <v>Normal</v>
      </c>
      <c r="AE2406" s="2"/>
      <c r="AF2406" s="2"/>
    </row>
    <row r="2407" spans="1:32" x14ac:dyDescent="0.35">
      <c r="A2407">
        <v>2406</v>
      </c>
      <c r="B2407" s="1">
        <v>42257</v>
      </c>
      <c r="C2407" s="9" t="s">
        <v>3954</v>
      </c>
      <c r="D2407" s="9" t="s">
        <v>5286</v>
      </c>
      <c r="E2407" s="9" t="s">
        <v>1111</v>
      </c>
      <c r="F2407" s="9" t="s">
        <v>15</v>
      </c>
      <c r="G2407" s="9" t="s">
        <v>3955</v>
      </c>
      <c r="H2407" s="9" t="s">
        <v>86</v>
      </c>
      <c r="I2407" s="11">
        <v>315000</v>
      </c>
      <c r="J2407" s="11">
        <v>3558453</v>
      </c>
      <c r="K2407" s="11">
        <v>6942015</v>
      </c>
      <c r="L2407" s="3">
        <v>359</v>
      </c>
      <c r="M2407" s="3">
        <v>1748</v>
      </c>
      <c r="N2407" s="3">
        <v>1308738</v>
      </c>
      <c r="O2407" s="2">
        <v>1.6E-2</v>
      </c>
      <c r="P2407" s="2">
        <v>0.50800000000000001</v>
      </c>
      <c r="Q2407" s="2">
        <v>0.56200000000000006</v>
      </c>
      <c r="R2407" s="11">
        <v>222103003</v>
      </c>
      <c r="S2407" s="11">
        <v>1644224</v>
      </c>
      <c r="T2407">
        <v>2015</v>
      </c>
      <c r="U2407">
        <v>9</v>
      </c>
      <c r="V2407">
        <f t="shared" si="222"/>
        <v>777500</v>
      </c>
      <c r="W2407">
        <f t="shared" si="223"/>
        <v>18429897</v>
      </c>
      <c r="X2407">
        <f t="shared" si="224"/>
        <v>17652397</v>
      </c>
      <c r="Y2407">
        <f t="shared" si="225"/>
        <v>-25701095.5</v>
      </c>
      <c r="Z2407">
        <f t="shared" si="226"/>
        <v>44908492.5</v>
      </c>
      <c r="AA2407" t="str">
        <f t="shared" si="227"/>
        <v>Normal</v>
      </c>
      <c r="AE2407" s="2"/>
      <c r="AF2407" s="2"/>
    </row>
    <row r="2408" spans="1:32" x14ac:dyDescent="0.35">
      <c r="A2408">
        <v>2407</v>
      </c>
      <c r="B2408" s="1">
        <v>42258</v>
      </c>
      <c r="C2408" s="9" t="s">
        <v>2047</v>
      </c>
      <c r="D2408" s="9" t="s">
        <v>5287</v>
      </c>
      <c r="E2408" s="9" t="s">
        <v>1111</v>
      </c>
      <c r="F2408" s="9" t="s">
        <v>27</v>
      </c>
      <c r="G2408" s="9" t="s">
        <v>3956</v>
      </c>
      <c r="H2408" s="9" t="s">
        <v>86</v>
      </c>
      <c r="I2408" s="11">
        <v>100000</v>
      </c>
      <c r="J2408" s="11">
        <v>2331425</v>
      </c>
      <c r="K2408" s="11">
        <v>6074792</v>
      </c>
      <c r="L2408" s="3">
        <v>230</v>
      </c>
      <c r="M2408" s="3">
        <v>2505.5</v>
      </c>
      <c r="N2408" s="3">
        <v>906958</v>
      </c>
      <c r="O2408" s="2">
        <v>-0.30499999999999999</v>
      </c>
      <c r="P2408" s="2">
        <v>0.49399999999999999</v>
      </c>
      <c r="Q2408" s="2">
        <v>0.308</v>
      </c>
      <c r="R2408" s="11">
        <v>430331694</v>
      </c>
      <c r="S2408" s="11">
        <v>130431</v>
      </c>
      <c r="T2408">
        <v>2015</v>
      </c>
      <c r="U2408">
        <v>9</v>
      </c>
      <c r="V2408">
        <f t="shared" si="222"/>
        <v>786250</v>
      </c>
      <c r="W2408">
        <f t="shared" si="223"/>
        <v>18429897</v>
      </c>
      <c r="X2408">
        <f t="shared" si="224"/>
        <v>17643647</v>
      </c>
      <c r="Y2408">
        <f t="shared" si="225"/>
        <v>-25679220.5</v>
      </c>
      <c r="Z2408">
        <f t="shared" si="226"/>
        <v>44895367.5</v>
      </c>
      <c r="AA2408" t="str">
        <f t="shared" si="227"/>
        <v>Normal</v>
      </c>
      <c r="AE2408" s="2"/>
      <c r="AF2408" s="2"/>
    </row>
    <row r="2409" spans="1:32" x14ac:dyDescent="0.35">
      <c r="A2409">
        <v>2408</v>
      </c>
      <c r="B2409" s="1">
        <v>42258</v>
      </c>
      <c r="C2409" s="9" t="s">
        <v>3957</v>
      </c>
      <c r="D2409" s="9" t="s">
        <v>5288</v>
      </c>
      <c r="E2409" s="9" t="s">
        <v>1111</v>
      </c>
      <c r="F2409" s="9" t="s">
        <v>31</v>
      </c>
      <c r="G2409" s="9" t="s">
        <v>3958</v>
      </c>
      <c r="H2409" s="9" t="s">
        <v>86</v>
      </c>
      <c r="I2409" s="11">
        <v>18429897</v>
      </c>
      <c r="J2409" s="11">
        <v>152357</v>
      </c>
      <c r="K2409" s="11">
        <v>4238644</v>
      </c>
      <c r="L2409" s="3">
        <v>228</v>
      </c>
      <c r="M2409" s="3">
        <v>4615</v>
      </c>
      <c r="N2409" s="3">
        <v>1080752</v>
      </c>
      <c r="O2409" s="2">
        <v>0.27800000000000002</v>
      </c>
      <c r="P2409" s="2">
        <v>0.5</v>
      </c>
      <c r="Q2409" s="2">
        <v>6.8000000000000005E-2</v>
      </c>
      <c r="R2409" s="11">
        <v>142964844</v>
      </c>
      <c r="S2409" s="11">
        <v>762380</v>
      </c>
      <c r="T2409">
        <v>2015</v>
      </c>
      <c r="U2409">
        <v>9</v>
      </c>
      <c r="V2409">
        <f t="shared" si="222"/>
        <v>790000</v>
      </c>
      <c r="W2409">
        <f t="shared" si="223"/>
        <v>18429897</v>
      </c>
      <c r="X2409">
        <f t="shared" si="224"/>
        <v>17639897</v>
      </c>
      <c r="Y2409">
        <f t="shared" si="225"/>
        <v>-25669845.5</v>
      </c>
      <c r="Z2409">
        <f t="shared" si="226"/>
        <v>44889742.5</v>
      </c>
      <c r="AA2409" t="str">
        <f t="shared" si="227"/>
        <v>Normal</v>
      </c>
      <c r="AE2409" s="2"/>
      <c r="AF2409" s="2"/>
    </row>
    <row r="2410" spans="1:32" x14ac:dyDescent="0.35">
      <c r="A2410">
        <v>2409</v>
      </c>
      <c r="B2410" s="1">
        <v>42258</v>
      </c>
      <c r="C2410" s="9" t="s">
        <v>1770</v>
      </c>
      <c r="D2410" s="9" t="s">
        <v>3959</v>
      </c>
      <c r="E2410" s="9" t="s">
        <v>1111</v>
      </c>
      <c r="F2410" s="9" t="s">
        <v>15</v>
      </c>
      <c r="G2410" s="9" t="s">
        <v>58</v>
      </c>
      <c r="H2410" s="9" t="s">
        <v>86</v>
      </c>
      <c r="I2410" s="11">
        <v>1000000</v>
      </c>
      <c r="J2410" s="11">
        <v>2661972</v>
      </c>
      <c r="K2410" s="11">
        <v>3102446</v>
      </c>
      <c r="L2410" s="3">
        <v>18</v>
      </c>
      <c r="M2410" s="3">
        <v>2698</v>
      </c>
      <c r="N2410" s="3">
        <v>1567777</v>
      </c>
      <c r="O2410" s="2">
        <v>-6.6000000000000003E-2</v>
      </c>
      <c r="P2410" s="2">
        <v>0.50900000000000001</v>
      </c>
      <c r="Q2410" s="2">
        <v>-0.13400000000000001</v>
      </c>
      <c r="R2410" s="11">
        <v>297519788</v>
      </c>
      <c r="S2410" s="11">
        <v>997626</v>
      </c>
      <c r="T2410">
        <v>2015</v>
      </c>
      <c r="U2410">
        <v>9</v>
      </c>
      <c r="V2410">
        <f t="shared" si="222"/>
        <v>788750</v>
      </c>
      <c r="W2410">
        <f t="shared" si="223"/>
        <v>18429897</v>
      </c>
      <c r="X2410">
        <f t="shared" si="224"/>
        <v>17641147</v>
      </c>
      <c r="Y2410">
        <f t="shared" si="225"/>
        <v>-25672970.5</v>
      </c>
      <c r="Z2410">
        <f t="shared" si="226"/>
        <v>44891617.5</v>
      </c>
      <c r="AA2410" t="str">
        <f t="shared" si="227"/>
        <v>Normal</v>
      </c>
      <c r="AE2410" s="2"/>
      <c r="AF2410" s="2"/>
    </row>
    <row r="2411" spans="1:32" x14ac:dyDescent="0.35">
      <c r="A2411">
        <v>2410</v>
      </c>
      <c r="B2411" s="1">
        <v>42258</v>
      </c>
      <c r="C2411" s="9" t="s">
        <v>3960</v>
      </c>
      <c r="D2411" s="9" t="s">
        <v>5289</v>
      </c>
      <c r="E2411" s="9" t="s">
        <v>1111</v>
      </c>
      <c r="F2411" s="9" t="s">
        <v>27</v>
      </c>
      <c r="G2411" s="9" t="s">
        <v>3961</v>
      </c>
      <c r="H2411" s="9" t="s">
        <v>86</v>
      </c>
      <c r="I2411" s="11">
        <v>18429897</v>
      </c>
      <c r="J2411" s="11">
        <v>266306</v>
      </c>
      <c r="K2411" s="11">
        <v>3817112</v>
      </c>
      <c r="L2411" s="3">
        <v>306</v>
      </c>
      <c r="M2411" s="3">
        <v>1560</v>
      </c>
      <c r="N2411" s="3">
        <v>419665</v>
      </c>
      <c r="O2411" s="2">
        <v>0.25600000000000001</v>
      </c>
      <c r="P2411" s="2">
        <v>0.36</v>
      </c>
      <c r="Q2411" s="2">
        <v>0.42499999999999999</v>
      </c>
      <c r="R2411" s="11">
        <v>412954753</v>
      </c>
      <c r="S2411" s="11">
        <v>1836062</v>
      </c>
      <c r="T2411">
        <v>2015</v>
      </c>
      <c r="U2411">
        <v>9</v>
      </c>
      <c r="V2411">
        <f t="shared" si="222"/>
        <v>787500</v>
      </c>
      <c r="W2411">
        <f t="shared" si="223"/>
        <v>18429897</v>
      </c>
      <c r="X2411">
        <f t="shared" si="224"/>
        <v>17642397</v>
      </c>
      <c r="Y2411">
        <f t="shared" si="225"/>
        <v>-25676095.5</v>
      </c>
      <c r="Z2411">
        <f t="shared" si="226"/>
        <v>44893492.5</v>
      </c>
      <c r="AA2411" t="str">
        <f t="shared" si="227"/>
        <v>Normal</v>
      </c>
      <c r="AE2411" s="2"/>
      <c r="AF2411" s="2"/>
    </row>
    <row r="2412" spans="1:32" x14ac:dyDescent="0.35">
      <c r="A2412">
        <v>2411</v>
      </c>
      <c r="B2412" s="1">
        <v>42259</v>
      </c>
      <c r="C2412" s="9" t="s">
        <v>3962</v>
      </c>
      <c r="D2412" s="9" t="s">
        <v>5290</v>
      </c>
      <c r="E2412" s="9" t="s">
        <v>1111</v>
      </c>
      <c r="F2412" s="9" t="s">
        <v>31</v>
      </c>
      <c r="G2412" s="9" t="s">
        <v>3963</v>
      </c>
      <c r="H2412" s="9" t="s">
        <v>105</v>
      </c>
      <c r="I2412" s="11">
        <v>15000000</v>
      </c>
      <c r="J2412" s="11">
        <v>4656172</v>
      </c>
      <c r="K2412" s="11">
        <v>13199730</v>
      </c>
      <c r="L2412" s="3">
        <v>432</v>
      </c>
      <c r="M2412" s="3">
        <v>4092</v>
      </c>
      <c r="N2412" s="3">
        <v>8603</v>
      </c>
      <c r="O2412" s="2">
        <v>-3.2000000000000001E-2</v>
      </c>
      <c r="P2412" s="2">
        <v>0.34</v>
      </c>
      <c r="Q2412" s="2">
        <v>0.193</v>
      </c>
      <c r="R2412" s="11">
        <v>13181685</v>
      </c>
      <c r="S2412" s="11">
        <v>1025956</v>
      </c>
      <c r="T2412">
        <v>2015</v>
      </c>
      <c r="U2412">
        <v>9</v>
      </c>
      <c r="V2412">
        <f t="shared" si="222"/>
        <v>786250</v>
      </c>
      <c r="W2412">
        <f t="shared" si="223"/>
        <v>18429897</v>
      </c>
      <c r="X2412">
        <f t="shared" si="224"/>
        <v>17643647</v>
      </c>
      <c r="Y2412">
        <f t="shared" si="225"/>
        <v>-25679220.5</v>
      </c>
      <c r="Z2412">
        <f t="shared" si="226"/>
        <v>44895367.5</v>
      </c>
      <c r="AA2412" t="str">
        <f t="shared" si="227"/>
        <v>Normal</v>
      </c>
      <c r="AE2412" s="2"/>
      <c r="AF2412" s="2"/>
    </row>
    <row r="2413" spans="1:32" x14ac:dyDescent="0.35">
      <c r="A2413">
        <v>2412</v>
      </c>
      <c r="B2413" s="1">
        <v>42259</v>
      </c>
      <c r="C2413" s="9" t="s">
        <v>3964</v>
      </c>
      <c r="D2413" s="9" t="s">
        <v>5291</v>
      </c>
      <c r="E2413" s="9" t="s">
        <v>1111</v>
      </c>
      <c r="F2413" s="9" t="s">
        <v>124</v>
      </c>
      <c r="G2413" s="9" t="s">
        <v>3965</v>
      </c>
      <c r="H2413" s="9" t="s">
        <v>105</v>
      </c>
      <c r="I2413" s="11">
        <v>18429897</v>
      </c>
      <c r="J2413" s="11">
        <v>3015761</v>
      </c>
      <c r="K2413" s="11">
        <v>9870498</v>
      </c>
      <c r="L2413" s="3">
        <v>410</v>
      </c>
      <c r="M2413" s="3">
        <v>3995</v>
      </c>
      <c r="N2413" s="3">
        <v>441849</v>
      </c>
      <c r="O2413" s="2">
        <v>0.52800000000000002</v>
      </c>
      <c r="P2413" s="2">
        <v>1.1089999999999999E-2</v>
      </c>
      <c r="Q2413" s="2">
        <v>-0.68700000000000006</v>
      </c>
      <c r="R2413" s="11">
        <v>308235594</v>
      </c>
      <c r="S2413" s="11">
        <v>1654931</v>
      </c>
      <c r="T2413">
        <v>2015</v>
      </c>
      <c r="U2413">
        <v>9</v>
      </c>
      <c r="V2413">
        <f t="shared" si="222"/>
        <v>785000</v>
      </c>
      <c r="W2413">
        <f t="shared" si="223"/>
        <v>18429897</v>
      </c>
      <c r="X2413">
        <f t="shared" si="224"/>
        <v>17644897</v>
      </c>
      <c r="Y2413">
        <f t="shared" si="225"/>
        <v>-25682345.5</v>
      </c>
      <c r="Z2413">
        <f t="shared" si="226"/>
        <v>44897242.5</v>
      </c>
      <c r="AA2413" t="str">
        <f t="shared" si="227"/>
        <v>Normal</v>
      </c>
      <c r="AE2413" s="2"/>
      <c r="AF2413" s="2"/>
    </row>
    <row r="2414" spans="1:32" x14ac:dyDescent="0.35">
      <c r="A2414">
        <v>2413</v>
      </c>
      <c r="B2414" s="1">
        <v>42261</v>
      </c>
      <c r="C2414" s="9" t="s">
        <v>3966</v>
      </c>
      <c r="D2414" s="9" t="s">
        <v>5292</v>
      </c>
      <c r="E2414" s="9" t="s">
        <v>1111</v>
      </c>
      <c r="F2414" s="9" t="s">
        <v>124</v>
      </c>
      <c r="G2414" s="9" t="s">
        <v>898</v>
      </c>
      <c r="H2414" s="9" t="s">
        <v>86</v>
      </c>
      <c r="I2414" s="11">
        <v>1200000</v>
      </c>
      <c r="J2414" s="11">
        <v>1872720</v>
      </c>
      <c r="K2414" s="11">
        <v>847462</v>
      </c>
      <c r="L2414" s="3">
        <v>172</v>
      </c>
      <c r="M2414" s="3">
        <v>1071</v>
      </c>
      <c r="N2414" s="3">
        <v>1607272</v>
      </c>
      <c r="O2414" s="2">
        <v>6.4000000000000001E-2</v>
      </c>
      <c r="P2414" s="2">
        <v>1.0580000000000001E-2</v>
      </c>
      <c r="Q2414" s="2">
        <v>0.374</v>
      </c>
      <c r="R2414" s="11">
        <v>442628100</v>
      </c>
      <c r="S2414" s="11">
        <v>862023</v>
      </c>
      <c r="T2414">
        <v>2015</v>
      </c>
      <c r="U2414">
        <v>9</v>
      </c>
      <c r="V2414">
        <f t="shared" si="222"/>
        <v>781250</v>
      </c>
      <c r="W2414">
        <f t="shared" si="223"/>
        <v>18429897</v>
      </c>
      <c r="X2414">
        <f t="shared" si="224"/>
        <v>17648647</v>
      </c>
      <c r="Y2414">
        <f t="shared" si="225"/>
        <v>-25691720.5</v>
      </c>
      <c r="Z2414">
        <f t="shared" si="226"/>
        <v>44902867.5</v>
      </c>
      <c r="AA2414" t="str">
        <f t="shared" si="227"/>
        <v>Normal</v>
      </c>
      <c r="AE2414" s="2"/>
      <c r="AF2414" s="2"/>
    </row>
    <row r="2415" spans="1:32" x14ac:dyDescent="0.35">
      <c r="A2415">
        <v>2414</v>
      </c>
      <c r="B2415" s="1">
        <v>42261</v>
      </c>
      <c r="C2415" s="9" t="s">
        <v>3967</v>
      </c>
      <c r="D2415" s="9" t="s">
        <v>5293</v>
      </c>
      <c r="E2415" s="9" t="s">
        <v>1111</v>
      </c>
      <c r="F2415" s="9" t="s">
        <v>19</v>
      </c>
      <c r="G2415" s="9" t="s">
        <v>1423</v>
      </c>
      <c r="H2415" s="9" t="s">
        <v>105</v>
      </c>
      <c r="I2415" s="11">
        <v>9000000</v>
      </c>
      <c r="J2415" s="11">
        <v>2441236</v>
      </c>
      <c r="K2415" s="11">
        <v>11320159</v>
      </c>
      <c r="L2415" s="3">
        <v>339</v>
      </c>
      <c r="M2415" s="3">
        <v>4805</v>
      </c>
      <c r="N2415" s="3">
        <v>1182853</v>
      </c>
      <c r="O2415" s="2">
        <v>0.504</v>
      </c>
      <c r="P2415" s="2">
        <v>0.74900000000000011</v>
      </c>
      <c r="Q2415" s="2">
        <v>0.20600000000000002</v>
      </c>
      <c r="R2415" s="11">
        <v>144376459</v>
      </c>
      <c r="S2415" s="11">
        <v>547999</v>
      </c>
      <c r="T2415">
        <v>2015</v>
      </c>
      <c r="U2415">
        <v>9</v>
      </c>
      <c r="V2415">
        <f t="shared" si="222"/>
        <v>777500</v>
      </c>
      <c r="W2415">
        <f t="shared" si="223"/>
        <v>18429897</v>
      </c>
      <c r="X2415">
        <f t="shared" si="224"/>
        <v>17652397</v>
      </c>
      <c r="Y2415">
        <f t="shared" si="225"/>
        <v>-25701095.5</v>
      </c>
      <c r="Z2415">
        <f t="shared" si="226"/>
        <v>44908492.5</v>
      </c>
      <c r="AA2415" t="str">
        <f t="shared" si="227"/>
        <v>Normal</v>
      </c>
      <c r="AE2415" s="2"/>
      <c r="AF2415" s="2"/>
    </row>
    <row r="2416" spans="1:32" x14ac:dyDescent="0.35">
      <c r="A2416">
        <v>2415</v>
      </c>
      <c r="B2416" s="1">
        <v>42261</v>
      </c>
      <c r="C2416" s="9" t="s">
        <v>3968</v>
      </c>
      <c r="D2416" s="9" t="s">
        <v>5294</v>
      </c>
      <c r="E2416" s="9" t="s">
        <v>1111</v>
      </c>
      <c r="F2416" s="9" t="s">
        <v>4918</v>
      </c>
      <c r="G2416" s="9" t="s">
        <v>3969</v>
      </c>
      <c r="H2416" s="9" t="s">
        <v>105</v>
      </c>
      <c r="I2416" s="11">
        <v>3000000</v>
      </c>
      <c r="J2416" s="11">
        <v>3103515</v>
      </c>
      <c r="K2416" s="11">
        <v>16862822</v>
      </c>
      <c r="L2416" s="3">
        <v>103</v>
      </c>
      <c r="M2416" s="3">
        <v>2683</v>
      </c>
      <c r="N2416" s="3">
        <v>1850622</v>
      </c>
      <c r="O2416" s="2">
        <v>8.5000000000000006E-2</v>
      </c>
      <c r="P2416" s="2">
        <v>0.86099999999999999</v>
      </c>
      <c r="Q2416" s="2">
        <v>-0.42399999999999999</v>
      </c>
      <c r="R2416" s="11">
        <v>80119072</v>
      </c>
      <c r="S2416" s="11">
        <v>1538553</v>
      </c>
      <c r="T2416">
        <v>2015</v>
      </c>
      <c r="U2416">
        <v>9</v>
      </c>
      <c r="V2416">
        <f t="shared" si="222"/>
        <v>773750</v>
      </c>
      <c r="W2416">
        <f t="shared" si="223"/>
        <v>18429897</v>
      </c>
      <c r="X2416">
        <f t="shared" si="224"/>
        <v>17656147</v>
      </c>
      <c r="Y2416">
        <f t="shared" si="225"/>
        <v>-25710470.5</v>
      </c>
      <c r="Z2416">
        <f t="shared" si="226"/>
        <v>44914117.5</v>
      </c>
      <c r="AA2416" t="str">
        <f t="shared" si="227"/>
        <v>Normal</v>
      </c>
      <c r="AE2416" s="2"/>
      <c r="AF2416" s="2"/>
    </row>
    <row r="2417" spans="1:32" x14ac:dyDescent="0.35">
      <c r="A2417">
        <v>2416</v>
      </c>
      <c r="B2417" s="1">
        <v>42261</v>
      </c>
      <c r="C2417" s="9" t="s">
        <v>182</v>
      </c>
      <c r="D2417" s="9" t="s">
        <v>5295</v>
      </c>
      <c r="E2417" s="9" t="s">
        <v>1111</v>
      </c>
      <c r="F2417" s="9" t="s">
        <v>15</v>
      </c>
      <c r="G2417" s="9" t="s">
        <v>3970</v>
      </c>
      <c r="H2417" s="9" t="s">
        <v>105</v>
      </c>
      <c r="I2417" s="11">
        <v>200000000</v>
      </c>
      <c r="J2417" s="11">
        <v>1315719</v>
      </c>
      <c r="K2417" s="11">
        <v>8570475</v>
      </c>
      <c r="L2417" s="3">
        <v>318</v>
      </c>
      <c r="M2417" s="3">
        <v>1348</v>
      </c>
      <c r="N2417" s="3">
        <v>1018455</v>
      </c>
      <c r="O2417" s="2">
        <v>0.109</v>
      </c>
      <c r="P2417" s="2">
        <v>0.439</v>
      </c>
      <c r="Q2417" s="2">
        <v>0.26899999999999996</v>
      </c>
      <c r="R2417" s="11">
        <v>169630079</v>
      </c>
      <c r="S2417" s="11">
        <v>28383</v>
      </c>
      <c r="T2417">
        <v>2015</v>
      </c>
      <c r="U2417">
        <v>9</v>
      </c>
      <c r="V2417">
        <f t="shared" si="222"/>
        <v>770000</v>
      </c>
      <c r="W2417">
        <f t="shared" si="223"/>
        <v>18429897</v>
      </c>
      <c r="X2417">
        <f t="shared" si="224"/>
        <v>17659897</v>
      </c>
      <c r="Y2417">
        <f t="shared" si="225"/>
        <v>-25719845.5</v>
      </c>
      <c r="Z2417">
        <f t="shared" si="226"/>
        <v>44919742.5</v>
      </c>
      <c r="AA2417" t="str">
        <f t="shared" si="227"/>
        <v>Outlier</v>
      </c>
      <c r="AE2417" s="2"/>
      <c r="AF2417" s="2"/>
    </row>
    <row r="2418" spans="1:32" x14ac:dyDescent="0.35">
      <c r="A2418">
        <v>2417</v>
      </c>
      <c r="B2418" s="1">
        <v>42262</v>
      </c>
      <c r="C2418" s="9" t="s">
        <v>631</v>
      </c>
      <c r="D2418" s="9" t="s">
        <v>5296</v>
      </c>
      <c r="E2418" s="9" t="s">
        <v>1111</v>
      </c>
      <c r="F2418" s="9" t="s">
        <v>31</v>
      </c>
      <c r="G2418" s="9" t="s">
        <v>3971</v>
      </c>
      <c r="H2418" s="9" t="s">
        <v>105</v>
      </c>
      <c r="I2418" s="11">
        <v>2000000</v>
      </c>
      <c r="J2418" s="11">
        <v>1456201</v>
      </c>
      <c r="K2418" s="11">
        <v>6440033</v>
      </c>
      <c r="L2418" s="3">
        <v>207</v>
      </c>
      <c r="M2418" s="3">
        <v>2265</v>
      </c>
      <c r="N2418" s="3">
        <v>304056</v>
      </c>
      <c r="O2418" s="2">
        <v>0.433</v>
      </c>
      <c r="P2418" s="2">
        <v>0.223</v>
      </c>
      <c r="Q2418" s="2">
        <v>0.13400000000000001</v>
      </c>
      <c r="R2418" s="11">
        <v>354455186</v>
      </c>
      <c r="S2418" s="11">
        <v>994361</v>
      </c>
      <c r="T2418">
        <v>2015</v>
      </c>
      <c r="U2418">
        <v>9</v>
      </c>
      <c r="V2418">
        <f t="shared" si="222"/>
        <v>752500</v>
      </c>
      <c r="W2418">
        <f t="shared" si="223"/>
        <v>18429897</v>
      </c>
      <c r="X2418">
        <f t="shared" si="224"/>
        <v>17677397</v>
      </c>
      <c r="Y2418">
        <f t="shared" si="225"/>
        <v>-25763595.5</v>
      </c>
      <c r="Z2418">
        <f t="shared" si="226"/>
        <v>44945992.5</v>
      </c>
      <c r="AA2418" t="str">
        <f t="shared" si="227"/>
        <v>Normal</v>
      </c>
      <c r="AE2418" s="2"/>
      <c r="AF2418" s="2"/>
    </row>
    <row r="2419" spans="1:32" x14ac:dyDescent="0.35">
      <c r="A2419">
        <v>2418</v>
      </c>
      <c r="B2419" s="1">
        <v>42262</v>
      </c>
      <c r="C2419" s="9" t="s">
        <v>2051</v>
      </c>
      <c r="D2419" s="9" t="s">
        <v>5297</v>
      </c>
      <c r="E2419" s="9" t="s">
        <v>1111</v>
      </c>
      <c r="F2419" s="9" t="s">
        <v>15</v>
      </c>
      <c r="G2419" s="9" t="s">
        <v>3972</v>
      </c>
      <c r="H2419" s="9" t="s">
        <v>105</v>
      </c>
      <c r="I2419" s="11">
        <v>4250000</v>
      </c>
      <c r="J2419" s="11">
        <v>2104907</v>
      </c>
      <c r="K2419" s="11">
        <v>5523841</v>
      </c>
      <c r="L2419" s="3">
        <v>463</v>
      </c>
      <c r="M2419" s="3">
        <v>979</v>
      </c>
      <c r="N2419" s="3">
        <v>115688</v>
      </c>
      <c r="O2419" s="2">
        <v>-6.4000000000000001E-2</v>
      </c>
      <c r="P2419" s="2">
        <v>0.64200000000000002</v>
      </c>
      <c r="Q2419" s="2">
        <v>-0.21600000000000003</v>
      </c>
      <c r="R2419" s="11">
        <v>245836908</v>
      </c>
      <c r="S2419" s="11">
        <v>1008193.5</v>
      </c>
      <c r="T2419">
        <v>2015</v>
      </c>
      <c r="U2419">
        <v>9</v>
      </c>
      <c r="V2419">
        <f t="shared" si="222"/>
        <v>735000</v>
      </c>
      <c r="W2419">
        <f t="shared" si="223"/>
        <v>18429897</v>
      </c>
      <c r="X2419">
        <f t="shared" si="224"/>
        <v>17694897</v>
      </c>
      <c r="Y2419">
        <f t="shared" si="225"/>
        <v>-25807345.5</v>
      </c>
      <c r="Z2419">
        <f t="shared" si="226"/>
        <v>44972242.5</v>
      </c>
      <c r="AA2419" t="str">
        <f t="shared" si="227"/>
        <v>Normal</v>
      </c>
      <c r="AE2419" s="2"/>
      <c r="AF2419" s="2"/>
    </row>
    <row r="2420" spans="1:32" x14ac:dyDescent="0.35">
      <c r="A2420">
        <v>2419</v>
      </c>
      <c r="B2420" s="1">
        <v>42262</v>
      </c>
      <c r="C2420" s="9" t="s">
        <v>3839</v>
      </c>
      <c r="D2420" s="9" t="s">
        <v>5298</v>
      </c>
      <c r="E2420" s="9" t="s">
        <v>1111</v>
      </c>
      <c r="F2420" s="9" t="s">
        <v>15</v>
      </c>
      <c r="G2420" s="9" t="s">
        <v>2101</v>
      </c>
      <c r="H2420" s="9" t="s">
        <v>86</v>
      </c>
      <c r="I2420" s="11">
        <v>18429897</v>
      </c>
      <c r="J2420" s="11">
        <v>1307689</v>
      </c>
      <c r="K2420" s="11">
        <v>7650416</v>
      </c>
      <c r="L2420" s="3">
        <v>254</v>
      </c>
      <c r="M2420" s="3">
        <v>2505.5</v>
      </c>
      <c r="N2420" s="3">
        <v>42790</v>
      </c>
      <c r="O2420" s="2">
        <v>0.13</v>
      </c>
      <c r="P2420" s="2">
        <v>0.50800000000000001</v>
      </c>
      <c r="Q2420" s="2">
        <v>0.623</v>
      </c>
      <c r="R2420" s="11">
        <v>293774389</v>
      </c>
      <c r="S2420" s="11">
        <v>88227</v>
      </c>
      <c r="T2420">
        <v>2015</v>
      </c>
      <c r="U2420">
        <v>9</v>
      </c>
      <c r="V2420">
        <f t="shared" si="222"/>
        <v>717500</v>
      </c>
      <c r="W2420">
        <f t="shared" si="223"/>
        <v>18429897</v>
      </c>
      <c r="X2420">
        <f t="shared" si="224"/>
        <v>17712397</v>
      </c>
      <c r="Y2420">
        <f t="shared" si="225"/>
        <v>-25851095.5</v>
      </c>
      <c r="Z2420">
        <f t="shared" si="226"/>
        <v>44998492.5</v>
      </c>
      <c r="AA2420" t="str">
        <f t="shared" si="227"/>
        <v>Normal</v>
      </c>
      <c r="AE2420" s="2"/>
      <c r="AF2420" s="2"/>
    </row>
    <row r="2421" spans="1:32" x14ac:dyDescent="0.35">
      <c r="A2421">
        <v>2420</v>
      </c>
      <c r="B2421" s="1">
        <v>42262</v>
      </c>
      <c r="C2421" s="9" t="s">
        <v>3973</v>
      </c>
      <c r="D2421" s="9" t="s">
        <v>5299</v>
      </c>
      <c r="E2421" s="9" t="s">
        <v>1111</v>
      </c>
      <c r="F2421" s="9" t="s">
        <v>31</v>
      </c>
      <c r="G2421" s="9" t="s">
        <v>3974</v>
      </c>
      <c r="H2421" s="9" t="s">
        <v>86</v>
      </c>
      <c r="I2421" s="11">
        <v>1000000</v>
      </c>
      <c r="J2421" s="11">
        <v>3794393</v>
      </c>
      <c r="K2421" s="11">
        <v>5644569</v>
      </c>
      <c r="L2421" s="3">
        <v>41</v>
      </c>
      <c r="M2421" s="3">
        <v>1380</v>
      </c>
      <c r="N2421" s="3">
        <v>378282</v>
      </c>
      <c r="O2421" s="2">
        <v>0.22800000000000001</v>
      </c>
      <c r="P2421" s="2">
        <v>0.50800000000000001</v>
      </c>
      <c r="Q2421" s="2">
        <v>0.36749999999999999</v>
      </c>
      <c r="R2421" s="11">
        <v>184867128</v>
      </c>
      <c r="S2421" s="11">
        <v>168414</v>
      </c>
      <c r="T2421">
        <v>2015</v>
      </c>
      <c r="U2421">
        <v>9</v>
      </c>
      <c r="V2421">
        <f t="shared" si="222"/>
        <v>700000</v>
      </c>
      <c r="W2421">
        <f t="shared" si="223"/>
        <v>18429897</v>
      </c>
      <c r="X2421">
        <f t="shared" si="224"/>
        <v>17729897</v>
      </c>
      <c r="Y2421">
        <f t="shared" si="225"/>
        <v>-25894845.5</v>
      </c>
      <c r="Z2421">
        <f t="shared" si="226"/>
        <v>45024742.5</v>
      </c>
      <c r="AA2421" t="str">
        <f t="shared" si="227"/>
        <v>Normal</v>
      </c>
      <c r="AE2421" s="2"/>
      <c r="AF2421" s="2"/>
    </row>
    <row r="2422" spans="1:32" x14ac:dyDescent="0.35">
      <c r="A2422">
        <v>2421</v>
      </c>
      <c r="B2422" s="1">
        <v>42262</v>
      </c>
      <c r="C2422" s="9" t="s">
        <v>3183</v>
      </c>
      <c r="D2422" s="9" t="s">
        <v>5300</v>
      </c>
      <c r="E2422" s="9" t="s">
        <v>1111</v>
      </c>
      <c r="F2422" s="9" t="s">
        <v>63</v>
      </c>
      <c r="G2422" s="9" t="s">
        <v>3975</v>
      </c>
      <c r="H2422" s="9" t="s">
        <v>86</v>
      </c>
      <c r="I2422" s="11">
        <v>300000</v>
      </c>
      <c r="J2422" s="11">
        <v>537000</v>
      </c>
      <c r="K2422" s="11">
        <v>18491858</v>
      </c>
      <c r="L2422" s="3">
        <v>436</v>
      </c>
      <c r="M2422" s="3">
        <v>2221</v>
      </c>
      <c r="N2422" s="3">
        <v>958781</v>
      </c>
      <c r="O2422" s="2">
        <v>0.20100000000000001</v>
      </c>
      <c r="P2422" s="2">
        <v>0.80400000000000005</v>
      </c>
      <c r="Q2422" s="2">
        <v>-8.0000000000000002E-3</v>
      </c>
      <c r="R2422" s="11">
        <v>222045372</v>
      </c>
      <c r="S2422" s="11">
        <v>281212</v>
      </c>
      <c r="T2422">
        <v>2015</v>
      </c>
      <c r="U2422">
        <v>9</v>
      </c>
      <c r="V2422">
        <f t="shared" si="222"/>
        <v>700000</v>
      </c>
      <c r="W2422">
        <f t="shared" si="223"/>
        <v>18429897</v>
      </c>
      <c r="X2422">
        <f t="shared" si="224"/>
        <v>17729897</v>
      </c>
      <c r="Y2422">
        <f t="shared" si="225"/>
        <v>-25894845.5</v>
      </c>
      <c r="Z2422">
        <f t="shared" si="226"/>
        <v>45024742.5</v>
      </c>
      <c r="AA2422" t="str">
        <f t="shared" si="227"/>
        <v>Normal</v>
      </c>
      <c r="AE2422" s="2"/>
      <c r="AF2422" s="2"/>
    </row>
    <row r="2423" spans="1:32" x14ac:dyDescent="0.35">
      <c r="A2423">
        <v>2422</v>
      </c>
      <c r="B2423" s="1">
        <v>42262</v>
      </c>
      <c r="C2423" s="9" t="s">
        <v>3976</v>
      </c>
      <c r="D2423" s="9" t="s">
        <v>5301</v>
      </c>
      <c r="E2423" s="9" t="s">
        <v>1111</v>
      </c>
      <c r="F2423" s="9" t="s">
        <v>15</v>
      </c>
      <c r="G2423" s="9" t="s">
        <v>3977</v>
      </c>
      <c r="H2423" s="9" t="s">
        <v>86</v>
      </c>
      <c r="I2423" s="11">
        <v>18429897</v>
      </c>
      <c r="J2423" s="11">
        <v>4136525</v>
      </c>
      <c r="K2423" s="11">
        <v>19843350</v>
      </c>
      <c r="L2423" s="3">
        <v>363</v>
      </c>
      <c r="M2423" s="3">
        <v>388</v>
      </c>
      <c r="N2423" s="3">
        <v>33053</v>
      </c>
      <c r="O2423" s="2">
        <v>0.129</v>
      </c>
      <c r="P2423" s="2">
        <v>1.125</v>
      </c>
      <c r="Q2423" s="2">
        <v>-8.3000000000000004E-2</v>
      </c>
      <c r="R2423" s="11">
        <v>250264963</v>
      </c>
      <c r="S2423" s="11">
        <v>590508</v>
      </c>
      <c r="T2423">
        <v>2015</v>
      </c>
      <c r="U2423">
        <v>9</v>
      </c>
      <c r="V2423">
        <f t="shared" si="222"/>
        <v>735000</v>
      </c>
      <c r="W2423">
        <f t="shared" si="223"/>
        <v>18429897</v>
      </c>
      <c r="X2423">
        <f t="shared" si="224"/>
        <v>17694897</v>
      </c>
      <c r="Y2423">
        <f t="shared" si="225"/>
        <v>-25807345.5</v>
      </c>
      <c r="Z2423">
        <f t="shared" si="226"/>
        <v>44972242.5</v>
      </c>
      <c r="AA2423" t="str">
        <f t="shared" si="227"/>
        <v>Normal</v>
      </c>
      <c r="AE2423" s="2"/>
      <c r="AF2423" s="2"/>
    </row>
    <row r="2424" spans="1:32" x14ac:dyDescent="0.35">
      <c r="A2424">
        <v>2423</v>
      </c>
      <c r="B2424" s="1">
        <v>42263</v>
      </c>
      <c r="C2424" s="9" t="s">
        <v>3978</v>
      </c>
      <c r="D2424" s="9" t="s">
        <v>5302</v>
      </c>
      <c r="E2424" s="9" t="s">
        <v>1111</v>
      </c>
      <c r="F2424" s="9" t="s">
        <v>15</v>
      </c>
      <c r="G2424" s="9" t="s">
        <v>1423</v>
      </c>
      <c r="H2424" s="9" t="s">
        <v>105</v>
      </c>
      <c r="I2424" s="11">
        <v>10000000</v>
      </c>
      <c r="J2424" s="11">
        <v>1755667</v>
      </c>
      <c r="K2424" s="11">
        <v>6931417</v>
      </c>
      <c r="L2424" s="3">
        <v>254</v>
      </c>
      <c r="M2424" s="3">
        <v>4722</v>
      </c>
      <c r="N2424" s="3">
        <v>1737073</v>
      </c>
      <c r="O2424" s="2">
        <v>0.10100000000000001</v>
      </c>
      <c r="P2424" s="2">
        <v>0.40899999999999997</v>
      </c>
      <c r="Q2424" s="2">
        <v>6.5000000000000002E-2</v>
      </c>
      <c r="R2424" s="11">
        <v>423906345</v>
      </c>
      <c r="S2424" s="11">
        <v>1909591</v>
      </c>
      <c r="T2424">
        <v>2015</v>
      </c>
      <c r="U2424">
        <v>9</v>
      </c>
      <c r="V2424">
        <f t="shared" si="222"/>
        <v>717500</v>
      </c>
      <c r="W2424">
        <f t="shared" si="223"/>
        <v>18429897</v>
      </c>
      <c r="X2424">
        <f t="shared" si="224"/>
        <v>17712397</v>
      </c>
      <c r="Y2424">
        <f t="shared" si="225"/>
        <v>-25851095.5</v>
      </c>
      <c r="Z2424">
        <f t="shared" si="226"/>
        <v>44998492.5</v>
      </c>
      <c r="AA2424" t="str">
        <f t="shared" si="227"/>
        <v>Normal</v>
      </c>
      <c r="AE2424" s="2"/>
      <c r="AF2424" s="2"/>
    </row>
    <row r="2425" spans="1:32" x14ac:dyDescent="0.35">
      <c r="A2425">
        <v>2424</v>
      </c>
      <c r="B2425" s="1">
        <v>42263</v>
      </c>
      <c r="C2425" s="9" t="s">
        <v>3979</v>
      </c>
      <c r="D2425" s="9" t="s">
        <v>5303</v>
      </c>
      <c r="E2425" s="9" t="s">
        <v>1111</v>
      </c>
      <c r="F2425" s="9" t="s">
        <v>19</v>
      </c>
      <c r="G2425" s="9" t="s">
        <v>1315</v>
      </c>
      <c r="H2425" s="9" t="s">
        <v>86</v>
      </c>
      <c r="I2425" s="11">
        <v>410000</v>
      </c>
      <c r="J2425" s="11">
        <v>2814890</v>
      </c>
      <c r="K2425" s="11">
        <v>18481179</v>
      </c>
      <c r="L2425" s="3">
        <v>144</v>
      </c>
      <c r="M2425" s="3">
        <v>1549</v>
      </c>
      <c r="N2425" s="3">
        <v>956964</v>
      </c>
      <c r="O2425" s="2">
        <v>0.28899999999999998</v>
      </c>
      <c r="P2425" s="2">
        <v>0.46399999999999997</v>
      </c>
      <c r="Q2425" s="2">
        <v>7.2999999999999995E-2</v>
      </c>
      <c r="R2425" s="11">
        <v>22649025</v>
      </c>
      <c r="S2425" s="11">
        <v>51700</v>
      </c>
      <c r="T2425">
        <v>2015</v>
      </c>
      <c r="U2425">
        <v>9</v>
      </c>
      <c r="V2425">
        <f t="shared" si="222"/>
        <v>700000</v>
      </c>
      <c r="W2425">
        <f t="shared" si="223"/>
        <v>18429897</v>
      </c>
      <c r="X2425">
        <f t="shared" si="224"/>
        <v>17729897</v>
      </c>
      <c r="Y2425">
        <f t="shared" si="225"/>
        <v>-25894845.5</v>
      </c>
      <c r="Z2425">
        <f t="shared" si="226"/>
        <v>45024742.5</v>
      </c>
      <c r="AA2425" t="str">
        <f t="shared" si="227"/>
        <v>Normal</v>
      </c>
      <c r="AE2425" s="2"/>
      <c r="AF2425" s="2"/>
    </row>
    <row r="2426" spans="1:32" x14ac:dyDescent="0.35">
      <c r="A2426">
        <v>2425</v>
      </c>
      <c r="B2426" s="1">
        <v>42263</v>
      </c>
      <c r="C2426" s="9" t="s">
        <v>3980</v>
      </c>
      <c r="D2426" s="9" t="s">
        <v>5304</v>
      </c>
      <c r="E2426" s="9" t="s">
        <v>1111</v>
      </c>
      <c r="F2426" s="9" t="s">
        <v>31</v>
      </c>
      <c r="G2426" s="9" t="s">
        <v>3981</v>
      </c>
      <c r="H2426" s="9" t="s">
        <v>86</v>
      </c>
      <c r="I2426" s="11">
        <v>450000</v>
      </c>
      <c r="J2426" s="11">
        <v>805623</v>
      </c>
      <c r="K2426" s="11">
        <v>17086514</v>
      </c>
      <c r="L2426" s="3">
        <v>90</v>
      </c>
      <c r="M2426" s="3">
        <v>3279</v>
      </c>
      <c r="N2426" s="3">
        <v>1473689</v>
      </c>
      <c r="O2426" s="2">
        <v>0.155</v>
      </c>
      <c r="P2426" s="2">
        <v>0.28000000000000003</v>
      </c>
      <c r="Q2426" s="2">
        <v>0.25700000000000001</v>
      </c>
      <c r="R2426" s="11">
        <v>453263473</v>
      </c>
      <c r="S2426" s="11">
        <v>1832458</v>
      </c>
      <c r="T2426">
        <v>2015</v>
      </c>
      <c r="U2426">
        <v>9</v>
      </c>
      <c r="V2426">
        <f t="shared" si="222"/>
        <v>752500</v>
      </c>
      <c r="W2426">
        <f t="shared" si="223"/>
        <v>18429897</v>
      </c>
      <c r="X2426">
        <f t="shared" si="224"/>
        <v>17677397</v>
      </c>
      <c r="Y2426">
        <f t="shared" si="225"/>
        <v>-25763595.5</v>
      </c>
      <c r="Z2426">
        <f t="shared" si="226"/>
        <v>44945992.5</v>
      </c>
      <c r="AA2426" t="str">
        <f t="shared" si="227"/>
        <v>Normal</v>
      </c>
      <c r="AE2426" s="2"/>
      <c r="AF2426" s="2"/>
    </row>
    <row r="2427" spans="1:32" x14ac:dyDescent="0.35">
      <c r="A2427">
        <v>2426</v>
      </c>
      <c r="B2427" s="1">
        <v>42264</v>
      </c>
      <c r="C2427" s="9" t="s">
        <v>3982</v>
      </c>
      <c r="D2427" s="9" t="s">
        <v>5305</v>
      </c>
      <c r="E2427" s="9" t="s">
        <v>1111</v>
      </c>
      <c r="F2427" s="9" t="s">
        <v>15</v>
      </c>
      <c r="G2427" s="9" t="s">
        <v>2031</v>
      </c>
      <c r="H2427" s="9" t="s">
        <v>105</v>
      </c>
      <c r="I2427" s="11">
        <v>18429897</v>
      </c>
      <c r="J2427" s="11">
        <v>1939140</v>
      </c>
      <c r="K2427" s="11">
        <v>1610386</v>
      </c>
      <c r="L2427" s="3">
        <v>158</v>
      </c>
      <c r="M2427" s="3">
        <v>1797</v>
      </c>
      <c r="N2427" s="3">
        <v>1745621</v>
      </c>
      <c r="O2427" s="2">
        <v>0.313</v>
      </c>
      <c r="P2427" s="2">
        <v>1.1359999999999999</v>
      </c>
      <c r="Q2427" s="2">
        <v>5.2999999999999999E-2</v>
      </c>
      <c r="R2427" s="11">
        <v>361650155</v>
      </c>
      <c r="S2427" s="11">
        <v>937696</v>
      </c>
      <c r="T2427">
        <v>2015</v>
      </c>
      <c r="U2427">
        <v>9</v>
      </c>
      <c r="V2427">
        <f t="shared" si="222"/>
        <v>777500</v>
      </c>
      <c r="W2427">
        <f t="shared" si="223"/>
        <v>18429897</v>
      </c>
      <c r="X2427">
        <f t="shared" si="224"/>
        <v>17652397</v>
      </c>
      <c r="Y2427">
        <f t="shared" si="225"/>
        <v>-25701095.5</v>
      </c>
      <c r="Z2427">
        <f t="shared" si="226"/>
        <v>44908492.5</v>
      </c>
      <c r="AA2427" t="str">
        <f t="shared" si="227"/>
        <v>Normal</v>
      </c>
      <c r="AE2427" s="2"/>
      <c r="AF2427" s="2"/>
    </row>
    <row r="2428" spans="1:32" x14ac:dyDescent="0.35">
      <c r="A2428">
        <v>2427</v>
      </c>
      <c r="B2428" s="1">
        <v>42264</v>
      </c>
      <c r="C2428" s="9" t="s">
        <v>3983</v>
      </c>
      <c r="D2428" s="9" t="s">
        <v>5306</v>
      </c>
      <c r="E2428" s="9" t="s">
        <v>1111</v>
      </c>
      <c r="F2428" s="9" t="s">
        <v>31</v>
      </c>
      <c r="G2428" s="9" t="s">
        <v>3984</v>
      </c>
      <c r="H2428" s="9" t="s">
        <v>86</v>
      </c>
      <c r="I2428" s="11">
        <v>18429897</v>
      </c>
      <c r="J2428" s="11">
        <v>3777893</v>
      </c>
      <c r="K2428" s="11">
        <v>9867656</v>
      </c>
      <c r="L2428" s="3">
        <v>472</v>
      </c>
      <c r="M2428" s="3">
        <v>2828</v>
      </c>
      <c r="N2428" s="3">
        <v>69494</v>
      </c>
      <c r="O2428" s="2">
        <v>0.19800000000000001</v>
      </c>
      <c r="P2428" s="2">
        <v>0.65500000000000003</v>
      </c>
      <c r="Q2428" s="2">
        <v>8.9999999999999993E-3</v>
      </c>
      <c r="R2428" s="11">
        <v>298452749</v>
      </c>
      <c r="S2428" s="11">
        <v>1663872</v>
      </c>
      <c r="T2428">
        <v>2015</v>
      </c>
      <c r="U2428">
        <v>9</v>
      </c>
      <c r="V2428">
        <f t="shared" si="222"/>
        <v>773750</v>
      </c>
      <c r="W2428">
        <f t="shared" si="223"/>
        <v>18429897</v>
      </c>
      <c r="X2428">
        <f t="shared" si="224"/>
        <v>17656147</v>
      </c>
      <c r="Y2428">
        <f t="shared" si="225"/>
        <v>-25710470.5</v>
      </c>
      <c r="Z2428">
        <f t="shared" si="226"/>
        <v>44914117.5</v>
      </c>
      <c r="AA2428" t="str">
        <f t="shared" si="227"/>
        <v>Normal</v>
      </c>
      <c r="AE2428" s="2"/>
      <c r="AF2428" s="2"/>
    </row>
    <row r="2429" spans="1:32" x14ac:dyDescent="0.35">
      <c r="A2429">
        <v>2428</v>
      </c>
      <c r="B2429" s="1">
        <v>42264</v>
      </c>
      <c r="C2429" s="9" t="s">
        <v>1488</v>
      </c>
      <c r="D2429" s="9" t="s">
        <v>5307</v>
      </c>
      <c r="E2429" s="9" t="s">
        <v>1111</v>
      </c>
      <c r="F2429" s="9" t="s">
        <v>19</v>
      </c>
      <c r="G2429" s="9" t="s">
        <v>3985</v>
      </c>
      <c r="H2429" s="9" t="s">
        <v>105</v>
      </c>
      <c r="I2429" s="11">
        <v>75000000</v>
      </c>
      <c r="J2429" s="11">
        <v>1368069</v>
      </c>
      <c r="K2429" s="11">
        <v>13165357</v>
      </c>
      <c r="L2429" s="3">
        <v>451</v>
      </c>
      <c r="M2429" s="3">
        <v>2823</v>
      </c>
      <c r="N2429" s="3">
        <v>867801</v>
      </c>
      <c r="O2429" s="2">
        <v>0.25</v>
      </c>
      <c r="P2429" s="2">
        <v>0.60199999999999998</v>
      </c>
      <c r="Q2429" s="2">
        <v>0.152</v>
      </c>
      <c r="R2429" s="11">
        <v>268341458</v>
      </c>
      <c r="S2429" s="11">
        <v>1170505</v>
      </c>
      <c r="T2429">
        <v>2015</v>
      </c>
      <c r="U2429">
        <v>9</v>
      </c>
      <c r="V2429">
        <f t="shared" si="222"/>
        <v>770000</v>
      </c>
      <c r="W2429">
        <f t="shared" si="223"/>
        <v>18429897</v>
      </c>
      <c r="X2429">
        <f t="shared" si="224"/>
        <v>17659897</v>
      </c>
      <c r="Y2429">
        <f t="shared" si="225"/>
        <v>-25719845.5</v>
      </c>
      <c r="Z2429">
        <f t="shared" si="226"/>
        <v>44919742.5</v>
      </c>
      <c r="AA2429" t="str">
        <f t="shared" si="227"/>
        <v>Outlier</v>
      </c>
      <c r="AE2429" s="2"/>
      <c r="AF2429" s="2"/>
    </row>
    <row r="2430" spans="1:32" x14ac:dyDescent="0.35">
      <c r="A2430">
        <v>2429</v>
      </c>
      <c r="B2430" s="1">
        <v>42264</v>
      </c>
      <c r="C2430" s="9" t="s">
        <v>3986</v>
      </c>
      <c r="D2430" s="9" t="s">
        <v>5308</v>
      </c>
      <c r="E2430" s="9" t="s">
        <v>1111</v>
      </c>
      <c r="F2430" s="9" t="s">
        <v>19</v>
      </c>
      <c r="G2430" s="9" t="s">
        <v>3987</v>
      </c>
      <c r="H2430" s="9" t="s">
        <v>86</v>
      </c>
      <c r="I2430" s="11">
        <v>600000</v>
      </c>
      <c r="J2430" s="11">
        <v>678733</v>
      </c>
      <c r="K2430" s="11">
        <v>8500409</v>
      </c>
      <c r="L2430" s="3">
        <v>277</v>
      </c>
      <c r="M2430" s="3">
        <v>1495</v>
      </c>
      <c r="N2430" s="3">
        <v>1346561</v>
      </c>
      <c r="O2430" s="2">
        <v>0.34699999999999998</v>
      </c>
      <c r="P2430" s="2">
        <v>1.1859999999999999</v>
      </c>
      <c r="Q2430" s="2">
        <v>3.0000000000000001E-3</v>
      </c>
      <c r="R2430" s="11">
        <v>472448151</v>
      </c>
      <c r="S2430" s="11">
        <v>1454806</v>
      </c>
      <c r="T2430">
        <v>2015</v>
      </c>
      <c r="U2430">
        <v>9</v>
      </c>
      <c r="V2430">
        <f t="shared" si="222"/>
        <v>752500</v>
      </c>
      <c r="W2430">
        <f t="shared" si="223"/>
        <v>18429897</v>
      </c>
      <c r="X2430">
        <f t="shared" si="224"/>
        <v>17677397</v>
      </c>
      <c r="Y2430">
        <f t="shared" si="225"/>
        <v>-25763595.5</v>
      </c>
      <c r="Z2430">
        <f t="shared" si="226"/>
        <v>44945992.5</v>
      </c>
      <c r="AA2430" t="str">
        <f t="shared" si="227"/>
        <v>Normal</v>
      </c>
      <c r="AE2430" s="2"/>
      <c r="AF2430" s="2"/>
    </row>
    <row r="2431" spans="1:32" x14ac:dyDescent="0.35">
      <c r="A2431">
        <v>2430</v>
      </c>
      <c r="B2431" s="1">
        <v>42265</v>
      </c>
      <c r="C2431" s="9" t="s">
        <v>3988</v>
      </c>
      <c r="D2431" s="9" t="s">
        <v>5309</v>
      </c>
      <c r="E2431" s="9" t="s">
        <v>1111</v>
      </c>
      <c r="F2431" s="9" t="s">
        <v>27</v>
      </c>
      <c r="G2431" s="9" t="s">
        <v>3989</v>
      </c>
      <c r="H2431" s="9" t="s">
        <v>86</v>
      </c>
      <c r="I2431" s="11">
        <v>350000</v>
      </c>
      <c r="J2431" s="11">
        <v>2619153</v>
      </c>
      <c r="K2431" s="11">
        <v>9191864</v>
      </c>
      <c r="L2431" s="3">
        <v>184</v>
      </c>
      <c r="M2431" s="3">
        <v>2189</v>
      </c>
      <c r="N2431" s="3">
        <v>1993540</v>
      </c>
      <c r="O2431" s="2">
        <v>5.7999999999999996E-2</v>
      </c>
      <c r="P2431" s="2">
        <v>0.628</v>
      </c>
      <c r="Q2431" s="2">
        <v>8.3000000000000004E-2</v>
      </c>
      <c r="R2431" s="11">
        <v>358131017</v>
      </c>
      <c r="S2431" s="11">
        <v>1568545</v>
      </c>
      <c r="T2431">
        <v>2015</v>
      </c>
      <c r="U2431">
        <v>9</v>
      </c>
      <c r="V2431">
        <f t="shared" si="222"/>
        <v>777500</v>
      </c>
      <c r="W2431">
        <f t="shared" si="223"/>
        <v>18429897</v>
      </c>
      <c r="X2431">
        <f t="shared" si="224"/>
        <v>17652397</v>
      </c>
      <c r="Y2431">
        <f t="shared" si="225"/>
        <v>-25701095.5</v>
      </c>
      <c r="Z2431">
        <f t="shared" si="226"/>
        <v>44908492.5</v>
      </c>
      <c r="AA2431" t="str">
        <f t="shared" si="227"/>
        <v>Normal</v>
      </c>
      <c r="AE2431" s="2"/>
      <c r="AF2431" s="2"/>
    </row>
    <row r="2432" spans="1:32" x14ac:dyDescent="0.35">
      <c r="A2432">
        <v>2431</v>
      </c>
      <c r="B2432" s="1">
        <v>42265</v>
      </c>
      <c r="C2432" s="9" t="s">
        <v>2769</v>
      </c>
      <c r="D2432" s="9" t="s">
        <v>5310</v>
      </c>
      <c r="E2432" s="9" t="s">
        <v>1111</v>
      </c>
      <c r="F2432" s="9" t="s">
        <v>15</v>
      </c>
      <c r="G2432" s="9" t="s">
        <v>3990</v>
      </c>
      <c r="H2432" s="9" t="s">
        <v>105</v>
      </c>
      <c r="I2432" s="11">
        <v>1150000</v>
      </c>
      <c r="J2432" s="11">
        <v>829204</v>
      </c>
      <c r="K2432" s="11">
        <v>9933906</v>
      </c>
      <c r="L2432" s="3">
        <v>186</v>
      </c>
      <c r="M2432" s="3">
        <v>3002</v>
      </c>
      <c r="N2432" s="3">
        <v>1635508</v>
      </c>
      <c r="O2432" s="2">
        <v>0.34100000000000003</v>
      </c>
      <c r="P2432" s="2">
        <v>0.53500000000000003</v>
      </c>
      <c r="Q2432" s="2">
        <v>0.45800000000000002</v>
      </c>
      <c r="R2432" s="11">
        <v>467776851</v>
      </c>
      <c r="S2432" s="11">
        <v>1359144</v>
      </c>
      <c r="T2432">
        <v>2015</v>
      </c>
      <c r="U2432">
        <v>9</v>
      </c>
      <c r="V2432">
        <f t="shared" si="222"/>
        <v>786250</v>
      </c>
      <c r="W2432">
        <f t="shared" si="223"/>
        <v>18429897</v>
      </c>
      <c r="X2432">
        <f t="shared" si="224"/>
        <v>17643647</v>
      </c>
      <c r="Y2432">
        <f t="shared" si="225"/>
        <v>-25679220.5</v>
      </c>
      <c r="Z2432">
        <f t="shared" si="226"/>
        <v>44895367.5</v>
      </c>
      <c r="AA2432" t="str">
        <f t="shared" si="227"/>
        <v>Normal</v>
      </c>
      <c r="AE2432" s="2"/>
      <c r="AF2432" s="2"/>
    </row>
    <row r="2433" spans="1:32" x14ac:dyDescent="0.35">
      <c r="A2433">
        <v>2432</v>
      </c>
      <c r="B2433" s="1">
        <v>42265</v>
      </c>
      <c r="C2433" s="9" t="s">
        <v>3991</v>
      </c>
      <c r="D2433" s="9" t="s">
        <v>5311</v>
      </c>
      <c r="E2433" s="9" t="s">
        <v>1111</v>
      </c>
      <c r="F2433" s="9" t="s">
        <v>27</v>
      </c>
      <c r="G2433" s="9" t="s">
        <v>193</v>
      </c>
      <c r="H2433" s="9" t="s">
        <v>86</v>
      </c>
      <c r="I2433" s="11">
        <v>150000</v>
      </c>
      <c r="J2433" s="11">
        <v>1587453</v>
      </c>
      <c r="K2433" s="11">
        <v>13807400</v>
      </c>
      <c r="L2433" s="3">
        <v>478</v>
      </c>
      <c r="M2433" s="3">
        <v>1125</v>
      </c>
      <c r="N2433" s="3">
        <v>433973</v>
      </c>
      <c r="O2433" s="2">
        <v>8.900000000000001E-2</v>
      </c>
      <c r="P2433" s="2">
        <v>0.50800000000000001</v>
      </c>
      <c r="Q2433" s="2">
        <v>-0.9</v>
      </c>
      <c r="R2433" s="11">
        <v>42252412</v>
      </c>
      <c r="S2433" s="11">
        <v>1782488</v>
      </c>
      <c r="T2433">
        <v>2015</v>
      </c>
      <c r="U2433">
        <v>9</v>
      </c>
      <c r="V2433">
        <f t="shared" si="222"/>
        <v>785000</v>
      </c>
      <c r="W2433">
        <f t="shared" si="223"/>
        <v>18429897</v>
      </c>
      <c r="X2433">
        <f t="shared" si="224"/>
        <v>17644897</v>
      </c>
      <c r="Y2433">
        <f t="shared" si="225"/>
        <v>-25682345.5</v>
      </c>
      <c r="Z2433">
        <f t="shared" si="226"/>
        <v>44897242.5</v>
      </c>
      <c r="AA2433" t="str">
        <f t="shared" si="227"/>
        <v>Normal</v>
      </c>
      <c r="AE2433" s="2"/>
      <c r="AF2433" s="2"/>
    </row>
    <row r="2434" spans="1:32" x14ac:dyDescent="0.35">
      <c r="A2434">
        <v>2433</v>
      </c>
      <c r="B2434" s="1">
        <v>42265</v>
      </c>
      <c r="C2434" s="9" t="s">
        <v>3992</v>
      </c>
      <c r="D2434" s="9" t="s">
        <v>5312</v>
      </c>
      <c r="E2434" s="9" t="s">
        <v>1111</v>
      </c>
      <c r="F2434" s="9" t="s">
        <v>19</v>
      </c>
      <c r="G2434" s="9" t="s">
        <v>3993</v>
      </c>
      <c r="H2434" s="9" t="s">
        <v>86</v>
      </c>
      <c r="I2434" s="11">
        <v>150000</v>
      </c>
      <c r="J2434" s="11">
        <v>2263294</v>
      </c>
      <c r="K2434" s="11">
        <v>5945888</v>
      </c>
      <c r="L2434" s="3">
        <v>103</v>
      </c>
      <c r="M2434" s="3">
        <v>699</v>
      </c>
      <c r="N2434" s="3">
        <v>542172</v>
      </c>
      <c r="O2434" s="2">
        <v>-0.16</v>
      </c>
      <c r="P2434" s="2">
        <v>0.64</v>
      </c>
      <c r="Q2434" s="2">
        <v>6.8000000000000005E-2</v>
      </c>
      <c r="R2434" s="11">
        <v>129255672</v>
      </c>
      <c r="S2434" s="11">
        <v>1931373</v>
      </c>
      <c r="T2434">
        <v>2015</v>
      </c>
      <c r="U2434">
        <v>9</v>
      </c>
      <c r="V2434">
        <f t="shared" ref="V2434:V2497" si="228">_xlfn.PERCENTILE.INC(I2434:I5477,0.25)</f>
        <v>788750</v>
      </c>
      <c r="W2434">
        <f t="shared" ref="W2434:W2497" si="229">_xlfn.PERCENTILE.INC(I2434:I5477,0.75)</f>
        <v>18429897</v>
      </c>
      <c r="X2434">
        <f t="shared" ref="X2434:X2497" si="230">W2434-V2434</f>
        <v>17641147</v>
      </c>
      <c r="Y2434">
        <f t="shared" ref="Y2434:Y2497" si="231">V2434-1.5*X2434</f>
        <v>-25672970.5</v>
      </c>
      <c r="Z2434">
        <f t="shared" ref="Z2434:Z2497" si="232">W2434+1.5*X2434</f>
        <v>44891617.5</v>
      </c>
      <c r="AA2434" t="str">
        <f t="shared" ref="AA2434:AA2497" si="233">IF(OR(I2434&lt;$Y$2, I2434&gt;$Z$2), "Outlier", "Normal")</f>
        <v>Normal</v>
      </c>
      <c r="AE2434" s="2"/>
      <c r="AF2434" s="2"/>
    </row>
    <row r="2435" spans="1:32" x14ac:dyDescent="0.35">
      <c r="A2435">
        <v>2434</v>
      </c>
      <c r="B2435" s="1">
        <v>42266</v>
      </c>
      <c r="C2435" s="9" t="s">
        <v>3994</v>
      </c>
      <c r="D2435" s="9" t="s">
        <v>4036</v>
      </c>
      <c r="E2435" s="9" t="s">
        <v>1111</v>
      </c>
      <c r="F2435" s="9" t="s">
        <v>15</v>
      </c>
      <c r="G2435" s="9" t="s">
        <v>3995</v>
      </c>
      <c r="H2435" s="9" t="s">
        <v>86</v>
      </c>
      <c r="I2435" s="11">
        <v>18429897</v>
      </c>
      <c r="J2435" s="11">
        <v>2829193</v>
      </c>
      <c r="K2435" s="11">
        <v>11979518</v>
      </c>
      <c r="L2435" s="3">
        <v>379</v>
      </c>
      <c r="M2435" s="3">
        <v>932</v>
      </c>
      <c r="N2435" s="3">
        <v>1598837</v>
      </c>
      <c r="O2435" s="2">
        <v>5.3999999999999999E-2</v>
      </c>
      <c r="P2435" s="2">
        <v>0.88600000000000001</v>
      </c>
      <c r="Q2435" s="2">
        <v>-9.0999999999999998E-2</v>
      </c>
      <c r="R2435" s="11">
        <v>167575403</v>
      </c>
      <c r="S2435" s="11">
        <v>63192</v>
      </c>
      <c r="T2435">
        <v>2015</v>
      </c>
      <c r="U2435">
        <v>9</v>
      </c>
      <c r="V2435">
        <f t="shared" si="228"/>
        <v>795000</v>
      </c>
      <c r="W2435">
        <f t="shared" si="229"/>
        <v>18429897</v>
      </c>
      <c r="X2435">
        <f t="shared" si="230"/>
        <v>17634897</v>
      </c>
      <c r="Y2435">
        <f t="shared" si="231"/>
        <v>-25657345.5</v>
      </c>
      <c r="Z2435">
        <f t="shared" si="232"/>
        <v>44882242.5</v>
      </c>
      <c r="AA2435" t="str">
        <f t="shared" si="233"/>
        <v>Normal</v>
      </c>
      <c r="AE2435" s="2"/>
      <c r="AF2435" s="2"/>
    </row>
    <row r="2436" spans="1:32" x14ac:dyDescent="0.35">
      <c r="A2436">
        <v>2435</v>
      </c>
      <c r="B2436" s="1">
        <v>42268</v>
      </c>
      <c r="C2436" s="9" t="s">
        <v>3996</v>
      </c>
      <c r="D2436" s="9" t="s">
        <v>5313</v>
      </c>
      <c r="E2436" s="9" t="s">
        <v>1111</v>
      </c>
      <c r="F2436" s="9" t="s">
        <v>15</v>
      </c>
      <c r="G2436" s="9" t="s">
        <v>3997</v>
      </c>
      <c r="H2436" s="9" t="s">
        <v>105</v>
      </c>
      <c r="I2436" s="11">
        <v>37500000</v>
      </c>
      <c r="J2436" s="11">
        <v>3204095</v>
      </c>
      <c r="K2436" s="11">
        <v>4945471</v>
      </c>
      <c r="L2436" s="3">
        <v>497</v>
      </c>
      <c r="M2436" s="3">
        <v>2110</v>
      </c>
      <c r="N2436" s="3">
        <v>1306861</v>
      </c>
      <c r="O2436" s="2">
        <v>-2.5000000000000001E-2</v>
      </c>
      <c r="P2436" s="2">
        <v>1.1140000000000001</v>
      </c>
      <c r="Q2436" s="2">
        <v>0.376</v>
      </c>
      <c r="R2436" s="11">
        <v>250264963</v>
      </c>
      <c r="S2436" s="11">
        <v>449926</v>
      </c>
      <c r="T2436">
        <v>2015</v>
      </c>
      <c r="U2436">
        <v>9</v>
      </c>
      <c r="V2436">
        <f t="shared" si="228"/>
        <v>792500</v>
      </c>
      <c r="W2436">
        <f t="shared" si="229"/>
        <v>18429897</v>
      </c>
      <c r="X2436">
        <f t="shared" si="230"/>
        <v>17637397</v>
      </c>
      <c r="Y2436">
        <f t="shared" si="231"/>
        <v>-25663595.5</v>
      </c>
      <c r="Z2436">
        <f t="shared" si="232"/>
        <v>44885992.5</v>
      </c>
      <c r="AA2436" t="str">
        <f t="shared" si="233"/>
        <v>Normal</v>
      </c>
      <c r="AE2436" s="2"/>
      <c r="AF2436" s="2"/>
    </row>
    <row r="2437" spans="1:32" x14ac:dyDescent="0.35">
      <c r="A2437">
        <v>2436</v>
      </c>
      <c r="B2437" s="1">
        <v>42268</v>
      </c>
      <c r="C2437" s="9" t="s">
        <v>3998</v>
      </c>
      <c r="D2437" s="9" t="s">
        <v>5314</v>
      </c>
      <c r="E2437" s="9" t="s">
        <v>1111</v>
      </c>
      <c r="F2437" s="9" t="s">
        <v>15</v>
      </c>
      <c r="G2437" s="9" t="s">
        <v>1487</v>
      </c>
      <c r="H2437" s="9" t="s">
        <v>86</v>
      </c>
      <c r="I2437" s="11">
        <v>235000</v>
      </c>
      <c r="J2437" s="11">
        <v>3389728</v>
      </c>
      <c r="K2437" s="11">
        <v>17796122</v>
      </c>
      <c r="L2437" s="3">
        <v>428</v>
      </c>
      <c r="M2437" s="3">
        <v>1109</v>
      </c>
      <c r="N2437" s="3">
        <v>499354</v>
      </c>
      <c r="O2437" s="2">
        <v>0.19500000000000001</v>
      </c>
      <c r="P2437" s="2">
        <v>0.39100000000000001</v>
      </c>
      <c r="Q2437" s="2">
        <v>-0.32200000000000001</v>
      </c>
      <c r="R2437" s="11">
        <v>327804075</v>
      </c>
      <c r="S2437" s="11">
        <v>1968269</v>
      </c>
      <c r="T2437">
        <v>2015</v>
      </c>
      <c r="U2437">
        <v>9</v>
      </c>
      <c r="V2437">
        <f t="shared" si="228"/>
        <v>790000</v>
      </c>
      <c r="W2437">
        <f t="shared" si="229"/>
        <v>18429897</v>
      </c>
      <c r="X2437">
        <f t="shared" si="230"/>
        <v>17639897</v>
      </c>
      <c r="Y2437">
        <f t="shared" si="231"/>
        <v>-25669845.5</v>
      </c>
      <c r="Z2437">
        <f t="shared" si="232"/>
        <v>44889742.5</v>
      </c>
      <c r="AA2437" t="str">
        <f t="shared" si="233"/>
        <v>Normal</v>
      </c>
      <c r="AE2437" s="2"/>
      <c r="AF2437" s="2"/>
    </row>
    <row r="2438" spans="1:32" x14ac:dyDescent="0.35">
      <c r="A2438">
        <v>2437</v>
      </c>
      <c r="B2438" s="1">
        <v>42268</v>
      </c>
      <c r="C2438" s="9" t="s">
        <v>3999</v>
      </c>
      <c r="D2438" s="9" t="s">
        <v>5315</v>
      </c>
      <c r="E2438" s="9" t="s">
        <v>1111</v>
      </c>
      <c r="F2438" s="9" t="s">
        <v>31</v>
      </c>
      <c r="G2438" s="9" t="s">
        <v>4000</v>
      </c>
      <c r="H2438" s="9" t="s">
        <v>86</v>
      </c>
      <c r="I2438" s="11">
        <v>18429897</v>
      </c>
      <c r="J2438" s="11">
        <v>4224549</v>
      </c>
      <c r="K2438" s="11">
        <v>1784996</v>
      </c>
      <c r="L2438" s="3">
        <v>360</v>
      </c>
      <c r="M2438" s="3">
        <v>1457</v>
      </c>
      <c r="N2438" s="3">
        <v>987948</v>
      </c>
      <c r="O2438" s="2">
        <v>6.3E-2</v>
      </c>
      <c r="P2438" s="2">
        <v>0.89200000000000002</v>
      </c>
      <c r="Q2438" s="2">
        <v>-0.10800000000000001</v>
      </c>
      <c r="R2438" s="11">
        <v>91491912</v>
      </c>
      <c r="S2438" s="11">
        <v>1553934</v>
      </c>
      <c r="T2438">
        <v>2015</v>
      </c>
      <c r="U2438">
        <v>9</v>
      </c>
      <c r="V2438">
        <f t="shared" si="228"/>
        <v>797500</v>
      </c>
      <c r="W2438">
        <f t="shared" si="229"/>
        <v>18429897</v>
      </c>
      <c r="X2438">
        <f t="shared" si="230"/>
        <v>17632397</v>
      </c>
      <c r="Y2438">
        <f t="shared" si="231"/>
        <v>-25651095.5</v>
      </c>
      <c r="Z2438">
        <f t="shared" si="232"/>
        <v>44878492.5</v>
      </c>
      <c r="AA2438" t="str">
        <f t="shared" si="233"/>
        <v>Normal</v>
      </c>
      <c r="AE2438" s="2"/>
      <c r="AF2438" s="2"/>
    </row>
    <row r="2439" spans="1:32" x14ac:dyDescent="0.35">
      <c r="A2439">
        <v>2438</v>
      </c>
      <c r="B2439" s="1">
        <v>42268</v>
      </c>
      <c r="C2439" s="9" t="s">
        <v>3636</v>
      </c>
      <c r="D2439" s="9" t="s">
        <v>4001</v>
      </c>
      <c r="E2439" s="9" t="s">
        <v>1111</v>
      </c>
      <c r="F2439" s="9" t="s">
        <v>31</v>
      </c>
      <c r="G2439" s="9" t="s">
        <v>2662</v>
      </c>
      <c r="H2439" s="9" t="s">
        <v>86</v>
      </c>
      <c r="I2439" s="11">
        <v>125000</v>
      </c>
      <c r="J2439" s="11">
        <v>349074</v>
      </c>
      <c r="K2439" s="11">
        <v>1433067</v>
      </c>
      <c r="L2439" s="3">
        <v>450</v>
      </c>
      <c r="M2439" s="3">
        <v>3444</v>
      </c>
      <c r="N2439" s="3">
        <v>1857878</v>
      </c>
      <c r="O2439" s="2">
        <v>0.14599999999999999</v>
      </c>
      <c r="P2439" s="2">
        <v>0.20699999999999999</v>
      </c>
      <c r="Q2439" s="2">
        <v>0.27800000000000002</v>
      </c>
      <c r="R2439" s="11">
        <v>64900804</v>
      </c>
      <c r="S2439" s="11">
        <v>1148500</v>
      </c>
      <c r="T2439">
        <v>2015</v>
      </c>
      <c r="U2439">
        <v>9</v>
      </c>
      <c r="V2439">
        <f t="shared" si="228"/>
        <v>795000</v>
      </c>
      <c r="W2439">
        <f t="shared" si="229"/>
        <v>18429897</v>
      </c>
      <c r="X2439">
        <f t="shared" si="230"/>
        <v>17634897</v>
      </c>
      <c r="Y2439">
        <f t="shared" si="231"/>
        <v>-25657345.5</v>
      </c>
      <c r="Z2439">
        <f t="shared" si="232"/>
        <v>44882242.5</v>
      </c>
      <c r="AA2439" t="str">
        <f t="shared" si="233"/>
        <v>Normal</v>
      </c>
      <c r="AE2439" s="2"/>
      <c r="AF2439" s="2"/>
    </row>
    <row r="2440" spans="1:32" x14ac:dyDescent="0.35">
      <c r="A2440">
        <v>2439</v>
      </c>
      <c r="B2440" s="1">
        <v>42268</v>
      </c>
      <c r="C2440" s="9" t="s">
        <v>4002</v>
      </c>
      <c r="D2440" s="9" t="s">
        <v>5316</v>
      </c>
      <c r="E2440" s="9" t="s">
        <v>1111</v>
      </c>
      <c r="F2440" s="9" t="s">
        <v>31</v>
      </c>
      <c r="G2440" s="9" t="s">
        <v>4003</v>
      </c>
      <c r="H2440" s="9" t="s">
        <v>86</v>
      </c>
      <c r="I2440" s="11">
        <v>18429897</v>
      </c>
      <c r="J2440" s="11">
        <v>1824372</v>
      </c>
      <c r="K2440" s="11">
        <v>850814</v>
      </c>
      <c r="L2440" s="3">
        <v>112</v>
      </c>
      <c r="M2440" s="3">
        <v>3367</v>
      </c>
      <c r="N2440" s="3">
        <v>411337</v>
      </c>
      <c r="O2440" s="2">
        <v>0.32300000000000001</v>
      </c>
      <c r="P2440" s="2">
        <v>1.0009999999999999</v>
      </c>
      <c r="Q2440" s="2">
        <v>0.36749999999999999</v>
      </c>
      <c r="R2440" s="11">
        <v>273697932</v>
      </c>
      <c r="S2440" s="11">
        <v>987490</v>
      </c>
      <c r="T2440">
        <v>2015</v>
      </c>
      <c r="U2440">
        <v>9</v>
      </c>
      <c r="V2440">
        <f t="shared" si="228"/>
        <v>800000</v>
      </c>
      <c r="W2440">
        <f t="shared" si="229"/>
        <v>18429897</v>
      </c>
      <c r="X2440">
        <f t="shared" si="230"/>
        <v>17629897</v>
      </c>
      <c r="Y2440">
        <f t="shared" si="231"/>
        <v>-25644845.5</v>
      </c>
      <c r="Z2440">
        <f t="shared" si="232"/>
        <v>44874742.5</v>
      </c>
      <c r="AA2440" t="str">
        <f t="shared" si="233"/>
        <v>Normal</v>
      </c>
      <c r="AE2440" s="2"/>
      <c r="AF2440" s="2"/>
    </row>
    <row r="2441" spans="1:32" x14ac:dyDescent="0.35">
      <c r="A2441">
        <v>2440</v>
      </c>
      <c r="B2441" s="1">
        <v>42269</v>
      </c>
      <c r="C2441" s="9" t="s">
        <v>4004</v>
      </c>
      <c r="D2441" s="9" t="s">
        <v>5317</v>
      </c>
      <c r="E2441" s="9" t="s">
        <v>1111</v>
      </c>
      <c r="F2441" s="9" t="s">
        <v>15</v>
      </c>
      <c r="G2441" s="9" t="s">
        <v>4005</v>
      </c>
      <c r="H2441" s="9" t="s">
        <v>86</v>
      </c>
      <c r="I2441" s="11">
        <v>18429897</v>
      </c>
      <c r="J2441" s="11">
        <v>2531926</v>
      </c>
      <c r="K2441" s="11">
        <v>7056998</v>
      </c>
      <c r="L2441" s="3">
        <v>491</v>
      </c>
      <c r="M2441" s="3">
        <v>4720</v>
      </c>
      <c r="N2441" s="3">
        <v>659584</v>
      </c>
      <c r="O2441" s="2">
        <v>0.41700000000000004</v>
      </c>
      <c r="P2441" s="2">
        <v>0.50800000000000001</v>
      </c>
      <c r="Q2441" s="2">
        <v>0.32100000000000001</v>
      </c>
      <c r="R2441" s="11">
        <v>171016983</v>
      </c>
      <c r="S2441" s="11">
        <v>1307198</v>
      </c>
      <c r="T2441">
        <v>2015</v>
      </c>
      <c r="U2441">
        <v>9</v>
      </c>
      <c r="V2441">
        <f t="shared" si="228"/>
        <v>800000</v>
      </c>
      <c r="W2441">
        <f t="shared" si="229"/>
        <v>18429897</v>
      </c>
      <c r="X2441">
        <f t="shared" si="230"/>
        <v>17629897</v>
      </c>
      <c r="Y2441">
        <f t="shared" si="231"/>
        <v>-25644845.5</v>
      </c>
      <c r="Z2441">
        <f t="shared" si="232"/>
        <v>44874742.5</v>
      </c>
      <c r="AA2441" t="str">
        <f t="shared" si="233"/>
        <v>Normal</v>
      </c>
      <c r="AE2441" s="2"/>
      <c r="AF2441" s="2"/>
    </row>
    <row r="2442" spans="1:32" x14ac:dyDescent="0.35">
      <c r="A2442">
        <v>2441</v>
      </c>
      <c r="B2442" s="1">
        <v>42269</v>
      </c>
      <c r="C2442" s="9" t="s">
        <v>4006</v>
      </c>
      <c r="D2442" s="9" t="s">
        <v>5318</v>
      </c>
      <c r="E2442" s="9" t="s">
        <v>1111</v>
      </c>
      <c r="F2442" s="9" t="s">
        <v>31</v>
      </c>
      <c r="G2442" s="9" t="s">
        <v>4007</v>
      </c>
      <c r="H2442" s="9" t="s">
        <v>105</v>
      </c>
      <c r="I2442" s="11">
        <v>3000000</v>
      </c>
      <c r="J2442" s="11">
        <v>67024</v>
      </c>
      <c r="K2442" s="11">
        <v>12164315</v>
      </c>
      <c r="L2442" s="3">
        <v>50</v>
      </c>
      <c r="M2442" s="3">
        <v>3831</v>
      </c>
      <c r="N2442" s="3">
        <v>1803028</v>
      </c>
      <c r="O2442" s="2">
        <v>0.17899999999999999</v>
      </c>
      <c r="P2442" s="2">
        <v>0.23899999999999999</v>
      </c>
      <c r="Q2442" s="2">
        <v>5.2000000000000005E-2</v>
      </c>
      <c r="R2442" s="11">
        <v>307847941</v>
      </c>
      <c r="S2442" s="11">
        <v>1467484</v>
      </c>
      <c r="T2442">
        <v>2015</v>
      </c>
      <c r="U2442">
        <v>9</v>
      </c>
      <c r="V2442">
        <f t="shared" si="228"/>
        <v>797500</v>
      </c>
      <c r="W2442">
        <f t="shared" si="229"/>
        <v>18429897</v>
      </c>
      <c r="X2442">
        <f t="shared" si="230"/>
        <v>17632397</v>
      </c>
      <c r="Y2442">
        <f t="shared" si="231"/>
        <v>-25651095.5</v>
      </c>
      <c r="Z2442">
        <f t="shared" si="232"/>
        <v>44878492.5</v>
      </c>
      <c r="AA2442" t="str">
        <f t="shared" si="233"/>
        <v>Normal</v>
      </c>
      <c r="AE2442" s="2"/>
      <c r="AF2442" s="2"/>
    </row>
    <row r="2443" spans="1:32" x14ac:dyDescent="0.35">
      <c r="A2443">
        <v>2442</v>
      </c>
      <c r="B2443" s="1">
        <v>42269</v>
      </c>
      <c r="C2443" s="9" t="s">
        <v>4008</v>
      </c>
      <c r="D2443" s="9" t="s">
        <v>5319</v>
      </c>
      <c r="E2443" s="9" t="s">
        <v>1111</v>
      </c>
      <c r="F2443" s="9" t="s">
        <v>27</v>
      </c>
      <c r="G2443" s="9" t="s">
        <v>3310</v>
      </c>
      <c r="H2443" s="9" t="s">
        <v>86</v>
      </c>
      <c r="I2443" s="11">
        <v>18429897</v>
      </c>
      <c r="J2443" s="11">
        <v>1077140</v>
      </c>
      <c r="K2443" s="11">
        <v>19711333</v>
      </c>
      <c r="L2443" s="3">
        <v>11</v>
      </c>
      <c r="M2443" s="3">
        <v>2150</v>
      </c>
      <c r="N2443" s="3">
        <v>1345803</v>
      </c>
      <c r="O2443" s="2">
        <v>0.33700000000000002</v>
      </c>
      <c r="P2443" s="2">
        <v>0.59399999999999997</v>
      </c>
      <c r="Q2443" s="2">
        <v>-6.8000000000000005E-2</v>
      </c>
      <c r="R2443" s="11">
        <v>499712790</v>
      </c>
      <c r="S2443" s="11">
        <v>457617</v>
      </c>
      <c r="T2443">
        <v>2015</v>
      </c>
      <c r="U2443">
        <v>9</v>
      </c>
      <c r="V2443">
        <f t="shared" si="228"/>
        <v>795000</v>
      </c>
      <c r="W2443">
        <f t="shared" si="229"/>
        <v>18429897</v>
      </c>
      <c r="X2443">
        <f t="shared" si="230"/>
        <v>17634897</v>
      </c>
      <c r="Y2443">
        <f t="shared" si="231"/>
        <v>-25657345.5</v>
      </c>
      <c r="Z2443">
        <f t="shared" si="232"/>
        <v>44882242.5</v>
      </c>
      <c r="AA2443" t="str">
        <f t="shared" si="233"/>
        <v>Normal</v>
      </c>
      <c r="AE2443" s="2"/>
      <c r="AF2443" s="2"/>
    </row>
    <row r="2444" spans="1:32" x14ac:dyDescent="0.35">
      <c r="A2444">
        <v>2443</v>
      </c>
      <c r="B2444" s="1">
        <v>42269</v>
      </c>
      <c r="C2444" s="9" t="s">
        <v>113</v>
      </c>
      <c r="D2444" s="9" t="s">
        <v>5320</v>
      </c>
      <c r="E2444" s="9" t="s">
        <v>1111</v>
      </c>
      <c r="F2444" s="9" t="s">
        <v>27</v>
      </c>
      <c r="G2444" s="9" t="s">
        <v>4009</v>
      </c>
      <c r="H2444" s="9" t="s">
        <v>86</v>
      </c>
      <c r="I2444" s="11">
        <v>18429897</v>
      </c>
      <c r="J2444" s="11">
        <v>2531926</v>
      </c>
      <c r="K2444" s="11">
        <v>9147455</v>
      </c>
      <c r="L2444" s="3">
        <v>103</v>
      </c>
      <c r="M2444" s="3">
        <v>4646</v>
      </c>
      <c r="N2444" s="3">
        <v>446094</v>
      </c>
      <c r="O2444" s="2">
        <v>8.5000000000000006E-2</v>
      </c>
      <c r="P2444" s="2">
        <v>1.093</v>
      </c>
      <c r="Q2444" s="2">
        <v>6.9000000000000006E-2</v>
      </c>
      <c r="R2444" s="11">
        <v>456619835</v>
      </c>
      <c r="S2444" s="11">
        <v>1008193.5</v>
      </c>
      <c r="T2444">
        <v>2015</v>
      </c>
      <c r="U2444">
        <v>9</v>
      </c>
      <c r="V2444">
        <f t="shared" si="228"/>
        <v>792500</v>
      </c>
      <c r="W2444">
        <f t="shared" si="229"/>
        <v>18429897</v>
      </c>
      <c r="X2444">
        <f t="shared" si="230"/>
        <v>17637397</v>
      </c>
      <c r="Y2444">
        <f t="shared" si="231"/>
        <v>-25663595.5</v>
      </c>
      <c r="Z2444">
        <f t="shared" si="232"/>
        <v>44885992.5</v>
      </c>
      <c r="AA2444" t="str">
        <f t="shared" si="233"/>
        <v>Normal</v>
      </c>
      <c r="AE2444" s="2"/>
      <c r="AF2444" s="2"/>
    </row>
    <row r="2445" spans="1:32" x14ac:dyDescent="0.35">
      <c r="A2445">
        <v>2444</v>
      </c>
      <c r="B2445" s="1">
        <v>42269</v>
      </c>
      <c r="C2445" s="9" t="s">
        <v>4010</v>
      </c>
      <c r="D2445" s="9" t="s">
        <v>4011</v>
      </c>
      <c r="E2445" s="9" t="s">
        <v>1111</v>
      </c>
      <c r="F2445" s="9" t="s">
        <v>15</v>
      </c>
      <c r="G2445" s="9" t="s">
        <v>4012</v>
      </c>
      <c r="H2445" s="9" t="s">
        <v>105</v>
      </c>
      <c r="I2445" s="11">
        <v>800000</v>
      </c>
      <c r="J2445" s="11">
        <v>4474667</v>
      </c>
      <c r="K2445" s="11">
        <v>3727478</v>
      </c>
      <c r="L2445" s="3">
        <v>306</v>
      </c>
      <c r="M2445" s="3">
        <v>4608</v>
      </c>
      <c r="N2445" s="3">
        <v>574076</v>
      </c>
      <c r="O2445" s="2">
        <v>-0.193</v>
      </c>
      <c r="P2445" s="2">
        <v>0.433</v>
      </c>
      <c r="Q2445" s="2">
        <v>-0.223</v>
      </c>
      <c r="R2445" s="11">
        <v>100593161</v>
      </c>
      <c r="S2445" s="11">
        <v>955282</v>
      </c>
      <c r="T2445">
        <v>2015</v>
      </c>
      <c r="U2445">
        <v>9</v>
      </c>
      <c r="V2445">
        <f t="shared" si="228"/>
        <v>790000</v>
      </c>
      <c r="W2445">
        <f t="shared" si="229"/>
        <v>18429897</v>
      </c>
      <c r="X2445">
        <f t="shared" si="230"/>
        <v>17639897</v>
      </c>
      <c r="Y2445">
        <f t="shared" si="231"/>
        <v>-25669845.5</v>
      </c>
      <c r="Z2445">
        <f t="shared" si="232"/>
        <v>44889742.5</v>
      </c>
      <c r="AA2445" t="str">
        <f t="shared" si="233"/>
        <v>Normal</v>
      </c>
      <c r="AE2445" s="2"/>
      <c r="AF2445" s="2"/>
    </row>
    <row r="2446" spans="1:32" x14ac:dyDescent="0.35">
      <c r="A2446">
        <v>2445</v>
      </c>
      <c r="B2446" s="1">
        <v>42269</v>
      </c>
      <c r="C2446" s="9" t="s">
        <v>4013</v>
      </c>
      <c r="D2446" s="9" t="s">
        <v>5321</v>
      </c>
      <c r="E2446" s="9" t="s">
        <v>1111</v>
      </c>
      <c r="F2446" s="9" t="s">
        <v>15</v>
      </c>
      <c r="G2446" s="9" t="s">
        <v>4014</v>
      </c>
      <c r="H2446" s="9" t="s">
        <v>86</v>
      </c>
      <c r="I2446" s="11">
        <v>400000</v>
      </c>
      <c r="J2446" s="11">
        <v>3872235</v>
      </c>
      <c r="K2446" s="11">
        <v>7428066</v>
      </c>
      <c r="L2446" s="3">
        <v>127</v>
      </c>
      <c r="M2446" s="3">
        <v>1149</v>
      </c>
      <c r="N2446" s="3">
        <v>1680966</v>
      </c>
      <c r="O2446" s="2">
        <v>-0.11599999999999999</v>
      </c>
      <c r="P2446" s="2">
        <v>0.48700000000000004</v>
      </c>
      <c r="Q2446" s="2">
        <v>0.36749999999999999</v>
      </c>
      <c r="R2446" s="11">
        <v>384404463</v>
      </c>
      <c r="S2446" s="11">
        <v>1523360</v>
      </c>
      <c r="T2446">
        <v>2015</v>
      </c>
      <c r="U2446">
        <v>9</v>
      </c>
      <c r="V2446">
        <f t="shared" si="228"/>
        <v>788750</v>
      </c>
      <c r="W2446">
        <f t="shared" si="229"/>
        <v>18429897</v>
      </c>
      <c r="X2446">
        <f t="shared" si="230"/>
        <v>17641147</v>
      </c>
      <c r="Y2446">
        <f t="shared" si="231"/>
        <v>-25672970.5</v>
      </c>
      <c r="Z2446">
        <f t="shared" si="232"/>
        <v>44891617.5</v>
      </c>
      <c r="AA2446" t="str">
        <f t="shared" si="233"/>
        <v>Normal</v>
      </c>
      <c r="AE2446" s="2"/>
      <c r="AF2446" s="2"/>
    </row>
    <row r="2447" spans="1:32" x14ac:dyDescent="0.35">
      <c r="A2447">
        <v>2446</v>
      </c>
      <c r="B2447" s="1">
        <v>42269</v>
      </c>
      <c r="C2447" s="9" t="s">
        <v>4015</v>
      </c>
      <c r="D2447" s="9" t="s">
        <v>5322</v>
      </c>
      <c r="E2447" s="9" t="s">
        <v>1111</v>
      </c>
      <c r="F2447" s="9" t="s">
        <v>31</v>
      </c>
      <c r="G2447" s="9" t="s">
        <v>106</v>
      </c>
      <c r="H2447" s="9" t="s">
        <v>105</v>
      </c>
      <c r="I2447" s="11">
        <v>10000000</v>
      </c>
      <c r="J2447" s="11">
        <v>3238527</v>
      </c>
      <c r="K2447" s="11">
        <v>2633935</v>
      </c>
      <c r="L2447" s="3">
        <v>318</v>
      </c>
      <c r="M2447" s="3">
        <v>898</v>
      </c>
      <c r="N2447" s="3">
        <v>1018455</v>
      </c>
      <c r="O2447" s="2">
        <v>8.1000000000000003E-2</v>
      </c>
      <c r="P2447" s="2">
        <v>0.36799999999999999</v>
      </c>
      <c r="Q2447" s="2">
        <v>0.32799999999999996</v>
      </c>
      <c r="R2447" s="11">
        <v>55766139</v>
      </c>
      <c r="S2447" s="11">
        <v>695017</v>
      </c>
      <c r="T2447">
        <v>2015</v>
      </c>
      <c r="U2447">
        <v>9</v>
      </c>
      <c r="V2447">
        <f t="shared" si="228"/>
        <v>795000</v>
      </c>
      <c r="W2447">
        <f t="shared" si="229"/>
        <v>18429897</v>
      </c>
      <c r="X2447">
        <f t="shared" si="230"/>
        <v>17634897</v>
      </c>
      <c r="Y2447">
        <f t="shared" si="231"/>
        <v>-25657345.5</v>
      </c>
      <c r="Z2447">
        <f t="shared" si="232"/>
        <v>44882242.5</v>
      </c>
      <c r="AA2447" t="str">
        <f t="shared" si="233"/>
        <v>Normal</v>
      </c>
      <c r="AE2447" s="2"/>
      <c r="AF2447" s="2"/>
    </row>
    <row r="2448" spans="1:32" x14ac:dyDescent="0.35">
      <c r="A2448">
        <v>2447</v>
      </c>
      <c r="B2448" s="1">
        <v>42269</v>
      </c>
      <c r="C2448" s="9" t="s">
        <v>4016</v>
      </c>
      <c r="D2448" s="9" t="s">
        <v>5323</v>
      </c>
      <c r="E2448" s="9" t="s">
        <v>1111</v>
      </c>
      <c r="F2448" s="9" t="s">
        <v>27</v>
      </c>
      <c r="G2448" s="9" t="s">
        <v>4017</v>
      </c>
      <c r="H2448" s="9" t="s">
        <v>86</v>
      </c>
      <c r="I2448" s="11">
        <v>300000</v>
      </c>
      <c r="J2448" s="11">
        <v>3895255</v>
      </c>
      <c r="K2448" s="11">
        <v>9492546</v>
      </c>
      <c r="L2448" s="3">
        <v>254</v>
      </c>
      <c r="M2448" s="3">
        <v>4429</v>
      </c>
      <c r="N2448" s="3">
        <v>1403340</v>
      </c>
      <c r="O2448" s="2">
        <v>0.27900000000000003</v>
      </c>
      <c r="P2448" s="2">
        <v>1.1819999999999999E-2</v>
      </c>
      <c r="Q2448" s="2">
        <v>0.36749999999999999</v>
      </c>
      <c r="R2448" s="11">
        <v>39834411</v>
      </c>
      <c r="S2448" s="11">
        <v>1677640</v>
      </c>
      <c r="T2448">
        <v>2015</v>
      </c>
      <c r="U2448">
        <v>9</v>
      </c>
      <c r="V2448">
        <f t="shared" si="228"/>
        <v>792500</v>
      </c>
      <c r="W2448">
        <f t="shared" si="229"/>
        <v>18429897</v>
      </c>
      <c r="X2448">
        <f t="shared" si="230"/>
        <v>17637397</v>
      </c>
      <c r="Y2448">
        <f t="shared" si="231"/>
        <v>-25663595.5</v>
      </c>
      <c r="Z2448">
        <f t="shared" si="232"/>
        <v>44885992.5</v>
      </c>
      <c r="AA2448" t="str">
        <f t="shared" si="233"/>
        <v>Normal</v>
      </c>
      <c r="AE2448" s="2"/>
      <c r="AF2448" s="2"/>
    </row>
    <row r="2449" spans="1:32" x14ac:dyDescent="0.35">
      <c r="A2449">
        <v>2448</v>
      </c>
      <c r="B2449" s="1">
        <v>42270</v>
      </c>
      <c r="C2449" s="9" t="s">
        <v>1628</v>
      </c>
      <c r="D2449" s="9" t="s">
        <v>5324</v>
      </c>
      <c r="E2449" s="9" t="s">
        <v>1111</v>
      </c>
      <c r="F2449" s="9" t="s">
        <v>19</v>
      </c>
      <c r="G2449" s="9" t="s">
        <v>4018</v>
      </c>
      <c r="H2449" s="9" t="s">
        <v>86</v>
      </c>
      <c r="I2449" s="11">
        <v>18429897</v>
      </c>
      <c r="J2449" s="11">
        <v>876362</v>
      </c>
      <c r="K2449" s="11">
        <v>14606542</v>
      </c>
      <c r="L2449" s="3">
        <v>350</v>
      </c>
      <c r="M2449" s="3">
        <v>4457</v>
      </c>
      <c r="N2449" s="3">
        <v>991595</v>
      </c>
      <c r="O2449" s="2">
        <v>8.1000000000000003E-2</v>
      </c>
      <c r="P2449" s="2">
        <v>0.63300000000000001</v>
      </c>
      <c r="Q2449" s="2">
        <v>9.1999999999999998E-2</v>
      </c>
      <c r="R2449" s="11">
        <v>228043111</v>
      </c>
      <c r="S2449" s="11">
        <v>813535</v>
      </c>
      <c r="T2449">
        <v>2015</v>
      </c>
      <c r="U2449">
        <v>9</v>
      </c>
      <c r="V2449">
        <f t="shared" si="228"/>
        <v>800000</v>
      </c>
      <c r="W2449">
        <f t="shared" si="229"/>
        <v>18429897</v>
      </c>
      <c r="X2449">
        <f t="shared" si="230"/>
        <v>17629897</v>
      </c>
      <c r="Y2449">
        <f t="shared" si="231"/>
        <v>-25644845.5</v>
      </c>
      <c r="Z2449">
        <f t="shared" si="232"/>
        <v>44874742.5</v>
      </c>
      <c r="AA2449" t="str">
        <f t="shared" si="233"/>
        <v>Normal</v>
      </c>
      <c r="AE2449" s="2"/>
      <c r="AF2449" s="2"/>
    </row>
    <row r="2450" spans="1:32" x14ac:dyDescent="0.35">
      <c r="A2450">
        <v>2449</v>
      </c>
      <c r="B2450" s="1">
        <v>42270</v>
      </c>
      <c r="C2450" s="9" t="s">
        <v>4019</v>
      </c>
      <c r="D2450" s="9" t="s">
        <v>5325</v>
      </c>
      <c r="E2450" s="9" t="s">
        <v>1111</v>
      </c>
      <c r="F2450" s="9" t="s">
        <v>15</v>
      </c>
      <c r="G2450" s="9" t="s">
        <v>4020</v>
      </c>
      <c r="H2450" s="9" t="s">
        <v>86</v>
      </c>
      <c r="I2450" s="11">
        <v>18429897</v>
      </c>
      <c r="J2450" s="11">
        <v>4202379</v>
      </c>
      <c r="K2450" s="11">
        <v>807104</v>
      </c>
      <c r="L2450" s="3">
        <v>118</v>
      </c>
      <c r="M2450" s="3">
        <v>4237</v>
      </c>
      <c r="N2450" s="3">
        <v>441895</v>
      </c>
      <c r="O2450" s="2">
        <v>0.35700000000000004</v>
      </c>
      <c r="P2450" s="2">
        <v>1.1479999999999999</v>
      </c>
      <c r="Q2450" s="2">
        <v>0.13100000000000001</v>
      </c>
      <c r="R2450" s="11">
        <v>139211535</v>
      </c>
      <c r="S2450" s="11">
        <v>935647</v>
      </c>
      <c r="T2450">
        <v>2015</v>
      </c>
      <c r="U2450">
        <v>9</v>
      </c>
      <c r="V2450">
        <f t="shared" si="228"/>
        <v>797500</v>
      </c>
      <c r="W2450">
        <f t="shared" si="229"/>
        <v>18429897</v>
      </c>
      <c r="X2450">
        <f t="shared" si="230"/>
        <v>17632397</v>
      </c>
      <c r="Y2450">
        <f t="shared" si="231"/>
        <v>-25651095.5</v>
      </c>
      <c r="Z2450">
        <f t="shared" si="232"/>
        <v>44878492.5</v>
      </c>
      <c r="AA2450" t="str">
        <f t="shared" si="233"/>
        <v>Normal</v>
      </c>
      <c r="AE2450" s="2"/>
      <c r="AF2450" s="2"/>
    </row>
    <row r="2451" spans="1:32" x14ac:dyDescent="0.35">
      <c r="A2451">
        <v>2450</v>
      </c>
      <c r="B2451" s="1">
        <v>42270</v>
      </c>
      <c r="C2451" s="9" t="s">
        <v>4021</v>
      </c>
      <c r="D2451" s="9" t="s">
        <v>5326</v>
      </c>
      <c r="E2451" s="9" t="s">
        <v>1111</v>
      </c>
      <c r="F2451" s="9" t="s">
        <v>4919</v>
      </c>
      <c r="G2451" s="9" t="s">
        <v>4022</v>
      </c>
      <c r="H2451" s="9" t="s">
        <v>105</v>
      </c>
      <c r="I2451" s="11">
        <v>1200000</v>
      </c>
      <c r="J2451" s="11">
        <v>4453514</v>
      </c>
      <c r="K2451" s="11">
        <v>15570959</v>
      </c>
      <c r="L2451" s="3">
        <v>264</v>
      </c>
      <c r="M2451" s="3">
        <v>2328</v>
      </c>
      <c r="N2451" s="3">
        <v>736475</v>
      </c>
      <c r="O2451" s="2">
        <v>0.48599999999999999</v>
      </c>
      <c r="P2451" s="2">
        <v>0.29199999999999998</v>
      </c>
      <c r="Q2451" s="2">
        <v>-0.29199999999999998</v>
      </c>
      <c r="R2451" s="11">
        <v>122330451</v>
      </c>
      <c r="S2451" s="11">
        <v>739707</v>
      </c>
      <c r="T2451">
        <v>2015</v>
      </c>
      <c r="U2451">
        <v>9</v>
      </c>
      <c r="V2451">
        <f t="shared" si="228"/>
        <v>795000</v>
      </c>
      <c r="W2451">
        <f t="shared" si="229"/>
        <v>18429897</v>
      </c>
      <c r="X2451">
        <f t="shared" si="230"/>
        <v>17634897</v>
      </c>
      <c r="Y2451">
        <f t="shared" si="231"/>
        <v>-25657345.5</v>
      </c>
      <c r="Z2451">
        <f t="shared" si="232"/>
        <v>44882242.5</v>
      </c>
      <c r="AA2451" t="str">
        <f t="shared" si="233"/>
        <v>Normal</v>
      </c>
      <c r="AE2451" s="2"/>
      <c r="AF2451" s="2"/>
    </row>
    <row r="2452" spans="1:32" x14ac:dyDescent="0.35">
      <c r="A2452">
        <v>2451</v>
      </c>
      <c r="B2452" s="1">
        <v>42270</v>
      </c>
      <c r="C2452" s="9" t="s">
        <v>4023</v>
      </c>
      <c r="D2452" s="9" t="s">
        <v>5327</v>
      </c>
      <c r="E2452" s="9" t="s">
        <v>1111</v>
      </c>
      <c r="F2452" s="9" t="s">
        <v>27</v>
      </c>
      <c r="G2452" s="9" t="s">
        <v>4024</v>
      </c>
      <c r="H2452" s="9" t="s">
        <v>105</v>
      </c>
      <c r="I2452" s="11">
        <v>2250000</v>
      </c>
      <c r="J2452" s="11">
        <v>493371</v>
      </c>
      <c r="K2452" s="11">
        <v>4648394</v>
      </c>
      <c r="L2452" s="3">
        <v>62</v>
      </c>
      <c r="M2452" s="3">
        <v>4319</v>
      </c>
      <c r="N2452" s="3">
        <v>1422675</v>
      </c>
      <c r="O2452" s="2">
        <v>-5.7999999999999996E-2</v>
      </c>
      <c r="P2452" s="2">
        <v>0.64900000000000002</v>
      </c>
      <c r="Q2452" s="2">
        <v>-0.28999999999999998</v>
      </c>
      <c r="R2452" s="11">
        <v>310209630</v>
      </c>
      <c r="S2452" s="11">
        <v>1056465</v>
      </c>
      <c r="T2452">
        <v>2015</v>
      </c>
      <c r="U2452">
        <v>9</v>
      </c>
      <c r="V2452">
        <f t="shared" si="228"/>
        <v>792500</v>
      </c>
      <c r="W2452">
        <f t="shared" si="229"/>
        <v>18429897</v>
      </c>
      <c r="X2452">
        <f t="shared" si="230"/>
        <v>17637397</v>
      </c>
      <c r="Y2452">
        <f t="shared" si="231"/>
        <v>-25663595.5</v>
      </c>
      <c r="Z2452">
        <f t="shared" si="232"/>
        <v>44885992.5</v>
      </c>
      <c r="AA2452" t="str">
        <f t="shared" si="233"/>
        <v>Normal</v>
      </c>
      <c r="AE2452" s="2"/>
      <c r="AF2452" s="2"/>
    </row>
    <row r="2453" spans="1:32" x14ac:dyDescent="0.35">
      <c r="A2453">
        <v>2452</v>
      </c>
      <c r="B2453" s="1">
        <v>42270</v>
      </c>
      <c r="C2453" s="9" t="s">
        <v>2245</v>
      </c>
      <c r="D2453" s="9" t="s">
        <v>5267</v>
      </c>
      <c r="E2453" s="9" t="s">
        <v>1111</v>
      </c>
      <c r="F2453" s="9" t="s">
        <v>27</v>
      </c>
      <c r="G2453" s="9" t="s">
        <v>4025</v>
      </c>
      <c r="H2453" s="9" t="s">
        <v>105</v>
      </c>
      <c r="I2453" s="11">
        <v>1750000</v>
      </c>
      <c r="J2453" s="11">
        <v>2360380</v>
      </c>
      <c r="K2453" s="11">
        <v>13478243</v>
      </c>
      <c r="L2453" s="3">
        <v>485</v>
      </c>
      <c r="M2453" s="3">
        <v>2505.5</v>
      </c>
      <c r="N2453" s="3">
        <v>1604243</v>
      </c>
      <c r="O2453" s="2">
        <v>1.6E-2</v>
      </c>
      <c r="P2453" s="2">
        <v>0.67400000000000004</v>
      </c>
      <c r="Q2453" s="2">
        <v>0.19500000000000001</v>
      </c>
      <c r="R2453" s="11">
        <v>404554808</v>
      </c>
      <c r="S2453" s="11">
        <v>336961</v>
      </c>
      <c r="T2453">
        <v>2015</v>
      </c>
      <c r="U2453">
        <v>9</v>
      </c>
      <c r="V2453">
        <f t="shared" si="228"/>
        <v>790000</v>
      </c>
      <c r="W2453">
        <f t="shared" si="229"/>
        <v>18429897</v>
      </c>
      <c r="X2453">
        <f t="shared" si="230"/>
        <v>17639897</v>
      </c>
      <c r="Y2453">
        <f t="shared" si="231"/>
        <v>-25669845.5</v>
      </c>
      <c r="Z2453">
        <f t="shared" si="232"/>
        <v>44889742.5</v>
      </c>
      <c r="AA2453" t="str">
        <f t="shared" si="233"/>
        <v>Normal</v>
      </c>
      <c r="AE2453" s="2"/>
      <c r="AF2453" s="2"/>
    </row>
    <row r="2454" spans="1:32" x14ac:dyDescent="0.35">
      <c r="A2454">
        <v>2453</v>
      </c>
      <c r="B2454" s="1">
        <v>42271</v>
      </c>
      <c r="C2454" s="9" t="s">
        <v>4026</v>
      </c>
      <c r="D2454" s="9" t="s">
        <v>5328</v>
      </c>
      <c r="E2454" s="9" t="s">
        <v>1111</v>
      </c>
      <c r="F2454" s="9" t="s">
        <v>15</v>
      </c>
      <c r="G2454" s="9" t="s">
        <v>4027</v>
      </c>
      <c r="H2454" s="9" t="s">
        <v>105</v>
      </c>
      <c r="I2454" s="11">
        <v>3300000</v>
      </c>
      <c r="J2454" s="11">
        <v>4153585</v>
      </c>
      <c r="K2454" s="11">
        <v>16328360</v>
      </c>
      <c r="L2454" s="3">
        <v>191</v>
      </c>
      <c r="M2454" s="3">
        <v>3715</v>
      </c>
      <c r="N2454" s="3">
        <v>52107</v>
      </c>
      <c r="O2454" s="2">
        <v>-0.20699999999999999</v>
      </c>
      <c r="P2454" s="2">
        <v>0.45600000000000002</v>
      </c>
      <c r="Q2454" s="2">
        <v>-0.3</v>
      </c>
      <c r="R2454" s="11">
        <v>270263392</v>
      </c>
      <c r="S2454" s="11">
        <v>391001</v>
      </c>
      <c r="T2454">
        <v>2015</v>
      </c>
      <c r="U2454">
        <v>9</v>
      </c>
      <c r="V2454">
        <f t="shared" si="228"/>
        <v>788750</v>
      </c>
      <c r="W2454">
        <f t="shared" si="229"/>
        <v>18429897</v>
      </c>
      <c r="X2454">
        <f t="shared" si="230"/>
        <v>17641147</v>
      </c>
      <c r="Y2454">
        <f t="shared" si="231"/>
        <v>-25672970.5</v>
      </c>
      <c r="Z2454">
        <f t="shared" si="232"/>
        <v>44891617.5</v>
      </c>
      <c r="AA2454" t="str">
        <f t="shared" si="233"/>
        <v>Normal</v>
      </c>
      <c r="AE2454" s="2"/>
      <c r="AF2454" s="2"/>
    </row>
    <row r="2455" spans="1:32" x14ac:dyDescent="0.35">
      <c r="A2455">
        <v>2454</v>
      </c>
      <c r="B2455" s="1">
        <v>42271</v>
      </c>
      <c r="C2455" s="9" t="s">
        <v>4028</v>
      </c>
      <c r="D2455" s="9" t="s">
        <v>5329</v>
      </c>
      <c r="E2455" s="9" t="s">
        <v>1111</v>
      </c>
      <c r="F2455" s="9" t="s">
        <v>63</v>
      </c>
      <c r="G2455" s="9" t="s">
        <v>4029</v>
      </c>
      <c r="H2455" s="9" t="s">
        <v>86</v>
      </c>
      <c r="I2455" s="11">
        <v>400000</v>
      </c>
      <c r="J2455" s="11">
        <v>2390936</v>
      </c>
      <c r="K2455" s="11">
        <v>15546296</v>
      </c>
      <c r="L2455" s="3">
        <v>304</v>
      </c>
      <c r="M2455" s="3">
        <v>3030</v>
      </c>
      <c r="N2455" s="3">
        <v>1811211</v>
      </c>
      <c r="O2455" s="2">
        <v>0.49</v>
      </c>
      <c r="P2455" s="2">
        <v>0.69700000000000006</v>
      </c>
      <c r="Q2455" s="2">
        <v>4.4999999999999998E-2</v>
      </c>
      <c r="R2455" s="11">
        <v>9181757</v>
      </c>
      <c r="S2455" s="11">
        <v>665350</v>
      </c>
      <c r="T2455">
        <v>2015</v>
      </c>
      <c r="U2455">
        <v>9</v>
      </c>
      <c r="V2455">
        <f t="shared" si="228"/>
        <v>787500</v>
      </c>
      <c r="W2455">
        <f t="shared" si="229"/>
        <v>18429897</v>
      </c>
      <c r="X2455">
        <f t="shared" si="230"/>
        <v>17642397</v>
      </c>
      <c r="Y2455">
        <f t="shared" si="231"/>
        <v>-25676095.5</v>
      </c>
      <c r="Z2455">
        <f t="shared" si="232"/>
        <v>44893492.5</v>
      </c>
      <c r="AA2455" t="str">
        <f t="shared" si="233"/>
        <v>Normal</v>
      </c>
      <c r="AE2455" s="2"/>
      <c r="AF2455" s="2"/>
    </row>
    <row r="2456" spans="1:32" x14ac:dyDescent="0.35">
      <c r="A2456">
        <v>2455</v>
      </c>
      <c r="B2456" s="1">
        <v>42271</v>
      </c>
      <c r="C2456" s="9" t="s">
        <v>4030</v>
      </c>
      <c r="D2456" s="9" t="s">
        <v>5330</v>
      </c>
      <c r="E2456" s="9" t="s">
        <v>1111</v>
      </c>
      <c r="F2456" s="9" t="s">
        <v>124</v>
      </c>
      <c r="G2456" s="9" t="s">
        <v>4031</v>
      </c>
      <c r="H2456" s="9" t="s">
        <v>105</v>
      </c>
      <c r="I2456" s="11">
        <v>2000000</v>
      </c>
      <c r="J2456" s="11">
        <v>4205553</v>
      </c>
      <c r="K2456" s="11">
        <v>10153449</v>
      </c>
      <c r="L2456" s="3">
        <v>245</v>
      </c>
      <c r="M2456" s="3">
        <v>1375</v>
      </c>
      <c r="N2456" s="3">
        <v>472619</v>
      </c>
      <c r="O2456" s="2">
        <v>0.113</v>
      </c>
      <c r="P2456" s="2">
        <v>0.55100000000000005</v>
      </c>
      <c r="Q2456" s="2">
        <v>0.254</v>
      </c>
      <c r="R2456" s="11">
        <v>498931713</v>
      </c>
      <c r="S2456" s="11">
        <v>1384287</v>
      </c>
      <c r="T2456">
        <v>2015</v>
      </c>
      <c r="U2456">
        <v>9</v>
      </c>
      <c r="V2456">
        <f t="shared" si="228"/>
        <v>792500</v>
      </c>
      <c r="W2456">
        <f t="shared" si="229"/>
        <v>18429897</v>
      </c>
      <c r="X2456">
        <f t="shared" si="230"/>
        <v>17637397</v>
      </c>
      <c r="Y2456">
        <f t="shared" si="231"/>
        <v>-25663595.5</v>
      </c>
      <c r="Z2456">
        <f t="shared" si="232"/>
        <v>44885992.5</v>
      </c>
      <c r="AA2456" t="str">
        <f t="shared" si="233"/>
        <v>Normal</v>
      </c>
      <c r="AE2456" s="2"/>
      <c r="AF2456" s="2"/>
    </row>
    <row r="2457" spans="1:32" x14ac:dyDescent="0.35">
      <c r="A2457">
        <v>2456</v>
      </c>
      <c r="B2457" s="1">
        <v>42271</v>
      </c>
      <c r="C2457" s="9" t="s">
        <v>54</v>
      </c>
      <c r="D2457" s="9" t="s">
        <v>5331</v>
      </c>
      <c r="E2457" s="9" t="s">
        <v>1111</v>
      </c>
      <c r="F2457" s="9" t="s">
        <v>15</v>
      </c>
      <c r="G2457" s="9" t="s">
        <v>4032</v>
      </c>
      <c r="H2457" s="9" t="s">
        <v>86</v>
      </c>
      <c r="I2457" s="11">
        <v>1000000</v>
      </c>
      <c r="J2457" s="11">
        <v>4678998</v>
      </c>
      <c r="K2457" s="11">
        <v>13905059</v>
      </c>
      <c r="L2457" s="3">
        <v>299</v>
      </c>
      <c r="M2457" s="3">
        <v>3748</v>
      </c>
      <c r="N2457" s="3">
        <v>1297602</v>
      </c>
      <c r="O2457" s="2">
        <v>1.6E-2</v>
      </c>
      <c r="P2457" s="2">
        <v>0.44700000000000001</v>
      </c>
      <c r="Q2457" s="2">
        <v>-0.13400000000000001</v>
      </c>
      <c r="R2457" s="11">
        <v>326312097</v>
      </c>
      <c r="S2457" s="11">
        <v>1481218</v>
      </c>
      <c r="T2457">
        <v>2015</v>
      </c>
      <c r="U2457">
        <v>9</v>
      </c>
      <c r="V2457">
        <f t="shared" si="228"/>
        <v>790000</v>
      </c>
      <c r="W2457">
        <f t="shared" si="229"/>
        <v>18429897</v>
      </c>
      <c r="X2457">
        <f t="shared" si="230"/>
        <v>17639897</v>
      </c>
      <c r="Y2457">
        <f t="shared" si="231"/>
        <v>-25669845.5</v>
      </c>
      <c r="Z2457">
        <f t="shared" si="232"/>
        <v>44889742.5</v>
      </c>
      <c r="AA2457" t="str">
        <f t="shared" si="233"/>
        <v>Normal</v>
      </c>
      <c r="AE2457" s="2"/>
      <c r="AF2457" s="2"/>
    </row>
    <row r="2458" spans="1:32" x14ac:dyDescent="0.35">
      <c r="A2458">
        <v>2457</v>
      </c>
      <c r="B2458" s="1">
        <v>42272</v>
      </c>
      <c r="C2458" s="9" t="s">
        <v>4033</v>
      </c>
      <c r="D2458" s="9" t="s">
        <v>4034</v>
      </c>
      <c r="E2458" s="9" t="s">
        <v>1111</v>
      </c>
      <c r="F2458" s="9" t="s">
        <v>27</v>
      </c>
      <c r="G2458" s="9" t="s">
        <v>4035</v>
      </c>
      <c r="H2458" s="9" t="s">
        <v>86</v>
      </c>
      <c r="I2458" s="11">
        <v>18429897</v>
      </c>
      <c r="J2458" s="11">
        <v>2383828</v>
      </c>
      <c r="K2458" s="11">
        <v>3833656</v>
      </c>
      <c r="L2458" s="3">
        <v>230</v>
      </c>
      <c r="M2458" s="3">
        <v>4395</v>
      </c>
      <c r="N2458" s="3">
        <v>570881</v>
      </c>
      <c r="O2458" s="2">
        <v>0.11800000000000001</v>
      </c>
      <c r="P2458" s="2">
        <v>0.56499999999999995</v>
      </c>
      <c r="Q2458" s="2">
        <v>-4.2000000000000003E-2</v>
      </c>
      <c r="R2458" s="11">
        <v>217237961</v>
      </c>
      <c r="S2458" s="11">
        <v>1288933</v>
      </c>
      <c r="T2458">
        <v>2015</v>
      </c>
      <c r="U2458">
        <v>9</v>
      </c>
      <c r="V2458">
        <f t="shared" si="228"/>
        <v>788750</v>
      </c>
      <c r="W2458">
        <f t="shared" si="229"/>
        <v>18429897</v>
      </c>
      <c r="X2458">
        <f t="shared" si="230"/>
        <v>17641147</v>
      </c>
      <c r="Y2458">
        <f t="shared" si="231"/>
        <v>-25672970.5</v>
      </c>
      <c r="Z2458">
        <f t="shared" si="232"/>
        <v>44891617.5</v>
      </c>
      <c r="AA2458" t="str">
        <f t="shared" si="233"/>
        <v>Normal</v>
      </c>
      <c r="AE2458" s="2"/>
      <c r="AF2458" s="2"/>
    </row>
    <row r="2459" spans="1:32" x14ac:dyDescent="0.35">
      <c r="A2459">
        <v>2458</v>
      </c>
      <c r="B2459" s="1">
        <v>42275</v>
      </c>
      <c r="C2459" s="9" t="s">
        <v>2627</v>
      </c>
      <c r="D2459" s="9" t="s">
        <v>4036</v>
      </c>
      <c r="E2459" s="9" t="s">
        <v>1111</v>
      </c>
      <c r="F2459" s="9" t="s">
        <v>27</v>
      </c>
      <c r="G2459" s="9" t="s">
        <v>4037</v>
      </c>
      <c r="H2459" s="9" t="s">
        <v>86</v>
      </c>
      <c r="I2459" s="11">
        <v>18429897</v>
      </c>
      <c r="J2459" s="11">
        <v>316243</v>
      </c>
      <c r="K2459" s="11">
        <v>2801836</v>
      </c>
      <c r="L2459" s="3">
        <v>41</v>
      </c>
      <c r="M2459" s="3">
        <v>4427</v>
      </c>
      <c r="N2459" s="3">
        <v>535449</v>
      </c>
      <c r="O2459" s="2">
        <v>-0.04</v>
      </c>
      <c r="P2459" s="2">
        <v>0.83499999999999996</v>
      </c>
      <c r="Q2459" s="2">
        <v>1.2E-2</v>
      </c>
      <c r="R2459" s="11">
        <v>250264963</v>
      </c>
      <c r="S2459" s="11">
        <v>550760</v>
      </c>
      <c r="T2459">
        <v>2015</v>
      </c>
      <c r="U2459">
        <v>9</v>
      </c>
      <c r="V2459">
        <f t="shared" si="228"/>
        <v>787500</v>
      </c>
      <c r="W2459">
        <f t="shared" si="229"/>
        <v>18429897</v>
      </c>
      <c r="X2459">
        <f t="shared" si="230"/>
        <v>17642397</v>
      </c>
      <c r="Y2459">
        <f t="shared" si="231"/>
        <v>-25676095.5</v>
      </c>
      <c r="Z2459">
        <f t="shared" si="232"/>
        <v>44893492.5</v>
      </c>
      <c r="AA2459" t="str">
        <f t="shared" si="233"/>
        <v>Normal</v>
      </c>
      <c r="AE2459" s="2"/>
      <c r="AF2459" s="2"/>
    </row>
    <row r="2460" spans="1:32" x14ac:dyDescent="0.35">
      <c r="A2460">
        <v>2459</v>
      </c>
      <c r="B2460" s="1">
        <v>42275</v>
      </c>
      <c r="C2460" s="9" t="s">
        <v>182</v>
      </c>
      <c r="D2460" s="9" t="s">
        <v>5332</v>
      </c>
      <c r="E2460" s="9" t="s">
        <v>1111</v>
      </c>
      <c r="F2460" s="9" t="s">
        <v>15</v>
      </c>
      <c r="G2460" s="9" t="s">
        <v>4038</v>
      </c>
      <c r="H2460" s="9" t="s">
        <v>105</v>
      </c>
      <c r="I2460" s="11">
        <v>30000000</v>
      </c>
      <c r="J2460" s="11">
        <v>1713462</v>
      </c>
      <c r="K2460" s="11">
        <v>7686939</v>
      </c>
      <c r="L2460" s="3">
        <v>415</v>
      </c>
      <c r="M2460" s="3">
        <v>3017</v>
      </c>
      <c r="N2460" s="3">
        <v>1778390</v>
      </c>
      <c r="O2460" s="2">
        <v>0.42</v>
      </c>
      <c r="P2460" s="2">
        <v>0.66799999999999993</v>
      </c>
      <c r="Q2460" s="2">
        <v>0.184</v>
      </c>
      <c r="R2460" s="11">
        <v>394001567</v>
      </c>
      <c r="S2460" s="11">
        <v>279921</v>
      </c>
      <c r="T2460">
        <v>2015</v>
      </c>
      <c r="U2460">
        <v>9</v>
      </c>
      <c r="V2460">
        <f t="shared" si="228"/>
        <v>786250</v>
      </c>
      <c r="W2460">
        <f t="shared" si="229"/>
        <v>18429897</v>
      </c>
      <c r="X2460">
        <f t="shared" si="230"/>
        <v>17643647</v>
      </c>
      <c r="Y2460">
        <f t="shared" si="231"/>
        <v>-25679220.5</v>
      </c>
      <c r="Z2460">
        <f t="shared" si="232"/>
        <v>44895367.5</v>
      </c>
      <c r="AA2460" t="str">
        <f t="shared" si="233"/>
        <v>Normal</v>
      </c>
      <c r="AE2460" s="2"/>
      <c r="AF2460" s="2"/>
    </row>
    <row r="2461" spans="1:32" x14ac:dyDescent="0.35">
      <c r="A2461">
        <v>2460</v>
      </c>
      <c r="B2461" s="1">
        <v>42276</v>
      </c>
      <c r="C2461" s="9" t="s">
        <v>106</v>
      </c>
      <c r="D2461" s="9" t="s">
        <v>5333</v>
      </c>
      <c r="E2461" s="9" t="s">
        <v>1111</v>
      </c>
      <c r="F2461" s="9" t="s">
        <v>27</v>
      </c>
      <c r="G2461" s="9" t="s">
        <v>4039</v>
      </c>
      <c r="H2461" s="9" t="s">
        <v>105</v>
      </c>
      <c r="I2461" s="11">
        <v>200000000</v>
      </c>
      <c r="J2461" s="11">
        <v>1091587</v>
      </c>
      <c r="K2461" s="11">
        <v>12203615</v>
      </c>
      <c r="L2461" s="3">
        <v>323</v>
      </c>
      <c r="M2461" s="3">
        <v>244</v>
      </c>
      <c r="N2461" s="3">
        <v>1401947</v>
      </c>
      <c r="O2461" s="2">
        <v>-1.8000000000000002E-2</v>
      </c>
      <c r="P2461" s="2">
        <v>0.60899999999999999</v>
      </c>
      <c r="Q2461" s="2">
        <v>0.36749999999999999</v>
      </c>
      <c r="R2461" s="11">
        <v>465832670</v>
      </c>
      <c r="S2461" s="11">
        <v>1487318</v>
      </c>
      <c r="T2461">
        <v>2015</v>
      </c>
      <c r="U2461">
        <v>9</v>
      </c>
      <c r="V2461">
        <f t="shared" si="228"/>
        <v>785000</v>
      </c>
      <c r="W2461">
        <f t="shared" si="229"/>
        <v>18429897</v>
      </c>
      <c r="X2461">
        <f t="shared" si="230"/>
        <v>17644897</v>
      </c>
      <c r="Y2461">
        <f t="shared" si="231"/>
        <v>-25682345.5</v>
      </c>
      <c r="Z2461">
        <f t="shared" si="232"/>
        <v>44897242.5</v>
      </c>
      <c r="AA2461" t="str">
        <f t="shared" si="233"/>
        <v>Outlier</v>
      </c>
      <c r="AE2461" s="2"/>
      <c r="AF2461" s="2"/>
    </row>
    <row r="2462" spans="1:32" x14ac:dyDescent="0.35">
      <c r="A2462">
        <v>2461</v>
      </c>
      <c r="B2462" s="1">
        <v>42276</v>
      </c>
      <c r="C2462" s="9" t="s">
        <v>4040</v>
      </c>
      <c r="D2462" s="9" t="s">
        <v>5334</v>
      </c>
      <c r="E2462" s="9" t="s">
        <v>1111</v>
      </c>
      <c r="F2462" s="9" t="s">
        <v>15</v>
      </c>
      <c r="G2462" s="9" t="s">
        <v>4041</v>
      </c>
      <c r="H2462" s="9" t="s">
        <v>105</v>
      </c>
      <c r="I2462" s="11">
        <v>100000000</v>
      </c>
      <c r="J2462" s="11">
        <v>2381093</v>
      </c>
      <c r="K2462" s="11">
        <v>12401498</v>
      </c>
      <c r="L2462" s="3">
        <v>130</v>
      </c>
      <c r="M2462" s="3">
        <v>3716</v>
      </c>
      <c r="N2462" s="3">
        <v>1830783</v>
      </c>
      <c r="O2462" s="2">
        <v>0.7</v>
      </c>
      <c r="P2462" s="2">
        <v>1.0540000000000001E-2</v>
      </c>
      <c r="Q2462" s="2">
        <v>-5.7999999999999996E-2</v>
      </c>
      <c r="R2462" s="11">
        <v>33631243</v>
      </c>
      <c r="S2462" s="11">
        <v>1328644</v>
      </c>
      <c r="T2462">
        <v>2015</v>
      </c>
      <c r="U2462">
        <v>9</v>
      </c>
      <c r="V2462">
        <f t="shared" si="228"/>
        <v>781250</v>
      </c>
      <c r="W2462">
        <f t="shared" si="229"/>
        <v>18429897</v>
      </c>
      <c r="X2462">
        <f t="shared" si="230"/>
        <v>17648647</v>
      </c>
      <c r="Y2462">
        <f t="shared" si="231"/>
        <v>-25691720.5</v>
      </c>
      <c r="Z2462">
        <f t="shared" si="232"/>
        <v>44902867.5</v>
      </c>
      <c r="AA2462" t="str">
        <f t="shared" si="233"/>
        <v>Outlier</v>
      </c>
      <c r="AE2462" s="2"/>
      <c r="AF2462" s="2"/>
    </row>
    <row r="2463" spans="1:32" x14ac:dyDescent="0.35">
      <c r="A2463">
        <v>2462</v>
      </c>
      <c r="B2463" s="1">
        <v>42276</v>
      </c>
      <c r="C2463" s="9" t="s">
        <v>3625</v>
      </c>
      <c r="D2463" s="9" t="s">
        <v>5335</v>
      </c>
      <c r="E2463" s="9" t="s">
        <v>1111</v>
      </c>
      <c r="F2463" s="9" t="s">
        <v>19</v>
      </c>
      <c r="G2463" s="9" t="s">
        <v>4042</v>
      </c>
      <c r="H2463" s="9" t="s">
        <v>105</v>
      </c>
      <c r="I2463" s="11">
        <v>36000000</v>
      </c>
      <c r="J2463" s="11">
        <v>2937141</v>
      </c>
      <c r="K2463" s="11">
        <v>10153449</v>
      </c>
      <c r="L2463" s="3">
        <v>46</v>
      </c>
      <c r="M2463" s="3">
        <v>1304</v>
      </c>
      <c r="N2463" s="3">
        <v>41824</v>
      </c>
      <c r="O2463" s="2">
        <v>-0.156</v>
      </c>
      <c r="P2463" s="2">
        <v>0.84499999999999997</v>
      </c>
      <c r="Q2463" s="2">
        <v>0.36749999999999999</v>
      </c>
      <c r="R2463" s="11">
        <v>456872525</v>
      </c>
      <c r="S2463" s="11">
        <v>935650</v>
      </c>
      <c r="T2463">
        <v>2015</v>
      </c>
      <c r="U2463">
        <v>9</v>
      </c>
      <c r="V2463">
        <f t="shared" si="228"/>
        <v>777500</v>
      </c>
      <c r="W2463">
        <f t="shared" si="229"/>
        <v>18429897</v>
      </c>
      <c r="X2463">
        <f t="shared" si="230"/>
        <v>17652397</v>
      </c>
      <c r="Y2463">
        <f t="shared" si="231"/>
        <v>-25701095.5</v>
      </c>
      <c r="Z2463">
        <f t="shared" si="232"/>
        <v>44908492.5</v>
      </c>
      <c r="AA2463" t="str">
        <f t="shared" si="233"/>
        <v>Normal</v>
      </c>
      <c r="AE2463" s="2"/>
      <c r="AF2463" s="2"/>
    </row>
    <row r="2464" spans="1:32" x14ac:dyDescent="0.35">
      <c r="A2464">
        <v>2463</v>
      </c>
      <c r="B2464" s="1">
        <v>42276</v>
      </c>
      <c r="C2464" s="9" t="s">
        <v>4043</v>
      </c>
      <c r="D2464" s="9" t="s">
        <v>5336</v>
      </c>
      <c r="E2464" s="9" t="s">
        <v>1111</v>
      </c>
      <c r="F2464" s="9" t="s">
        <v>41</v>
      </c>
      <c r="G2464" s="9" t="s">
        <v>4044</v>
      </c>
      <c r="H2464" s="9" t="s">
        <v>86</v>
      </c>
      <c r="I2464" s="11">
        <v>18429897</v>
      </c>
      <c r="J2464" s="11">
        <v>2330214</v>
      </c>
      <c r="K2464" s="11">
        <v>6239073</v>
      </c>
      <c r="L2464" s="3">
        <v>444</v>
      </c>
      <c r="M2464" s="3">
        <v>1066</v>
      </c>
      <c r="N2464" s="3">
        <v>542057</v>
      </c>
      <c r="O2464" s="2">
        <v>-2.5999999999999999E-2</v>
      </c>
      <c r="P2464" s="2">
        <v>0.83700000000000008</v>
      </c>
      <c r="Q2464" s="2">
        <v>0.11</v>
      </c>
      <c r="R2464" s="11">
        <v>218225710</v>
      </c>
      <c r="S2464" s="11">
        <v>932988</v>
      </c>
      <c r="T2464">
        <v>2015</v>
      </c>
      <c r="U2464">
        <v>9</v>
      </c>
      <c r="V2464">
        <f t="shared" si="228"/>
        <v>773750</v>
      </c>
      <c r="W2464">
        <f t="shared" si="229"/>
        <v>18429897</v>
      </c>
      <c r="X2464">
        <f t="shared" si="230"/>
        <v>17656147</v>
      </c>
      <c r="Y2464">
        <f t="shared" si="231"/>
        <v>-25710470.5</v>
      </c>
      <c r="Z2464">
        <f t="shared" si="232"/>
        <v>44914117.5</v>
      </c>
      <c r="AA2464" t="str">
        <f t="shared" si="233"/>
        <v>Normal</v>
      </c>
      <c r="AE2464" s="2"/>
      <c r="AF2464" s="2"/>
    </row>
    <row r="2465" spans="1:32" x14ac:dyDescent="0.35">
      <c r="A2465">
        <v>2464</v>
      </c>
      <c r="B2465" s="1">
        <v>42276</v>
      </c>
      <c r="C2465" s="9" t="s">
        <v>4045</v>
      </c>
      <c r="D2465" s="9" t="s">
        <v>5337</v>
      </c>
      <c r="E2465" s="9" t="s">
        <v>1111</v>
      </c>
      <c r="F2465" s="9" t="s">
        <v>35</v>
      </c>
      <c r="G2465" s="9" t="s">
        <v>825</v>
      </c>
      <c r="H2465" s="9" t="s">
        <v>86</v>
      </c>
      <c r="I2465" s="11">
        <v>18429897</v>
      </c>
      <c r="J2465" s="11">
        <v>993522</v>
      </c>
      <c r="K2465" s="11">
        <v>17323780</v>
      </c>
      <c r="L2465" s="3">
        <v>169</v>
      </c>
      <c r="M2465" s="3">
        <v>438</v>
      </c>
      <c r="N2465" s="3">
        <v>97288</v>
      </c>
      <c r="O2465" s="2">
        <v>-0.02</v>
      </c>
      <c r="P2465" s="2">
        <v>0.42200000000000004</v>
      </c>
      <c r="Q2465" s="2">
        <v>0.26400000000000001</v>
      </c>
      <c r="R2465" s="11">
        <v>400435960</v>
      </c>
      <c r="S2465" s="11">
        <v>1945338</v>
      </c>
      <c r="T2465">
        <v>2015</v>
      </c>
      <c r="U2465">
        <v>9</v>
      </c>
      <c r="V2465">
        <f t="shared" si="228"/>
        <v>770000</v>
      </c>
      <c r="W2465">
        <f t="shared" si="229"/>
        <v>18429897</v>
      </c>
      <c r="X2465">
        <f t="shared" si="230"/>
        <v>17659897</v>
      </c>
      <c r="Y2465">
        <f t="shared" si="231"/>
        <v>-25719845.5</v>
      </c>
      <c r="Z2465">
        <f t="shared" si="232"/>
        <v>44919742.5</v>
      </c>
      <c r="AA2465" t="str">
        <f t="shared" si="233"/>
        <v>Normal</v>
      </c>
      <c r="AE2465" s="2"/>
      <c r="AF2465" s="2"/>
    </row>
    <row r="2466" spans="1:32" x14ac:dyDescent="0.35">
      <c r="A2466">
        <v>2465</v>
      </c>
      <c r="B2466" s="1">
        <v>42276</v>
      </c>
      <c r="C2466" s="9" t="s">
        <v>4046</v>
      </c>
      <c r="D2466" s="9" t="s">
        <v>5338</v>
      </c>
      <c r="E2466" s="9" t="s">
        <v>1111</v>
      </c>
      <c r="F2466" s="9" t="s">
        <v>27</v>
      </c>
      <c r="G2466" s="9" t="s">
        <v>4047</v>
      </c>
      <c r="H2466" s="9" t="s">
        <v>86</v>
      </c>
      <c r="I2466" s="11">
        <v>350000</v>
      </c>
      <c r="J2466" s="11">
        <v>1519801</v>
      </c>
      <c r="K2466" s="11">
        <v>9038043</v>
      </c>
      <c r="L2466" s="3">
        <v>454</v>
      </c>
      <c r="M2466" s="3">
        <v>829</v>
      </c>
      <c r="N2466" s="3">
        <v>949369</v>
      </c>
      <c r="O2466" s="2">
        <v>1.6E-2</v>
      </c>
      <c r="P2466" s="2">
        <v>0.95</v>
      </c>
      <c r="Q2466" s="2">
        <v>-0.35200000000000004</v>
      </c>
      <c r="R2466" s="11">
        <v>21250830</v>
      </c>
      <c r="S2466" s="11">
        <v>1255773</v>
      </c>
      <c r="T2466">
        <v>2015</v>
      </c>
      <c r="U2466">
        <v>9</v>
      </c>
      <c r="V2466">
        <f t="shared" si="228"/>
        <v>752500</v>
      </c>
      <c r="W2466">
        <f t="shared" si="229"/>
        <v>18429897</v>
      </c>
      <c r="X2466">
        <f t="shared" si="230"/>
        <v>17677397</v>
      </c>
      <c r="Y2466">
        <f t="shared" si="231"/>
        <v>-25763595.5</v>
      </c>
      <c r="Z2466">
        <f t="shared" si="232"/>
        <v>44945992.5</v>
      </c>
      <c r="AA2466" t="str">
        <f t="shared" si="233"/>
        <v>Normal</v>
      </c>
      <c r="AE2466" s="2"/>
      <c r="AF2466" s="2"/>
    </row>
    <row r="2467" spans="1:32" x14ac:dyDescent="0.35">
      <c r="A2467">
        <v>2466</v>
      </c>
      <c r="B2467" s="1">
        <v>42276</v>
      </c>
      <c r="C2467" s="9" t="s">
        <v>4048</v>
      </c>
      <c r="D2467" s="9" t="s">
        <v>5339</v>
      </c>
      <c r="E2467" s="9" t="s">
        <v>1111</v>
      </c>
      <c r="F2467" s="9" t="s">
        <v>15</v>
      </c>
      <c r="G2467" s="9" t="s">
        <v>4049</v>
      </c>
      <c r="H2467" s="9" t="s">
        <v>86</v>
      </c>
      <c r="I2467" s="11">
        <v>18429897</v>
      </c>
      <c r="J2467" s="11">
        <v>3404044</v>
      </c>
      <c r="K2467" s="11">
        <v>5000081</v>
      </c>
      <c r="L2467" s="3">
        <v>384</v>
      </c>
      <c r="M2467" s="3">
        <v>2475</v>
      </c>
      <c r="N2467" s="3">
        <v>923416</v>
      </c>
      <c r="O2467" s="2">
        <v>8.5000000000000006E-2</v>
      </c>
      <c r="P2467" s="2">
        <v>0.23699999999999999</v>
      </c>
      <c r="Q2467" s="2">
        <v>-0.222</v>
      </c>
      <c r="R2467" s="11">
        <v>215091182</v>
      </c>
      <c r="S2467" s="11">
        <v>728026</v>
      </c>
      <c r="T2467">
        <v>2015</v>
      </c>
      <c r="U2467">
        <v>9</v>
      </c>
      <c r="V2467">
        <f t="shared" si="228"/>
        <v>777500</v>
      </c>
      <c r="W2467">
        <f t="shared" si="229"/>
        <v>18429897</v>
      </c>
      <c r="X2467">
        <f t="shared" si="230"/>
        <v>17652397</v>
      </c>
      <c r="Y2467">
        <f t="shared" si="231"/>
        <v>-25701095.5</v>
      </c>
      <c r="Z2467">
        <f t="shared" si="232"/>
        <v>44908492.5</v>
      </c>
      <c r="AA2467" t="str">
        <f t="shared" si="233"/>
        <v>Normal</v>
      </c>
      <c r="AE2467" s="2"/>
      <c r="AF2467" s="2"/>
    </row>
    <row r="2468" spans="1:32" x14ac:dyDescent="0.35">
      <c r="A2468">
        <v>2467</v>
      </c>
      <c r="B2468" s="1">
        <v>42277</v>
      </c>
      <c r="C2468" s="9" t="s">
        <v>4050</v>
      </c>
      <c r="D2468" s="9" t="s">
        <v>5340</v>
      </c>
      <c r="E2468" s="9" t="s">
        <v>1111</v>
      </c>
      <c r="F2468" s="9" t="s">
        <v>4920</v>
      </c>
      <c r="G2468" s="9" t="s">
        <v>4051</v>
      </c>
      <c r="H2468" s="9" t="s">
        <v>105</v>
      </c>
      <c r="I2468" s="11">
        <v>5000000</v>
      </c>
      <c r="J2468" s="11">
        <v>154375</v>
      </c>
      <c r="K2468" s="11">
        <v>10153449</v>
      </c>
      <c r="L2468" s="3">
        <v>480</v>
      </c>
      <c r="M2468" s="3">
        <v>1420</v>
      </c>
      <c r="N2468" s="3">
        <v>1963248</v>
      </c>
      <c r="O2468" s="2">
        <v>-0.10299999999999999</v>
      </c>
      <c r="P2468" s="2">
        <v>0.41399999999999998</v>
      </c>
      <c r="Q2468" s="2">
        <v>0.24600000000000002</v>
      </c>
      <c r="R2468" s="11">
        <v>285434447</v>
      </c>
      <c r="S2468" s="11">
        <v>664519</v>
      </c>
      <c r="T2468">
        <v>2015</v>
      </c>
      <c r="U2468">
        <v>9</v>
      </c>
      <c r="V2468">
        <f t="shared" si="228"/>
        <v>773750</v>
      </c>
      <c r="W2468">
        <f t="shared" si="229"/>
        <v>18429897</v>
      </c>
      <c r="X2468">
        <f t="shared" si="230"/>
        <v>17656147</v>
      </c>
      <c r="Y2468">
        <f t="shared" si="231"/>
        <v>-25710470.5</v>
      </c>
      <c r="Z2468">
        <f t="shared" si="232"/>
        <v>44914117.5</v>
      </c>
      <c r="AA2468" t="str">
        <f t="shared" si="233"/>
        <v>Normal</v>
      </c>
      <c r="AE2468" s="2"/>
      <c r="AF2468" s="2"/>
    </row>
    <row r="2469" spans="1:32" x14ac:dyDescent="0.35">
      <c r="A2469">
        <v>2468</v>
      </c>
      <c r="B2469" s="1">
        <v>42277</v>
      </c>
      <c r="C2469" s="9" t="s">
        <v>3465</v>
      </c>
      <c r="D2469" s="9" t="s">
        <v>5341</v>
      </c>
      <c r="E2469" s="9" t="s">
        <v>1111</v>
      </c>
      <c r="F2469" s="9" t="s">
        <v>63</v>
      </c>
      <c r="G2469" s="9" t="s">
        <v>1533</v>
      </c>
      <c r="H2469" s="9" t="s">
        <v>86</v>
      </c>
      <c r="I2469" s="11">
        <v>1000000</v>
      </c>
      <c r="J2469" s="11">
        <v>1086179</v>
      </c>
      <c r="K2469" s="11">
        <v>10153449</v>
      </c>
      <c r="L2469" s="3">
        <v>331</v>
      </c>
      <c r="M2469" s="3">
        <v>1939</v>
      </c>
      <c r="N2469" s="3">
        <v>1018455</v>
      </c>
      <c r="O2469" s="2">
        <v>0.439</v>
      </c>
      <c r="P2469" s="2">
        <v>0.61299999999999999</v>
      </c>
      <c r="Q2469" s="2">
        <v>0.04</v>
      </c>
      <c r="R2469" s="11">
        <v>213456495</v>
      </c>
      <c r="S2469" s="11">
        <v>1928090</v>
      </c>
      <c r="T2469">
        <v>2015</v>
      </c>
      <c r="U2469">
        <v>9</v>
      </c>
      <c r="V2469">
        <f t="shared" si="228"/>
        <v>770000</v>
      </c>
      <c r="W2469">
        <f t="shared" si="229"/>
        <v>18429897</v>
      </c>
      <c r="X2469">
        <f t="shared" si="230"/>
        <v>17659897</v>
      </c>
      <c r="Y2469">
        <f t="shared" si="231"/>
        <v>-25719845.5</v>
      </c>
      <c r="Z2469">
        <f t="shared" si="232"/>
        <v>44919742.5</v>
      </c>
      <c r="AA2469" t="str">
        <f t="shared" si="233"/>
        <v>Normal</v>
      </c>
      <c r="AE2469" s="2"/>
      <c r="AF2469" s="2"/>
    </row>
    <row r="2470" spans="1:32" x14ac:dyDescent="0.35">
      <c r="A2470">
        <v>2469</v>
      </c>
      <c r="B2470" s="1">
        <v>42277</v>
      </c>
      <c r="C2470" s="9" t="s">
        <v>4052</v>
      </c>
      <c r="D2470" s="9" t="s">
        <v>5342</v>
      </c>
      <c r="E2470" s="9" t="s">
        <v>1111</v>
      </c>
      <c r="F2470" s="9" t="s">
        <v>19</v>
      </c>
      <c r="G2470" s="9" t="s">
        <v>4053</v>
      </c>
      <c r="H2470" s="9" t="s">
        <v>86</v>
      </c>
      <c r="I2470" s="11">
        <v>18429897</v>
      </c>
      <c r="J2470" s="11">
        <v>4463860</v>
      </c>
      <c r="K2470" s="11">
        <v>8165720</v>
      </c>
      <c r="L2470" s="3">
        <v>94</v>
      </c>
      <c r="M2470" s="3">
        <v>2581</v>
      </c>
      <c r="N2470" s="3">
        <v>1331988</v>
      </c>
      <c r="O2470" s="2">
        <v>8.8999999999999996E-2</v>
      </c>
      <c r="P2470" s="2">
        <v>1.089</v>
      </c>
      <c r="Q2470" s="2">
        <v>3.0000000000000001E-3</v>
      </c>
      <c r="R2470" s="11">
        <v>30998865</v>
      </c>
      <c r="S2470" s="11">
        <v>982071</v>
      </c>
      <c r="T2470">
        <v>2015</v>
      </c>
      <c r="U2470">
        <v>9</v>
      </c>
      <c r="V2470">
        <f t="shared" si="228"/>
        <v>752500</v>
      </c>
      <c r="W2470">
        <f t="shared" si="229"/>
        <v>18429897</v>
      </c>
      <c r="X2470">
        <f t="shared" si="230"/>
        <v>17677397</v>
      </c>
      <c r="Y2470">
        <f t="shared" si="231"/>
        <v>-25763595.5</v>
      </c>
      <c r="Z2470">
        <f t="shared" si="232"/>
        <v>44945992.5</v>
      </c>
      <c r="AA2470" t="str">
        <f t="shared" si="233"/>
        <v>Normal</v>
      </c>
      <c r="AE2470" s="2"/>
      <c r="AF2470" s="2"/>
    </row>
    <row r="2471" spans="1:32" x14ac:dyDescent="0.35">
      <c r="A2471">
        <v>2470</v>
      </c>
      <c r="B2471" s="1">
        <v>42277</v>
      </c>
      <c r="C2471" s="9" t="s">
        <v>4054</v>
      </c>
      <c r="D2471" s="9" t="s">
        <v>5343</v>
      </c>
      <c r="E2471" s="9" t="s">
        <v>1111</v>
      </c>
      <c r="F2471" s="9" t="s">
        <v>15</v>
      </c>
      <c r="G2471" s="9" t="s">
        <v>4055</v>
      </c>
      <c r="H2471" s="9" t="s">
        <v>86</v>
      </c>
      <c r="I2471" s="11">
        <v>1000000</v>
      </c>
      <c r="J2471" s="11">
        <v>513801</v>
      </c>
      <c r="K2471" s="11">
        <v>15643699</v>
      </c>
      <c r="L2471" s="3">
        <v>22</v>
      </c>
      <c r="M2471" s="3">
        <v>2659</v>
      </c>
      <c r="N2471" s="3">
        <v>1988650</v>
      </c>
      <c r="O2471" s="2">
        <v>0.19500000000000001</v>
      </c>
      <c r="P2471" s="2">
        <v>0.22800000000000001</v>
      </c>
      <c r="Q2471" s="2">
        <v>-0.13800000000000001</v>
      </c>
      <c r="R2471" s="11">
        <v>11118081</v>
      </c>
      <c r="S2471" s="11">
        <v>110046</v>
      </c>
      <c r="T2471">
        <v>2015</v>
      </c>
      <c r="U2471">
        <v>9</v>
      </c>
      <c r="V2471">
        <f t="shared" si="228"/>
        <v>735000</v>
      </c>
      <c r="W2471">
        <f t="shared" si="229"/>
        <v>18429897</v>
      </c>
      <c r="X2471">
        <f t="shared" si="230"/>
        <v>17694897</v>
      </c>
      <c r="Y2471">
        <f t="shared" si="231"/>
        <v>-25807345.5</v>
      </c>
      <c r="Z2471">
        <f t="shared" si="232"/>
        <v>44972242.5</v>
      </c>
      <c r="AA2471" t="str">
        <f t="shared" si="233"/>
        <v>Normal</v>
      </c>
      <c r="AE2471" s="2"/>
      <c r="AF2471" s="2"/>
    </row>
    <row r="2472" spans="1:32" x14ac:dyDescent="0.35">
      <c r="A2472">
        <v>2471</v>
      </c>
      <c r="B2472" s="1">
        <v>42217</v>
      </c>
      <c r="C2472" s="9" t="s">
        <v>3292</v>
      </c>
      <c r="D2472" s="9" t="s">
        <v>5344</v>
      </c>
      <c r="E2472" s="9" t="s">
        <v>1111</v>
      </c>
      <c r="F2472" s="9" t="s">
        <v>27</v>
      </c>
      <c r="G2472" s="9" t="s">
        <v>4056</v>
      </c>
      <c r="H2472" s="9" t="s">
        <v>105</v>
      </c>
      <c r="I2472" s="11">
        <v>200000000</v>
      </c>
      <c r="J2472" s="11">
        <v>2085434</v>
      </c>
      <c r="K2472" s="11">
        <v>15445026</v>
      </c>
      <c r="L2472" s="3">
        <v>126</v>
      </c>
      <c r="M2472" s="3">
        <v>2112</v>
      </c>
      <c r="N2472" s="3">
        <v>139517</v>
      </c>
      <c r="O2472" s="2">
        <v>0.29199999999999998</v>
      </c>
      <c r="P2472" s="2">
        <v>0.64500000000000002</v>
      </c>
      <c r="Q2472" s="2">
        <v>0.34399999999999997</v>
      </c>
      <c r="R2472" s="11">
        <v>463860577</v>
      </c>
      <c r="S2472" s="11">
        <v>365963</v>
      </c>
      <c r="T2472">
        <v>2015</v>
      </c>
      <c r="U2472">
        <v>8</v>
      </c>
      <c r="V2472">
        <f t="shared" si="228"/>
        <v>717500</v>
      </c>
      <c r="W2472">
        <f t="shared" si="229"/>
        <v>18429897</v>
      </c>
      <c r="X2472">
        <f t="shared" si="230"/>
        <v>17712397</v>
      </c>
      <c r="Y2472">
        <f t="shared" si="231"/>
        <v>-25851095.5</v>
      </c>
      <c r="Z2472">
        <f t="shared" si="232"/>
        <v>44998492.5</v>
      </c>
      <c r="AA2472" t="str">
        <f t="shared" si="233"/>
        <v>Outlier</v>
      </c>
      <c r="AE2472" s="2"/>
      <c r="AF2472" s="2"/>
    </row>
    <row r="2473" spans="1:32" x14ac:dyDescent="0.35">
      <c r="A2473">
        <v>2472</v>
      </c>
      <c r="B2473" s="1">
        <v>42217</v>
      </c>
      <c r="C2473" s="9" t="s">
        <v>4057</v>
      </c>
      <c r="D2473" s="9" t="s">
        <v>5345</v>
      </c>
      <c r="E2473" s="9" t="s">
        <v>1111</v>
      </c>
      <c r="F2473" s="9" t="s">
        <v>41</v>
      </c>
      <c r="G2473" s="9" t="s">
        <v>4058</v>
      </c>
      <c r="H2473" s="9" t="s">
        <v>86</v>
      </c>
      <c r="I2473" s="11">
        <v>400000</v>
      </c>
      <c r="J2473" s="11">
        <v>1050786</v>
      </c>
      <c r="K2473" s="11">
        <v>5205312</v>
      </c>
      <c r="L2473" s="3">
        <v>222</v>
      </c>
      <c r="M2473" s="3">
        <v>2291</v>
      </c>
      <c r="N2473" s="3">
        <v>890459</v>
      </c>
      <c r="O2473" s="2">
        <v>0.52500000000000002</v>
      </c>
      <c r="P2473" s="2">
        <v>0.32</v>
      </c>
      <c r="Q2473" s="2">
        <v>0.26400000000000001</v>
      </c>
      <c r="R2473" s="11">
        <v>351324262</v>
      </c>
      <c r="S2473" s="11">
        <v>205721</v>
      </c>
      <c r="T2473">
        <v>2015</v>
      </c>
      <c r="U2473">
        <v>8</v>
      </c>
      <c r="V2473">
        <f t="shared" si="228"/>
        <v>700000</v>
      </c>
      <c r="W2473">
        <f t="shared" si="229"/>
        <v>18429897</v>
      </c>
      <c r="X2473">
        <f t="shared" si="230"/>
        <v>17729897</v>
      </c>
      <c r="Y2473">
        <f t="shared" si="231"/>
        <v>-25894845.5</v>
      </c>
      <c r="Z2473">
        <f t="shared" si="232"/>
        <v>45024742.5</v>
      </c>
      <c r="AA2473" t="str">
        <f t="shared" si="233"/>
        <v>Normal</v>
      </c>
      <c r="AE2473" s="2"/>
      <c r="AF2473" s="2"/>
    </row>
    <row r="2474" spans="1:32" x14ac:dyDescent="0.35">
      <c r="A2474">
        <v>2473</v>
      </c>
      <c r="B2474" s="1">
        <v>42219</v>
      </c>
      <c r="C2474" s="9" t="s">
        <v>4059</v>
      </c>
      <c r="D2474" s="9" t="s">
        <v>5346</v>
      </c>
      <c r="E2474" s="9" t="s">
        <v>1111</v>
      </c>
      <c r="F2474" s="9" t="s">
        <v>27</v>
      </c>
      <c r="G2474" s="9" t="s">
        <v>4060</v>
      </c>
      <c r="H2474" s="9" t="s">
        <v>86</v>
      </c>
      <c r="I2474" s="11">
        <v>18429897</v>
      </c>
      <c r="J2474" s="11">
        <v>541161</v>
      </c>
      <c r="K2474" s="11">
        <v>3414388</v>
      </c>
      <c r="L2474" s="3">
        <v>313</v>
      </c>
      <c r="M2474" s="3">
        <v>4443</v>
      </c>
      <c r="N2474" s="3">
        <v>1018455</v>
      </c>
      <c r="O2474" s="2">
        <v>0.30199999999999999</v>
      </c>
      <c r="P2474" s="2">
        <v>0.43</v>
      </c>
      <c r="Q2474" s="2">
        <v>8.4000000000000005E-2</v>
      </c>
      <c r="R2474" s="11">
        <v>488626669</v>
      </c>
      <c r="S2474" s="11">
        <v>1008193.5</v>
      </c>
      <c r="T2474">
        <v>2015</v>
      </c>
      <c r="U2474">
        <v>8</v>
      </c>
      <c r="V2474">
        <f t="shared" si="228"/>
        <v>752500</v>
      </c>
      <c r="W2474">
        <f t="shared" si="229"/>
        <v>18429897</v>
      </c>
      <c r="X2474">
        <f t="shared" si="230"/>
        <v>17677397</v>
      </c>
      <c r="Y2474">
        <f t="shared" si="231"/>
        <v>-25763595.5</v>
      </c>
      <c r="Z2474">
        <f t="shared" si="232"/>
        <v>44945992.5</v>
      </c>
      <c r="AA2474" t="str">
        <f t="shared" si="233"/>
        <v>Normal</v>
      </c>
      <c r="AE2474" s="2"/>
      <c r="AF2474" s="2"/>
    </row>
    <row r="2475" spans="1:32" x14ac:dyDescent="0.35">
      <c r="A2475">
        <v>2474</v>
      </c>
      <c r="B2475" s="1">
        <v>42219</v>
      </c>
      <c r="C2475" s="9" t="s">
        <v>2122</v>
      </c>
      <c r="D2475" s="9" t="s">
        <v>5347</v>
      </c>
      <c r="E2475" s="9" t="s">
        <v>1111</v>
      </c>
      <c r="F2475" s="9" t="s">
        <v>27</v>
      </c>
      <c r="G2475" s="9" t="s">
        <v>3330</v>
      </c>
      <c r="H2475" s="9" t="s">
        <v>105</v>
      </c>
      <c r="I2475" s="11">
        <v>5000000</v>
      </c>
      <c r="J2475" s="11">
        <v>2125215</v>
      </c>
      <c r="K2475" s="11">
        <v>735396</v>
      </c>
      <c r="L2475" s="3">
        <v>448</v>
      </c>
      <c r="M2475" s="3">
        <v>1451</v>
      </c>
      <c r="N2475" s="3">
        <v>52656</v>
      </c>
      <c r="O2475" s="2">
        <v>7.0000000000000007E-2</v>
      </c>
      <c r="P2475" s="2">
        <v>0.60499999999999998</v>
      </c>
      <c r="Q2475" s="2">
        <v>0.161</v>
      </c>
      <c r="R2475" s="11">
        <v>455042005</v>
      </c>
      <c r="S2475" s="11">
        <v>527116</v>
      </c>
      <c r="T2475">
        <v>2015</v>
      </c>
      <c r="U2475">
        <v>8</v>
      </c>
      <c r="V2475">
        <f t="shared" si="228"/>
        <v>735000</v>
      </c>
      <c r="W2475">
        <f t="shared" si="229"/>
        <v>18429897</v>
      </c>
      <c r="X2475">
        <f t="shared" si="230"/>
        <v>17694897</v>
      </c>
      <c r="Y2475">
        <f t="shared" si="231"/>
        <v>-25807345.5</v>
      </c>
      <c r="Z2475">
        <f t="shared" si="232"/>
        <v>44972242.5</v>
      </c>
      <c r="AA2475" t="str">
        <f t="shared" si="233"/>
        <v>Normal</v>
      </c>
      <c r="AE2475" s="2"/>
      <c r="AF2475" s="2"/>
    </row>
    <row r="2476" spans="1:32" x14ac:dyDescent="0.35">
      <c r="A2476">
        <v>2475</v>
      </c>
      <c r="B2476" s="1">
        <v>42219</v>
      </c>
      <c r="C2476" s="9" t="s">
        <v>4061</v>
      </c>
      <c r="D2476" s="9" t="s">
        <v>4062</v>
      </c>
      <c r="E2476" s="9" t="s">
        <v>1111</v>
      </c>
      <c r="F2476" s="9" t="s">
        <v>31</v>
      </c>
      <c r="G2476" s="9" t="s">
        <v>4063</v>
      </c>
      <c r="H2476" s="9" t="s">
        <v>86</v>
      </c>
      <c r="I2476" s="11">
        <v>18429897</v>
      </c>
      <c r="J2476" s="11">
        <v>2616781</v>
      </c>
      <c r="K2476" s="11">
        <v>1878585</v>
      </c>
      <c r="L2476" s="3">
        <v>74</v>
      </c>
      <c r="M2476" s="3">
        <v>114</v>
      </c>
      <c r="N2476" s="3">
        <v>842934</v>
      </c>
      <c r="O2476" s="2">
        <v>-9.5000000000000001E-2</v>
      </c>
      <c r="P2476" s="2">
        <v>0.29799999999999999</v>
      </c>
      <c r="Q2476" s="2">
        <v>2.4E-2</v>
      </c>
      <c r="R2476" s="11">
        <v>105795560</v>
      </c>
      <c r="S2476" s="11">
        <v>776488</v>
      </c>
      <c r="T2476">
        <v>2015</v>
      </c>
      <c r="U2476">
        <v>8</v>
      </c>
      <c r="V2476">
        <f t="shared" si="228"/>
        <v>717500</v>
      </c>
      <c r="W2476">
        <f t="shared" si="229"/>
        <v>18429897</v>
      </c>
      <c r="X2476">
        <f t="shared" si="230"/>
        <v>17712397</v>
      </c>
      <c r="Y2476">
        <f t="shared" si="231"/>
        <v>-25851095.5</v>
      </c>
      <c r="Z2476">
        <f t="shared" si="232"/>
        <v>44998492.5</v>
      </c>
      <c r="AA2476" t="str">
        <f t="shared" si="233"/>
        <v>Normal</v>
      </c>
      <c r="AE2476" s="2"/>
      <c r="AF2476" s="2"/>
    </row>
    <row r="2477" spans="1:32" x14ac:dyDescent="0.35">
      <c r="A2477">
        <v>2476</v>
      </c>
      <c r="B2477" s="1">
        <v>42219</v>
      </c>
      <c r="C2477" s="9" t="s">
        <v>4064</v>
      </c>
      <c r="D2477" s="9" t="s">
        <v>5348</v>
      </c>
      <c r="E2477" s="9" t="s">
        <v>1111</v>
      </c>
      <c r="F2477" s="9" t="s">
        <v>31</v>
      </c>
      <c r="G2477" s="9" t="s">
        <v>4065</v>
      </c>
      <c r="H2477" s="9" t="s">
        <v>86</v>
      </c>
      <c r="I2477" s="11">
        <v>18429897</v>
      </c>
      <c r="J2477" s="11">
        <v>897168</v>
      </c>
      <c r="K2477" s="11">
        <v>16521749</v>
      </c>
      <c r="L2477" s="3">
        <v>319</v>
      </c>
      <c r="M2477" s="3">
        <v>4011</v>
      </c>
      <c r="N2477" s="3">
        <v>507219</v>
      </c>
      <c r="O2477" s="2">
        <v>0.188</v>
      </c>
      <c r="P2477" s="2">
        <v>1.0289999999999999E-2</v>
      </c>
      <c r="Q2477" s="2">
        <v>-7.0999999999999994E-2</v>
      </c>
      <c r="R2477" s="11">
        <v>280945410</v>
      </c>
      <c r="S2477" s="11">
        <v>1764823</v>
      </c>
      <c r="T2477">
        <v>2015</v>
      </c>
      <c r="U2477">
        <v>8</v>
      </c>
      <c r="V2477">
        <f t="shared" si="228"/>
        <v>700000</v>
      </c>
      <c r="W2477">
        <f t="shared" si="229"/>
        <v>18429897</v>
      </c>
      <c r="X2477">
        <f t="shared" si="230"/>
        <v>17729897</v>
      </c>
      <c r="Y2477">
        <f t="shared" si="231"/>
        <v>-25894845.5</v>
      </c>
      <c r="Z2477">
        <f t="shared" si="232"/>
        <v>45024742.5</v>
      </c>
      <c r="AA2477" t="str">
        <f t="shared" si="233"/>
        <v>Normal</v>
      </c>
      <c r="AE2477" s="2"/>
      <c r="AF2477" s="2"/>
    </row>
    <row r="2478" spans="1:32" x14ac:dyDescent="0.35">
      <c r="A2478">
        <v>2477</v>
      </c>
      <c r="B2478" s="1">
        <v>42219</v>
      </c>
      <c r="C2478" s="9" t="s">
        <v>291</v>
      </c>
      <c r="D2478" s="9" t="s">
        <v>5349</v>
      </c>
      <c r="E2478" s="9" t="s">
        <v>1111</v>
      </c>
      <c r="F2478" s="9" t="s">
        <v>27</v>
      </c>
      <c r="G2478" s="9" t="s">
        <v>4883</v>
      </c>
      <c r="H2478" s="9" t="s">
        <v>105</v>
      </c>
      <c r="I2478" s="11">
        <v>100000000</v>
      </c>
      <c r="J2478" s="11">
        <v>407414</v>
      </c>
      <c r="K2478" s="11">
        <v>15693720</v>
      </c>
      <c r="L2478" s="3">
        <v>47</v>
      </c>
      <c r="M2478" s="3">
        <v>446</v>
      </c>
      <c r="N2478" s="3">
        <v>612862</v>
      </c>
      <c r="O2478" s="2">
        <v>0.33200000000000002</v>
      </c>
      <c r="P2478" s="2">
        <v>0.28300000000000003</v>
      </c>
      <c r="Q2478" s="2">
        <v>-0.03</v>
      </c>
      <c r="R2478" s="11">
        <v>236684751</v>
      </c>
      <c r="S2478" s="11">
        <v>1564288</v>
      </c>
      <c r="T2478">
        <v>2015</v>
      </c>
      <c r="U2478">
        <v>8</v>
      </c>
      <c r="V2478">
        <f t="shared" si="228"/>
        <v>700000</v>
      </c>
      <c r="W2478">
        <f t="shared" si="229"/>
        <v>18429897</v>
      </c>
      <c r="X2478">
        <f t="shared" si="230"/>
        <v>17729897</v>
      </c>
      <c r="Y2478">
        <f t="shared" si="231"/>
        <v>-25894845.5</v>
      </c>
      <c r="Z2478">
        <f t="shared" si="232"/>
        <v>45024742.5</v>
      </c>
      <c r="AA2478" t="str">
        <f t="shared" si="233"/>
        <v>Outlier</v>
      </c>
      <c r="AE2478" s="2"/>
      <c r="AF2478" s="2"/>
    </row>
    <row r="2479" spans="1:32" x14ac:dyDescent="0.35">
      <c r="A2479">
        <v>2478</v>
      </c>
      <c r="B2479" s="1">
        <v>42219</v>
      </c>
      <c r="C2479" s="9" t="s">
        <v>4066</v>
      </c>
      <c r="D2479" s="9" t="s">
        <v>5350</v>
      </c>
      <c r="E2479" s="9" t="s">
        <v>1111</v>
      </c>
      <c r="F2479" s="9" t="s">
        <v>15</v>
      </c>
      <c r="G2479" s="9" t="s">
        <v>2784</v>
      </c>
      <c r="H2479" s="9" t="s">
        <v>86</v>
      </c>
      <c r="I2479" s="11">
        <v>18429897</v>
      </c>
      <c r="J2479" s="11">
        <v>690766</v>
      </c>
      <c r="K2479" s="11">
        <v>10169223</v>
      </c>
      <c r="L2479" s="3">
        <v>243</v>
      </c>
      <c r="M2479" s="3">
        <v>3883</v>
      </c>
      <c r="N2479" s="3">
        <v>425356</v>
      </c>
      <c r="O2479" s="2">
        <v>1.6E-2</v>
      </c>
      <c r="P2479" s="2">
        <v>0.78500000000000003</v>
      </c>
      <c r="Q2479" s="2">
        <v>0.29100000000000004</v>
      </c>
      <c r="R2479" s="11">
        <v>460937726</v>
      </c>
      <c r="S2479" s="11">
        <v>1469081</v>
      </c>
      <c r="T2479">
        <v>2015</v>
      </c>
      <c r="U2479">
        <v>8</v>
      </c>
      <c r="V2479">
        <f t="shared" si="228"/>
        <v>700000</v>
      </c>
      <c r="W2479">
        <f t="shared" si="229"/>
        <v>18429897</v>
      </c>
      <c r="X2479">
        <f t="shared" si="230"/>
        <v>17729897</v>
      </c>
      <c r="Y2479">
        <f t="shared" si="231"/>
        <v>-25894845.5</v>
      </c>
      <c r="Z2479">
        <f t="shared" si="232"/>
        <v>45024742.5</v>
      </c>
      <c r="AA2479" t="str">
        <f t="shared" si="233"/>
        <v>Normal</v>
      </c>
      <c r="AE2479" s="2"/>
      <c r="AF2479" s="2"/>
    </row>
    <row r="2480" spans="1:32" x14ac:dyDescent="0.35">
      <c r="A2480">
        <v>2479</v>
      </c>
      <c r="B2480" s="1">
        <v>42219</v>
      </c>
      <c r="C2480" s="9" t="s">
        <v>4067</v>
      </c>
      <c r="D2480" s="9" t="s">
        <v>5351</v>
      </c>
      <c r="E2480" s="9" t="s">
        <v>1111</v>
      </c>
      <c r="F2480" s="9" t="s">
        <v>31</v>
      </c>
      <c r="G2480" s="9" t="s">
        <v>4068</v>
      </c>
      <c r="H2480" s="9" t="s">
        <v>105</v>
      </c>
      <c r="I2480" s="11">
        <v>9600000</v>
      </c>
      <c r="J2480" s="11">
        <v>3264690</v>
      </c>
      <c r="K2480" s="11">
        <v>11445179</v>
      </c>
      <c r="L2480" s="3">
        <v>41</v>
      </c>
      <c r="M2480" s="3">
        <v>2505.5</v>
      </c>
      <c r="N2480" s="3">
        <v>1039874</v>
      </c>
      <c r="O2480" s="2">
        <v>0.13300000000000001</v>
      </c>
      <c r="P2480" s="2">
        <v>0.36299999999999999</v>
      </c>
      <c r="Q2480" s="2">
        <v>0.1</v>
      </c>
      <c r="R2480" s="11">
        <v>289450313</v>
      </c>
      <c r="S2480" s="11">
        <v>1922097</v>
      </c>
      <c r="T2480">
        <v>2015</v>
      </c>
      <c r="U2480">
        <v>8</v>
      </c>
      <c r="V2480">
        <f t="shared" si="228"/>
        <v>700000</v>
      </c>
      <c r="W2480">
        <f t="shared" si="229"/>
        <v>18429897</v>
      </c>
      <c r="X2480">
        <f t="shared" si="230"/>
        <v>17729897</v>
      </c>
      <c r="Y2480">
        <f t="shared" si="231"/>
        <v>-25894845.5</v>
      </c>
      <c r="Z2480">
        <f t="shared" si="232"/>
        <v>45024742.5</v>
      </c>
      <c r="AA2480" t="str">
        <f t="shared" si="233"/>
        <v>Normal</v>
      </c>
      <c r="AE2480" s="2"/>
      <c r="AF2480" s="2"/>
    </row>
    <row r="2481" spans="1:32" x14ac:dyDescent="0.35">
      <c r="A2481">
        <v>2480</v>
      </c>
      <c r="B2481" s="1">
        <v>42220</v>
      </c>
      <c r="C2481" s="9" t="s">
        <v>4069</v>
      </c>
      <c r="D2481" s="9" t="s">
        <v>5352</v>
      </c>
      <c r="E2481" s="9" t="s">
        <v>1111</v>
      </c>
      <c r="F2481" s="9" t="s">
        <v>27</v>
      </c>
      <c r="G2481" s="9" t="s">
        <v>4070</v>
      </c>
      <c r="H2481" s="9" t="s">
        <v>105</v>
      </c>
      <c r="I2481" s="11">
        <v>1300000</v>
      </c>
      <c r="J2481" s="11">
        <v>4304203</v>
      </c>
      <c r="K2481" s="11">
        <v>10153449</v>
      </c>
      <c r="L2481" s="3">
        <v>190</v>
      </c>
      <c r="M2481" s="3">
        <v>4214</v>
      </c>
      <c r="N2481" s="3">
        <v>796943</v>
      </c>
      <c r="O2481" s="2">
        <v>0.16300000000000001</v>
      </c>
      <c r="P2481" s="2">
        <v>0.307</v>
      </c>
      <c r="Q2481" s="2">
        <v>0.114</v>
      </c>
      <c r="R2481" s="11">
        <v>65310985</v>
      </c>
      <c r="S2481" s="11">
        <v>554839</v>
      </c>
      <c r="T2481">
        <v>2015</v>
      </c>
      <c r="U2481">
        <v>8</v>
      </c>
      <c r="V2481">
        <f t="shared" si="228"/>
        <v>700000</v>
      </c>
      <c r="W2481">
        <f t="shared" si="229"/>
        <v>18429897</v>
      </c>
      <c r="X2481">
        <f t="shared" si="230"/>
        <v>17729897</v>
      </c>
      <c r="Y2481">
        <f t="shared" si="231"/>
        <v>-25894845.5</v>
      </c>
      <c r="Z2481">
        <f t="shared" si="232"/>
        <v>45024742.5</v>
      </c>
      <c r="AA2481" t="str">
        <f t="shared" si="233"/>
        <v>Normal</v>
      </c>
      <c r="AE2481" s="2"/>
      <c r="AF2481" s="2"/>
    </row>
    <row r="2482" spans="1:32" x14ac:dyDescent="0.35">
      <c r="A2482">
        <v>2481</v>
      </c>
      <c r="B2482" s="1">
        <v>42221</v>
      </c>
      <c r="C2482" s="9" t="s">
        <v>2875</v>
      </c>
      <c r="D2482" s="9" t="s">
        <v>4071</v>
      </c>
      <c r="E2482" s="9" t="s">
        <v>1111</v>
      </c>
      <c r="F2482" s="9" t="s">
        <v>41</v>
      </c>
      <c r="G2482" s="9" t="s">
        <v>4072</v>
      </c>
      <c r="H2482" s="9" t="s">
        <v>86</v>
      </c>
      <c r="I2482" s="11">
        <v>650000</v>
      </c>
      <c r="J2482" s="11">
        <v>917849</v>
      </c>
      <c r="K2482" s="11">
        <v>3921727</v>
      </c>
      <c r="L2482" s="3">
        <v>305</v>
      </c>
      <c r="M2482" s="3">
        <v>880</v>
      </c>
      <c r="N2482" s="3">
        <v>1472067</v>
      </c>
      <c r="O2482" s="2">
        <v>-0.254</v>
      </c>
      <c r="P2482" s="2">
        <v>0.66299999999999992</v>
      </c>
      <c r="Q2482" s="2">
        <v>-0.7</v>
      </c>
      <c r="R2482" s="11">
        <v>270126308</v>
      </c>
      <c r="S2482" s="11">
        <v>1944969</v>
      </c>
      <c r="T2482">
        <v>2015</v>
      </c>
      <c r="U2482">
        <v>8</v>
      </c>
      <c r="V2482">
        <f t="shared" si="228"/>
        <v>687500</v>
      </c>
      <c r="W2482">
        <f t="shared" si="229"/>
        <v>18429897</v>
      </c>
      <c r="X2482">
        <f t="shared" si="230"/>
        <v>17742397</v>
      </c>
      <c r="Y2482">
        <f t="shared" si="231"/>
        <v>-25926095.5</v>
      </c>
      <c r="Z2482">
        <f t="shared" si="232"/>
        <v>45043492.5</v>
      </c>
      <c r="AA2482" t="str">
        <f t="shared" si="233"/>
        <v>Normal</v>
      </c>
      <c r="AE2482" s="2"/>
      <c r="AF2482" s="2"/>
    </row>
    <row r="2483" spans="1:32" x14ac:dyDescent="0.35">
      <c r="A2483">
        <v>2482</v>
      </c>
      <c r="B2483" s="1">
        <v>42221</v>
      </c>
      <c r="C2483" s="9" t="s">
        <v>359</v>
      </c>
      <c r="D2483" s="9" t="s">
        <v>5203</v>
      </c>
      <c r="E2483" s="9" t="s">
        <v>1111</v>
      </c>
      <c r="F2483" s="9" t="s">
        <v>15</v>
      </c>
      <c r="G2483" s="9" t="s">
        <v>4073</v>
      </c>
      <c r="H2483" s="9" t="s">
        <v>86</v>
      </c>
      <c r="I2483" s="11">
        <v>1300000</v>
      </c>
      <c r="J2483" s="11">
        <v>1615578</v>
      </c>
      <c r="K2483" s="11">
        <v>327439</v>
      </c>
      <c r="L2483" s="3">
        <v>370</v>
      </c>
      <c r="M2483" s="3">
        <v>864</v>
      </c>
      <c r="N2483" s="3">
        <v>706928</v>
      </c>
      <c r="O2483" s="2">
        <v>0.14899999999999999</v>
      </c>
      <c r="P2483" s="2">
        <v>0.54500000000000004</v>
      </c>
      <c r="Q2483" s="2">
        <v>0.33500000000000002</v>
      </c>
      <c r="R2483" s="11">
        <v>254591825</v>
      </c>
      <c r="S2483" s="11">
        <v>24876</v>
      </c>
      <c r="T2483">
        <v>2015</v>
      </c>
      <c r="U2483">
        <v>8</v>
      </c>
      <c r="V2483">
        <f t="shared" si="228"/>
        <v>700000</v>
      </c>
      <c r="W2483">
        <f t="shared" si="229"/>
        <v>18429897</v>
      </c>
      <c r="X2483">
        <f t="shared" si="230"/>
        <v>17729897</v>
      </c>
      <c r="Y2483">
        <f t="shared" si="231"/>
        <v>-25894845.5</v>
      </c>
      <c r="Z2483">
        <f t="shared" si="232"/>
        <v>45024742.5</v>
      </c>
      <c r="AA2483" t="str">
        <f t="shared" si="233"/>
        <v>Normal</v>
      </c>
      <c r="AE2483" s="2"/>
      <c r="AF2483" s="2"/>
    </row>
    <row r="2484" spans="1:32" x14ac:dyDescent="0.35">
      <c r="A2484">
        <v>2483</v>
      </c>
      <c r="B2484" s="1">
        <v>42221</v>
      </c>
      <c r="C2484" s="9" t="s">
        <v>4074</v>
      </c>
      <c r="D2484" s="9" t="s">
        <v>5353</v>
      </c>
      <c r="E2484" s="9" t="s">
        <v>1111</v>
      </c>
      <c r="F2484" s="9" t="s">
        <v>27</v>
      </c>
      <c r="G2484" s="9" t="s">
        <v>4075</v>
      </c>
      <c r="H2484" s="9" t="s">
        <v>105</v>
      </c>
      <c r="I2484" s="11">
        <v>30000000</v>
      </c>
      <c r="J2484" s="11">
        <v>1732201</v>
      </c>
      <c r="K2484" s="11">
        <v>13470484</v>
      </c>
      <c r="L2484" s="3">
        <v>403</v>
      </c>
      <c r="M2484" s="3">
        <v>2063</v>
      </c>
      <c r="N2484" s="3">
        <v>1383032</v>
      </c>
      <c r="O2484" s="2">
        <v>0.26600000000000001</v>
      </c>
      <c r="P2484" s="2">
        <v>0.245</v>
      </c>
      <c r="Q2484" s="2">
        <v>-6.3E-2</v>
      </c>
      <c r="R2484" s="11">
        <v>240082175</v>
      </c>
      <c r="S2484" s="11">
        <v>14990</v>
      </c>
      <c r="T2484">
        <v>2015</v>
      </c>
      <c r="U2484">
        <v>8</v>
      </c>
      <c r="V2484">
        <f t="shared" si="228"/>
        <v>700000</v>
      </c>
      <c r="W2484">
        <f t="shared" si="229"/>
        <v>18429897</v>
      </c>
      <c r="X2484">
        <f t="shared" si="230"/>
        <v>17729897</v>
      </c>
      <c r="Y2484">
        <f t="shared" si="231"/>
        <v>-25894845.5</v>
      </c>
      <c r="Z2484">
        <f t="shared" si="232"/>
        <v>45024742.5</v>
      </c>
      <c r="AA2484" t="str">
        <f t="shared" si="233"/>
        <v>Normal</v>
      </c>
      <c r="AE2484" s="2"/>
      <c r="AF2484" s="2"/>
    </row>
    <row r="2485" spans="1:32" x14ac:dyDescent="0.35">
      <c r="A2485">
        <v>2484</v>
      </c>
      <c r="B2485" s="1">
        <v>42221</v>
      </c>
      <c r="C2485" s="9" t="s">
        <v>4076</v>
      </c>
      <c r="D2485" s="9" t="s">
        <v>5354</v>
      </c>
      <c r="E2485" s="9" t="s">
        <v>1111</v>
      </c>
      <c r="F2485" s="9" t="s">
        <v>31</v>
      </c>
      <c r="G2485" s="9" t="s">
        <v>4077</v>
      </c>
      <c r="H2485" s="9" t="s">
        <v>105</v>
      </c>
      <c r="I2485" s="11">
        <v>3000000</v>
      </c>
      <c r="J2485" s="11">
        <v>1816578</v>
      </c>
      <c r="K2485" s="11">
        <v>803016</v>
      </c>
      <c r="L2485" s="3">
        <v>264</v>
      </c>
      <c r="M2485" s="3">
        <v>2123</v>
      </c>
      <c r="N2485" s="3">
        <v>1054878</v>
      </c>
      <c r="O2485" s="2">
        <v>0.111</v>
      </c>
      <c r="P2485" s="2">
        <v>0.26500000000000001</v>
      </c>
      <c r="Q2485" s="2">
        <v>0.48200000000000004</v>
      </c>
      <c r="R2485" s="11">
        <v>250264963</v>
      </c>
      <c r="S2485" s="11">
        <v>1642210</v>
      </c>
      <c r="T2485">
        <v>2015</v>
      </c>
      <c r="U2485">
        <v>8</v>
      </c>
      <c r="V2485">
        <f t="shared" si="228"/>
        <v>700000</v>
      </c>
      <c r="W2485">
        <f t="shared" si="229"/>
        <v>18429897</v>
      </c>
      <c r="X2485">
        <f t="shared" si="230"/>
        <v>17729897</v>
      </c>
      <c r="Y2485">
        <f t="shared" si="231"/>
        <v>-25894845.5</v>
      </c>
      <c r="Z2485">
        <f t="shared" si="232"/>
        <v>45024742.5</v>
      </c>
      <c r="AA2485" t="str">
        <f t="shared" si="233"/>
        <v>Normal</v>
      </c>
      <c r="AE2485" s="2"/>
      <c r="AF2485" s="2"/>
    </row>
    <row r="2486" spans="1:32" x14ac:dyDescent="0.35">
      <c r="A2486">
        <v>2485</v>
      </c>
      <c r="B2486" s="1">
        <v>42221</v>
      </c>
      <c r="C2486" s="9" t="s">
        <v>1490</v>
      </c>
      <c r="D2486" s="9" t="s">
        <v>4078</v>
      </c>
      <c r="E2486" s="9" t="s">
        <v>1111</v>
      </c>
      <c r="F2486" s="9" t="s">
        <v>63</v>
      </c>
      <c r="G2486" s="9" t="s">
        <v>4079</v>
      </c>
      <c r="H2486" s="9" t="s">
        <v>86</v>
      </c>
      <c r="I2486" s="11">
        <v>500000</v>
      </c>
      <c r="J2486" s="11">
        <v>1236616</v>
      </c>
      <c r="K2486" s="11">
        <v>2190012</v>
      </c>
      <c r="L2486" s="3">
        <v>133</v>
      </c>
      <c r="M2486" s="3">
        <v>3602</v>
      </c>
      <c r="N2486" s="3">
        <v>703161</v>
      </c>
      <c r="O2486" s="2">
        <v>0.34499999999999997</v>
      </c>
      <c r="P2486" s="2">
        <v>0.499</v>
      </c>
      <c r="Q2486" s="2">
        <v>-4.2999999999999997E-2</v>
      </c>
      <c r="R2486" s="11">
        <v>303342672</v>
      </c>
      <c r="S2486" s="11">
        <v>873599</v>
      </c>
      <c r="T2486">
        <v>2015</v>
      </c>
      <c r="U2486">
        <v>8</v>
      </c>
      <c r="V2486">
        <f t="shared" si="228"/>
        <v>687500</v>
      </c>
      <c r="W2486">
        <f t="shared" si="229"/>
        <v>18429897</v>
      </c>
      <c r="X2486">
        <f t="shared" si="230"/>
        <v>17742397</v>
      </c>
      <c r="Y2486">
        <f t="shared" si="231"/>
        <v>-25926095.5</v>
      </c>
      <c r="Z2486">
        <f t="shared" si="232"/>
        <v>45043492.5</v>
      </c>
      <c r="AA2486" t="str">
        <f t="shared" si="233"/>
        <v>Normal</v>
      </c>
      <c r="AE2486" s="2"/>
      <c r="AF2486" s="2"/>
    </row>
    <row r="2487" spans="1:32" x14ac:dyDescent="0.35">
      <c r="A2487">
        <v>2486</v>
      </c>
      <c r="B2487" s="1">
        <v>42221</v>
      </c>
      <c r="C2487" s="9" t="s">
        <v>4080</v>
      </c>
      <c r="D2487" s="9" t="s">
        <v>5355</v>
      </c>
      <c r="E2487" s="9" t="s">
        <v>1111</v>
      </c>
      <c r="F2487" s="9" t="s">
        <v>27</v>
      </c>
      <c r="G2487" s="9" t="s">
        <v>4081</v>
      </c>
      <c r="H2487" s="9" t="s">
        <v>86</v>
      </c>
      <c r="I2487" s="11">
        <v>18429897</v>
      </c>
      <c r="J2487" s="11">
        <v>295246</v>
      </c>
      <c r="K2487" s="11">
        <v>15873203</v>
      </c>
      <c r="L2487" s="3">
        <v>456</v>
      </c>
      <c r="M2487" s="3">
        <v>3254</v>
      </c>
      <c r="N2487" s="3">
        <v>1647036</v>
      </c>
      <c r="O2487" s="2">
        <v>0.35100000000000003</v>
      </c>
      <c r="P2487" s="2">
        <v>0.98299999999999998</v>
      </c>
      <c r="Q2487" s="2">
        <v>-4.2999999999999997E-2</v>
      </c>
      <c r="R2487" s="11">
        <v>197292301</v>
      </c>
      <c r="S2487" s="11">
        <v>1708055</v>
      </c>
      <c r="T2487">
        <v>2015</v>
      </c>
      <c r="U2487">
        <v>8</v>
      </c>
      <c r="V2487">
        <f t="shared" si="228"/>
        <v>700000</v>
      </c>
      <c r="W2487">
        <f t="shared" si="229"/>
        <v>18429897</v>
      </c>
      <c r="X2487">
        <f t="shared" si="230"/>
        <v>17729897</v>
      </c>
      <c r="Y2487">
        <f t="shared" si="231"/>
        <v>-25894845.5</v>
      </c>
      <c r="Z2487">
        <f t="shared" si="232"/>
        <v>45024742.5</v>
      </c>
      <c r="AA2487" t="str">
        <f t="shared" si="233"/>
        <v>Normal</v>
      </c>
      <c r="AE2487" s="2"/>
      <c r="AF2487" s="2"/>
    </row>
    <row r="2488" spans="1:32" x14ac:dyDescent="0.35">
      <c r="A2488">
        <v>2487</v>
      </c>
      <c r="B2488" s="1">
        <v>42221</v>
      </c>
      <c r="C2488" s="9" t="s">
        <v>4082</v>
      </c>
      <c r="D2488" s="9" t="s">
        <v>5356</v>
      </c>
      <c r="E2488" s="9" t="s">
        <v>1111</v>
      </c>
      <c r="F2488" s="9" t="s">
        <v>31</v>
      </c>
      <c r="G2488" s="9" t="s">
        <v>4083</v>
      </c>
      <c r="H2488" s="9" t="s">
        <v>86</v>
      </c>
      <c r="I2488" s="11">
        <v>785000</v>
      </c>
      <c r="J2488" s="11">
        <v>2635275</v>
      </c>
      <c r="K2488" s="11">
        <v>11698344</v>
      </c>
      <c r="L2488" s="3">
        <v>467</v>
      </c>
      <c r="M2488" s="3">
        <v>4967</v>
      </c>
      <c r="N2488" s="3">
        <v>1473305</v>
      </c>
      <c r="O2488" s="2">
        <v>1.9E-2</v>
      </c>
      <c r="P2488" s="2">
        <v>1.0509999999999999</v>
      </c>
      <c r="Q2488" s="2">
        <v>0.60099999999999998</v>
      </c>
      <c r="R2488" s="11">
        <v>394803965</v>
      </c>
      <c r="S2488" s="11">
        <v>267655</v>
      </c>
      <c r="T2488">
        <v>2015</v>
      </c>
      <c r="U2488">
        <v>8</v>
      </c>
      <c r="V2488">
        <f t="shared" si="228"/>
        <v>700000</v>
      </c>
      <c r="W2488">
        <f t="shared" si="229"/>
        <v>18429897</v>
      </c>
      <c r="X2488">
        <f t="shared" si="230"/>
        <v>17729897</v>
      </c>
      <c r="Y2488">
        <f t="shared" si="231"/>
        <v>-25894845.5</v>
      </c>
      <c r="Z2488">
        <f t="shared" si="232"/>
        <v>45024742.5</v>
      </c>
      <c r="AA2488" t="str">
        <f t="shared" si="233"/>
        <v>Normal</v>
      </c>
      <c r="AE2488" s="2"/>
      <c r="AF2488" s="2"/>
    </row>
    <row r="2489" spans="1:32" x14ac:dyDescent="0.35">
      <c r="A2489">
        <v>2488</v>
      </c>
      <c r="B2489" s="1">
        <v>42222</v>
      </c>
      <c r="C2489" s="9" t="s">
        <v>4084</v>
      </c>
      <c r="D2489" s="9" t="s">
        <v>5357</v>
      </c>
      <c r="E2489" s="9" t="s">
        <v>1111</v>
      </c>
      <c r="F2489" s="9" t="s">
        <v>15</v>
      </c>
      <c r="G2489" s="9" t="s">
        <v>4085</v>
      </c>
      <c r="H2489" s="9" t="s">
        <v>86</v>
      </c>
      <c r="I2489" s="11">
        <v>18429897</v>
      </c>
      <c r="J2489" s="11">
        <v>1799700</v>
      </c>
      <c r="K2489" s="11">
        <v>9845147</v>
      </c>
      <c r="L2489" s="3">
        <v>483</v>
      </c>
      <c r="M2489" s="3">
        <v>3402</v>
      </c>
      <c r="N2489" s="3">
        <v>1051884</v>
      </c>
      <c r="O2489" s="2">
        <v>0.20800000000000002</v>
      </c>
      <c r="P2489" s="2">
        <v>0.26600000000000001</v>
      </c>
      <c r="Q2489" s="2">
        <v>0.36749999999999999</v>
      </c>
      <c r="R2489" s="11">
        <v>165987031</v>
      </c>
      <c r="S2489" s="11">
        <v>528445</v>
      </c>
      <c r="T2489">
        <v>2015</v>
      </c>
      <c r="U2489">
        <v>8</v>
      </c>
      <c r="V2489">
        <f t="shared" si="228"/>
        <v>700000</v>
      </c>
      <c r="W2489">
        <f t="shared" si="229"/>
        <v>18429897</v>
      </c>
      <c r="X2489">
        <f t="shared" si="230"/>
        <v>17729897</v>
      </c>
      <c r="Y2489">
        <f t="shared" si="231"/>
        <v>-25894845.5</v>
      </c>
      <c r="Z2489">
        <f t="shared" si="232"/>
        <v>45024742.5</v>
      </c>
      <c r="AA2489" t="str">
        <f t="shared" si="233"/>
        <v>Normal</v>
      </c>
      <c r="AE2489" s="2"/>
      <c r="AF2489" s="2"/>
    </row>
    <row r="2490" spans="1:32" x14ac:dyDescent="0.35">
      <c r="A2490">
        <v>2489</v>
      </c>
      <c r="B2490" s="1">
        <v>42222</v>
      </c>
      <c r="C2490" s="9" t="s">
        <v>4086</v>
      </c>
      <c r="D2490" s="9" t="s">
        <v>5358</v>
      </c>
      <c r="E2490" s="9" t="s">
        <v>1111</v>
      </c>
      <c r="F2490" s="9" t="s">
        <v>31</v>
      </c>
      <c r="G2490" s="9" t="s">
        <v>4087</v>
      </c>
      <c r="H2490" s="9" t="s">
        <v>86</v>
      </c>
      <c r="I2490" s="11">
        <v>500000</v>
      </c>
      <c r="J2490" s="11">
        <v>1724443</v>
      </c>
      <c r="K2490" s="11">
        <v>4446086</v>
      </c>
      <c r="L2490" s="3">
        <v>397</v>
      </c>
      <c r="M2490" s="3">
        <v>1050</v>
      </c>
      <c r="N2490" s="3">
        <v>1068194</v>
      </c>
      <c r="O2490" s="2">
        <v>0.129</v>
      </c>
      <c r="P2490" s="2">
        <v>0.37200000000000005</v>
      </c>
      <c r="Q2490" s="2">
        <v>9.0999999999999998E-2</v>
      </c>
      <c r="R2490" s="11">
        <v>207380208</v>
      </c>
      <c r="S2490" s="11">
        <v>1707576</v>
      </c>
      <c r="T2490">
        <v>2015</v>
      </c>
      <c r="U2490">
        <v>8</v>
      </c>
      <c r="V2490">
        <f t="shared" si="228"/>
        <v>687500</v>
      </c>
      <c r="W2490">
        <f t="shared" si="229"/>
        <v>18429897</v>
      </c>
      <c r="X2490">
        <f t="shared" si="230"/>
        <v>17742397</v>
      </c>
      <c r="Y2490">
        <f t="shared" si="231"/>
        <v>-25926095.5</v>
      </c>
      <c r="Z2490">
        <f t="shared" si="232"/>
        <v>45043492.5</v>
      </c>
      <c r="AA2490" t="str">
        <f t="shared" si="233"/>
        <v>Normal</v>
      </c>
      <c r="AE2490" s="2"/>
      <c r="AF2490" s="2"/>
    </row>
    <row r="2491" spans="1:32" x14ac:dyDescent="0.35">
      <c r="A2491">
        <v>2490</v>
      </c>
      <c r="B2491" s="1">
        <v>42222</v>
      </c>
      <c r="C2491" s="9" t="s">
        <v>1925</v>
      </c>
      <c r="D2491" s="9" t="s">
        <v>5359</v>
      </c>
      <c r="E2491" s="9" t="s">
        <v>1111</v>
      </c>
      <c r="F2491" s="9" t="s">
        <v>15</v>
      </c>
      <c r="G2491" s="9" t="s">
        <v>4088</v>
      </c>
      <c r="H2491" s="9" t="s">
        <v>105</v>
      </c>
      <c r="I2491" s="11">
        <v>90000000</v>
      </c>
      <c r="J2491" s="11">
        <v>1338739</v>
      </c>
      <c r="K2491" s="11">
        <v>3079468</v>
      </c>
      <c r="L2491" s="3">
        <v>254</v>
      </c>
      <c r="M2491" s="3">
        <v>488</v>
      </c>
      <c r="N2491" s="3">
        <v>1527497</v>
      </c>
      <c r="O2491" s="2">
        <v>-0.28600000000000003</v>
      </c>
      <c r="P2491" s="2">
        <v>0.53900000000000003</v>
      </c>
      <c r="Q2491" s="2">
        <v>0.35299999999999998</v>
      </c>
      <c r="R2491" s="11">
        <v>58192486</v>
      </c>
      <c r="S2491" s="11">
        <v>57328</v>
      </c>
      <c r="T2491">
        <v>2015</v>
      </c>
      <c r="U2491">
        <v>8</v>
      </c>
      <c r="V2491">
        <f t="shared" si="228"/>
        <v>700000</v>
      </c>
      <c r="W2491">
        <f t="shared" si="229"/>
        <v>18429897</v>
      </c>
      <c r="X2491">
        <f t="shared" si="230"/>
        <v>17729897</v>
      </c>
      <c r="Y2491">
        <f t="shared" si="231"/>
        <v>-25894845.5</v>
      </c>
      <c r="Z2491">
        <f t="shared" si="232"/>
        <v>45024742.5</v>
      </c>
      <c r="AA2491" t="str">
        <f t="shared" si="233"/>
        <v>Outlier</v>
      </c>
      <c r="AE2491" s="2"/>
      <c r="AF2491" s="2"/>
    </row>
    <row r="2492" spans="1:32" x14ac:dyDescent="0.35">
      <c r="A2492">
        <v>2491</v>
      </c>
      <c r="B2492" s="1">
        <v>42222</v>
      </c>
      <c r="C2492" s="9" t="s">
        <v>4089</v>
      </c>
      <c r="D2492" s="9" t="s">
        <v>4090</v>
      </c>
      <c r="E2492" s="9" t="s">
        <v>1111</v>
      </c>
      <c r="F2492" s="9" t="s">
        <v>27</v>
      </c>
      <c r="G2492" s="9" t="s">
        <v>4091</v>
      </c>
      <c r="H2492" s="9" t="s">
        <v>86</v>
      </c>
      <c r="I2492" s="11">
        <v>18429897</v>
      </c>
      <c r="J2492" s="11">
        <v>4648110</v>
      </c>
      <c r="K2492" s="11">
        <v>9383344</v>
      </c>
      <c r="L2492" s="3">
        <v>43</v>
      </c>
      <c r="M2492" s="3">
        <v>1366</v>
      </c>
      <c r="N2492" s="3">
        <v>1539049</v>
      </c>
      <c r="O2492" s="2">
        <v>8.3000000000000004E-2</v>
      </c>
      <c r="P2492" s="2">
        <v>0.85</v>
      </c>
      <c r="Q2492" s="2">
        <v>-0.28600000000000003</v>
      </c>
      <c r="R2492" s="11">
        <v>37730477</v>
      </c>
      <c r="S2492" s="11">
        <v>1842495</v>
      </c>
      <c r="T2492">
        <v>2015</v>
      </c>
      <c r="U2492">
        <v>8</v>
      </c>
      <c r="V2492">
        <f t="shared" si="228"/>
        <v>700000</v>
      </c>
      <c r="W2492">
        <f t="shared" si="229"/>
        <v>18429897</v>
      </c>
      <c r="X2492">
        <f t="shared" si="230"/>
        <v>17729897</v>
      </c>
      <c r="Y2492">
        <f t="shared" si="231"/>
        <v>-25894845.5</v>
      </c>
      <c r="Z2492">
        <f t="shared" si="232"/>
        <v>45024742.5</v>
      </c>
      <c r="AA2492" t="str">
        <f t="shared" si="233"/>
        <v>Normal</v>
      </c>
      <c r="AE2492" s="2"/>
      <c r="AF2492" s="2"/>
    </row>
    <row r="2493" spans="1:32" x14ac:dyDescent="0.35">
      <c r="A2493">
        <v>2492</v>
      </c>
      <c r="B2493" s="1">
        <v>42222</v>
      </c>
      <c r="C2493" s="9" t="s">
        <v>4092</v>
      </c>
      <c r="D2493" s="9" t="s">
        <v>5360</v>
      </c>
      <c r="E2493" s="9" t="s">
        <v>1111</v>
      </c>
      <c r="F2493" s="9" t="s">
        <v>27</v>
      </c>
      <c r="G2493" s="9" t="s">
        <v>4093</v>
      </c>
      <c r="H2493" s="9" t="s">
        <v>86</v>
      </c>
      <c r="I2493" s="11">
        <v>18429897</v>
      </c>
      <c r="J2493" s="11">
        <v>3060215</v>
      </c>
      <c r="K2493" s="11">
        <v>7234261</v>
      </c>
      <c r="L2493" s="3">
        <v>288</v>
      </c>
      <c r="M2493" s="3">
        <v>4918</v>
      </c>
      <c r="N2493" s="3">
        <v>1424589</v>
      </c>
      <c r="O2493" s="2">
        <v>-8.5999999999999993E-2</v>
      </c>
      <c r="P2493" s="2">
        <v>0.48499999999999999</v>
      </c>
      <c r="Q2493" s="2">
        <v>0.16500000000000001</v>
      </c>
      <c r="R2493" s="11">
        <v>250264963</v>
      </c>
      <c r="S2493" s="11">
        <v>1942188</v>
      </c>
      <c r="T2493">
        <v>2015</v>
      </c>
      <c r="U2493">
        <v>8</v>
      </c>
      <c r="V2493">
        <f t="shared" si="228"/>
        <v>700000</v>
      </c>
      <c r="W2493">
        <f t="shared" si="229"/>
        <v>18429897</v>
      </c>
      <c r="X2493">
        <f t="shared" si="230"/>
        <v>17729897</v>
      </c>
      <c r="Y2493">
        <f t="shared" si="231"/>
        <v>-25894845.5</v>
      </c>
      <c r="Z2493">
        <f t="shared" si="232"/>
        <v>45024742.5</v>
      </c>
      <c r="AA2493" t="str">
        <f t="shared" si="233"/>
        <v>Normal</v>
      </c>
      <c r="AE2493" s="2"/>
      <c r="AF2493" s="2"/>
    </row>
    <row r="2494" spans="1:32" x14ac:dyDescent="0.35">
      <c r="A2494">
        <v>2493</v>
      </c>
      <c r="B2494" s="1">
        <v>42222</v>
      </c>
      <c r="C2494" s="9" t="s">
        <v>4094</v>
      </c>
      <c r="D2494" s="9" t="s">
        <v>5361</v>
      </c>
      <c r="E2494" s="9" t="s">
        <v>1111</v>
      </c>
      <c r="F2494" s="9" t="s">
        <v>31</v>
      </c>
      <c r="G2494" s="9" t="s">
        <v>4095</v>
      </c>
      <c r="H2494" s="9" t="s">
        <v>86</v>
      </c>
      <c r="I2494" s="11">
        <v>700000</v>
      </c>
      <c r="J2494" s="11">
        <v>2105085</v>
      </c>
      <c r="K2494" s="11">
        <v>10728909</v>
      </c>
      <c r="L2494" s="3">
        <v>206</v>
      </c>
      <c r="M2494" s="3">
        <v>3855</v>
      </c>
      <c r="N2494" s="3">
        <v>227866</v>
      </c>
      <c r="O2494" s="2">
        <v>0.14699999999999999</v>
      </c>
      <c r="P2494" s="2">
        <v>0.42199999999999999</v>
      </c>
      <c r="Q2494" s="2">
        <v>-0.28499999999999998</v>
      </c>
      <c r="R2494" s="11">
        <v>360169673</v>
      </c>
      <c r="S2494" s="11">
        <v>589157</v>
      </c>
      <c r="T2494">
        <v>2015</v>
      </c>
      <c r="U2494">
        <v>8</v>
      </c>
      <c r="V2494">
        <f t="shared" si="228"/>
        <v>687500</v>
      </c>
      <c r="W2494">
        <f t="shared" si="229"/>
        <v>18429897</v>
      </c>
      <c r="X2494">
        <f t="shared" si="230"/>
        <v>17742397</v>
      </c>
      <c r="Y2494">
        <f t="shared" si="231"/>
        <v>-25926095.5</v>
      </c>
      <c r="Z2494">
        <f t="shared" si="232"/>
        <v>45043492.5</v>
      </c>
      <c r="AA2494" t="str">
        <f t="shared" si="233"/>
        <v>Normal</v>
      </c>
      <c r="AE2494" s="2"/>
      <c r="AF2494" s="2"/>
    </row>
    <row r="2495" spans="1:32" x14ac:dyDescent="0.35">
      <c r="A2495">
        <v>2494</v>
      </c>
      <c r="B2495" s="1">
        <v>42222</v>
      </c>
      <c r="C2495" s="9" t="s">
        <v>1269</v>
      </c>
      <c r="D2495" s="9" t="s">
        <v>5362</v>
      </c>
      <c r="E2495" s="9" t="s">
        <v>1111</v>
      </c>
      <c r="F2495" s="9" t="s">
        <v>15</v>
      </c>
      <c r="G2495" s="9" t="s">
        <v>4096</v>
      </c>
      <c r="H2495" s="9" t="s">
        <v>105</v>
      </c>
      <c r="I2495" s="11">
        <v>25000000</v>
      </c>
      <c r="J2495" s="11">
        <v>1042843</v>
      </c>
      <c r="K2495" s="11">
        <v>3389572</v>
      </c>
      <c r="L2495" s="3">
        <v>133</v>
      </c>
      <c r="M2495" s="3">
        <v>3718</v>
      </c>
      <c r="N2495" s="3">
        <v>460136</v>
      </c>
      <c r="O2495" s="2">
        <v>0.25700000000000001</v>
      </c>
      <c r="P2495" s="2">
        <v>0.78799999999999992</v>
      </c>
      <c r="Q2495" s="2">
        <v>0.109</v>
      </c>
      <c r="R2495" s="11">
        <v>60170646</v>
      </c>
      <c r="S2495" s="11">
        <v>750638</v>
      </c>
      <c r="T2495">
        <v>2015</v>
      </c>
      <c r="U2495">
        <v>8</v>
      </c>
      <c r="V2495">
        <f t="shared" si="228"/>
        <v>675000</v>
      </c>
      <c r="W2495">
        <f t="shared" si="229"/>
        <v>18429897</v>
      </c>
      <c r="X2495">
        <f t="shared" si="230"/>
        <v>17754897</v>
      </c>
      <c r="Y2495">
        <f t="shared" si="231"/>
        <v>-25957345.5</v>
      </c>
      <c r="Z2495">
        <f t="shared" si="232"/>
        <v>45062242.5</v>
      </c>
      <c r="AA2495" t="str">
        <f t="shared" si="233"/>
        <v>Normal</v>
      </c>
      <c r="AE2495" s="2"/>
      <c r="AF2495" s="2"/>
    </row>
    <row r="2496" spans="1:32" x14ac:dyDescent="0.35">
      <c r="A2496">
        <v>2495</v>
      </c>
      <c r="B2496" s="1">
        <v>42222</v>
      </c>
      <c r="C2496" s="9" t="s">
        <v>4097</v>
      </c>
      <c r="D2496" s="9" t="s">
        <v>5363</v>
      </c>
      <c r="E2496" s="9" t="s">
        <v>1111</v>
      </c>
      <c r="F2496" s="9" t="s">
        <v>31</v>
      </c>
      <c r="G2496" s="9" t="s">
        <v>4098</v>
      </c>
      <c r="H2496" s="9" t="s">
        <v>105</v>
      </c>
      <c r="I2496" s="11">
        <v>18429897</v>
      </c>
      <c r="J2496" s="11">
        <v>4009595</v>
      </c>
      <c r="K2496" s="11">
        <v>4705761</v>
      </c>
      <c r="L2496" s="3">
        <v>38</v>
      </c>
      <c r="M2496" s="3">
        <v>1396</v>
      </c>
      <c r="N2496" s="3">
        <v>809579</v>
      </c>
      <c r="O2496" s="2">
        <v>7.5999999999999998E-2</v>
      </c>
      <c r="P2496" s="2">
        <v>0.50800000000000001</v>
      </c>
      <c r="Q2496" s="2">
        <v>0.60899999999999999</v>
      </c>
      <c r="R2496" s="11">
        <v>117147368</v>
      </c>
      <c r="S2496" s="11">
        <v>439435</v>
      </c>
      <c r="T2496">
        <v>2015</v>
      </c>
      <c r="U2496">
        <v>8</v>
      </c>
      <c r="V2496">
        <f t="shared" si="228"/>
        <v>662500</v>
      </c>
      <c r="W2496">
        <f t="shared" si="229"/>
        <v>18429897</v>
      </c>
      <c r="X2496">
        <f t="shared" si="230"/>
        <v>17767397</v>
      </c>
      <c r="Y2496">
        <f t="shared" si="231"/>
        <v>-25988595.5</v>
      </c>
      <c r="Z2496">
        <f t="shared" si="232"/>
        <v>45080992.5</v>
      </c>
      <c r="AA2496" t="str">
        <f t="shared" si="233"/>
        <v>Normal</v>
      </c>
      <c r="AE2496" s="2"/>
      <c r="AF2496" s="2"/>
    </row>
    <row r="2497" spans="1:32" x14ac:dyDescent="0.35">
      <c r="A2497">
        <v>2496</v>
      </c>
      <c r="B2497" s="1">
        <v>42223</v>
      </c>
      <c r="C2497" s="9" t="s">
        <v>4099</v>
      </c>
      <c r="D2497" s="9" t="s">
        <v>5364</v>
      </c>
      <c r="E2497" s="9" t="s">
        <v>1111</v>
      </c>
      <c r="F2497" s="9" t="s">
        <v>19</v>
      </c>
      <c r="G2497" s="9" t="s">
        <v>1419</v>
      </c>
      <c r="H2497" s="9" t="s">
        <v>86</v>
      </c>
      <c r="I2497" s="11">
        <v>630000</v>
      </c>
      <c r="J2497" s="11">
        <v>4444059</v>
      </c>
      <c r="K2497" s="11">
        <v>2346342</v>
      </c>
      <c r="L2497" s="3">
        <v>110</v>
      </c>
      <c r="M2497" s="3">
        <v>2370</v>
      </c>
      <c r="N2497" s="3">
        <v>1150665</v>
      </c>
      <c r="O2497" s="2">
        <v>-0.06</v>
      </c>
      <c r="P2497" s="2">
        <v>0.68700000000000006</v>
      </c>
      <c r="Q2497" s="2">
        <v>-0.48799999999999999</v>
      </c>
      <c r="R2497" s="11">
        <v>302190823</v>
      </c>
      <c r="S2497" s="11">
        <v>462882</v>
      </c>
      <c r="T2497">
        <v>2015</v>
      </c>
      <c r="U2497">
        <v>8</v>
      </c>
      <c r="V2497">
        <f t="shared" si="228"/>
        <v>650000</v>
      </c>
      <c r="W2497">
        <f t="shared" si="229"/>
        <v>18429897</v>
      </c>
      <c r="X2497">
        <f t="shared" si="230"/>
        <v>17779897</v>
      </c>
      <c r="Y2497">
        <f t="shared" si="231"/>
        <v>-26019845.5</v>
      </c>
      <c r="Z2497">
        <f t="shared" si="232"/>
        <v>45099742.5</v>
      </c>
      <c r="AA2497" t="str">
        <f t="shared" si="233"/>
        <v>Normal</v>
      </c>
      <c r="AE2497" s="2"/>
      <c r="AF2497" s="2"/>
    </row>
    <row r="2498" spans="1:32" x14ac:dyDescent="0.35">
      <c r="A2498">
        <v>2497</v>
      </c>
      <c r="B2498" s="1">
        <v>42223</v>
      </c>
      <c r="C2498" s="9" t="s">
        <v>4100</v>
      </c>
      <c r="D2498" s="9" t="s">
        <v>5365</v>
      </c>
      <c r="E2498" s="9" t="s">
        <v>1111</v>
      </c>
      <c r="F2498" s="9" t="s">
        <v>31</v>
      </c>
      <c r="G2498" s="9" t="s">
        <v>4101</v>
      </c>
      <c r="H2498" s="9" t="s">
        <v>105</v>
      </c>
      <c r="I2498" s="11">
        <v>500000</v>
      </c>
      <c r="J2498" s="11">
        <v>180947</v>
      </c>
      <c r="K2498" s="11">
        <v>8547148</v>
      </c>
      <c r="L2498" s="3">
        <v>458</v>
      </c>
      <c r="M2498" s="3">
        <v>3533</v>
      </c>
      <c r="N2498" s="3">
        <v>789360</v>
      </c>
      <c r="O2498" s="2">
        <v>0.16700000000000001</v>
      </c>
      <c r="P2498" s="2">
        <v>0.86799999999999999</v>
      </c>
      <c r="Q2498" s="2">
        <v>0.36749999999999999</v>
      </c>
      <c r="R2498" s="11">
        <v>17229402</v>
      </c>
      <c r="S2498" s="11">
        <v>1008193.5</v>
      </c>
      <c r="T2498">
        <v>2015</v>
      </c>
      <c r="U2498">
        <v>8</v>
      </c>
      <c r="V2498">
        <f t="shared" ref="V2498:V2561" si="234">_xlfn.PERCENTILE.INC(I2498:I5541,0.25)</f>
        <v>687500</v>
      </c>
      <c r="W2498">
        <f t="shared" ref="W2498:W2561" si="235">_xlfn.PERCENTILE.INC(I2498:I5541,0.75)</f>
        <v>18429897</v>
      </c>
      <c r="X2498">
        <f t="shared" ref="X2498:X2561" si="236">W2498-V2498</f>
        <v>17742397</v>
      </c>
      <c r="Y2498">
        <f t="shared" ref="Y2498:Y2561" si="237">V2498-1.5*X2498</f>
        <v>-25926095.5</v>
      </c>
      <c r="Z2498">
        <f t="shared" ref="Z2498:Z2561" si="238">W2498+1.5*X2498</f>
        <v>45043492.5</v>
      </c>
      <c r="AA2498" t="str">
        <f t="shared" ref="AA2498:AA2561" si="239">IF(OR(I2498&lt;$Y$2, I2498&gt;$Z$2), "Outlier", "Normal")</f>
        <v>Normal</v>
      </c>
      <c r="AE2498" s="2"/>
      <c r="AF2498" s="2"/>
    </row>
    <row r="2499" spans="1:32" x14ac:dyDescent="0.35">
      <c r="A2499">
        <v>2498</v>
      </c>
      <c r="B2499" s="1">
        <v>42223</v>
      </c>
      <c r="C2499" s="9" t="s">
        <v>4102</v>
      </c>
      <c r="D2499" s="9" t="s">
        <v>5366</v>
      </c>
      <c r="E2499" s="9" t="s">
        <v>1111</v>
      </c>
      <c r="F2499" s="9" t="s">
        <v>31</v>
      </c>
      <c r="G2499" s="9" t="s">
        <v>4103</v>
      </c>
      <c r="H2499" s="9" t="s">
        <v>105</v>
      </c>
      <c r="I2499" s="11">
        <v>18429897</v>
      </c>
      <c r="J2499" s="11">
        <v>4649739</v>
      </c>
      <c r="K2499" s="11">
        <v>5598525</v>
      </c>
      <c r="L2499" s="3">
        <v>454</v>
      </c>
      <c r="M2499" s="3">
        <v>2505.5</v>
      </c>
      <c r="N2499" s="3">
        <v>1657330</v>
      </c>
      <c r="O2499" s="2">
        <v>0.60899999999999999</v>
      </c>
      <c r="P2499" s="2">
        <v>0.20399999999999999</v>
      </c>
      <c r="Q2499" s="2">
        <v>-1.3999999999999999E-2</v>
      </c>
      <c r="R2499" s="11">
        <v>254775040</v>
      </c>
      <c r="S2499" s="11">
        <v>1934698</v>
      </c>
      <c r="T2499">
        <v>2015</v>
      </c>
      <c r="U2499">
        <v>8</v>
      </c>
      <c r="V2499">
        <f t="shared" si="234"/>
        <v>735000</v>
      </c>
      <c r="W2499">
        <f t="shared" si="235"/>
        <v>18429897</v>
      </c>
      <c r="X2499">
        <f t="shared" si="236"/>
        <v>17694897</v>
      </c>
      <c r="Y2499">
        <f t="shared" si="237"/>
        <v>-25807345.5</v>
      </c>
      <c r="Z2499">
        <f t="shared" si="238"/>
        <v>44972242.5</v>
      </c>
      <c r="AA2499" t="str">
        <f t="shared" si="239"/>
        <v>Normal</v>
      </c>
      <c r="AE2499" s="2"/>
      <c r="AF2499" s="2"/>
    </row>
    <row r="2500" spans="1:32" x14ac:dyDescent="0.35">
      <c r="A2500">
        <v>2499</v>
      </c>
      <c r="B2500" s="1">
        <v>42223</v>
      </c>
      <c r="C2500" s="9" t="s">
        <v>4104</v>
      </c>
      <c r="D2500" s="9" t="s">
        <v>5367</v>
      </c>
      <c r="E2500" s="9" t="s">
        <v>1111</v>
      </c>
      <c r="F2500" s="9" t="s">
        <v>63</v>
      </c>
      <c r="G2500" s="9" t="s">
        <v>4105</v>
      </c>
      <c r="H2500" s="9" t="s">
        <v>86</v>
      </c>
      <c r="I2500" s="11">
        <v>18429897</v>
      </c>
      <c r="J2500" s="11">
        <v>3503112</v>
      </c>
      <c r="K2500" s="11">
        <v>4546868</v>
      </c>
      <c r="L2500" s="3">
        <v>372</v>
      </c>
      <c r="M2500" s="3">
        <v>2938</v>
      </c>
      <c r="N2500" s="3">
        <v>703670</v>
      </c>
      <c r="O2500" s="2">
        <v>-0.314</v>
      </c>
      <c r="P2500" s="2">
        <v>0.52800000000000002</v>
      </c>
      <c r="Q2500" s="2">
        <v>-0.152</v>
      </c>
      <c r="R2500" s="11">
        <v>325809138</v>
      </c>
      <c r="S2500" s="11">
        <v>1352795</v>
      </c>
      <c r="T2500">
        <v>2015</v>
      </c>
      <c r="U2500">
        <v>8</v>
      </c>
      <c r="V2500">
        <f t="shared" si="234"/>
        <v>717500</v>
      </c>
      <c r="W2500">
        <f t="shared" si="235"/>
        <v>18429897</v>
      </c>
      <c r="X2500">
        <f t="shared" si="236"/>
        <v>17712397</v>
      </c>
      <c r="Y2500">
        <f t="shared" si="237"/>
        <v>-25851095.5</v>
      </c>
      <c r="Z2500">
        <f t="shared" si="238"/>
        <v>44998492.5</v>
      </c>
      <c r="AA2500" t="str">
        <f t="shared" si="239"/>
        <v>Normal</v>
      </c>
      <c r="AE2500" s="2"/>
      <c r="AF2500" s="2"/>
    </row>
    <row r="2501" spans="1:32" x14ac:dyDescent="0.35">
      <c r="A2501">
        <v>2500</v>
      </c>
      <c r="B2501" s="1">
        <v>42223</v>
      </c>
      <c r="C2501" s="9" t="s">
        <v>1729</v>
      </c>
      <c r="D2501" s="9" t="s">
        <v>5368</v>
      </c>
      <c r="E2501" s="9" t="s">
        <v>1111</v>
      </c>
      <c r="F2501" s="9" t="s">
        <v>27</v>
      </c>
      <c r="G2501" s="9" t="s">
        <v>4106</v>
      </c>
      <c r="H2501" s="9" t="s">
        <v>86</v>
      </c>
      <c r="I2501" s="11">
        <v>18429897</v>
      </c>
      <c r="J2501" s="11">
        <v>517158</v>
      </c>
      <c r="K2501" s="11">
        <v>11035220</v>
      </c>
      <c r="L2501" s="3">
        <v>55</v>
      </c>
      <c r="M2501" s="3">
        <v>155</v>
      </c>
      <c r="N2501" s="3">
        <v>1088324</v>
      </c>
      <c r="O2501" s="2">
        <v>0.16699999999999998</v>
      </c>
      <c r="P2501" s="2">
        <v>0.80900000000000005</v>
      </c>
      <c r="Q2501" s="2">
        <v>-0.28199999999999997</v>
      </c>
      <c r="R2501" s="11">
        <v>75330456</v>
      </c>
      <c r="S2501" s="11">
        <v>1008193.5</v>
      </c>
      <c r="T2501">
        <v>2015</v>
      </c>
      <c r="U2501">
        <v>8</v>
      </c>
      <c r="V2501">
        <f t="shared" si="234"/>
        <v>700000</v>
      </c>
      <c r="W2501">
        <f t="shared" si="235"/>
        <v>18429897</v>
      </c>
      <c r="X2501">
        <f t="shared" si="236"/>
        <v>17729897</v>
      </c>
      <c r="Y2501">
        <f t="shared" si="237"/>
        <v>-25894845.5</v>
      </c>
      <c r="Z2501">
        <f t="shared" si="238"/>
        <v>45024742.5</v>
      </c>
      <c r="AA2501" t="str">
        <f t="shared" si="239"/>
        <v>Normal</v>
      </c>
      <c r="AE2501" s="2"/>
      <c r="AF2501" s="2"/>
    </row>
    <row r="2502" spans="1:32" x14ac:dyDescent="0.35">
      <c r="A2502">
        <v>2501</v>
      </c>
      <c r="B2502" s="1">
        <v>42226</v>
      </c>
      <c r="C2502" s="9" t="s">
        <v>2693</v>
      </c>
      <c r="D2502" s="9" t="s">
        <v>5369</v>
      </c>
      <c r="E2502" s="9" t="s">
        <v>1111</v>
      </c>
      <c r="F2502" s="9" t="s">
        <v>19</v>
      </c>
      <c r="G2502" s="9" t="s">
        <v>4107</v>
      </c>
      <c r="H2502" s="9" t="s">
        <v>105</v>
      </c>
      <c r="I2502" s="11">
        <v>500000</v>
      </c>
      <c r="J2502" s="11">
        <v>3770720</v>
      </c>
      <c r="K2502" s="11">
        <v>9998515</v>
      </c>
      <c r="L2502" s="3">
        <v>344</v>
      </c>
      <c r="M2502" s="3">
        <v>4281</v>
      </c>
      <c r="N2502" s="3">
        <v>1396097</v>
      </c>
      <c r="O2502" s="2">
        <v>1.1000000000000001E-2</v>
      </c>
      <c r="P2502" s="2">
        <v>0.85099999999999998</v>
      </c>
      <c r="Q2502" s="2">
        <v>0.375</v>
      </c>
      <c r="R2502" s="11">
        <v>250264963</v>
      </c>
      <c r="S2502" s="11">
        <v>13304</v>
      </c>
      <c r="T2502">
        <v>2015</v>
      </c>
      <c r="U2502">
        <v>8</v>
      </c>
      <c r="V2502">
        <f t="shared" si="234"/>
        <v>687500</v>
      </c>
      <c r="W2502">
        <f t="shared" si="235"/>
        <v>18429897</v>
      </c>
      <c r="X2502">
        <f t="shared" si="236"/>
        <v>17742397</v>
      </c>
      <c r="Y2502">
        <f t="shared" si="237"/>
        <v>-25926095.5</v>
      </c>
      <c r="Z2502">
        <f t="shared" si="238"/>
        <v>45043492.5</v>
      </c>
      <c r="AA2502" t="str">
        <f t="shared" si="239"/>
        <v>Normal</v>
      </c>
      <c r="AE2502" s="2"/>
      <c r="AF2502" s="2"/>
    </row>
    <row r="2503" spans="1:32" x14ac:dyDescent="0.35">
      <c r="A2503">
        <v>2502</v>
      </c>
      <c r="B2503" s="1">
        <v>42226</v>
      </c>
      <c r="C2503" s="9" t="s">
        <v>4108</v>
      </c>
      <c r="D2503" s="9" t="s">
        <v>1873</v>
      </c>
      <c r="E2503" s="9" t="s">
        <v>1111</v>
      </c>
      <c r="F2503" s="9" t="s">
        <v>27</v>
      </c>
      <c r="G2503" s="9" t="s">
        <v>4109</v>
      </c>
      <c r="H2503" s="9" t="s">
        <v>86</v>
      </c>
      <c r="I2503" s="11">
        <v>80000</v>
      </c>
      <c r="J2503" s="11">
        <v>554866</v>
      </c>
      <c r="K2503" s="11">
        <v>4279131</v>
      </c>
      <c r="L2503" s="3">
        <v>67</v>
      </c>
      <c r="M2503" s="3">
        <v>4672</v>
      </c>
      <c r="N2503" s="3">
        <v>755058</v>
      </c>
      <c r="O2503" s="2">
        <v>3.5000000000000003E-2</v>
      </c>
      <c r="P2503" s="2">
        <v>0.39400000000000002</v>
      </c>
      <c r="Q2503" s="2">
        <v>0.14899999999999999</v>
      </c>
      <c r="R2503" s="11">
        <v>170230571</v>
      </c>
      <c r="S2503" s="11">
        <v>343556</v>
      </c>
      <c r="T2503">
        <v>2015</v>
      </c>
      <c r="U2503">
        <v>8</v>
      </c>
      <c r="V2503">
        <f t="shared" si="234"/>
        <v>735000</v>
      </c>
      <c r="W2503">
        <f t="shared" si="235"/>
        <v>18429897</v>
      </c>
      <c r="X2503">
        <f t="shared" si="236"/>
        <v>17694897</v>
      </c>
      <c r="Y2503">
        <f t="shared" si="237"/>
        <v>-25807345.5</v>
      </c>
      <c r="Z2503">
        <f t="shared" si="238"/>
        <v>44972242.5</v>
      </c>
      <c r="AA2503" t="str">
        <f t="shared" si="239"/>
        <v>Normal</v>
      </c>
      <c r="AE2503" s="2"/>
      <c r="AF2503" s="2"/>
    </row>
    <row r="2504" spans="1:32" x14ac:dyDescent="0.35">
      <c r="A2504">
        <v>2503</v>
      </c>
      <c r="B2504" s="1">
        <v>42226</v>
      </c>
      <c r="C2504" s="9" t="s">
        <v>4110</v>
      </c>
      <c r="D2504" s="9" t="s">
        <v>5370</v>
      </c>
      <c r="E2504" s="9" t="s">
        <v>1111</v>
      </c>
      <c r="F2504" s="9" t="s">
        <v>4111</v>
      </c>
      <c r="G2504" s="9" t="s">
        <v>4112</v>
      </c>
      <c r="H2504" s="9" t="s">
        <v>86</v>
      </c>
      <c r="I2504" s="11">
        <v>18429897</v>
      </c>
      <c r="J2504" s="11">
        <v>273291</v>
      </c>
      <c r="K2504" s="11">
        <v>14010746</v>
      </c>
      <c r="L2504" s="3">
        <v>342</v>
      </c>
      <c r="M2504" s="3">
        <v>215</v>
      </c>
      <c r="N2504" s="3">
        <v>1114301</v>
      </c>
      <c r="O2504" s="2">
        <v>9.9000000000000005E-2</v>
      </c>
      <c r="P2504" s="2">
        <v>0.53200000000000003</v>
      </c>
      <c r="Q2504" s="2">
        <v>-0.36499999999999999</v>
      </c>
      <c r="R2504" s="11">
        <v>30385743</v>
      </c>
      <c r="S2504" s="11">
        <v>522434</v>
      </c>
      <c r="T2504">
        <v>2015</v>
      </c>
      <c r="U2504">
        <v>8</v>
      </c>
      <c r="V2504">
        <f t="shared" si="234"/>
        <v>775000</v>
      </c>
      <c r="W2504">
        <f t="shared" si="235"/>
        <v>18429897</v>
      </c>
      <c r="X2504">
        <f t="shared" si="236"/>
        <v>17654897</v>
      </c>
      <c r="Y2504">
        <f t="shared" si="237"/>
        <v>-25707345.5</v>
      </c>
      <c r="Z2504">
        <f t="shared" si="238"/>
        <v>44912242.5</v>
      </c>
      <c r="AA2504" t="str">
        <f t="shared" si="239"/>
        <v>Normal</v>
      </c>
      <c r="AE2504" s="2"/>
      <c r="AF2504" s="2"/>
    </row>
    <row r="2505" spans="1:32" x14ac:dyDescent="0.35">
      <c r="A2505">
        <v>2504</v>
      </c>
      <c r="B2505" s="1">
        <v>42226</v>
      </c>
      <c r="C2505" s="9" t="s">
        <v>4113</v>
      </c>
      <c r="D2505" s="9" t="s">
        <v>4114</v>
      </c>
      <c r="E2505" s="9" t="s">
        <v>1111</v>
      </c>
      <c r="F2505" s="9" t="s">
        <v>27</v>
      </c>
      <c r="G2505" s="9" t="s">
        <v>4115</v>
      </c>
      <c r="H2505" s="9" t="s">
        <v>86</v>
      </c>
      <c r="I2505" s="11">
        <v>250000</v>
      </c>
      <c r="J2505" s="11">
        <v>594325</v>
      </c>
      <c r="K2505" s="11">
        <v>6939054</v>
      </c>
      <c r="L2505" s="3">
        <v>21</v>
      </c>
      <c r="M2505" s="3">
        <v>2505.5</v>
      </c>
      <c r="N2505" s="3">
        <v>1453559</v>
      </c>
      <c r="O2505" s="2">
        <v>5.0999999999999997E-2</v>
      </c>
      <c r="P2505" s="2">
        <v>0.42599999999999999</v>
      </c>
      <c r="Q2505" s="2">
        <v>-0.13500000000000001</v>
      </c>
      <c r="R2505" s="11">
        <v>456526298</v>
      </c>
      <c r="S2505" s="11">
        <v>920948</v>
      </c>
      <c r="T2505">
        <v>2015</v>
      </c>
      <c r="U2505">
        <v>8</v>
      </c>
      <c r="V2505">
        <f t="shared" si="234"/>
        <v>770000</v>
      </c>
      <c r="W2505">
        <f t="shared" si="235"/>
        <v>18429897</v>
      </c>
      <c r="X2505">
        <f t="shared" si="236"/>
        <v>17659897</v>
      </c>
      <c r="Y2505">
        <f t="shared" si="237"/>
        <v>-25719845.5</v>
      </c>
      <c r="Z2505">
        <f t="shared" si="238"/>
        <v>44919742.5</v>
      </c>
      <c r="AA2505" t="str">
        <f t="shared" si="239"/>
        <v>Normal</v>
      </c>
      <c r="AE2505" s="2"/>
      <c r="AF2505" s="2"/>
    </row>
    <row r="2506" spans="1:32" x14ac:dyDescent="0.35">
      <c r="A2506">
        <v>2505</v>
      </c>
      <c r="B2506" s="1">
        <v>42226</v>
      </c>
      <c r="C2506" s="9" t="s">
        <v>4116</v>
      </c>
      <c r="D2506" s="9" t="s">
        <v>5371</v>
      </c>
      <c r="E2506" s="9" t="s">
        <v>1111</v>
      </c>
      <c r="F2506" s="9" t="s">
        <v>27</v>
      </c>
      <c r="G2506" s="9" t="s">
        <v>673</v>
      </c>
      <c r="H2506" s="9" t="s">
        <v>105</v>
      </c>
      <c r="I2506" s="11">
        <v>16000000</v>
      </c>
      <c r="J2506" s="11">
        <v>2309963</v>
      </c>
      <c r="K2506" s="11">
        <v>6893170</v>
      </c>
      <c r="L2506" s="3">
        <v>146</v>
      </c>
      <c r="M2506" s="3">
        <v>4899</v>
      </c>
      <c r="N2506" s="3">
        <v>771845</v>
      </c>
      <c r="O2506" s="2">
        <v>0.24</v>
      </c>
      <c r="P2506" s="2">
        <v>1.099E-2</v>
      </c>
      <c r="Q2506" s="2">
        <v>-3.7000000000000005E-2</v>
      </c>
      <c r="R2506" s="11">
        <v>250264963</v>
      </c>
      <c r="S2506" s="11">
        <v>481041</v>
      </c>
      <c r="T2506">
        <v>2015</v>
      </c>
      <c r="U2506">
        <v>8</v>
      </c>
      <c r="V2506">
        <f t="shared" si="234"/>
        <v>785000</v>
      </c>
      <c r="W2506">
        <f t="shared" si="235"/>
        <v>18429897</v>
      </c>
      <c r="X2506">
        <f t="shared" si="236"/>
        <v>17644897</v>
      </c>
      <c r="Y2506">
        <f t="shared" si="237"/>
        <v>-25682345.5</v>
      </c>
      <c r="Z2506">
        <f t="shared" si="238"/>
        <v>44897242.5</v>
      </c>
      <c r="AA2506" t="str">
        <f t="shared" si="239"/>
        <v>Normal</v>
      </c>
      <c r="AE2506" s="2"/>
      <c r="AF2506" s="2"/>
    </row>
    <row r="2507" spans="1:32" x14ac:dyDescent="0.35">
      <c r="A2507">
        <v>2506</v>
      </c>
      <c r="B2507" s="1">
        <v>42226</v>
      </c>
      <c r="C2507" s="9" t="s">
        <v>4117</v>
      </c>
      <c r="D2507" s="9" t="s">
        <v>5372</v>
      </c>
      <c r="E2507" s="9" t="s">
        <v>1111</v>
      </c>
      <c r="F2507" s="9" t="s">
        <v>35</v>
      </c>
      <c r="G2507" s="9" t="s">
        <v>4118</v>
      </c>
      <c r="H2507" s="9" t="s">
        <v>86</v>
      </c>
      <c r="I2507" s="11">
        <v>250000</v>
      </c>
      <c r="J2507" s="11">
        <v>3105454</v>
      </c>
      <c r="K2507" s="11">
        <v>9610824</v>
      </c>
      <c r="L2507" s="3">
        <v>65</v>
      </c>
      <c r="M2507" s="3">
        <v>4770</v>
      </c>
      <c r="N2507" s="3">
        <v>1941734</v>
      </c>
      <c r="O2507" s="2">
        <v>1.6E-2</v>
      </c>
      <c r="P2507" s="2">
        <v>0.496</v>
      </c>
      <c r="Q2507" s="2">
        <v>-0.29299999999999998</v>
      </c>
      <c r="R2507" s="11">
        <v>250264963</v>
      </c>
      <c r="S2507" s="11">
        <v>849006</v>
      </c>
      <c r="T2507">
        <v>2015</v>
      </c>
      <c r="U2507">
        <v>8</v>
      </c>
      <c r="V2507">
        <f t="shared" si="234"/>
        <v>780000</v>
      </c>
      <c r="W2507">
        <f t="shared" si="235"/>
        <v>18429897</v>
      </c>
      <c r="X2507">
        <f t="shared" si="236"/>
        <v>17649897</v>
      </c>
      <c r="Y2507">
        <f t="shared" si="237"/>
        <v>-25694845.5</v>
      </c>
      <c r="Z2507">
        <f t="shared" si="238"/>
        <v>44904742.5</v>
      </c>
      <c r="AA2507" t="str">
        <f t="shared" si="239"/>
        <v>Normal</v>
      </c>
      <c r="AE2507" s="2"/>
      <c r="AF2507" s="2"/>
    </row>
    <row r="2508" spans="1:32" x14ac:dyDescent="0.35">
      <c r="A2508">
        <v>2507</v>
      </c>
      <c r="B2508" s="1">
        <v>42226</v>
      </c>
      <c r="C2508" s="9" t="s">
        <v>590</v>
      </c>
      <c r="D2508" s="9" t="s">
        <v>4119</v>
      </c>
      <c r="E2508" s="9" t="s">
        <v>1111</v>
      </c>
      <c r="F2508" s="9" t="s">
        <v>15</v>
      </c>
      <c r="G2508" s="9" t="s">
        <v>4120</v>
      </c>
      <c r="H2508" s="9" t="s">
        <v>105</v>
      </c>
      <c r="I2508" s="11">
        <v>1000000</v>
      </c>
      <c r="J2508" s="11">
        <v>2048477</v>
      </c>
      <c r="K2508" s="11">
        <v>2867039</v>
      </c>
      <c r="L2508" s="3">
        <v>467</v>
      </c>
      <c r="M2508" s="3">
        <v>4823</v>
      </c>
      <c r="N2508" s="3">
        <v>1072650</v>
      </c>
      <c r="O2508" s="2">
        <v>-0.312</v>
      </c>
      <c r="P2508" s="2">
        <v>1.0820000000000001E-2</v>
      </c>
      <c r="Q2508" s="2">
        <v>0.122</v>
      </c>
      <c r="R2508" s="11">
        <v>179992208</v>
      </c>
      <c r="S2508" s="11">
        <v>1069065</v>
      </c>
      <c r="T2508">
        <v>2015</v>
      </c>
      <c r="U2508">
        <v>8</v>
      </c>
      <c r="V2508">
        <f t="shared" si="234"/>
        <v>792500</v>
      </c>
      <c r="W2508">
        <f t="shared" si="235"/>
        <v>18429897</v>
      </c>
      <c r="X2508">
        <f t="shared" si="236"/>
        <v>17637397</v>
      </c>
      <c r="Y2508">
        <f t="shared" si="237"/>
        <v>-25663595.5</v>
      </c>
      <c r="Z2508">
        <f t="shared" si="238"/>
        <v>44885992.5</v>
      </c>
      <c r="AA2508" t="str">
        <f t="shared" si="239"/>
        <v>Normal</v>
      </c>
      <c r="AE2508" s="2"/>
      <c r="AF2508" s="2"/>
    </row>
    <row r="2509" spans="1:32" x14ac:dyDescent="0.35">
      <c r="A2509">
        <v>2508</v>
      </c>
      <c r="B2509" s="1">
        <v>42226</v>
      </c>
      <c r="C2509" s="9" t="s">
        <v>4121</v>
      </c>
      <c r="D2509" s="9" t="s">
        <v>5373</v>
      </c>
      <c r="E2509" s="9" t="s">
        <v>1111</v>
      </c>
      <c r="F2509" s="9" t="s">
        <v>19</v>
      </c>
      <c r="G2509" s="9" t="s">
        <v>16</v>
      </c>
      <c r="H2509" s="9" t="s">
        <v>105</v>
      </c>
      <c r="I2509" s="11">
        <v>30000000</v>
      </c>
      <c r="J2509" s="11">
        <v>627405</v>
      </c>
      <c r="K2509" s="11">
        <v>8458591</v>
      </c>
      <c r="L2509" s="3">
        <v>286</v>
      </c>
      <c r="M2509" s="3">
        <v>4878</v>
      </c>
      <c r="N2509" s="3">
        <v>1572974</v>
      </c>
      <c r="O2509" s="2">
        <v>0.376</v>
      </c>
      <c r="P2509" s="2">
        <v>1.0840000000000001</v>
      </c>
      <c r="Q2509" s="2">
        <v>0.16399999999999998</v>
      </c>
      <c r="R2509" s="11">
        <v>293575724</v>
      </c>
      <c r="S2509" s="11">
        <v>789225</v>
      </c>
      <c r="T2509">
        <v>2015</v>
      </c>
      <c r="U2509">
        <v>8</v>
      </c>
      <c r="V2509">
        <f t="shared" si="234"/>
        <v>790000</v>
      </c>
      <c r="W2509">
        <f t="shared" si="235"/>
        <v>18429897</v>
      </c>
      <c r="X2509">
        <f t="shared" si="236"/>
        <v>17639897</v>
      </c>
      <c r="Y2509">
        <f t="shared" si="237"/>
        <v>-25669845.5</v>
      </c>
      <c r="Z2509">
        <f t="shared" si="238"/>
        <v>44889742.5</v>
      </c>
      <c r="AA2509" t="str">
        <f t="shared" si="239"/>
        <v>Normal</v>
      </c>
      <c r="AE2509" s="2"/>
      <c r="AF2509" s="2"/>
    </row>
    <row r="2510" spans="1:32" x14ac:dyDescent="0.35">
      <c r="A2510">
        <v>2509</v>
      </c>
      <c r="B2510" s="1">
        <v>42227</v>
      </c>
      <c r="C2510" s="9" t="s">
        <v>2587</v>
      </c>
      <c r="D2510" s="9" t="s">
        <v>5374</v>
      </c>
      <c r="E2510" s="9" t="s">
        <v>1111</v>
      </c>
      <c r="F2510" s="9" t="s">
        <v>15</v>
      </c>
      <c r="G2510" s="9" t="s">
        <v>4122</v>
      </c>
      <c r="H2510" s="9" t="s">
        <v>105</v>
      </c>
      <c r="I2510" s="11">
        <v>8000000</v>
      </c>
      <c r="J2510" s="11">
        <v>1011859</v>
      </c>
      <c r="K2510" s="11">
        <v>11689695</v>
      </c>
      <c r="L2510" s="3">
        <v>461</v>
      </c>
      <c r="M2510" s="3">
        <v>160</v>
      </c>
      <c r="N2510" s="3">
        <v>1408815</v>
      </c>
      <c r="O2510" s="2">
        <v>0.34600000000000003</v>
      </c>
      <c r="P2510" s="2">
        <v>0.50800000000000001</v>
      </c>
      <c r="Q2510" s="2">
        <v>0.16</v>
      </c>
      <c r="R2510" s="11">
        <v>221972292</v>
      </c>
      <c r="S2510" s="11">
        <v>1423378</v>
      </c>
      <c r="T2510">
        <v>2015</v>
      </c>
      <c r="U2510">
        <v>8</v>
      </c>
      <c r="V2510">
        <f t="shared" si="234"/>
        <v>785000</v>
      </c>
      <c r="W2510">
        <f t="shared" si="235"/>
        <v>18429897</v>
      </c>
      <c r="X2510">
        <f t="shared" si="236"/>
        <v>17644897</v>
      </c>
      <c r="Y2510">
        <f t="shared" si="237"/>
        <v>-25682345.5</v>
      </c>
      <c r="Z2510">
        <f t="shared" si="238"/>
        <v>44897242.5</v>
      </c>
      <c r="AA2510" t="str">
        <f t="shared" si="239"/>
        <v>Normal</v>
      </c>
      <c r="AE2510" s="2"/>
      <c r="AF2510" s="2"/>
    </row>
    <row r="2511" spans="1:32" x14ac:dyDescent="0.35">
      <c r="A2511">
        <v>2510</v>
      </c>
      <c r="B2511" s="1">
        <v>42227</v>
      </c>
      <c r="C2511" s="9" t="s">
        <v>4123</v>
      </c>
      <c r="D2511" s="9" t="s">
        <v>5375</v>
      </c>
      <c r="E2511" s="9" t="s">
        <v>1111</v>
      </c>
      <c r="F2511" s="9" t="s">
        <v>554</v>
      </c>
      <c r="G2511" s="9" t="s">
        <v>1315</v>
      </c>
      <c r="H2511" s="9" t="s">
        <v>86</v>
      </c>
      <c r="I2511" s="11">
        <v>1600000</v>
      </c>
      <c r="J2511" s="11">
        <v>4264863</v>
      </c>
      <c r="K2511" s="11">
        <v>2659693</v>
      </c>
      <c r="L2511" s="3">
        <v>15</v>
      </c>
      <c r="M2511" s="3">
        <v>797</v>
      </c>
      <c r="N2511" s="3">
        <v>1628614</v>
      </c>
      <c r="O2511" s="2">
        <v>-0.1</v>
      </c>
      <c r="P2511" s="2">
        <v>1.071</v>
      </c>
      <c r="Q2511" s="2">
        <v>0.60499999999999998</v>
      </c>
      <c r="R2511" s="11">
        <v>9039722</v>
      </c>
      <c r="S2511" s="11">
        <v>1351937</v>
      </c>
      <c r="T2511">
        <v>2015</v>
      </c>
      <c r="U2511">
        <v>8</v>
      </c>
      <c r="V2511">
        <f t="shared" si="234"/>
        <v>780000</v>
      </c>
      <c r="W2511">
        <f t="shared" si="235"/>
        <v>18429897</v>
      </c>
      <c r="X2511">
        <f t="shared" si="236"/>
        <v>17649897</v>
      </c>
      <c r="Y2511">
        <f t="shared" si="237"/>
        <v>-25694845.5</v>
      </c>
      <c r="Z2511">
        <f t="shared" si="238"/>
        <v>44904742.5</v>
      </c>
      <c r="AA2511" t="str">
        <f t="shared" si="239"/>
        <v>Normal</v>
      </c>
      <c r="AE2511" s="2"/>
      <c r="AF2511" s="2"/>
    </row>
    <row r="2512" spans="1:32" x14ac:dyDescent="0.35">
      <c r="A2512">
        <v>2511</v>
      </c>
      <c r="B2512" s="1">
        <v>42227</v>
      </c>
      <c r="C2512" s="9" t="s">
        <v>3017</v>
      </c>
      <c r="D2512" s="9" t="s">
        <v>5376</v>
      </c>
      <c r="E2512" s="9" t="s">
        <v>1111</v>
      </c>
      <c r="F2512" s="9" t="s">
        <v>41</v>
      </c>
      <c r="G2512" s="9" t="s">
        <v>4124</v>
      </c>
      <c r="H2512" s="9" t="s">
        <v>86</v>
      </c>
      <c r="I2512" s="11">
        <v>100000</v>
      </c>
      <c r="J2512" s="11">
        <v>4813866</v>
      </c>
      <c r="K2512" s="11">
        <v>11341420</v>
      </c>
      <c r="L2512" s="3">
        <v>254</v>
      </c>
      <c r="M2512" s="3">
        <v>2522</v>
      </c>
      <c r="N2512" s="3">
        <v>1018455</v>
      </c>
      <c r="O2512" s="2">
        <v>0.13</v>
      </c>
      <c r="P2512" s="2">
        <v>0.27699999999999997</v>
      </c>
      <c r="Q2512" s="2">
        <v>-0.13500000000000001</v>
      </c>
      <c r="R2512" s="11">
        <v>201932041</v>
      </c>
      <c r="S2512" s="11">
        <v>804029</v>
      </c>
      <c r="T2512">
        <v>2015</v>
      </c>
      <c r="U2512">
        <v>8</v>
      </c>
      <c r="V2512">
        <f t="shared" si="234"/>
        <v>775000</v>
      </c>
      <c r="W2512">
        <f t="shared" si="235"/>
        <v>18429897</v>
      </c>
      <c r="X2512">
        <f t="shared" si="236"/>
        <v>17654897</v>
      </c>
      <c r="Y2512">
        <f t="shared" si="237"/>
        <v>-25707345.5</v>
      </c>
      <c r="Z2512">
        <f t="shared" si="238"/>
        <v>44912242.5</v>
      </c>
      <c r="AA2512" t="str">
        <f t="shared" si="239"/>
        <v>Normal</v>
      </c>
      <c r="AE2512" s="2"/>
      <c r="AF2512" s="2"/>
    </row>
    <row r="2513" spans="1:32" x14ac:dyDescent="0.35">
      <c r="A2513">
        <v>2512</v>
      </c>
      <c r="B2513" s="1">
        <v>42227</v>
      </c>
      <c r="C2513" s="9" t="s">
        <v>4125</v>
      </c>
      <c r="D2513" s="9" t="s">
        <v>4126</v>
      </c>
      <c r="E2513" s="9" t="s">
        <v>1111</v>
      </c>
      <c r="F2513" s="9" t="s">
        <v>31</v>
      </c>
      <c r="G2513" s="9" t="s">
        <v>4127</v>
      </c>
      <c r="H2513" s="9" t="s">
        <v>105</v>
      </c>
      <c r="I2513" s="11">
        <v>20000000</v>
      </c>
      <c r="J2513" s="11">
        <v>3776272</v>
      </c>
      <c r="K2513" s="11">
        <v>873426</v>
      </c>
      <c r="L2513" s="3">
        <v>254</v>
      </c>
      <c r="M2513" s="3">
        <v>2505.5</v>
      </c>
      <c r="N2513" s="3">
        <v>1077591</v>
      </c>
      <c r="O2513" s="2">
        <v>0.36399999999999999</v>
      </c>
      <c r="P2513" s="2">
        <v>0.32600000000000001</v>
      </c>
      <c r="Q2513" s="2">
        <v>-1.8000000000000002E-2</v>
      </c>
      <c r="R2513" s="11">
        <v>394581716</v>
      </c>
      <c r="S2513" s="11">
        <v>267689</v>
      </c>
      <c r="T2513">
        <v>2015</v>
      </c>
      <c r="U2513">
        <v>8</v>
      </c>
      <c r="V2513">
        <f t="shared" si="234"/>
        <v>790000</v>
      </c>
      <c r="W2513">
        <f t="shared" si="235"/>
        <v>18429897</v>
      </c>
      <c r="X2513">
        <f t="shared" si="236"/>
        <v>17639897</v>
      </c>
      <c r="Y2513">
        <f t="shared" si="237"/>
        <v>-25669845.5</v>
      </c>
      <c r="Z2513">
        <f t="shared" si="238"/>
        <v>44889742.5</v>
      </c>
      <c r="AA2513" t="str">
        <f t="shared" si="239"/>
        <v>Normal</v>
      </c>
      <c r="AE2513" s="2"/>
      <c r="AF2513" s="2"/>
    </row>
    <row r="2514" spans="1:32" x14ac:dyDescent="0.35">
      <c r="A2514">
        <v>2513</v>
      </c>
      <c r="B2514" s="1">
        <v>42227</v>
      </c>
      <c r="C2514" s="9" t="s">
        <v>4128</v>
      </c>
      <c r="D2514" s="9" t="s">
        <v>5377</v>
      </c>
      <c r="E2514" s="9" t="s">
        <v>1111</v>
      </c>
      <c r="F2514" s="9" t="s">
        <v>4912</v>
      </c>
      <c r="G2514" s="9" t="s">
        <v>4129</v>
      </c>
      <c r="H2514" s="9" t="s">
        <v>105</v>
      </c>
      <c r="I2514" s="11">
        <v>63000000</v>
      </c>
      <c r="J2514" s="11">
        <v>535001</v>
      </c>
      <c r="K2514" s="11">
        <v>12109384</v>
      </c>
      <c r="L2514" s="3">
        <v>237</v>
      </c>
      <c r="M2514" s="3">
        <v>2037</v>
      </c>
      <c r="N2514" s="3">
        <v>1521372</v>
      </c>
      <c r="O2514" s="2">
        <v>0.32700000000000001</v>
      </c>
      <c r="P2514" s="2">
        <v>0.60699999999999998</v>
      </c>
      <c r="Q2514" s="2">
        <v>-3.2000000000000001E-2</v>
      </c>
      <c r="R2514" s="11">
        <v>56705168</v>
      </c>
      <c r="S2514" s="11">
        <v>1973058</v>
      </c>
      <c r="T2514">
        <v>2015</v>
      </c>
      <c r="U2514">
        <v>8</v>
      </c>
      <c r="V2514">
        <f t="shared" si="234"/>
        <v>785000</v>
      </c>
      <c r="W2514">
        <f t="shared" si="235"/>
        <v>18429897</v>
      </c>
      <c r="X2514">
        <f t="shared" si="236"/>
        <v>17644897</v>
      </c>
      <c r="Y2514">
        <f t="shared" si="237"/>
        <v>-25682345.5</v>
      </c>
      <c r="Z2514">
        <f t="shared" si="238"/>
        <v>44897242.5</v>
      </c>
      <c r="AA2514" t="str">
        <f t="shared" si="239"/>
        <v>Outlier</v>
      </c>
      <c r="AE2514" s="2"/>
      <c r="AF2514" s="2"/>
    </row>
    <row r="2515" spans="1:32" x14ac:dyDescent="0.35">
      <c r="A2515">
        <v>2514</v>
      </c>
      <c r="B2515" s="1">
        <v>42228</v>
      </c>
      <c r="C2515" s="9" t="s">
        <v>1435</v>
      </c>
      <c r="D2515" s="9" t="s">
        <v>5378</v>
      </c>
      <c r="E2515" s="9" t="s">
        <v>1111</v>
      </c>
      <c r="F2515" s="9" t="s">
        <v>31</v>
      </c>
      <c r="G2515" s="9" t="s">
        <v>4130</v>
      </c>
      <c r="H2515" s="9" t="s">
        <v>105</v>
      </c>
      <c r="I2515" s="11">
        <v>7500000</v>
      </c>
      <c r="J2515" s="11">
        <v>1000000000</v>
      </c>
      <c r="K2515" s="11">
        <v>805628</v>
      </c>
      <c r="L2515" s="3">
        <v>437</v>
      </c>
      <c r="M2515" s="3">
        <v>1377</v>
      </c>
      <c r="N2515" s="3">
        <v>933222</v>
      </c>
      <c r="O2515" s="2">
        <v>0.39100000000000001</v>
      </c>
      <c r="P2515" s="2">
        <v>0.89200000000000002</v>
      </c>
      <c r="Q2515" s="2">
        <v>0.314</v>
      </c>
      <c r="R2515" s="11">
        <v>26312756</v>
      </c>
      <c r="S2515" s="11">
        <v>887366</v>
      </c>
      <c r="T2515">
        <v>2015</v>
      </c>
      <c r="U2515">
        <v>8</v>
      </c>
      <c r="V2515">
        <f t="shared" si="234"/>
        <v>780000</v>
      </c>
      <c r="W2515">
        <f t="shared" si="235"/>
        <v>18429897</v>
      </c>
      <c r="X2515">
        <f t="shared" si="236"/>
        <v>17649897</v>
      </c>
      <c r="Y2515">
        <f t="shared" si="237"/>
        <v>-25694845.5</v>
      </c>
      <c r="Z2515">
        <f t="shared" si="238"/>
        <v>44904742.5</v>
      </c>
      <c r="AA2515" t="str">
        <f t="shared" si="239"/>
        <v>Normal</v>
      </c>
      <c r="AE2515" s="2"/>
      <c r="AF2515" s="2"/>
    </row>
    <row r="2516" spans="1:32" x14ac:dyDescent="0.35">
      <c r="A2516">
        <v>2515</v>
      </c>
      <c r="B2516" s="1">
        <v>42228</v>
      </c>
      <c r="C2516" s="9" t="s">
        <v>719</v>
      </c>
      <c r="D2516" s="9" t="s">
        <v>5379</v>
      </c>
      <c r="E2516" s="9" t="s">
        <v>1111</v>
      </c>
      <c r="F2516" s="9" t="s">
        <v>15</v>
      </c>
      <c r="G2516" s="9" t="s">
        <v>898</v>
      </c>
      <c r="H2516" s="9" t="s">
        <v>105</v>
      </c>
      <c r="I2516" s="11">
        <v>50000000</v>
      </c>
      <c r="J2516" s="11">
        <v>3466104</v>
      </c>
      <c r="K2516" s="11">
        <v>3584187</v>
      </c>
      <c r="L2516" s="3">
        <v>28</v>
      </c>
      <c r="M2516" s="3">
        <v>1308</v>
      </c>
      <c r="N2516" s="3">
        <v>1702965</v>
      </c>
      <c r="O2516" s="2">
        <v>0.19500000000000001</v>
      </c>
      <c r="P2516" s="2">
        <v>1.171</v>
      </c>
      <c r="Q2516" s="2">
        <v>0.28600000000000003</v>
      </c>
      <c r="R2516" s="11">
        <v>15341600</v>
      </c>
      <c r="S2516" s="11">
        <v>800056</v>
      </c>
      <c r="T2516">
        <v>2015</v>
      </c>
      <c r="U2516">
        <v>8</v>
      </c>
      <c r="V2516">
        <f t="shared" si="234"/>
        <v>775000</v>
      </c>
      <c r="W2516">
        <f t="shared" si="235"/>
        <v>18429897</v>
      </c>
      <c r="X2516">
        <f t="shared" si="236"/>
        <v>17654897</v>
      </c>
      <c r="Y2516">
        <f t="shared" si="237"/>
        <v>-25707345.5</v>
      </c>
      <c r="Z2516">
        <f t="shared" si="238"/>
        <v>44912242.5</v>
      </c>
      <c r="AA2516" t="str">
        <f t="shared" si="239"/>
        <v>Outlier</v>
      </c>
      <c r="AE2516" s="2"/>
      <c r="AF2516" s="2"/>
    </row>
    <row r="2517" spans="1:32" x14ac:dyDescent="0.35">
      <c r="A2517">
        <v>2516</v>
      </c>
      <c r="B2517" s="1">
        <v>42228</v>
      </c>
      <c r="C2517" s="9" t="s">
        <v>2469</v>
      </c>
      <c r="D2517" s="9" t="s">
        <v>5380</v>
      </c>
      <c r="E2517" s="9" t="s">
        <v>1111</v>
      </c>
      <c r="F2517" s="9" t="s">
        <v>63</v>
      </c>
      <c r="G2517" s="9" t="s">
        <v>4131</v>
      </c>
      <c r="H2517" s="9" t="s">
        <v>86</v>
      </c>
      <c r="I2517" s="11">
        <v>770000</v>
      </c>
      <c r="J2517" s="11">
        <v>2639781</v>
      </c>
      <c r="K2517" s="11">
        <v>7068562</v>
      </c>
      <c r="L2517" s="3">
        <v>472</v>
      </c>
      <c r="M2517" s="3">
        <v>3036</v>
      </c>
      <c r="N2517" s="3">
        <v>1003580</v>
      </c>
      <c r="O2517" s="2">
        <v>0.27400000000000002</v>
      </c>
      <c r="P2517" s="2">
        <v>0.66700000000000004</v>
      </c>
      <c r="Q2517" s="2">
        <v>-0.183</v>
      </c>
      <c r="R2517" s="11">
        <v>457757157</v>
      </c>
      <c r="S2517" s="11">
        <v>1083170</v>
      </c>
      <c r="T2517">
        <v>2015</v>
      </c>
      <c r="U2517">
        <v>8</v>
      </c>
      <c r="V2517">
        <f t="shared" si="234"/>
        <v>770000</v>
      </c>
      <c r="W2517">
        <f t="shared" si="235"/>
        <v>18429897</v>
      </c>
      <c r="X2517">
        <f t="shared" si="236"/>
        <v>17659897</v>
      </c>
      <c r="Y2517">
        <f t="shared" si="237"/>
        <v>-25719845.5</v>
      </c>
      <c r="Z2517">
        <f t="shared" si="238"/>
        <v>44919742.5</v>
      </c>
      <c r="AA2517" t="str">
        <f t="shared" si="239"/>
        <v>Normal</v>
      </c>
      <c r="AE2517" s="2"/>
      <c r="AF2517" s="2"/>
    </row>
    <row r="2518" spans="1:32" x14ac:dyDescent="0.35">
      <c r="A2518">
        <v>2517</v>
      </c>
      <c r="B2518" s="1">
        <v>42228</v>
      </c>
      <c r="C2518" s="9" t="s">
        <v>2852</v>
      </c>
      <c r="D2518" s="9" t="s">
        <v>5381</v>
      </c>
      <c r="E2518" s="9" t="s">
        <v>1111</v>
      </c>
      <c r="F2518" s="9" t="s">
        <v>15</v>
      </c>
      <c r="G2518" s="9" t="s">
        <v>4132</v>
      </c>
      <c r="H2518" s="9" t="s">
        <v>105</v>
      </c>
      <c r="I2518" s="11">
        <v>2500000</v>
      </c>
      <c r="J2518" s="11">
        <v>733327</v>
      </c>
      <c r="K2518" s="11">
        <v>12331041</v>
      </c>
      <c r="L2518" s="3">
        <v>19</v>
      </c>
      <c r="M2518" s="3">
        <v>4890</v>
      </c>
      <c r="N2518" s="3">
        <v>1478809</v>
      </c>
      <c r="O2518" s="2">
        <v>0.40200000000000002</v>
      </c>
      <c r="P2518" s="2">
        <v>0.20699999999999999</v>
      </c>
      <c r="Q2518" s="2">
        <v>0.46100000000000002</v>
      </c>
      <c r="R2518" s="11">
        <v>241285831</v>
      </c>
      <c r="S2518" s="11">
        <v>1425400</v>
      </c>
      <c r="T2518">
        <v>2015</v>
      </c>
      <c r="U2518">
        <v>8</v>
      </c>
      <c r="V2518">
        <f t="shared" si="234"/>
        <v>767500</v>
      </c>
      <c r="W2518">
        <f t="shared" si="235"/>
        <v>18429897</v>
      </c>
      <c r="X2518">
        <f t="shared" si="236"/>
        <v>17662397</v>
      </c>
      <c r="Y2518">
        <f t="shared" si="237"/>
        <v>-25726095.5</v>
      </c>
      <c r="Z2518">
        <f t="shared" si="238"/>
        <v>44923492.5</v>
      </c>
      <c r="AA2518" t="str">
        <f t="shared" si="239"/>
        <v>Normal</v>
      </c>
      <c r="AE2518" s="2"/>
      <c r="AF2518" s="2"/>
    </row>
    <row r="2519" spans="1:32" x14ac:dyDescent="0.35">
      <c r="A2519">
        <v>2518</v>
      </c>
      <c r="B2519" s="1">
        <v>42229</v>
      </c>
      <c r="C2519" s="9" t="s">
        <v>4133</v>
      </c>
      <c r="D2519" s="9" t="s">
        <v>5382</v>
      </c>
      <c r="E2519" s="9" t="s">
        <v>1111</v>
      </c>
      <c r="F2519" s="9" t="s">
        <v>63</v>
      </c>
      <c r="G2519" s="9" t="s">
        <v>4884</v>
      </c>
      <c r="H2519" s="9" t="s">
        <v>86</v>
      </c>
      <c r="I2519" s="11">
        <v>500000</v>
      </c>
      <c r="J2519" s="11">
        <v>4983452</v>
      </c>
      <c r="K2519" s="11">
        <v>14404161</v>
      </c>
      <c r="L2519" s="3">
        <v>184</v>
      </c>
      <c r="M2519" s="3">
        <v>4140</v>
      </c>
      <c r="N2519" s="3">
        <v>413460</v>
      </c>
      <c r="O2519" s="2">
        <v>5.0999999999999997E-2</v>
      </c>
      <c r="P2519" s="2">
        <v>0.38200000000000001</v>
      </c>
      <c r="Q2519" s="2">
        <v>-0.127</v>
      </c>
      <c r="R2519" s="11">
        <v>291438334</v>
      </c>
      <c r="S2519" s="11">
        <v>1249269</v>
      </c>
      <c r="T2519">
        <v>2015</v>
      </c>
      <c r="U2519">
        <v>8</v>
      </c>
      <c r="V2519">
        <f t="shared" si="234"/>
        <v>745000</v>
      </c>
      <c r="W2519">
        <f t="shared" si="235"/>
        <v>18429897</v>
      </c>
      <c r="X2519">
        <f t="shared" si="236"/>
        <v>17684897</v>
      </c>
      <c r="Y2519">
        <f t="shared" si="237"/>
        <v>-25782345.5</v>
      </c>
      <c r="Z2519">
        <f t="shared" si="238"/>
        <v>44957242.5</v>
      </c>
      <c r="AA2519" t="str">
        <f t="shared" si="239"/>
        <v>Normal</v>
      </c>
      <c r="AE2519" s="2"/>
      <c r="AF2519" s="2"/>
    </row>
    <row r="2520" spans="1:32" x14ac:dyDescent="0.35">
      <c r="A2520">
        <v>2519</v>
      </c>
      <c r="B2520" s="1">
        <v>42229</v>
      </c>
      <c r="C2520" s="9" t="s">
        <v>4134</v>
      </c>
      <c r="D2520" s="9" t="s">
        <v>5383</v>
      </c>
      <c r="E2520" s="9" t="s">
        <v>1111</v>
      </c>
      <c r="F2520" s="9" t="s">
        <v>35</v>
      </c>
      <c r="G2520" s="9" t="s">
        <v>4135</v>
      </c>
      <c r="H2520" s="9" t="s">
        <v>105</v>
      </c>
      <c r="I2520" s="11">
        <v>25000000</v>
      </c>
      <c r="J2520" s="11">
        <v>2531926</v>
      </c>
      <c r="K2520" s="11">
        <v>9431664</v>
      </c>
      <c r="L2520" s="3">
        <v>73</v>
      </c>
      <c r="M2520" s="3">
        <v>914</v>
      </c>
      <c r="N2520" s="3">
        <v>360360</v>
      </c>
      <c r="O2520" s="2">
        <v>0.20800000000000002</v>
      </c>
      <c r="P2520" s="2">
        <v>0.63800000000000001</v>
      </c>
      <c r="Q2520" s="2">
        <v>0.313</v>
      </c>
      <c r="R2520" s="11">
        <v>319548764</v>
      </c>
      <c r="S2520" s="11">
        <v>1731380</v>
      </c>
      <c r="T2520">
        <v>2015</v>
      </c>
      <c r="U2520">
        <v>8</v>
      </c>
      <c r="V2520">
        <f t="shared" si="234"/>
        <v>792500</v>
      </c>
      <c r="W2520">
        <f t="shared" si="235"/>
        <v>18429897</v>
      </c>
      <c r="X2520">
        <f t="shared" si="236"/>
        <v>17637397</v>
      </c>
      <c r="Y2520">
        <f t="shared" si="237"/>
        <v>-25663595.5</v>
      </c>
      <c r="Z2520">
        <f t="shared" si="238"/>
        <v>44885992.5</v>
      </c>
      <c r="AA2520" t="str">
        <f t="shared" si="239"/>
        <v>Normal</v>
      </c>
      <c r="AE2520" s="2"/>
      <c r="AF2520" s="2"/>
    </row>
    <row r="2521" spans="1:32" x14ac:dyDescent="0.35">
      <c r="A2521">
        <v>2520</v>
      </c>
      <c r="B2521" s="1">
        <v>42229</v>
      </c>
      <c r="C2521" s="9" t="s">
        <v>4136</v>
      </c>
      <c r="D2521" s="9" t="s">
        <v>5384</v>
      </c>
      <c r="E2521" s="9" t="s">
        <v>1111</v>
      </c>
      <c r="F2521" s="9" t="s">
        <v>31</v>
      </c>
      <c r="G2521" s="9" t="s">
        <v>4137</v>
      </c>
      <c r="H2521" s="9" t="s">
        <v>86</v>
      </c>
      <c r="I2521" s="11">
        <v>18429897</v>
      </c>
      <c r="J2521" s="11">
        <v>239992</v>
      </c>
      <c r="K2521" s="11">
        <v>2711980</v>
      </c>
      <c r="L2521" s="3">
        <v>263</v>
      </c>
      <c r="M2521" s="3">
        <v>782</v>
      </c>
      <c r="N2521" s="3">
        <v>1129637</v>
      </c>
      <c r="O2521" s="2">
        <v>-0.309</v>
      </c>
      <c r="P2521" s="2">
        <v>0.89</v>
      </c>
      <c r="Q2521" s="2">
        <v>0.29799999999999999</v>
      </c>
      <c r="R2521" s="11">
        <v>127576952</v>
      </c>
      <c r="S2521" s="11">
        <v>309100</v>
      </c>
      <c r="T2521">
        <v>2015</v>
      </c>
      <c r="U2521">
        <v>8</v>
      </c>
      <c r="V2521">
        <f t="shared" si="234"/>
        <v>790000</v>
      </c>
      <c r="W2521">
        <f t="shared" si="235"/>
        <v>18429897</v>
      </c>
      <c r="X2521">
        <f t="shared" si="236"/>
        <v>17639897</v>
      </c>
      <c r="Y2521">
        <f t="shared" si="237"/>
        <v>-25669845.5</v>
      </c>
      <c r="Z2521">
        <f t="shared" si="238"/>
        <v>44889742.5</v>
      </c>
      <c r="AA2521" t="str">
        <f t="shared" si="239"/>
        <v>Normal</v>
      </c>
      <c r="AE2521" s="2"/>
      <c r="AF2521" s="2"/>
    </row>
    <row r="2522" spans="1:32" x14ac:dyDescent="0.35">
      <c r="A2522">
        <v>2521</v>
      </c>
      <c r="B2522" s="1">
        <v>42229</v>
      </c>
      <c r="C2522" s="9" t="s">
        <v>1710</v>
      </c>
      <c r="D2522" s="9" t="s">
        <v>5385</v>
      </c>
      <c r="E2522" s="9" t="s">
        <v>1111</v>
      </c>
      <c r="F2522" s="9" t="s">
        <v>41</v>
      </c>
      <c r="G2522" s="9" t="s">
        <v>877</v>
      </c>
      <c r="H2522" s="9" t="s">
        <v>105</v>
      </c>
      <c r="I2522" s="11">
        <v>4000000</v>
      </c>
      <c r="J2522" s="11">
        <v>1065643</v>
      </c>
      <c r="K2522" s="11">
        <v>7810898</v>
      </c>
      <c r="L2522" s="3">
        <v>299</v>
      </c>
      <c r="M2522" s="3">
        <v>1354</v>
      </c>
      <c r="N2522" s="3">
        <v>1693173</v>
      </c>
      <c r="O2522" s="2">
        <v>-0.19600000000000001</v>
      </c>
      <c r="P2522" s="2">
        <v>0.78700000000000003</v>
      </c>
      <c r="Q2522" s="2">
        <v>0.19900000000000001</v>
      </c>
      <c r="R2522" s="11">
        <v>283243188</v>
      </c>
      <c r="S2522" s="11">
        <v>1360571</v>
      </c>
      <c r="T2522">
        <v>2015</v>
      </c>
      <c r="U2522">
        <v>8</v>
      </c>
      <c r="V2522">
        <f t="shared" si="234"/>
        <v>767500</v>
      </c>
      <c r="W2522">
        <f t="shared" si="235"/>
        <v>18429897</v>
      </c>
      <c r="X2522">
        <f t="shared" si="236"/>
        <v>17662397</v>
      </c>
      <c r="Y2522">
        <f t="shared" si="237"/>
        <v>-25726095.5</v>
      </c>
      <c r="Z2522">
        <f t="shared" si="238"/>
        <v>44923492.5</v>
      </c>
      <c r="AA2522" t="str">
        <f t="shared" si="239"/>
        <v>Normal</v>
      </c>
      <c r="AE2522" s="2"/>
      <c r="AF2522" s="2"/>
    </row>
    <row r="2523" spans="1:32" x14ac:dyDescent="0.35">
      <c r="A2523">
        <v>2522</v>
      </c>
      <c r="B2523" s="1">
        <v>42230</v>
      </c>
      <c r="C2523" s="9" t="s">
        <v>1443</v>
      </c>
      <c r="D2523" s="9" t="s">
        <v>5386</v>
      </c>
      <c r="E2523" s="9" t="s">
        <v>1111</v>
      </c>
      <c r="F2523" s="9" t="s">
        <v>31</v>
      </c>
      <c r="G2523" s="9" t="s">
        <v>4138</v>
      </c>
      <c r="H2523" s="9" t="s">
        <v>86</v>
      </c>
      <c r="I2523" s="11">
        <v>100000</v>
      </c>
      <c r="J2523" s="11">
        <v>2018299</v>
      </c>
      <c r="K2523" s="11">
        <v>15760904</v>
      </c>
      <c r="L2523" s="3">
        <v>322</v>
      </c>
      <c r="M2523" s="3">
        <v>3679</v>
      </c>
      <c r="N2523" s="3">
        <v>1467925</v>
      </c>
      <c r="O2523" s="2">
        <v>0.22</v>
      </c>
      <c r="P2523" s="2">
        <v>1.076E-2</v>
      </c>
      <c r="Q2523" s="2">
        <v>1.8000000000000002E-2</v>
      </c>
      <c r="R2523" s="11">
        <v>48121710</v>
      </c>
      <c r="S2523" s="11">
        <v>1664679</v>
      </c>
      <c r="T2523">
        <v>2015</v>
      </c>
      <c r="U2523">
        <v>8</v>
      </c>
      <c r="V2523">
        <f t="shared" si="234"/>
        <v>745000</v>
      </c>
      <c r="W2523">
        <f t="shared" si="235"/>
        <v>18429897</v>
      </c>
      <c r="X2523">
        <f t="shared" si="236"/>
        <v>17684897</v>
      </c>
      <c r="Y2523">
        <f t="shared" si="237"/>
        <v>-25782345.5</v>
      </c>
      <c r="Z2523">
        <f t="shared" si="238"/>
        <v>44957242.5</v>
      </c>
      <c r="AA2523" t="str">
        <f t="shared" si="239"/>
        <v>Normal</v>
      </c>
      <c r="AE2523" s="2"/>
      <c r="AF2523" s="2"/>
    </row>
    <row r="2524" spans="1:32" x14ac:dyDescent="0.35">
      <c r="A2524">
        <v>2523</v>
      </c>
      <c r="B2524" s="1">
        <v>42230</v>
      </c>
      <c r="C2524" s="9" t="s">
        <v>1584</v>
      </c>
      <c r="D2524" s="9" t="s">
        <v>5387</v>
      </c>
      <c r="E2524" s="9" t="s">
        <v>1111</v>
      </c>
      <c r="F2524" s="9" t="s">
        <v>408</v>
      </c>
      <c r="G2524" s="9" t="s">
        <v>4139</v>
      </c>
      <c r="H2524" s="9" t="s">
        <v>86</v>
      </c>
      <c r="I2524" s="11">
        <v>245000</v>
      </c>
      <c r="J2524" s="11">
        <v>330387</v>
      </c>
      <c r="K2524" s="11">
        <v>1897315</v>
      </c>
      <c r="L2524" s="3">
        <v>400</v>
      </c>
      <c r="M2524" s="3">
        <v>90</v>
      </c>
      <c r="N2524" s="3">
        <v>664113</v>
      </c>
      <c r="O2524" s="2">
        <v>0.251</v>
      </c>
      <c r="P2524" s="2">
        <v>0.46600000000000003</v>
      </c>
      <c r="Q2524" s="2">
        <v>2.2000000000000002E-2</v>
      </c>
      <c r="R2524" s="11">
        <v>117837962</v>
      </c>
      <c r="S2524" s="11">
        <v>1417374</v>
      </c>
      <c r="T2524">
        <v>2015</v>
      </c>
      <c r="U2524">
        <v>8</v>
      </c>
      <c r="V2524">
        <f t="shared" si="234"/>
        <v>792500</v>
      </c>
      <c r="W2524">
        <f t="shared" si="235"/>
        <v>18429897</v>
      </c>
      <c r="X2524">
        <f t="shared" si="236"/>
        <v>17637397</v>
      </c>
      <c r="Y2524">
        <f t="shared" si="237"/>
        <v>-25663595.5</v>
      </c>
      <c r="Z2524">
        <f t="shared" si="238"/>
        <v>44885992.5</v>
      </c>
      <c r="AA2524" t="str">
        <f t="shared" si="239"/>
        <v>Normal</v>
      </c>
      <c r="AE2524" s="2"/>
      <c r="AF2524" s="2"/>
    </row>
    <row r="2525" spans="1:32" x14ac:dyDescent="0.35">
      <c r="A2525">
        <v>2524</v>
      </c>
      <c r="B2525" s="1">
        <v>42230</v>
      </c>
      <c r="C2525" s="9" t="s">
        <v>4140</v>
      </c>
      <c r="D2525" s="9" t="s">
        <v>5388</v>
      </c>
      <c r="E2525" s="9" t="s">
        <v>1111</v>
      </c>
      <c r="F2525" s="9" t="s">
        <v>27</v>
      </c>
      <c r="G2525" s="9" t="s">
        <v>4141</v>
      </c>
      <c r="H2525" s="9" t="s">
        <v>86</v>
      </c>
      <c r="I2525" s="11">
        <v>18429897</v>
      </c>
      <c r="J2525" s="11">
        <v>1633204</v>
      </c>
      <c r="K2525" s="11">
        <v>14341918</v>
      </c>
      <c r="L2525" s="3">
        <v>376</v>
      </c>
      <c r="M2525" s="3">
        <v>3536</v>
      </c>
      <c r="N2525" s="3">
        <v>1711902</v>
      </c>
      <c r="O2525" s="2">
        <v>4.2999999999999997E-2</v>
      </c>
      <c r="P2525" s="2">
        <v>0.74</v>
      </c>
      <c r="Q2525" s="2">
        <v>0.22</v>
      </c>
      <c r="R2525" s="11">
        <v>368574729</v>
      </c>
      <c r="S2525" s="11">
        <v>1117556</v>
      </c>
      <c r="T2525">
        <v>2015</v>
      </c>
      <c r="U2525">
        <v>8</v>
      </c>
      <c r="V2525">
        <f t="shared" si="234"/>
        <v>800000</v>
      </c>
      <c r="W2525">
        <f t="shared" si="235"/>
        <v>18429897</v>
      </c>
      <c r="X2525">
        <f t="shared" si="236"/>
        <v>17629897</v>
      </c>
      <c r="Y2525">
        <f t="shared" si="237"/>
        <v>-25644845.5</v>
      </c>
      <c r="Z2525">
        <f t="shared" si="238"/>
        <v>44874742.5</v>
      </c>
      <c r="AA2525" t="str">
        <f t="shared" si="239"/>
        <v>Normal</v>
      </c>
      <c r="AE2525" s="2"/>
      <c r="AF2525" s="2"/>
    </row>
    <row r="2526" spans="1:32" x14ac:dyDescent="0.35">
      <c r="A2526">
        <v>2525</v>
      </c>
      <c r="B2526" s="1">
        <v>42233</v>
      </c>
      <c r="C2526" s="9" t="s">
        <v>4142</v>
      </c>
      <c r="D2526" s="9" t="s">
        <v>5389</v>
      </c>
      <c r="E2526" s="9" t="s">
        <v>1111</v>
      </c>
      <c r="F2526" s="9" t="s">
        <v>27</v>
      </c>
      <c r="G2526" s="9" t="s">
        <v>4143</v>
      </c>
      <c r="H2526" s="9" t="s">
        <v>86</v>
      </c>
      <c r="I2526" s="11">
        <v>220000</v>
      </c>
      <c r="J2526" s="11">
        <v>2352650</v>
      </c>
      <c r="K2526" s="11">
        <v>7776906</v>
      </c>
      <c r="L2526" s="3">
        <v>474</v>
      </c>
      <c r="M2526" s="3">
        <v>2922</v>
      </c>
      <c r="N2526" s="3">
        <v>1331984</v>
      </c>
      <c r="O2526" s="2">
        <v>-0.1</v>
      </c>
      <c r="P2526" s="2">
        <v>0.34399999999999997</v>
      </c>
      <c r="Q2526" s="2">
        <v>0.23200000000000001</v>
      </c>
      <c r="R2526" s="11">
        <v>407160577</v>
      </c>
      <c r="S2526" s="11">
        <v>664001</v>
      </c>
      <c r="T2526">
        <v>2015</v>
      </c>
      <c r="U2526">
        <v>8</v>
      </c>
      <c r="V2526">
        <f t="shared" si="234"/>
        <v>797500</v>
      </c>
      <c r="W2526">
        <f t="shared" si="235"/>
        <v>18429897</v>
      </c>
      <c r="X2526">
        <f t="shared" si="236"/>
        <v>17632397</v>
      </c>
      <c r="Y2526">
        <f t="shared" si="237"/>
        <v>-25651095.5</v>
      </c>
      <c r="Z2526">
        <f t="shared" si="238"/>
        <v>44878492.5</v>
      </c>
      <c r="AA2526" t="str">
        <f t="shared" si="239"/>
        <v>Normal</v>
      </c>
      <c r="AE2526" s="2"/>
      <c r="AF2526" s="2"/>
    </row>
    <row r="2527" spans="1:32" x14ac:dyDescent="0.35">
      <c r="A2527">
        <v>2526</v>
      </c>
      <c r="B2527" s="1">
        <v>42233</v>
      </c>
      <c r="C2527" s="9" t="s">
        <v>1839</v>
      </c>
      <c r="D2527" s="9" t="s">
        <v>5390</v>
      </c>
      <c r="E2527" s="9" t="s">
        <v>1111</v>
      </c>
      <c r="F2527" s="9" t="s">
        <v>31</v>
      </c>
      <c r="G2527" s="9" t="s">
        <v>4144</v>
      </c>
      <c r="H2527" s="9" t="s">
        <v>86</v>
      </c>
      <c r="I2527" s="11">
        <v>18429897</v>
      </c>
      <c r="J2527" s="11">
        <v>4744254</v>
      </c>
      <c r="K2527" s="11">
        <v>178475</v>
      </c>
      <c r="L2527" s="3">
        <v>227</v>
      </c>
      <c r="M2527" s="3">
        <v>3316</v>
      </c>
      <c r="N2527" s="3">
        <v>1112849</v>
      </c>
      <c r="O2527" s="2">
        <v>4.9000000000000002E-2</v>
      </c>
      <c r="P2527" s="2">
        <v>0.84499999999999997</v>
      </c>
      <c r="Q2527" s="2">
        <v>0.27699999999999997</v>
      </c>
      <c r="R2527" s="11">
        <v>66985026</v>
      </c>
      <c r="S2527" s="11">
        <v>1917604</v>
      </c>
      <c r="T2527">
        <v>2015</v>
      </c>
      <c r="U2527">
        <v>8</v>
      </c>
      <c r="V2527">
        <f t="shared" si="234"/>
        <v>812500</v>
      </c>
      <c r="W2527">
        <f t="shared" si="235"/>
        <v>18429897</v>
      </c>
      <c r="X2527">
        <f t="shared" si="236"/>
        <v>17617397</v>
      </c>
      <c r="Y2527">
        <f t="shared" si="237"/>
        <v>-25613595.5</v>
      </c>
      <c r="Z2527">
        <f t="shared" si="238"/>
        <v>44855992.5</v>
      </c>
      <c r="AA2527" t="str">
        <f t="shared" si="239"/>
        <v>Normal</v>
      </c>
      <c r="AE2527" s="2"/>
      <c r="AF2527" s="2"/>
    </row>
    <row r="2528" spans="1:32" x14ac:dyDescent="0.35">
      <c r="A2528">
        <v>2527</v>
      </c>
      <c r="B2528" s="1">
        <v>42233</v>
      </c>
      <c r="C2528" s="9" t="s">
        <v>4145</v>
      </c>
      <c r="D2528" s="9" t="s">
        <v>5391</v>
      </c>
      <c r="E2528" s="9" t="s">
        <v>1111</v>
      </c>
      <c r="F2528" s="9" t="s">
        <v>31</v>
      </c>
      <c r="G2528" s="9" t="s">
        <v>4146</v>
      </c>
      <c r="H2528" s="9" t="s">
        <v>86</v>
      </c>
      <c r="I2528" s="11">
        <v>160000</v>
      </c>
      <c r="J2528" s="11">
        <v>450147</v>
      </c>
      <c r="K2528" s="11">
        <v>13922285</v>
      </c>
      <c r="L2528" s="3">
        <v>91</v>
      </c>
      <c r="M2528" s="3">
        <v>4310</v>
      </c>
      <c r="N2528" s="3">
        <v>1981940</v>
      </c>
      <c r="O2528" s="2">
        <v>0.158</v>
      </c>
      <c r="P2528" s="2">
        <v>0.96199999999999997</v>
      </c>
      <c r="Q2528" s="2">
        <v>0.27700000000000002</v>
      </c>
      <c r="R2528" s="11">
        <v>129534429</v>
      </c>
      <c r="S2528" s="11">
        <v>1492239</v>
      </c>
      <c r="T2528">
        <v>2015</v>
      </c>
      <c r="U2528">
        <v>8</v>
      </c>
      <c r="V2528">
        <f t="shared" si="234"/>
        <v>806250</v>
      </c>
      <c r="W2528">
        <f t="shared" si="235"/>
        <v>18429897</v>
      </c>
      <c r="X2528">
        <f t="shared" si="236"/>
        <v>17623647</v>
      </c>
      <c r="Y2528">
        <f t="shared" si="237"/>
        <v>-25629220.5</v>
      </c>
      <c r="Z2528">
        <f t="shared" si="238"/>
        <v>44865367.5</v>
      </c>
      <c r="AA2528" t="str">
        <f t="shared" si="239"/>
        <v>Normal</v>
      </c>
      <c r="AE2528" s="2"/>
      <c r="AF2528" s="2"/>
    </row>
    <row r="2529" spans="1:32" x14ac:dyDescent="0.35">
      <c r="A2529">
        <v>2528</v>
      </c>
      <c r="B2529" s="1">
        <v>42233</v>
      </c>
      <c r="C2529" s="9" t="s">
        <v>4147</v>
      </c>
      <c r="D2529" s="9" t="s">
        <v>5392</v>
      </c>
      <c r="E2529" s="9" t="s">
        <v>1111</v>
      </c>
      <c r="F2529" s="9" t="s">
        <v>15</v>
      </c>
      <c r="G2529" s="9" t="s">
        <v>4148</v>
      </c>
      <c r="H2529" s="9" t="s">
        <v>105</v>
      </c>
      <c r="I2529" s="11">
        <v>18429897</v>
      </c>
      <c r="J2529" s="11">
        <v>2892767</v>
      </c>
      <c r="K2529" s="11">
        <v>632282</v>
      </c>
      <c r="L2529" s="3">
        <v>82</v>
      </c>
      <c r="M2529" s="3">
        <v>2975</v>
      </c>
      <c r="N2529" s="3">
        <v>1558342</v>
      </c>
      <c r="O2529" s="2">
        <v>-0.34300000000000003</v>
      </c>
      <c r="P2529" s="2">
        <v>0.71299999999999997</v>
      </c>
      <c r="Q2529" s="2">
        <v>0.18600000000000003</v>
      </c>
      <c r="R2529" s="11">
        <v>233162643</v>
      </c>
      <c r="S2529" s="11">
        <v>740929</v>
      </c>
      <c r="T2529">
        <v>2015</v>
      </c>
      <c r="U2529">
        <v>8</v>
      </c>
      <c r="V2529">
        <f t="shared" si="234"/>
        <v>825000</v>
      </c>
      <c r="W2529">
        <f t="shared" si="235"/>
        <v>18429897</v>
      </c>
      <c r="X2529">
        <f t="shared" si="236"/>
        <v>17604897</v>
      </c>
      <c r="Y2529">
        <f t="shared" si="237"/>
        <v>-25582345.5</v>
      </c>
      <c r="Z2529">
        <f t="shared" si="238"/>
        <v>44837242.5</v>
      </c>
      <c r="AA2529" t="str">
        <f t="shared" si="239"/>
        <v>Normal</v>
      </c>
      <c r="AE2529" s="2"/>
      <c r="AF2529" s="2"/>
    </row>
    <row r="2530" spans="1:32" x14ac:dyDescent="0.35">
      <c r="A2530">
        <v>2529</v>
      </c>
      <c r="B2530" s="1">
        <v>42233</v>
      </c>
      <c r="C2530" s="9" t="s">
        <v>4149</v>
      </c>
      <c r="D2530" s="9" t="s">
        <v>5393</v>
      </c>
      <c r="E2530" s="9" t="s">
        <v>1111</v>
      </c>
      <c r="F2530" s="9" t="s">
        <v>31</v>
      </c>
      <c r="G2530" s="9" t="s">
        <v>4063</v>
      </c>
      <c r="H2530" s="9" t="s">
        <v>86</v>
      </c>
      <c r="I2530" s="11">
        <v>18429897</v>
      </c>
      <c r="J2530" s="11">
        <v>4580490</v>
      </c>
      <c r="K2530" s="11">
        <v>7456053</v>
      </c>
      <c r="L2530" s="3">
        <v>141</v>
      </c>
      <c r="M2530" s="3">
        <v>3128</v>
      </c>
      <c r="N2530" s="3">
        <v>589354</v>
      </c>
      <c r="O2530" s="2">
        <v>0.21299999999999999</v>
      </c>
      <c r="P2530" s="2">
        <v>0.64800000000000002</v>
      </c>
      <c r="Q2530" s="2">
        <v>0.45300000000000001</v>
      </c>
      <c r="R2530" s="11">
        <v>313959443</v>
      </c>
      <c r="S2530" s="11">
        <v>1962085</v>
      </c>
      <c r="T2530">
        <v>2015</v>
      </c>
      <c r="U2530">
        <v>8</v>
      </c>
      <c r="V2530">
        <f t="shared" si="234"/>
        <v>818750</v>
      </c>
      <c r="W2530">
        <f t="shared" si="235"/>
        <v>18429897</v>
      </c>
      <c r="X2530">
        <f t="shared" si="236"/>
        <v>17611147</v>
      </c>
      <c r="Y2530">
        <f t="shared" si="237"/>
        <v>-25597970.5</v>
      </c>
      <c r="Z2530">
        <f t="shared" si="238"/>
        <v>44846617.5</v>
      </c>
      <c r="AA2530" t="str">
        <f t="shared" si="239"/>
        <v>Normal</v>
      </c>
      <c r="AE2530" s="2"/>
      <c r="AF2530" s="2"/>
    </row>
    <row r="2531" spans="1:32" x14ac:dyDescent="0.35">
      <c r="A2531">
        <v>2530</v>
      </c>
      <c r="B2531" s="1">
        <v>42233</v>
      </c>
      <c r="C2531" s="9" t="s">
        <v>4150</v>
      </c>
      <c r="D2531" s="9" t="s">
        <v>5394</v>
      </c>
      <c r="E2531" s="9" t="s">
        <v>1111</v>
      </c>
      <c r="F2531" s="9" t="s">
        <v>27</v>
      </c>
      <c r="G2531" s="9" t="s">
        <v>4151</v>
      </c>
      <c r="H2531" s="9" t="s">
        <v>86</v>
      </c>
      <c r="I2531" s="11">
        <v>18429897</v>
      </c>
      <c r="J2531" s="11">
        <v>4034831</v>
      </c>
      <c r="K2531" s="11">
        <v>3981160</v>
      </c>
      <c r="L2531" s="3">
        <v>303</v>
      </c>
      <c r="M2531" s="3">
        <v>2426</v>
      </c>
      <c r="N2531" s="3">
        <v>1018455</v>
      </c>
      <c r="O2531" s="2">
        <v>0.126</v>
      </c>
      <c r="P2531" s="2">
        <v>0.50800000000000001</v>
      </c>
      <c r="Q2531" s="2">
        <v>-0.05</v>
      </c>
      <c r="R2531" s="11">
        <v>11226243</v>
      </c>
      <c r="S2531" s="11">
        <v>1830847</v>
      </c>
      <c r="T2531">
        <v>2015</v>
      </c>
      <c r="U2531">
        <v>8</v>
      </c>
      <c r="V2531">
        <f t="shared" si="234"/>
        <v>812500</v>
      </c>
      <c r="W2531">
        <f t="shared" si="235"/>
        <v>18429897</v>
      </c>
      <c r="X2531">
        <f t="shared" si="236"/>
        <v>17617397</v>
      </c>
      <c r="Y2531">
        <f t="shared" si="237"/>
        <v>-25613595.5</v>
      </c>
      <c r="Z2531">
        <f t="shared" si="238"/>
        <v>44855992.5</v>
      </c>
      <c r="AA2531" t="str">
        <f t="shared" si="239"/>
        <v>Normal</v>
      </c>
      <c r="AE2531" s="2"/>
      <c r="AF2531" s="2"/>
    </row>
    <row r="2532" spans="1:32" x14ac:dyDescent="0.35">
      <c r="A2532">
        <v>2531</v>
      </c>
      <c r="B2532" s="1">
        <v>42233</v>
      </c>
      <c r="C2532" s="9" t="s">
        <v>3967</v>
      </c>
      <c r="D2532" s="9" t="s">
        <v>4152</v>
      </c>
      <c r="E2532" s="9" t="s">
        <v>1111</v>
      </c>
      <c r="F2532" s="9" t="s">
        <v>19</v>
      </c>
      <c r="G2532" s="9" t="s">
        <v>4153</v>
      </c>
      <c r="H2532" s="9" t="s">
        <v>86</v>
      </c>
      <c r="I2532" s="11">
        <v>310000</v>
      </c>
      <c r="J2532" s="11">
        <v>4626208</v>
      </c>
      <c r="K2532" s="11">
        <v>11721363</v>
      </c>
      <c r="L2532" s="3">
        <v>31</v>
      </c>
      <c r="M2532" s="3">
        <v>3275</v>
      </c>
      <c r="N2532" s="3">
        <v>540494</v>
      </c>
      <c r="O2532" s="2">
        <v>0.16899999999999998</v>
      </c>
      <c r="P2532" s="2">
        <v>0.50800000000000001</v>
      </c>
      <c r="Q2532" s="2">
        <v>0.111</v>
      </c>
      <c r="R2532" s="11">
        <v>315554811</v>
      </c>
      <c r="S2532" s="11">
        <v>824930</v>
      </c>
      <c r="T2532">
        <v>2015</v>
      </c>
      <c r="U2532">
        <v>8</v>
      </c>
      <c r="V2532">
        <f t="shared" si="234"/>
        <v>806250</v>
      </c>
      <c r="W2532">
        <f t="shared" si="235"/>
        <v>18429897</v>
      </c>
      <c r="X2532">
        <f t="shared" si="236"/>
        <v>17623647</v>
      </c>
      <c r="Y2532">
        <f t="shared" si="237"/>
        <v>-25629220.5</v>
      </c>
      <c r="Z2532">
        <f t="shared" si="238"/>
        <v>44865367.5</v>
      </c>
      <c r="AA2532" t="str">
        <f t="shared" si="239"/>
        <v>Normal</v>
      </c>
      <c r="AE2532" s="2"/>
      <c r="AF2532" s="2"/>
    </row>
    <row r="2533" spans="1:32" x14ac:dyDescent="0.35">
      <c r="A2533">
        <v>2532</v>
      </c>
      <c r="B2533" s="1">
        <v>42233</v>
      </c>
      <c r="C2533" s="9" t="s">
        <v>4154</v>
      </c>
      <c r="D2533" s="9" t="s">
        <v>5363</v>
      </c>
      <c r="E2533" s="9" t="s">
        <v>1111</v>
      </c>
      <c r="F2533" s="9" t="s">
        <v>27</v>
      </c>
      <c r="G2533" s="9" t="s">
        <v>4155</v>
      </c>
      <c r="H2533" s="9" t="s">
        <v>105</v>
      </c>
      <c r="I2533" s="11">
        <v>18429897</v>
      </c>
      <c r="J2533" s="11">
        <v>868299</v>
      </c>
      <c r="K2533" s="11">
        <v>1216806</v>
      </c>
      <c r="L2533" s="3">
        <v>477</v>
      </c>
      <c r="M2533" s="3">
        <v>1932</v>
      </c>
      <c r="N2533" s="3">
        <v>353441</v>
      </c>
      <c r="O2533" s="2">
        <v>9.5000000000000001E-2</v>
      </c>
      <c r="P2533" s="2">
        <v>0.80600000000000005</v>
      </c>
      <c r="Q2533" s="2">
        <v>-0.04</v>
      </c>
      <c r="R2533" s="11">
        <v>456753345</v>
      </c>
      <c r="S2533" s="11">
        <v>203023</v>
      </c>
      <c r="T2533">
        <v>2015</v>
      </c>
      <c r="U2533">
        <v>8</v>
      </c>
      <c r="V2533">
        <f t="shared" si="234"/>
        <v>825000</v>
      </c>
      <c r="W2533">
        <f t="shared" si="235"/>
        <v>18429897</v>
      </c>
      <c r="X2533">
        <f t="shared" si="236"/>
        <v>17604897</v>
      </c>
      <c r="Y2533">
        <f t="shared" si="237"/>
        <v>-25582345.5</v>
      </c>
      <c r="Z2533">
        <f t="shared" si="238"/>
        <v>44837242.5</v>
      </c>
      <c r="AA2533" t="str">
        <f t="shared" si="239"/>
        <v>Normal</v>
      </c>
      <c r="AE2533" s="2"/>
      <c r="AF2533" s="2"/>
    </row>
    <row r="2534" spans="1:32" x14ac:dyDescent="0.35">
      <c r="A2534">
        <v>2533</v>
      </c>
      <c r="B2534" s="1">
        <v>42234</v>
      </c>
      <c r="C2534" s="9" t="s">
        <v>346</v>
      </c>
      <c r="D2534" s="9" t="s">
        <v>5338</v>
      </c>
      <c r="E2534" s="9" t="s">
        <v>1111</v>
      </c>
      <c r="F2534" s="9" t="s">
        <v>19</v>
      </c>
      <c r="G2534" s="9" t="s">
        <v>322</v>
      </c>
      <c r="H2534" s="9" t="s">
        <v>105</v>
      </c>
      <c r="I2534" s="11">
        <v>15000000</v>
      </c>
      <c r="J2534" s="11">
        <v>4010688</v>
      </c>
      <c r="K2534" s="11">
        <v>1911882</v>
      </c>
      <c r="L2534" s="3">
        <v>494</v>
      </c>
      <c r="M2534" s="3">
        <v>378</v>
      </c>
      <c r="N2534" s="3">
        <v>364408</v>
      </c>
      <c r="O2534" s="2">
        <v>-0.157</v>
      </c>
      <c r="P2534" s="2">
        <v>1.0149999999999999</v>
      </c>
      <c r="Q2534" s="2">
        <v>0.71099999999999997</v>
      </c>
      <c r="R2534" s="11">
        <v>432691086</v>
      </c>
      <c r="S2534" s="11">
        <v>434596</v>
      </c>
      <c r="T2534">
        <v>2015</v>
      </c>
      <c r="U2534">
        <v>8</v>
      </c>
      <c r="V2534">
        <f t="shared" si="234"/>
        <v>818750</v>
      </c>
      <c r="W2534">
        <f t="shared" si="235"/>
        <v>18429897</v>
      </c>
      <c r="X2534">
        <f t="shared" si="236"/>
        <v>17611147</v>
      </c>
      <c r="Y2534">
        <f t="shared" si="237"/>
        <v>-25597970.5</v>
      </c>
      <c r="Z2534">
        <f t="shared" si="238"/>
        <v>44846617.5</v>
      </c>
      <c r="AA2534" t="str">
        <f t="shared" si="239"/>
        <v>Normal</v>
      </c>
      <c r="AE2534" s="2"/>
      <c r="AF2534" s="2"/>
    </row>
    <row r="2535" spans="1:32" x14ac:dyDescent="0.35">
      <c r="A2535">
        <v>2534</v>
      </c>
      <c r="B2535" s="1">
        <v>42234</v>
      </c>
      <c r="C2535" s="9" t="s">
        <v>4156</v>
      </c>
      <c r="D2535" s="9" t="s">
        <v>5395</v>
      </c>
      <c r="E2535" s="9" t="s">
        <v>1111</v>
      </c>
      <c r="F2535" s="9" t="s">
        <v>31</v>
      </c>
      <c r="G2535" s="9" t="s">
        <v>4157</v>
      </c>
      <c r="H2535" s="9" t="s">
        <v>105</v>
      </c>
      <c r="I2535" s="11">
        <v>4200000</v>
      </c>
      <c r="J2535" s="11">
        <v>4893598</v>
      </c>
      <c r="K2535" s="11">
        <v>10673727</v>
      </c>
      <c r="L2535" s="3">
        <v>86</v>
      </c>
      <c r="M2535" s="3">
        <v>175</v>
      </c>
      <c r="N2535" s="3">
        <v>1045328</v>
      </c>
      <c r="O2535" s="2">
        <v>-0.1</v>
      </c>
      <c r="P2535" s="2">
        <v>0.22399999999999998</v>
      </c>
      <c r="Q2535" s="2">
        <v>0.29100000000000004</v>
      </c>
      <c r="R2535" s="11">
        <v>386367725</v>
      </c>
      <c r="S2535" s="11">
        <v>1942354</v>
      </c>
      <c r="T2535">
        <v>2015</v>
      </c>
      <c r="U2535">
        <v>8</v>
      </c>
      <c r="V2535">
        <f t="shared" si="234"/>
        <v>812500</v>
      </c>
      <c r="W2535">
        <f t="shared" si="235"/>
        <v>18429897</v>
      </c>
      <c r="X2535">
        <f t="shared" si="236"/>
        <v>17617397</v>
      </c>
      <c r="Y2535">
        <f t="shared" si="237"/>
        <v>-25613595.5</v>
      </c>
      <c r="Z2535">
        <f t="shared" si="238"/>
        <v>44855992.5</v>
      </c>
      <c r="AA2535" t="str">
        <f t="shared" si="239"/>
        <v>Normal</v>
      </c>
      <c r="AE2535" s="2"/>
      <c r="AF2535" s="2"/>
    </row>
    <row r="2536" spans="1:32" x14ac:dyDescent="0.35">
      <c r="A2536">
        <v>2535</v>
      </c>
      <c r="B2536" s="1">
        <v>42234</v>
      </c>
      <c r="C2536" s="9" t="s">
        <v>4158</v>
      </c>
      <c r="D2536" s="9" t="s">
        <v>5396</v>
      </c>
      <c r="E2536" s="9" t="s">
        <v>1111</v>
      </c>
      <c r="F2536" s="9" t="s">
        <v>35</v>
      </c>
      <c r="G2536" s="9" t="s">
        <v>4159</v>
      </c>
      <c r="H2536" s="9" t="s">
        <v>86</v>
      </c>
      <c r="I2536" s="11">
        <v>1000000</v>
      </c>
      <c r="J2536" s="11">
        <v>1643642</v>
      </c>
      <c r="K2536" s="11">
        <v>19879355</v>
      </c>
      <c r="L2536" s="3">
        <v>391</v>
      </c>
      <c r="M2536" s="3">
        <v>3588</v>
      </c>
      <c r="N2536" s="3">
        <v>1968157</v>
      </c>
      <c r="O2536" s="2">
        <v>0.42499999999999999</v>
      </c>
      <c r="P2536" s="2">
        <v>0.45100000000000001</v>
      </c>
      <c r="Q2536" s="2">
        <v>0.35299999999999998</v>
      </c>
      <c r="R2536" s="11">
        <v>79435449</v>
      </c>
      <c r="S2536" s="11">
        <v>1917253</v>
      </c>
      <c r="T2536">
        <v>2015</v>
      </c>
      <c r="U2536">
        <v>8</v>
      </c>
      <c r="V2536">
        <f t="shared" si="234"/>
        <v>806250</v>
      </c>
      <c r="W2536">
        <f t="shared" si="235"/>
        <v>18429897</v>
      </c>
      <c r="X2536">
        <f t="shared" si="236"/>
        <v>17623647</v>
      </c>
      <c r="Y2536">
        <f t="shared" si="237"/>
        <v>-25629220.5</v>
      </c>
      <c r="Z2536">
        <f t="shared" si="238"/>
        <v>44865367.5</v>
      </c>
      <c r="AA2536" t="str">
        <f t="shared" si="239"/>
        <v>Normal</v>
      </c>
      <c r="AE2536" s="2"/>
      <c r="AF2536" s="2"/>
    </row>
    <row r="2537" spans="1:32" x14ac:dyDescent="0.35">
      <c r="A2537">
        <v>2536</v>
      </c>
      <c r="B2537" s="1">
        <v>42234</v>
      </c>
      <c r="C2537" s="9" t="s">
        <v>4160</v>
      </c>
      <c r="D2537" s="9" t="s">
        <v>5397</v>
      </c>
      <c r="E2537" s="9" t="s">
        <v>1111</v>
      </c>
      <c r="F2537" s="9" t="s">
        <v>19</v>
      </c>
      <c r="G2537" s="9" t="s">
        <v>4161</v>
      </c>
      <c r="H2537" s="9" t="s">
        <v>86</v>
      </c>
      <c r="I2537" s="11">
        <v>18429897</v>
      </c>
      <c r="J2537" s="11">
        <v>2503224</v>
      </c>
      <c r="K2537" s="11">
        <v>888582</v>
      </c>
      <c r="L2537" s="3">
        <v>300</v>
      </c>
      <c r="M2537" s="3">
        <v>3205</v>
      </c>
      <c r="N2537" s="3">
        <v>1298120</v>
      </c>
      <c r="O2537" s="2">
        <v>-0.9</v>
      </c>
      <c r="P2537" s="2">
        <v>0.68200000000000005</v>
      </c>
      <c r="Q2537" s="2">
        <v>0.21199999999999999</v>
      </c>
      <c r="R2537" s="11">
        <v>296347903</v>
      </c>
      <c r="S2537" s="11">
        <v>1556351</v>
      </c>
      <c r="T2537">
        <v>2015</v>
      </c>
      <c r="U2537">
        <v>8</v>
      </c>
      <c r="V2537">
        <f t="shared" si="234"/>
        <v>800000</v>
      </c>
      <c r="W2537">
        <f t="shared" si="235"/>
        <v>18429897</v>
      </c>
      <c r="X2537">
        <f t="shared" si="236"/>
        <v>17629897</v>
      </c>
      <c r="Y2537">
        <f t="shared" si="237"/>
        <v>-25644845.5</v>
      </c>
      <c r="Z2537">
        <f t="shared" si="238"/>
        <v>44874742.5</v>
      </c>
      <c r="AA2537" t="str">
        <f t="shared" si="239"/>
        <v>Normal</v>
      </c>
      <c r="AE2537" s="2"/>
      <c r="AF2537" s="2"/>
    </row>
    <row r="2538" spans="1:32" x14ac:dyDescent="0.35">
      <c r="A2538">
        <v>2537</v>
      </c>
      <c r="B2538" s="1">
        <v>42234</v>
      </c>
      <c r="C2538" s="9" t="s">
        <v>4162</v>
      </c>
      <c r="D2538" s="9" t="s">
        <v>5398</v>
      </c>
      <c r="E2538" s="9" t="s">
        <v>1111</v>
      </c>
      <c r="F2538" s="9" t="s">
        <v>31</v>
      </c>
      <c r="G2538" s="9" t="s">
        <v>4163</v>
      </c>
      <c r="H2538" s="9" t="s">
        <v>105</v>
      </c>
      <c r="I2538" s="11">
        <v>18429897</v>
      </c>
      <c r="J2538" s="11">
        <v>2663589</v>
      </c>
      <c r="K2538" s="11">
        <v>9268871</v>
      </c>
      <c r="L2538" s="3">
        <v>254</v>
      </c>
      <c r="M2538" s="3">
        <v>2074</v>
      </c>
      <c r="N2538" s="3">
        <v>853928</v>
      </c>
      <c r="O2538" s="2">
        <v>0.28199999999999997</v>
      </c>
      <c r="P2538" s="2">
        <v>0.73599999999999999</v>
      </c>
      <c r="Q2538" s="2">
        <v>8.5999999999999993E-2</v>
      </c>
      <c r="R2538" s="11">
        <v>319494088</v>
      </c>
      <c r="S2538" s="11">
        <v>275823</v>
      </c>
      <c r="T2538">
        <v>2015</v>
      </c>
      <c r="U2538">
        <v>8</v>
      </c>
      <c r="V2538">
        <f t="shared" si="234"/>
        <v>797500</v>
      </c>
      <c r="W2538">
        <f t="shared" si="235"/>
        <v>18429897</v>
      </c>
      <c r="X2538">
        <f t="shared" si="236"/>
        <v>17632397</v>
      </c>
      <c r="Y2538">
        <f t="shared" si="237"/>
        <v>-25651095.5</v>
      </c>
      <c r="Z2538">
        <f t="shared" si="238"/>
        <v>44878492.5</v>
      </c>
      <c r="AA2538" t="str">
        <f t="shared" si="239"/>
        <v>Normal</v>
      </c>
      <c r="AE2538" s="2"/>
      <c r="AF2538" s="2"/>
    </row>
    <row r="2539" spans="1:32" x14ac:dyDescent="0.35">
      <c r="A2539">
        <v>2538</v>
      </c>
      <c r="B2539" s="1">
        <v>42234</v>
      </c>
      <c r="C2539" s="9" t="s">
        <v>4164</v>
      </c>
      <c r="D2539" s="9" t="s">
        <v>5399</v>
      </c>
      <c r="E2539" s="9" t="s">
        <v>1111</v>
      </c>
      <c r="F2539" s="9" t="s">
        <v>15</v>
      </c>
      <c r="G2539" s="9" t="s">
        <v>1357</v>
      </c>
      <c r="H2539" s="9" t="s">
        <v>105</v>
      </c>
      <c r="I2539" s="11">
        <v>1000000</v>
      </c>
      <c r="J2539" s="11">
        <v>2478486</v>
      </c>
      <c r="K2539" s="11">
        <v>16072652</v>
      </c>
      <c r="L2539" s="3">
        <v>254</v>
      </c>
      <c r="M2539" s="3">
        <v>3744</v>
      </c>
      <c r="N2539" s="3">
        <v>496496</v>
      </c>
      <c r="O2539" s="2">
        <v>-9.6000000000000002E-2</v>
      </c>
      <c r="P2539" s="2">
        <v>0.60499999999999998</v>
      </c>
      <c r="Q2539" s="2">
        <v>0.76800000000000002</v>
      </c>
      <c r="R2539" s="11">
        <v>114504074</v>
      </c>
      <c r="S2539" s="11">
        <v>874578</v>
      </c>
      <c r="T2539">
        <v>2015</v>
      </c>
      <c r="U2539">
        <v>8</v>
      </c>
      <c r="V2539">
        <f t="shared" si="234"/>
        <v>795000</v>
      </c>
      <c r="W2539">
        <f t="shared" si="235"/>
        <v>18429897</v>
      </c>
      <c r="X2539">
        <f t="shared" si="236"/>
        <v>17634897</v>
      </c>
      <c r="Y2539">
        <f t="shared" si="237"/>
        <v>-25657345.5</v>
      </c>
      <c r="Z2539">
        <f t="shared" si="238"/>
        <v>44882242.5</v>
      </c>
      <c r="AA2539" t="str">
        <f t="shared" si="239"/>
        <v>Normal</v>
      </c>
      <c r="AE2539" s="2"/>
      <c r="AF2539" s="2"/>
    </row>
    <row r="2540" spans="1:32" x14ac:dyDescent="0.35">
      <c r="A2540">
        <v>2539</v>
      </c>
      <c r="B2540" s="1">
        <v>42235</v>
      </c>
      <c r="C2540" s="9" t="s">
        <v>4165</v>
      </c>
      <c r="D2540" s="9" t="s">
        <v>5400</v>
      </c>
      <c r="E2540" s="9" t="s">
        <v>1111</v>
      </c>
      <c r="F2540" s="9" t="s">
        <v>554</v>
      </c>
      <c r="G2540" s="9" t="s">
        <v>4166</v>
      </c>
      <c r="H2540" s="9" t="s">
        <v>86</v>
      </c>
      <c r="I2540" s="11">
        <v>18429897</v>
      </c>
      <c r="J2540" s="11">
        <v>1463113</v>
      </c>
      <c r="K2540" s="11">
        <v>5886001</v>
      </c>
      <c r="L2540" s="3">
        <v>289</v>
      </c>
      <c r="M2540" s="3">
        <v>2394</v>
      </c>
      <c r="N2540" s="3">
        <v>1567752</v>
      </c>
      <c r="O2540" s="2">
        <v>0.11699999999999999</v>
      </c>
      <c r="P2540" s="2">
        <v>0.53700000000000003</v>
      </c>
      <c r="Q2540" s="2">
        <v>0.40400000000000003</v>
      </c>
      <c r="R2540" s="11">
        <v>250264963</v>
      </c>
      <c r="S2540" s="11">
        <v>1208602</v>
      </c>
      <c r="T2540">
        <v>2015</v>
      </c>
      <c r="U2540">
        <v>8</v>
      </c>
      <c r="V2540">
        <f t="shared" si="234"/>
        <v>792500</v>
      </c>
      <c r="W2540">
        <f t="shared" si="235"/>
        <v>18429897</v>
      </c>
      <c r="X2540">
        <f t="shared" si="236"/>
        <v>17637397</v>
      </c>
      <c r="Y2540">
        <f t="shared" si="237"/>
        <v>-25663595.5</v>
      </c>
      <c r="Z2540">
        <f t="shared" si="238"/>
        <v>44885992.5</v>
      </c>
      <c r="AA2540" t="str">
        <f t="shared" si="239"/>
        <v>Normal</v>
      </c>
      <c r="AE2540" s="2"/>
      <c r="AF2540" s="2"/>
    </row>
    <row r="2541" spans="1:32" x14ac:dyDescent="0.35">
      <c r="A2541">
        <v>2540</v>
      </c>
      <c r="B2541" s="1">
        <v>42235</v>
      </c>
      <c r="C2541" s="9" t="s">
        <v>1291</v>
      </c>
      <c r="D2541" s="9" t="s">
        <v>5401</v>
      </c>
      <c r="E2541" s="9" t="s">
        <v>1111</v>
      </c>
      <c r="F2541" s="9" t="s">
        <v>31</v>
      </c>
      <c r="G2541" s="9" t="s">
        <v>3475</v>
      </c>
      <c r="H2541" s="9" t="s">
        <v>105</v>
      </c>
      <c r="I2541" s="11">
        <v>2400000</v>
      </c>
      <c r="J2541" s="11">
        <v>4855005</v>
      </c>
      <c r="K2541" s="11">
        <v>9909945</v>
      </c>
      <c r="L2541" s="3">
        <v>165</v>
      </c>
      <c r="M2541" s="3">
        <v>1311</v>
      </c>
      <c r="N2541" s="3">
        <v>1097391</v>
      </c>
      <c r="O2541" s="2">
        <v>3.2000000000000001E-2</v>
      </c>
      <c r="P2541" s="2">
        <v>0.65</v>
      </c>
      <c r="Q2541" s="2">
        <v>0.02</v>
      </c>
      <c r="R2541" s="11">
        <v>257567485</v>
      </c>
      <c r="S2541" s="11">
        <v>160913</v>
      </c>
      <c r="T2541">
        <v>2015</v>
      </c>
      <c r="U2541">
        <v>8</v>
      </c>
      <c r="V2541">
        <f t="shared" si="234"/>
        <v>790000</v>
      </c>
      <c r="W2541">
        <f t="shared" si="235"/>
        <v>18429897</v>
      </c>
      <c r="X2541">
        <f t="shared" si="236"/>
        <v>17639897</v>
      </c>
      <c r="Y2541">
        <f t="shared" si="237"/>
        <v>-25669845.5</v>
      </c>
      <c r="Z2541">
        <f t="shared" si="238"/>
        <v>44889742.5</v>
      </c>
      <c r="AA2541" t="str">
        <f t="shared" si="239"/>
        <v>Normal</v>
      </c>
      <c r="AE2541" s="2"/>
      <c r="AF2541" s="2"/>
    </row>
    <row r="2542" spans="1:32" x14ac:dyDescent="0.35">
      <c r="A2542">
        <v>2541</v>
      </c>
      <c r="B2542" s="1">
        <v>42235</v>
      </c>
      <c r="C2542" s="9" t="s">
        <v>3957</v>
      </c>
      <c r="D2542" s="9" t="s">
        <v>5402</v>
      </c>
      <c r="E2542" s="9" t="s">
        <v>1111</v>
      </c>
      <c r="F2542" s="9" t="s">
        <v>31</v>
      </c>
      <c r="G2542" s="9" t="s">
        <v>4167</v>
      </c>
      <c r="H2542" s="9" t="s">
        <v>86</v>
      </c>
      <c r="I2542" s="11">
        <v>18429897</v>
      </c>
      <c r="J2542" s="11">
        <v>4783353</v>
      </c>
      <c r="K2542" s="11">
        <v>16789813</v>
      </c>
      <c r="L2542" s="3">
        <v>283</v>
      </c>
      <c r="M2542" s="3">
        <v>2945</v>
      </c>
      <c r="N2542" s="3">
        <v>98574</v>
      </c>
      <c r="O2542" s="2">
        <v>6.3E-2</v>
      </c>
      <c r="P2542" s="2">
        <v>0.56600000000000006</v>
      </c>
      <c r="Q2542" s="2">
        <v>3.2000000000000001E-2</v>
      </c>
      <c r="R2542" s="11">
        <v>43837370</v>
      </c>
      <c r="S2542" s="11">
        <v>1008193.5</v>
      </c>
      <c r="T2542">
        <v>2015</v>
      </c>
      <c r="U2542">
        <v>8</v>
      </c>
      <c r="V2542">
        <f t="shared" si="234"/>
        <v>767500</v>
      </c>
      <c r="W2542">
        <f t="shared" si="235"/>
        <v>18429897</v>
      </c>
      <c r="X2542">
        <f t="shared" si="236"/>
        <v>17662397</v>
      </c>
      <c r="Y2542">
        <f t="shared" si="237"/>
        <v>-25726095.5</v>
      </c>
      <c r="Z2542">
        <f t="shared" si="238"/>
        <v>44923492.5</v>
      </c>
      <c r="AA2542" t="str">
        <f t="shared" si="239"/>
        <v>Normal</v>
      </c>
      <c r="AE2542" s="2"/>
      <c r="AF2542" s="2"/>
    </row>
    <row r="2543" spans="1:32" x14ac:dyDescent="0.35">
      <c r="A2543">
        <v>2542</v>
      </c>
      <c r="B2543" s="1">
        <v>42235</v>
      </c>
      <c r="C2543" s="9" t="s">
        <v>4168</v>
      </c>
      <c r="D2543" s="9" t="s">
        <v>5403</v>
      </c>
      <c r="E2543" s="9" t="s">
        <v>1111</v>
      </c>
      <c r="F2543" s="9" t="s">
        <v>15</v>
      </c>
      <c r="G2543" s="9" t="s">
        <v>4169</v>
      </c>
      <c r="H2543" s="9" t="s">
        <v>105</v>
      </c>
      <c r="I2543" s="11">
        <v>20000000</v>
      </c>
      <c r="J2543" s="11">
        <v>1916047</v>
      </c>
      <c r="K2543" s="11">
        <v>14586291</v>
      </c>
      <c r="L2543" s="3">
        <v>72</v>
      </c>
      <c r="M2543" s="3">
        <v>1920</v>
      </c>
      <c r="N2543" s="3">
        <v>932263</v>
      </c>
      <c r="O2543" s="2">
        <v>5.2000000000000005E-2</v>
      </c>
      <c r="P2543" s="2">
        <v>0.50800000000000001</v>
      </c>
      <c r="Q2543" s="2">
        <v>0.155</v>
      </c>
      <c r="R2543" s="11">
        <v>85517227</v>
      </c>
      <c r="S2543" s="11">
        <v>1612358</v>
      </c>
      <c r="T2543">
        <v>2015</v>
      </c>
      <c r="U2543">
        <v>8</v>
      </c>
      <c r="V2543">
        <f t="shared" si="234"/>
        <v>745000</v>
      </c>
      <c r="W2543">
        <f t="shared" si="235"/>
        <v>18429897</v>
      </c>
      <c r="X2543">
        <f t="shared" si="236"/>
        <v>17684897</v>
      </c>
      <c r="Y2543">
        <f t="shared" si="237"/>
        <v>-25782345.5</v>
      </c>
      <c r="Z2543">
        <f t="shared" si="238"/>
        <v>44957242.5</v>
      </c>
      <c r="AA2543" t="str">
        <f t="shared" si="239"/>
        <v>Normal</v>
      </c>
      <c r="AE2543" s="2"/>
      <c r="AF2543" s="2"/>
    </row>
    <row r="2544" spans="1:32" x14ac:dyDescent="0.35">
      <c r="A2544">
        <v>2543</v>
      </c>
      <c r="B2544" s="1">
        <v>42236</v>
      </c>
      <c r="C2544" s="9" t="s">
        <v>4170</v>
      </c>
      <c r="D2544" s="9" t="s">
        <v>5404</v>
      </c>
      <c r="E2544" s="9" t="s">
        <v>1111</v>
      </c>
      <c r="F2544" s="9" t="s">
        <v>27</v>
      </c>
      <c r="G2544" s="9" t="s">
        <v>4171</v>
      </c>
      <c r="H2544" s="9" t="s">
        <v>86</v>
      </c>
      <c r="I2544" s="11">
        <v>156000</v>
      </c>
      <c r="J2544" s="11">
        <v>4030354</v>
      </c>
      <c r="K2544" s="11">
        <v>5934919</v>
      </c>
      <c r="L2544" s="3">
        <v>130</v>
      </c>
      <c r="M2544" s="3">
        <v>4878</v>
      </c>
      <c r="N2544" s="3">
        <v>360929</v>
      </c>
      <c r="O2544" s="2">
        <v>0.40899999999999997</v>
      </c>
      <c r="P2544" s="2">
        <v>0.89300000000000002</v>
      </c>
      <c r="Q2544" s="2">
        <v>-3.5000000000000003E-2</v>
      </c>
      <c r="R2544" s="11">
        <v>233200875</v>
      </c>
      <c r="S2544" s="11">
        <v>1621360</v>
      </c>
      <c r="T2544">
        <v>2015</v>
      </c>
      <c r="U2544">
        <v>8</v>
      </c>
      <c r="V2544">
        <f t="shared" si="234"/>
        <v>722500</v>
      </c>
      <c r="W2544">
        <f t="shared" si="235"/>
        <v>18429897</v>
      </c>
      <c r="X2544">
        <f t="shared" si="236"/>
        <v>17707397</v>
      </c>
      <c r="Y2544">
        <f t="shared" si="237"/>
        <v>-25838595.5</v>
      </c>
      <c r="Z2544">
        <f t="shared" si="238"/>
        <v>44990992.5</v>
      </c>
      <c r="AA2544" t="str">
        <f t="shared" si="239"/>
        <v>Normal</v>
      </c>
      <c r="AE2544" s="2"/>
      <c r="AF2544" s="2"/>
    </row>
    <row r="2545" spans="1:32" x14ac:dyDescent="0.35">
      <c r="A2545">
        <v>2544</v>
      </c>
      <c r="B2545" s="1">
        <v>42236</v>
      </c>
      <c r="C2545" s="9" t="s">
        <v>4172</v>
      </c>
      <c r="D2545" s="9" t="s">
        <v>5405</v>
      </c>
      <c r="E2545" s="9" t="s">
        <v>1111</v>
      </c>
      <c r="F2545" s="9" t="s">
        <v>124</v>
      </c>
      <c r="G2545" s="9" t="s">
        <v>1315</v>
      </c>
      <c r="H2545" s="9" t="s">
        <v>86</v>
      </c>
      <c r="I2545" s="11">
        <v>600000</v>
      </c>
      <c r="J2545" s="11">
        <v>1999674</v>
      </c>
      <c r="K2545" s="11">
        <v>15038980</v>
      </c>
      <c r="L2545" s="3">
        <v>486</v>
      </c>
      <c r="M2545" s="3">
        <v>3620</v>
      </c>
      <c r="N2545" s="3">
        <v>996058</v>
      </c>
      <c r="O2545" s="2">
        <v>0.505</v>
      </c>
      <c r="P2545" s="2">
        <v>0.97099999999999997</v>
      </c>
      <c r="Q2545" s="2">
        <v>1.3000000000000001E-2</v>
      </c>
      <c r="R2545" s="11">
        <v>428844124</v>
      </c>
      <c r="S2545" s="11">
        <v>849371</v>
      </c>
      <c r="T2545">
        <v>2015</v>
      </c>
      <c r="U2545">
        <v>8</v>
      </c>
      <c r="V2545">
        <f t="shared" si="234"/>
        <v>790000</v>
      </c>
      <c r="W2545">
        <f t="shared" si="235"/>
        <v>18429897</v>
      </c>
      <c r="X2545">
        <f t="shared" si="236"/>
        <v>17639897</v>
      </c>
      <c r="Y2545">
        <f t="shared" si="237"/>
        <v>-25669845.5</v>
      </c>
      <c r="Z2545">
        <f t="shared" si="238"/>
        <v>44889742.5</v>
      </c>
      <c r="AA2545" t="str">
        <f t="shared" si="239"/>
        <v>Normal</v>
      </c>
      <c r="AE2545" s="2"/>
      <c r="AF2545" s="2"/>
    </row>
    <row r="2546" spans="1:32" x14ac:dyDescent="0.35">
      <c r="A2546">
        <v>2545</v>
      </c>
      <c r="B2546" s="1">
        <v>42236</v>
      </c>
      <c r="C2546" s="9" t="s">
        <v>4173</v>
      </c>
      <c r="D2546" s="9" t="s">
        <v>5406</v>
      </c>
      <c r="E2546" s="9" t="s">
        <v>1111</v>
      </c>
      <c r="F2546" s="9" t="s">
        <v>27</v>
      </c>
      <c r="G2546" s="9" t="s">
        <v>4174</v>
      </c>
      <c r="H2546" s="9" t="s">
        <v>86</v>
      </c>
      <c r="I2546" s="11">
        <v>600000</v>
      </c>
      <c r="J2546" s="11">
        <v>3978156</v>
      </c>
      <c r="K2546" s="11">
        <v>13547753</v>
      </c>
      <c r="L2546" s="3">
        <v>96</v>
      </c>
      <c r="M2546" s="3">
        <v>2505.5</v>
      </c>
      <c r="N2546" s="3">
        <v>126462</v>
      </c>
      <c r="O2546" s="2">
        <v>0.16800000000000001</v>
      </c>
      <c r="P2546" s="2">
        <v>0.50800000000000001</v>
      </c>
      <c r="Q2546" s="2">
        <v>-0.28000000000000003</v>
      </c>
      <c r="R2546" s="11">
        <v>185668839</v>
      </c>
      <c r="S2546" s="11">
        <v>1457609</v>
      </c>
      <c r="T2546">
        <v>2015</v>
      </c>
      <c r="U2546">
        <v>8</v>
      </c>
      <c r="V2546">
        <f t="shared" si="234"/>
        <v>797500</v>
      </c>
      <c r="W2546">
        <f t="shared" si="235"/>
        <v>18429897</v>
      </c>
      <c r="X2546">
        <f t="shared" si="236"/>
        <v>17632397</v>
      </c>
      <c r="Y2546">
        <f t="shared" si="237"/>
        <v>-25651095.5</v>
      </c>
      <c r="Z2546">
        <f t="shared" si="238"/>
        <v>44878492.5</v>
      </c>
      <c r="AA2546" t="str">
        <f t="shared" si="239"/>
        <v>Normal</v>
      </c>
      <c r="AE2546" s="2"/>
      <c r="AF2546" s="2"/>
    </row>
    <row r="2547" spans="1:32" x14ac:dyDescent="0.35">
      <c r="A2547">
        <v>2546</v>
      </c>
      <c r="B2547" s="1">
        <v>42237</v>
      </c>
      <c r="C2547" s="9" t="s">
        <v>4175</v>
      </c>
      <c r="D2547" s="9" t="s">
        <v>5270</v>
      </c>
      <c r="E2547" s="9" t="s">
        <v>1111</v>
      </c>
      <c r="F2547" s="9" t="s">
        <v>15</v>
      </c>
      <c r="G2547" s="9" t="s">
        <v>4176</v>
      </c>
      <c r="H2547" s="9" t="s">
        <v>86</v>
      </c>
      <c r="I2547" s="11">
        <v>500000</v>
      </c>
      <c r="J2547" s="11">
        <v>2932068</v>
      </c>
      <c r="K2547" s="11">
        <v>10184602</v>
      </c>
      <c r="L2547" s="3">
        <v>301</v>
      </c>
      <c r="M2547" s="3">
        <v>3455</v>
      </c>
      <c r="N2547" s="3">
        <v>427090</v>
      </c>
      <c r="O2547" s="2">
        <v>3.7000000000000005E-2</v>
      </c>
      <c r="P2547" s="2">
        <v>1.1659999999999999</v>
      </c>
      <c r="Q2547" s="2">
        <v>-0.499</v>
      </c>
      <c r="R2547" s="11">
        <v>420842984</v>
      </c>
      <c r="S2547" s="11">
        <v>1270011</v>
      </c>
      <c r="T2547">
        <v>2015</v>
      </c>
      <c r="U2547">
        <v>8</v>
      </c>
      <c r="V2547">
        <f t="shared" si="234"/>
        <v>812500</v>
      </c>
      <c r="W2547">
        <f t="shared" si="235"/>
        <v>18429897</v>
      </c>
      <c r="X2547">
        <f t="shared" si="236"/>
        <v>17617397</v>
      </c>
      <c r="Y2547">
        <f t="shared" si="237"/>
        <v>-25613595.5</v>
      </c>
      <c r="Z2547">
        <f t="shared" si="238"/>
        <v>44855992.5</v>
      </c>
      <c r="AA2547" t="str">
        <f t="shared" si="239"/>
        <v>Normal</v>
      </c>
      <c r="AE2547" s="2"/>
      <c r="AF2547" s="2"/>
    </row>
    <row r="2548" spans="1:32" x14ac:dyDescent="0.35">
      <c r="A2548">
        <v>2547</v>
      </c>
      <c r="B2548" s="1">
        <v>42240</v>
      </c>
      <c r="C2548" s="9" t="s">
        <v>4177</v>
      </c>
      <c r="D2548" s="9" t="s">
        <v>5407</v>
      </c>
      <c r="E2548" s="9" t="s">
        <v>1111</v>
      </c>
      <c r="F2548" s="9" t="s">
        <v>408</v>
      </c>
      <c r="G2548" s="9" t="s">
        <v>4178</v>
      </c>
      <c r="H2548" s="9" t="s">
        <v>86</v>
      </c>
      <c r="I2548" s="11">
        <v>300000</v>
      </c>
      <c r="J2548" s="11">
        <v>2361444</v>
      </c>
      <c r="K2548" s="11">
        <v>8878528</v>
      </c>
      <c r="L2548" s="3">
        <v>152</v>
      </c>
      <c r="M2548" s="3">
        <v>3435</v>
      </c>
      <c r="N2548" s="3">
        <v>1631288</v>
      </c>
      <c r="O2548" s="2">
        <v>1.6E-2</v>
      </c>
      <c r="P2548" s="2">
        <v>1.1870000000000001</v>
      </c>
      <c r="Q2548" s="2">
        <v>0.59399999999999997</v>
      </c>
      <c r="R2548" s="11">
        <v>115723099</v>
      </c>
      <c r="S2548" s="11">
        <v>845777</v>
      </c>
      <c r="T2548">
        <v>2015</v>
      </c>
      <c r="U2548">
        <v>8</v>
      </c>
      <c r="V2548">
        <f t="shared" si="234"/>
        <v>843750</v>
      </c>
      <c r="W2548">
        <f t="shared" si="235"/>
        <v>18429897</v>
      </c>
      <c r="X2548">
        <f t="shared" si="236"/>
        <v>17586147</v>
      </c>
      <c r="Y2548">
        <f t="shared" si="237"/>
        <v>-25535470.5</v>
      </c>
      <c r="Z2548">
        <f t="shared" si="238"/>
        <v>44809117.5</v>
      </c>
      <c r="AA2548" t="str">
        <f t="shared" si="239"/>
        <v>Normal</v>
      </c>
      <c r="AE2548" s="2"/>
      <c r="AF2548" s="2"/>
    </row>
    <row r="2549" spans="1:32" x14ac:dyDescent="0.35">
      <c r="A2549">
        <v>2548</v>
      </c>
      <c r="B2549" s="1">
        <v>42240</v>
      </c>
      <c r="C2549" s="9" t="s">
        <v>4179</v>
      </c>
      <c r="D2549" s="9" t="s">
        <v>5408</v>
      </c>
      <c r="E2549" s="9" t="s">
        <v>1111</v>
      </c>
      <c r="F2549" s="9" t="s">
        <v>31</v>
      </c>
      <c r="G2549" s="9" t="s">
        <v>4180</v>
      </c>
      <c r="H2549" s="9" t="s">
        <v>86</v>
      </c>
      <c r="I2549" s="11">
        <v>400000</v>
      </c>
      <c r="J2549" s="11">
        <v>657701</v>
      </c>
      <c r="K2549" s="11">
        <v>18514721</v>
      </c>
      <c r="L2549" s="3">
        <v>235</v>
      </c>
      <c r="M2549" s="3">
        <v>2505.5</v>
      </c>
      <c r="N2549" s="3">
        <v>338093</v>
      </c>
      <c r="O2549" s="2">
        <v>-0.16</v>
      </c>
      <c r="P2549" s="2">
        <v>0.76900000000000002</v>
      </c>
      <c r="Q2549" s="2">
        <v>-2.7E-2</v>
      </c>
      <c r="R2549" s="11">
        <v>100215677</v>
      </c>
      <c r="S2549" s="11">
        <v>882902</v>
      </c>
      <c r="T2549">
        <v>2015</v>
      </c>
      <c r="U2549">
        <v>8</v>
      </c>
      <c r="V2549">
        <f t="shared" si="234"/>
        <v>900000</v>
      </c>
      <c r="W2549">
        <f t="shared" si="235"/>
        <v>18429897</v>
      </c>
      <c r="X2549">
        <f t="shared" si="236"/>
        <v>17529897</v>
      </c>
      <c r="Y2549">
        <f t="shared" si="237"/>
        <v>-25394845.5</v>
      </c>
      <c r="Z2549">
        <f t="shared" si="238"/>
        <v>44724742.5</v>
      </c>
      <c r="AA2549" t="str">
        <f t="shared" si="239"/>
        <v>Normal</v>
      </c>
      <c r="AE2549" s="2"/>
      <c r="AF2549" s="2"/>
    </row>
    <row r="2550" spans="1:32" x14ac:dyDescent="0.35">
      <c r="A2550">
        <v>2549</v>
      </c>
      <c r="B2550" s="1">
        <v>42240</v>
      </c>
      <c r="C2550" s="9" t="s">
        <v>4181</v>
      </c>
      <c r="D2550" s="9" t="s">
        <v>5409</v>
      </c>
      <c r="E2550" s="9" t="s">
        <v>1111</v>
      </c>
      <c r="F2550" s="9" t="s">
        <v>554</v>
      </c>
      <c r="G2550" s="9" t="s">
        <v>4182</v>
      </c>
      <c r="H2550" s="9" t="s">
        <v>86</v>
      </c>
      <c r="I2550" s="11">
        <v>18429897</v>
      </c>
      <c r="J2550" s="11">
        <v>3279862</v>
      </c>
      <c r="K2550" s="11">
        <v>17498177</v>
      </c>
      <c r="L2550" s="3">
        <v>127</v>
      </c>
      <c r="M2550" s="3">
        <v>2187</v>
      </c>
      <c r="N2550" s="3">
        <v>1018455</v>
      </c>
      <c r="O2550" s="2">
        <v>1.6E-2</v>
      </c>
      <c r="P2550" s="2">
        <v>0.99400000000000011</v>
      </c>
      <c r="Q2550" s="2">
        <v>2.4E-2</v>
      </c>
      <c r="R2550" s="11">
        <v>468074184</v>
      </c>
      <c r="S2550" s="11">
        <v>1559912</v>
      </c>
      <c r="T2550">
        <v>2015</v>
      </c>
      <c r="U2550">
        <v>8</v>
      </c>
      <c r="V2550">
        <f t="shared" si="234"/>
        <v>975000</v>
      </c>
      <c r="W2550">
        <f t="shared" si="235"/>
        <v>18429897</v>
      </c>
      <c r="X2550">
        <f t="shared" si="236"/>
        <v>17454897</v>
      </c>
      <c r="Y2550">
        <f t="shared" si="237"/>
        <v>-25207345.5</v>
      </c>
      <c r="Z2550">
        <f t="shared" si="238"/>
        <v>44612242.5</v>
      </c>
      <c r="AA2550" t="str">
        <f t="shared" si="239"/>
        <v>Normal</v>
      </c>
      <c r="AE2550" s="2"/>
      <c r="AF2550" s="2"/>
    </row>
    <row r="2551" spans="1:32" x14ac:dyDescent="0.35">
      <c r="A2551">
        <v>2550</v>
      </c>
      <c r="B2551" s="1">
        <v>42240</v>
      </c>
      <c r="C2551" s="9" t="s">
        <v>4183</v>
      </c>
      <c r="D2551" s="9" t="s">
        <v>5410</v>
      </c>
      <c r="E2551" s="9" t="s">
        <v>1111</v>
      </c>
      <c r="F2551" s="9" t="s">
        <v>31</v>
      </c>
      <c r="G2551" s="9" t="s">
        <v>4184</v>
      </c>
      <c r="H2551" s="9" t="s">
        <v>86</v>
      </c>
      <c r="I2551" s="11">
        <v>18429897</v>
      </c>
      <c r="J2551" s="11">
        <v>1619006</v>
      </c>
      <c r="K2551" s="11">
        <v>19805791</v>
      </c>
      <c r="L2551" s="3">
        <v>286</v>
      </c>
      <c r="M2551" s="3">
        <v>4117</v>
      </c>
      <c r="N2551" s="3">
        <v>441809</v>
      </c>
      <c r="O2551" s="2">
        <v>1.6E-2</v>
      </c>
      <c r="P2551" s="2">
        <v>0.746</v>
      </c>
      <c r="Q2551" s="2">
        <v>0.11700000000000001</v>
      </c>
      <c r="R2551" s="11">
        <v>231144329</v>
      </c>
      <c r="S2551" s="11">
        <v>461094</v>
      </c>
      <c r="T2551">
        <v>2015</v>
      </c>
      <c r="U2551">
        <v>8</v>
      </c>
      <c r="V2551">
        <f t="shared" si="234"/>
        <v>950000</v>
      </c>
      <c r="W2551">
        <f t="shared" si="235"/>
        <v>18429897</v>
      </c>
      <c r="X2551">
        <f t="shared" si="236"/>
        <v>17479897</v>
      </c>
      <c r="Y2551">
        <f t="shared" si="237"/>
        <v>-25269845.5</v>
      </c>
      <c r="Z2551">
        <f t="shared" si="238"/>
        <v>44649742.5</v>
      </c>
      <c r="AA2551" t="str">
        <f t="shared" si="239"/>
        <v>Normal</v>
      </c>
      <c r="AE2551" s="2"/>
      <c r="AF2551" s="2"/>
    </row>
    <row r="2552" spans="1:32" x14ac:dyDescent="0.35">
      <c r="A2552">
        <v>2551</v>
      </c>
      <c r="B2552" s="1">
        <v>42241</v>
      </c>
      <c r="C2552" s="9" t="s">
        <v>4185</v>
      </c>
      <c r="D2552" s="9" t="s">
        <v>5411</v>
      </c>
      <c r="E2552" s="9" t="s">
        <v>1111</v>
      </c>
      <c r="F2552" s="9" t="s">
        <v>15</v>
      </c>
      <c r="G2552" s="9" t="s">
        <v>4186</v>
      </c>
      <c r="H2552" s="9" t="s">
        <v>105</v>
      </c>
      <c r="I2552" s="11">
        <v>1000000</v>
      </c>
      <c r="J2552" s="11">
        <v>2531926</v>
      </c>
      <c r="K2552" s="11">
        <v>13540124</v>
      </c>
      <c r="L2552" s="3">
        <v>280</v>
      </c>
      <c r="M2552" s="3">
        <v>220</v>
      </c>
      <c r="N2552" s="3">
        <v>1846330</v>
      </c>
      <c r="O2552" s="2">
        <v>3.2000000000000001E-2</v>
      </c>
      <c r="P2552" s="2">
        <v>0.46100000000000002</v>
      </c>
      <c r="Q2552" s="2">
        <v>0.27399999999999997</v>
      </c>
      <c r="R2552" s="11">
        <v>113938748</v>
      </c>
      <c r="S2552" s="11">
        <v>1705074</v>
      </c>
      <c r="T2552">
        <v>2015</v>
      </c>
      <c r="U2552">
        <v>8</v>
      </c>
      <c r="V2552">
        <f t="shared" si="234"/>
        <v>925000</v>
      </c>
      <c r="W2552">
        <f t="shared" si="235"/>
        <v>18429897</v>
      </c>
      <c r="X2552">
        <f t="shared" si="236"/>
        <v>17504897</v>
      </c>
      <c r="Y2552">
        <f t="shared" si="237"/>
        <v>-25332345.5</v>
      </c>
      <c r="Z2552">
        <f t="shared" si="238"/>
        <v>44687242.5</v>
      </c>
      <c r="AA2552" t="str">
        <f t="shared" si="239"/>
        <v>Normal</v>
      </c>
      <c r="AE2552" s="2"/>
      <c r="AF2552" s="2"/>
    </row>
    <row r="2553" spans="1:32" x14ac:dyDescent="0.35">
      <c r="A2553">
        <v>2552</v>
      </c>
      <c r="B2553" s="1">
        <v>42241</v>
      </c>
      <c r="C2553" s="9" t="s">
        <v>409</v>
      </c>
      <c r="D2553" s="9" t="s">
        <v>5412</v>
      </c>
      <c r="E2553" s="9" t="s">
        <v>1111</v>
      </c>
      <c r="F2553" s="9" t="s">
        <v>19</v>
      </c>
      <c r="G2553" s="9" t="s">
        <v>1158</v>
      </c>
      <c r="H2553" s="9" t="s">
        <v>105</v>
      </c>
      <c r="I2553" s="11">
        <v>3000000</v>
      </c>
      <c r="J2553" s="11">
        <v>982177</v>
      </c>
      <c r="K2553" s="11">
        <v>10153449</v>
      </c>
      <c r="L2553" s="3">
        <v>310</v>
      </c>
      <c r="M2553" s="3">
        <v>3348</v>
      </c>
      <c r="N2553" s="3">
        <v>1896100</v>
      </c>
      <c r="O2553" s="2">
        <v>1.6E-2</v>
      </c>
      <c r="P2553" s="2">
        <v>0.27</v>
      </c>
      <c r="Q2553" s="2">
        <v>0.29399999999999998</v>
      </c>
      <c r="R2553" s="11">
        <v>364997555</v>
      </c>
      <c r="S2553" s="11">
        <v>166811</v>
      </c>
      <c r="T2553">
        <v>2015</v>
      </c>
      <c r="U2553">
        <v>8</v>
      </c>
      <c r="V2553">
        <f t="shared" si="234"/>
        <v>900000</v>
      </c>
      <c r="W2553">
        <f t="shared" si="235"/>
        <v>18429897</v>
      </c>
      <c r="X2553">
        <f t="shared" si="236"/>
        <v>17529897</v>
      </c>
      <c r="Y2553">
        <f t="shared" si="237"/>
        <v>-25394845.5</v>
      </c>
      <c r="Z2553">
        <f t="shared" si="238"/>
        <v>44724742.5</v>
      </c>
      <c r="AA2553" t="str">
        <f t="shared" si="239"/>
        <v>Normal</v>
      </c>
      <c r="AE2553" s="2"/>
      <c r="AF2553" s="2"/>
    </row>
    <row r="2554" spans="1:32" x14ac:dyDescent="0.35">
      <c r="A2554">
        <v>2553</v>
      </c>
      <c r="B2554" s="1">
        <v>42241</v>
      </c>
      <c r="C2554" s="9" t="s">
        <v>4187</v>
      </c>
      <c r="D2554" s="9" t="s">
        <v>5413</v>
      </c>
      <c r="E2554" s="9" t="s">
        <v>1111</v>
      </c>
      <c r="F2554" s="9" t="s">
        <v>31</v>
      </c>
      <c r="G2554" s="9" t="s">
        <v>4188</v>
      </c>
      <c r="H2554" s="9" t="s">
        <v>105</v>
      </c>
      <c r="I2554" s="11">
        <v>4000000</v>
      </c>
      <c r="J2554" s="11">
        <v>4909750</v>
      </c>
      <c r="K2554" s="11">
        <v>2281353</v>
      </c>
      <c r="L2554" s="3">
        <v>157</v>
      </c>
      <c r="M2554" s="3">
        <v>2716</v>
      </c>
      <c r="N2554" s="3">
        <v>1327548</v>
      </c>
      <c r="O2554" s="2">
        <v>-0.4</v>
      </c>
      <c r="P2554" s="2">
        <v>0.54400000000000004</v>
      </c>
      <c r="Q2554" s="2">
        <v>0.35700000000000004</v>
      </c>
      <c r="R2554" s="11">
        <v>332781595</v>
      </c>
      <c r="S2554" s="11">
        <v>457281</v>
      </c>
      <c r="T2554">
        <v>2015</v>
      </c>
      <c r="U2554">
        <v>8</v>
      </c>
      <c r="V2554">
        <f t="shared" si="234"/>
        <v>881250</v>
      </c>
      <c r="W2554">
        <f t="shared" si="235"/>
        <v>18429897</v>
      </c>
      <c r="X2554">
        <f t="shared" si="236"/>
        <v>17548647</v>
      </c>
      <c r="Y2554">
        <f t="shared" si="237"/>
        <v>-25441720.5</v>
      </c>
      <c r="Z2554">
        <f t="shared" si="238"/>
        <v>44752867.5</v>
      </c>
      <c r="AA2554" t="str">
        <f t="shared" si="239"/>
        <v>Normal</v>
      </c>
      <c r="AE2554" s="2"/>
      <c r="AF2554" s="2"/>
    </row>
    <row r="2555" spans="1:32" x14ac:dyDescent="0.35">
      <c r="A2555">
        <v>2554</v>
      </c>
      <c r="B2555" s="1">
        <v>42241</v>
      </c>
      <c r="C2555" s="9" t="s">
        <v>3304</v>
      </c>
      <c r="D2555" s="9" t="s">
        <v>5414</v>
      </c>
      <c r="E2555" s="9" t="s">
        <v>1111</v>
      </c>
      <c r="F2555" s="9" t="s">
        <v>41</v>
      </c>
      <c r="G2555" s="9" t="s">
        <v>4171</v>
      </c>
      <c r="H2555" s="9" t="s">
        <v>86</v>
      </c>
      <c r="I2555" s="11">
        <v>250000</v>
      </c>
      <c r="J2555" s="11">
        <v>534351</v>
      </c>
      <c r="K2555" s="11">
        <v>2604696</v>
      </c>
      <c r="L2555" s="3">
        <v>291</v>
      </c>
      <c r="M2555" s="3">
        <v>91</v>
      </c>
      <c r="N2555" s="3">
        <v>1561006</v>
      </c>
      <c r="O2555" s="2">
        <v>-0.13</v>
      </c>
      <c r="P2555" s="2">
        <v>0.38500000000000001</v>
      </c>
      <c r="Q2555" s="2">
        <v>0.24399999999999999</v>
      </c>
      <c r="R2555" s="11">
        <v>51338592</v>
      </c>
      <c r="S2555" s="11">
        <v>1976006</v>
      </c>
      <c r="T2555">
        <v>2015</v>
      </c>
      <c r="U2555">
        <v>8</v>
      </c>
      <c r="V2555">
        <f t="shared" si="234"/>
        <v>862500</v>
      </c>
      <c r="W2555">
        <f t="shared" si="235"/>
        <v>18429897</v>
      </c>
      <c r="X2555">
        <f t="shared" si="236"/>
        <v>17567397</v>
      </c>
      <c r="Y2555">
        <f t="shared" si="237"/>
        <v>-25488595.5</v>
      </c>
      <c r="Z2555">
        <f t="shared" si="238"/>
        <v>44780992.5</v>
      </c>
      <c r="AA2555" t="str">
        <f t="shared" si="239"/>
        <v>Normal</v>
      </c>
      <c r="AE2555" s="2"/>
      <c r="AF2555" s="2"/>
    </row>
    <row r="2556" spans="1:32" x14ac:dyDescent="0.35">
      <c r="A2556">
        <v>2555</v>
      </c>
      <c r="B2556" s="1">
        <v>42242</v>
      </c>
      <c r="C2556" s="9" t="s">
        <v>2107</v>
      </c>
      <c r="D2556" s="9" t="s">
        <v>5415</v>
      </c>
      <c r="E2556" s="9" t="s">
        <v>1111</v>
      </c>
      <c r="F2556" s="9" t="s">
        <v>27</v>
      </c>
      <c r="G2556" s="9" t="s">
        <v>3545</v>
      </c>
      <c r="H2556" s="9" t="s">
        <v>86</v>
      </c>
      <c r="I2556" s="11">
        <v>100000</v>
      </c>
      <c r="J2556" s="11">
        <v>2531926</v>
      </c>
      <c r="K2556" s="11">
        <v>19028760</v>
      </c>
      <c r="L2556" s="3">
        <v>365</v>
      </c>
      <c r="M2556" s="3">
        <v>3321</v>
      </c>
      <c r="N2556" s="3">
        <v>1819084</v>
      </c>
      <c r="O2556" s="2">
        <v>-0.14800000000000002</v>
      </c>
      <c r="P2556" s="2">
        <v>1.1220000000000001E-2</v>
      </c>
      <c r="Q2556" s="2">
        <v>3.3000000000000002E-2</v>
      </c>
      <c r="R2556" s="11">
        <v>486701185</v>
      </c>
      <c r="S2556" s="11">
        <v>1278054</v>
      </c>
      <c r="T2556">
        <v>2015</v>
      </c>
      <c r="U2556">
        <v>8</v>
      </c>
      <c r="V2556">
        <f t="shared" si="234"/>
        <v>925000</v>
      </c>
      <c r="W2556">
        <f t="shared" si="235"/>
        <v>18429897</v>
      </c>
      <c r="X2556">
        <f t="shared" si="236"/>
        <v>17504897</v>
      </c>
      <c r="Y2556">
        <f t="shared" si="237"/>
        <v>-25332345.5</v>
      </c>
      <c r="Z2556">
        <f t="shared" si="238"/>
        <v>44687242.5</v>
      </c>
      <c r="AA2556" t="str">
        <f t="shared" si="239"/>
        <v>Normal</v>
      </c>
      <c r="AE2556" s="2"/>
      <c r="AF2556" s="2"/>
    </row>
    <row r="2557" spans="1:32" x14ac:dyDescent="0.35">
      <c r="A2557">
        <v>2556</v>
      </c>
      <c r="B2557" s="1">
        <v>42242</v>
      </c>
      <c r="C2557" s="9" t="s">
        <v>4189</v>
      </c>
      <c r="D2557" s="9" t="s">
        <v>5416</v>
      </c>
      <c r="E2557" s="9" t="s">
        <v>1111</v>
      </c>
      <c r="F2557" s="9" t="s">
        <v>31</v>
      </c>
      <c r="G2557" s="9" t="s">
        <v>4190</v>
      </c>
      <c r="H2557" s="9" t="s">
        <v>86</v>
      </c>
      <c r="I2557" s="11">
        <v>400000</v>
      </c>
      <c r="J2557" s="11">
        <v>4333400</v>
      </c>
      <c r="K2557" s="11">
        <v>7328439</v>
      </c>
      <c r="L2557" s="3">
        <v>254</v>
      </c>
      <c r="M2557" s="3">
        <v>61</v>
      </c>
      <c r="N2557" s="3">
        <v>591814</v>
      </c>
      <c r="O2557" s="2">
        <v>-1.3000000000000001E-2</v>
      </c>
      <c r="P2557" s="2">
        <v>1.171</v>
      </c>
      <c r="Q2557" s="2">
        <v>0.41599999999999998</v>
      </c>
      <c r="R2557" s="11">
        <v>60433018</v>
      </c>
      <c r="S2557" s="11">
        <v>516802</v>
      </c>
      <c r="T2557">
        <v>2015</v>
      </c>
      <c r="U2557">
        <v>8</v>
      </c>
      <c r="V2557">
        <f t="shared" si="234"/>
        <v>1000000</v>
      </c>
      <c r="W2557">
        <f t="shared" si="235"/>
        <v>18429897</v>
      </c>
      <c r="X2557">
        <f t="shared" si="236"/>
        <v>17429897</v>
      </c>
      <c r="Y2557">
        <f t="shared" si="237"/>
        <v>-25144845.5</v>
      </c>
      <c r="Z2557">
        <f t="shared" si="238"/>
        <v>44574742.5</v>
      </c>
      <c r="AA2557" t="str">
        <f t="shared" si="239"/>
        <v>Normal</v>
      </c>
      <c r="AE2557" s="2"/>
      <c r="AF2557" s="2"/>
    </row>
    <row r="2558" spans="1:32" x14ac:dyDescent="0.35">
      <c r="A2558">
        <v>2557</v>
      </c>
      <c r="B2558" s="1">
        <v>42242</v>
      </c>
      <c r="C2558" s="9" t="s">
        <v>4191</v>
      </c>
      <c r="D2558" s="9" t="s">
        <v>4192</v>
      </c>
      <c r="E2558" s="9" t="s">
        <v>1111</v>
      </c>
      <c r="F2558" s="9" t="s">
        <v>408</v>
      </c>
      <c r="G2558" s="9" t="s">
        <v>2784</v>
      </c>
      <c r="H2558" s="9" t="s">
        <v>86</v>
      </c>
      <c r="I2558" s="11">
        <v>18429897</v>
      </c>
      <c r="J2558" s="11">
        <v>174643</v>
      </c>
      <c r="K2558" s="11">
        <v>2297802</v>
      </c>
      <c r="L2558" s="3">
        <v>286</v>
      </c>
      <c r="M2558" s="3">
        <v>3535</v>
      </c>
      <c r="N2558" s="3">
        <v>817776</v>
      </c>
      <c r="O2558" s="2">
        <v>0.17199999999999999</v>
      </c>
      <c r="P2558" s="2">
        <v>0.73199999999999998</v>
      </c>
      <c r="Q2558" s="2">
        <v>5.5E-2</v>
      </c>
      <c r="R2558" s="11">
        <v>10690265</v>
      </c>
      <c r="S2558" s="11">
        <v>163424</v>
      </c>
      <c r="T2558">
        <v>2015</v>
      </c>
      <c r="U2558">
        <v>8</v>
      </c>
      <c r="V2558">
        <f t="shared" si="234"/>
        <v>1000000</v>
      </c>
      <c r="W2558">
        <f t="shared" si="235"/>
        <v>18429897</v>
      </c>
      <c r="X2558">
        <f t="shared" si="236"/>
        <v>17429897</v>
      </c>
      <c r="Y2558">
        <f t="shared" si="237"/>
        <v>-25144845.5</v>
      </c>
      <c r="Z2558">
        <f t="shared" si="238"/>
        <v>44574742.5</v>
      </c>
      <c r="AA2558" t="str">
        <f t="shared" si="239"/>
        <v>Normal</v>
      </c>
      <c r="AE2558" s="2"/>
      <c r="AF2558" s="2"/>
    </row>
    <row r="2559" spans="1:32" x14ac:dyDescent="0.35">
      <c r="A2559">
        <v>2558</v>
      </c>
      <c r="B2559" s="1">
        <v>42242</v>
      </c>
      <c r="C2559" s="9" t="s">
        <v>4193</v>
      </c>
      <c r="D2559" s="9" t="s">
        <v>5417</v>
      </c>
      <c r="E2559" s="9" t="s">
        <v>1111</v>
      </c>
      <c r="F2559" s="9" t="s">
        <v>19</v>
      </c>
      <c r="G2559" s="9" t="s">
        <v>856</v>
      </c>
      <c r="H2559" s="9" t="s">
        <v>86</v>
      </c>
      <c r="I2559" s="11">
        <v>500000</v>
      </c>
      <c r="J2559" s="11">
        <v>2954869</v>
      </c>
      <c r="K2559" s="11">
        <v>4544742</v>
      </c>
      <c r="L2559" s="3">
        <v>153</v>
      </c>
      <c r="M2559" s="3">
        <v>2645</v>
      </c>
      <c r="N2559" s="3">
        <v>55748</v>
      </c>
      <c r="O2559" s="2">
        <v>0.32600000000000001</v>
      </c>
      <c r="P2559" s="2">
        <v>0.76300000000000001</v>
      </c>
      <c r="Q2559" s="2">
        <v>0.35799999999999998</v>
      </c>
      <c r="R2559" s="11">
        <v>423418867</v>
      </c>
      <c r="S2559" s="11">
        <v>907593</v>
      </c>
      <c r="T2559">
        <v>2015</v>
      </c>
      <c r="U2559">
        <v>8</v>
      </c>
      <c r="V2559">
        <f t="shared" si="234"/>
        <v>1000000</v>
      </c>
      <c r="W2559">
        <f t="shared" si="235"/>
        <v>18429897</v>
      </c>
      <c r="X2559">
        <f t="shared" si="236"/>
        <v>17429897</v>
      </c>
      <c r="Y2559">
        <f t="shared" si="237"/>
        <v>-25144845.5</v>
      </c>
      <c r="Z2559">
        <f t="shared" si="238"/>
        <v>44574742.5</v>
      </c>
      <c r="AA2559" t="str">
        <f t="shared" si="239"/>
        <v>Normal</v>
      </c>
      <c r="AE2559" s="2"/>
      <c r="AF2559" s="2"/>
    </row>
    <row r="2560" spans="1:32" x14ac:dyDescent="0.35">
      <c r="A2560">
        <v>2559</v>
      </c>
      <c r="B2560" s="1">
        <v>42243</v>
      </c>
      <c r="C2560" s="9" t="s">
        <v>1976</v>
      </c>
      <c r="D2560" s="9" t="s">
        <v>5418</v>
      </c>
      <c r="E2560" s="9" t="s">
        <v>1111</v>
      </c>
      <c r="F2560" s="9" t="s">
        <v>15</v>
      </c>
      <c r="G2560" s="9" t="s">
        <v>4194</v>
      </c>
      <c r="H2560" s="9" t="s">
        <v>86</v>
      </c>
      <c r="I2560" s="11">
        <v>18429897</v>
      </c>
      <c r="J2560" s="11">
        <v>2895475</v>
      </c>
      <c r="K2560" s="11">
        <v>515544</v>
      </c>
      <c r="L2560" s="3">
        <v>268</v>
      </c>
      <c r="M2560" s="3">
        <v>3059</v>
      </c>
      <c r="N2560" s="3">
        <v>1018455</v>
      </c>
      <c r="O2560" s="2">
        <v>-1.2999999999999999E-2</v>
      </c>
      <c r="P2560" s="2">
        <v>1.1299999999999999</v>
      </c>
      <c r="Q2560" s="2">
        <v>-0.28499999999999998</v>
      </c>
      <c r="R2560" s="11">
        <v>70289574</v>
      </c>
      <c r="S2560" s="11">
        <v>1787987</v>
      </c>
      <c r="T2560">
        <v>2015</v>
      </c>
      <c r="U2560">
        <v>8</v>
      </c>
      <c r="V2560">
        <f t="shared" si="234"/>
        <v>1000000</v>
      </c>
      <c r="W2560">
        <f t="shared" si="235"/>
        <v>18429897</v>
      </c>
      <c r="X2560">
        <f t="shared" si="236"/>
        <v>17429897</v>
      </c>
      <c r="Y2560">
        <f t="shared" si="237"/>
        <v>-25144845.5</v>
      </c>
      <c r="Z2560">
        <f t="shared" si="238"/>
        <v>44574742.5</v>
      </c>
      <c r="AA2560" t="str">
        <f t="shared" si="239"/>
        <v>Normal</v>
      </c>
      <c r="AE2560" s="2"/>
      <c r="AF2560" s="2"/>
    </row>
    <row r="2561" spans="1:32" x14ac:dyDescent="0.35">
      <c r="A2561">
        <v>2560</v>
      </c>
      <c r="B2561" s="1">
        <v>42243</v>
      </c>
      <c r="C2561" s="9" t="s">
        <v>4195</v>
      </c>
      <c r="D2561" s="9" t="s">
        <v>5419</v>
      </c>
      <c r="E2561" s="9" t="s">
        <v>1111</v>
      </c>
      <c r="F2561" s="9" t="s">
        <v>554</v>
      </c>
      <c r="G2561" s="9" t="s">
        <v>4196</v>
      </c>
      <c r="H2561" s="9" t="s">
        <v>86</v>
      </c>
      <c r="I2561" s="11">
        <v>18429897</v>
      </c>
      <c r="J2561" s="11">
        <v>1806190</v>
      </c>
      <c r="K2561" s="11">
        <v>10667012</v>
      </c>
      <c r="L2561" s="3">
        <v>270</v>
      </c>
      <c r="M2561" s="3">
        <v>2505.5</v>
      </c>
      <c r="N2561" s="3">
        <v>1851663</v>
      </c>
      <c r="O2561" s="2">
        <v>2.7999999999999997E-2</v>
      </c>
      <c r="P2561" s="2">
        <v>0.50800000000000001</v>
      </c>
      <c r="Q2561" s="2">
        <v>0.42499999999999999</v>
      </c>
      <c r="R2561" s="11">
        <v>240002361</v>
      </c>
      <c r="S2561" s="11">
        <v>1146334</v>
      </c>
      <c r="T2561">
        <v>2015</v>
      </c>
      <c r="U2561">
        <v>8</v>
      </c>
      <c r="V2561">
        <f t="shared" si="234"/>
        <v>1000000</v>
      </c>
      <c r="W2561">
        <f t="shared" si="235"/>
        <v>18429897</v>
      </c>
      <c r="X2561">
        <f t="shared" si="236"/>
        <v>17429897</v>
      </c>
      <c r="Y2561">
        <f t="shared" si="237"/>
        <v>-25144845.5</v>
      </c>
      <c r="Z2561">
        <f t="shared" si="238"/>
        <v>44574742.5</v>
      </c>
      <c r="AA2561" t="str">
        <f t="shared" si="239"/>
        <v>Normal</v>
      </c>
      <c r="AE2561" s="2"/>
      <c r="AF2561" s="2"/>
    </row>
    <row r="2562" spans="1:32" x14ac:dyDescent="0.35">
      <c r="A2562">
        <v>2561</v>
      </c>
      <c r="B2562" s="1">
        <v>42243</v>
      </c>
      <c r="C2562" s="9" t="s">
        <v>4197</v>
      </c>
      <c r="D2562" s="9" t="s">
        <v>5420</v>
      </c>
      <c r="E2562" s="9" t="s">
        <v>1111</v>
      </c>
      <c r="F2562" s="9" t="s">
        <v>27</v>
      </c>
      <c r="G2562" s="9" t="s">
        <v>4198</v>
      </c>
      <c r="H2562" s="9" t="s">
        <v>105</v>
      </c>
      <c r="I2562" s="11">
        <v>18429897</v>
      </c>
      <c r="J2562" s="11">
        <v>3340237</v>
      </c>
      <c r="K2562" s="11">
        <v>11859966</v>
      </c>
      <c r="L2562" s="3">
        <v>475</v>
      </c>
      <c r="M2562" s="3">
        <v>1536</v>
      </c>
      <c r="N2562" s="3">
        <v>55241</v>
      </c>
      <c r="O2562" s="2">
        <v>9.6000000000000002E-2</v>
      </c>
      <c r="P2562" s="2">
        <v>0.36199999999999999</v>
      </c>
      <c r="Q2562" s="2">
        <v>-0.123</v>
      </c>
      <c r="R2562" s="11">
        <v>351140765</v>
      </c>
      <c r="S2562" s="11">
        <v>139792</v>
      </c>
      <c r="T2562">
        <v>2015</v>
      </c>
      <c r="U2562">
        <v>8</v>
      </c>
      <c r="V2562">
        <f t="shared" ref="V2562:V2625" si="240">_xlfn.PERCENTILE.INC(I2562:I5605,0.25)</f>
        <v>1000000</v>
      </c>
      <c r="W2562">
        <f t="shared" ref="W2562:W2625" si="241">_xlfn.PERCENTILE.INC(I2562:I5605,0.75)</f>
        <v>18429897</v>
      </c>
      <c r="X2562">
        <f t="shared" ref="X2562:X2625" si="242">W2562-V2562</f>
        <v>17429897</v>
      </c>
      <c r="Y2562">
        <f t="shared" ref="Y2562:Y2625" si="243">V2562-1.5*X2562</f>
        <v>-25144845.5</v>
      </c>
      <c r="Z2562">
        <f t="shared" ref="Z2562:Z2625" si="244">W2562+1.5*X2562</f>
        <v>44574742.5</v>
      </c>
      <c r="AA2562" t="str">
        <f t="shared" ref="AA2562:AA2625" si="245">IF(OR(I2562&lt;$Y$2, I2562&gt;$Z$2), "Outlier", "Normal")</f>
        <v>Normal</v>
      </c>
      <c r="AE2562" s="2"/>
      <c r="AF2562" s="2"/>
    </row>
    <row r="2563" spans="1:32" x14ac:dyDescent="0.35">
      <c r="A2563">
        <v>2562</v>
      </c>
      <c r="B2563" s="1">
        <v>42244</v>
      </c>
      <c r="C2563" s="9" t="s">
        <v>4199</v>
      </c>
      <c r="D2563" s="9" t="s">
        <v>4200</v>
      </c>
      <c r="E2563" s="9" t="s">
        <v>1111</v>
      </c>
      <c r="F2563" s="9" t="s">
        <v>27</v>
      </c>
      <c r="G2563" s="9" t="s">
        <v>4201</v>
      </c>
      <c r="H2563" s="9" t="s">
        <v>86</v>
      </c>
      <c r="I2563" s="11">
        <v>18429897</v>
      </c>
      <c r="J2563" s="11">
        <v>2055173</v>
      </c>
      <c r="K2563" s="11">
        <v>10153449</v>
      </c>
      <c r="L2563" s="3">
        <v>191</v>
      </c>
      <c r="M2563" s="3">
        <v>3131</v>
      </c>
      <c r="N2563" s="3">
        <v>1423014</v>
      </c>
      <c r="O2563" s="2">
        <v>-4.0999999999999995E-2</v>
      </c>
      <c r="P2563" s="2">
        <v>1.1520000000000001</v>
      </c>
      <c r="Q2563" s="2">
        <v>-0.26300000000000001</v>
      </c>
      <c r="R2563" s="11">
        <v>366061097</v>
      </c>
      <c r="S2563" s="11">
        <v>1563074</v>
      </c>
      <c r="T2563">
        <v>2015</v>
      </c>
      <c r="U2563">
        <v>8</v>
      </c>
      <c r="V2563">
        <f t="shared" si="240"/>
        <v>1000000</v>
      </c>
      <c r="W2563">
        <f t="shared" si="241"/>
        <v>18429897</v>
      </c>
      <c r="X2563">
        <f t="shared" si="242"/>
        <v>17429897</v>
      </c>
      <c r="Y2563">
        <f t="shared" si="243"/>
        <v>-25144845.5</v>
      </c>
      <c r="Z2563">
        <f t="shared" si="244"/>
        <v>44574742.5</v>
      </c>
      <c r="AA2563" t="str">
        <f t="shared" si="245"/>
        <v>Normal</v>
      </c>
      <c r="AE2563" s="2"/>
      <c r="AF2563" s="2"/>
    </row>
    <row r="2564" spans="1:32" x14ac:dyDescent="0.35">
      <c r="A2564">
        <v>2563</v>
      </c>
      <c r="B2564" s="1">
        <v>42244</v>
      </c>
      <c r="C2564" s="9" t="s">
        <v>3032</v>
      </c>
      <c r="D2564" s="9" t="s">
        <v>5421</v>
      </c>
      <c r="E2564" s="9" t="s">
        <v>1111</v>
      </c>
      <c r="F2564" s="9" t="s">
        <v>15</v>
      </c>
      <c r="G2564" s="9" t="s">
        <v>4202</v>
      </c>
      <c r="H2564" s="9" t="s">
        <v>105</v>
      </c>
      <c r="I2564" s="11">
        <v>2000000</v>
      </c>
      <c r="J2564" s="11">
        <v>2209664</v>
      </c>
      <c r="K2564" s="11">
        <v>14908031</v>
      </c>
      <c r="L2564" s="3">
        <v>164</v>
      </c>
      <c r="M2564" s="3">
        <v>1144</v>
      </c>
      <c r="N2564" s="3">
        <v>931865</v>
      </c>
      <c r="O2564" s="2">
        <v>0.20399999999999999</v>
      </c>
      <c r="P2564" s="2">
        <v>0.77100000000000002</v>
      </c>
      <c r="Q2564" s="2">
        <v>-0.22500000000000001</v>
      </c>
      <c r="R2564" s="11">
        <v>85419483</v>
      </c>
      <c r="S2564" s="11">
        <v>1002772</v>
      </c>
      <c r="T2564">
        <v>2015</v>
      </c>
      <c r="U2564">
        <v>8</v>
      </c>
      <c r="V2564">
        <f t="shared" si="240"/>
        <v>1000000</v>
      </c>
      <c r="W2564">
        <f t="shared" si="241"/>
        <v>18429897</v>
      </c>
      <c r="X2564">
        <f t="shared" si="242"/>
        <v>17429897</v>
      </c>
      <c r="Y2564">
        <f t="shared" si="243"/>
        <v>-25144845.5</v>
      </c>
      <c r="Z2564">
        <f t="shared" si="244"/>
        <v>44574742.5</v>
      </c>
      <c r="AA2564" t="str">
        <f t="shared" si="245"/>
        <v>Normal</v>
      </c>
      <c r="AE2564" s="2"/>
      <c r="AF2564" s="2"/>
    </row>
    <row r="2565" spans="1:32" x14ac:dyDescent="0.35">
      <c r="A2565">
        <v>2564</v>
      </c>
      <c r="B2565" s="1">
        <v>42244</v>
      </c>
      <c r="C2565" s="9" t="s">
        <v>4203</v>
      </c>
      <c r="D2565" s="9" t="s">
        <v>5422</v>
      </c>
      <c r="E2565" s="9" t="s">
        <v>1111</v>
      </c>
      <c r="F2565" s="9" t="s">
        <v>41</v>
      </c>
      <c r="G2565" s="9" t="s">
        <v>4204</v>
      </c>
      <c r="H2565" s="9" t="s">
        <v>86</v>
      </c>
      <c r="I2565" s="11">
        <v>160000</v>
      </c>
      <c r="J2565" s="11">
        <v>2168964</v>
      </c>
      <c r="K2565" s="11">
        <v>9660943</v>
      </c>
      <c r="L2565" s="3">
        <v>376</v>
      </c>
      <c r="M2565" s="3">
        <v>3805</v>
      </c>
      <c r="N2565" s="3">
        <v>1930042</v>
      </c>
      <c r="O2565" s="2">
        <v>0.21</v>
      </c>
      <c r="P2565" s="2">
        <v>0.221</v>
      </c>
      <c r="Q2565" s="2">
        <v>0.151</v>
      </c>
      <c r="R2565" s="11">
        <v>407425743</v>
      </c>
      <c r="S2565" s="11">
        <v>555089</v>
      </c>
      <c r="T2565">
        <v>2015</v>
      </c>
      <c r="U2565">
        <v>8</v>
      </c>
      <c r="V2565">
        <f t="shared" si="240"/>
        <v>1000000</v>
      </c>
      <c r="W2565">
        <f t="shared" si="241"/>
        <v>18429897</v>
      </c>
      <c r="X2565">
        <f t="shared" si="242"/>
        <v>17429897</v>
      </c>
      <c r="Y2565">
        <f t="shared" si="243"/>
        <v>-25144845.5</v>
      </c>
      <c r="Z2565">
        <f t="shared" si="244"/>
        <v>44574742.5</v>
      </c>
      <c r="AA2565" t="str">
        <f t="shared" si="245"/>
        <v>Normal</v>
      </c>
      <c r="AE2565" s="2"/>
      <c r="AF2565" s="2"/>
    </row>
    <row r="2566" spans="1:32" x14ac:dyDescent="0.35">
      <c r="A2566">
        <v>2565</v>
      </c>
      <c r="B2566" s="1">
        <v>42245</v>
      </c>
      <c r="C2566" s="9" t="s">
        <v>4205</v>
      </c>
      <c r="D2566" s="9" t="s">
        <v>5423</v>
      </c>
      <c r="E2566" s="9" t="s">
        <v>1111</v>
      </c>
      <c r="F2566" s="9" t="s">
        <v>19</v>
      </c>
      <c r="G2566" s="9" t="s">
        <v>4206</v>
      </c>
      <c r="H2566" s="9" t="s">
        <v>86</v>
      </c>
      <c r="I2566" s="11">
        <v>18429897</v>
      </c>
      <c r="J2566" s="11">
        <v>4007358</v>
      </c>
      <c r="K2566" s="11">
        <v>19202785</v>
      </c>
      <c r="L2566" s="3">
        <v>319</v>
      </c>
      <c r="M2566" s="3">
        <v>495</v>
      </c>
      <c r="N2566" s="3">
        <v>1181474</v>
      </c>
      <c r="O2566" s="2">
        <v>-0.42399999999999999</v>
      </c>
      <c r="P2566" s="2">
        <v>0.39600000000000002</v>
      </c>
      <c r="Q2566" s="2">
        <v>0.67100000000000004</v>
      </c>
      <c r="R2566" s="11">
        <v>239735077</v>
      </c>
      <c r="S2566" s="11">
        <v>1032647</v>
      </c>
      <c r="T2566">
        <v>2015</v>
      </c>
      <c r="U2566">
        <v>8</v>
      </c>
      <c r="V2566">
        <f t="shared" si="240"/>
        <v>1000000</v>
      </c>
      <c r="W2566">
        <f t="shared" si="241"/>
        <v>18429897</v>
      </c>
      <c r="X2566">
        <f t="shared" si="242"/>
        <v>17429897</v>
      </c>
      <c r="Y2566">
        <f t="shared" si="243"/>
        <v>-25144845.5</v>
      </c>
      <c r="Z2566">
        <f t="shared" si="244"/>
        <v>44574742.5</v>
      </c>
      <c r="AA2566" t="str">
        <f t="shared" si="245"/>
        <v>Normal</v>
      </c>
      <c r="AE2566" s="2"/>
      <c r="AF2566" s="2"/>
    </row>
    <row r="2567" spans="1:32" x14ac:dyDescent="0.35">
      <c r="A2567">
        <v>2566</v>
      </c>
      <c r="B2567" s="1">
        <v>42247</v>
      </c>
      <c r="C2567" s="9" t="s">
        <v>3077</v>
      </c>
      <c r="D2567" s="9" t="s">
        <v>5424</v>
      </c>
      <c r="E2567" s="9" t="s">
        <v>1111</v>
      </c>
      <c r="F2567" s="9" t="s">
        <v>15</v>
      </c>
      <c r="G2567" s="9" t="s">
        <v>4207</v>
      </c>
      <c r="H2567" s="9" t="s">
        <v>86</v>
      </c>
      <c r="I2567" s="11">
        <v>300000</v>
      </c>
      <c r="J2567" s="11">
        <v>3173082</v>
      </c>
      <c r="K2567" s="11">
        <v>15287432</v>
      </c>
      <c r="L2567" s="3">
        <v>216</v>
      </c>
      <c r="M2567" s="3">
        <v>751</v>
      </c>
      <c r="N2567" s="3">
        <v>810625</v>
      </c>
      <c r="O2567" s="2">
        <v>0.248</v>
      </c>
      <c r="P2567" s="2">
        <v>0.997</v>
      </c>
      <c r="Q2567" s="2">
        <v>5.0999999999999997E-2</v>
      </c>
      <c r="R2567" s="11">
        <v>306596110</v>
      </c>
      <c r="S2567" s="11">
        <v>1536428</v>
      </c>
      <c r="T2567">
        <v>2015</v>
      </c>
      <c r="U2567">
        <v>8</v>
      </c>
      <c r="V2567">
        <f t="shared" si="240"/>
        <v>1000000</v>
      </c>
      <c r="W2567">
        <f t="shared" si="241"/>
        <v>18429897</v>
      </c>
      <c r="X2567">
        <f t="shared" si="242"/>
        <v>17429897</v>
      </c>
      <c r="Y2567">
        <f t="shared" si="243"/>
        <v>-25144845.5</v>
      </c>
      <c r="Z2567">
        <f t="shared" si="244"/>
        <v>44574742.5</v>
      </c>
      <c r="AA2567" t="str">
        <f t="shared" si="245"/>
        <v>Normal</v>
      </c>
      <c r="AE2567" s="2"/>
      <c r="AF2567" s="2"/>
    </row>
    <row r="2568" spans="1:32" x14ac:dyDescent="0.35">
      <c r="A2568">
        <v>2567</v>
      </c>
      <c r="B2568" s="1">
        <v>42247</v>
      </c>
      <c r="C2568" s="9" t="s">
        <v>4208</v>
      </c>
      <c r="D2568" s="9" t="s">
        <v>5425</v>
      </c>
      <c r="E2568" s="9" t="s">
        <v>1111</v>
      </c>
      <c r="F2568" s="9" t="s">
        <v>15</v>
      </c>
      <c r="G2568" s="9" t="s">
        <v>4209</v>
      </c>
      <c r="H2568" s="9" t="s">
        <v>105</v>
      </c>
      <c r="I2568" s="11">
        <v>4000000</v>
      </c>
      <c r="J2568" s="11">
        <v>1907654</v>
      </c>
      <c r="K2568" s="11">
        <v>1598548</v>
      </c>
      <c r="L2568" s="3">
        <v>5</v>
      </c>
      <c r="M2568" s="3">
        <v>3529</v>
      </c>
      <c r="N2568" s="3">
        <v>201270</v>
      </c>
      <c r="O2568" s="2">
        <v>0.14499999999999999</v>
      </c>
      <c r="P2568" s="2">
        <v>0.32799999999999996</v>
      </c>
      <c r="Q2568" s="2">
        <v>7.2000000000000008E-2</v>
      </c>
      <c r="R2568" s="11">
        <v>457928419</v>
      </c>
      <c r="S2568" s="11">
        <v>1506517</v>
      </c>
      <c r="T2568">
        <v>2015</v>
      </c>
      <c r="U2568">
        <v>8</v>
      </c>
      <c r="V2568">
        <f t="shared" si="240"/>
        <v>1000000</v>
      </c>
      <c r="W2568">
        <f t="shared" si="241"/>
        <v>18429897</v>
      </c>
      <c r="X2568">
        <f t="shared" si="242"/>
        <v>17429897</v>
      </c>
      <c r="Y2568">
        <f t="shared" si="243"/>
        <v>-25144845.5</v>
      </c>
      <c r="Z2568">
        <f t="shared" si="244"/>
        <v>44574742.5</v>
      </c>
      <c r="AA2568" t="str">
        <f t="shared" si="245"/>
        <v>Normal</v>
      </c>
      <c r="AE2568" s="2"/>
      <c r="AF2568" s="2"/>
    </row>
    <row r="2569" spans="1:32" x14ac:dyDescent="0.35">
      <c r="A2569">
        <v>2568</v>
      </c>
      <c r="B2569" s="1">
        <v>42247</v>
      </c>
      <c r="C2569" s="9" t="s">
        <v>4210</v>
      </c>
      <c r="D2569" s="9" t="s">
        <v>5426</v>
      </c>
      <c r="E2569" s="9" t="s">
        <v>1111</v>
      </c>
      <c r="F2569" s="9" t="s">
        <v>31</v>
      </c>
      <c r="G2569" s="9" t="s">
        <v>4211</v>
      </c>
      <c r="H2569" s="9" t="s">
        <v>105</v>
      </c>
      <c r="I2569" s="11">
        <v>18429897</v>
      </c>
      <c r="J2569" s="11">
        <v>4635311</v>
      </c>
      <c r="K2569" s="11">
        <v>5553017</v>
      </c>
      <c r="L2569" s="3">
        <v>353</v>
      </c>
      <c r="M2569" s="3">
        <v>335</v>
      </c>
      <c r="N2569" s="3">
        <v>1121805</v>
      </c>
      <c r="O2569" s="2">
        <v>0.17199999999999999</v>
      </c>
      <c r="P2569" s="2">
        <v>1.0509999999999999</v>
      </c>
      <c r="Q2569" s="2">
        <v>0.29199999999999998</v>
      </c>
      <c r="R2569" s="11">
        <v>343039284</v>
      </c>
      <c r="S2569" s="11">
        <v>259099</v>
      </c>
      <c r="T2569">
        <v>2015</v>
      </c>
      <c r="U2569">
        <v>8</v>
      </c>
      <c r="V2569">
        <f t="shared" si="240"/>
        <v>1000000</v>
      </c>
      <c r="W2569">
        <f t="shared" si="241"/>
        <v>18429897</v>
      </c>
      <c r="X2569">
        <f t="shared" si="242"/>
        <v>17429897</v>
      </c>
      <c r="Y2569">
        <f t="shared" si="243"/>
        <v>-25144845.5</v>
      </c>
      <c r="Z2569">
        <f t="shared" si="244"/>
        <v>44574742.5</v>
      </c>
      <c r="AA2569" t="str">
        <f t="shared" si="245"/>
        <v>Normal</v>
      </c>
      <c r="AE2569" s="2"/>
      <c r="AF2569" s="2"/>
    </row>
    <row r="2570" spans="1:32" x14ac:dyDescent="0.35">
      <c r="A2570">
        <v>2569</v>
      </c>
      <c r="B2570" s="1">
        <v>42186</v>
      </c>
      <c r="C2570" s="9" t="s">
        <v>3887</v>
      </c>
      <c r="D2570" s="9" t="s">
        <v>5240</v>
      </c>
      <c r="E2570" s="9" t="s">
        <v>1111</v>
      </c>
      <c r="F2570" s="9" t="s">
        <v>15</v>
      </c>
      <c r="G2570" s="9" t="s">
        <v>4212</v>
      </c>
      <c r="H2570" s="9" t="s">
        <v>86</v>
      </c>
      <c r="I2570" s="11">
        <v>18429897</v>
      </c>
      <c r="J2570" s="11">
        <v>2531926</v>
      </c>
      <c r="K2570" s="11">
        <v>10153449</v>
      </c>
      <c r="L2570" s="3">
        <v>369</v>
      </c>
      <c r="M2570" s="3">
        <v>4855</v>
      </c>
      <c r="N2570" s="3">
        <v>1962472</v>
      </c>
      <c r="O2570" s="2">
        <v>0.35600000000000004</v>
      </c>
      <c r="P2570" s="2">
        <v>0.98599999999999999</v>
      </c>
      <c r="Q2570" s="2">
        <v>-4.4000000000000004E-2</v>
      </c>
      <c r="R2570" s="11">
        <v>106375811</v>
      </c>
      <c r="S2570" s="11">
        <v>421022</v>
      </c>
      <c r="T2570">
        <v>2015</v>
      </c>
      <c r="U2570">
        <v>7</v>
      </c>
      <c r="V2570">
        <f t="shared" si="240"/>
        <v>1000000</v>
      </c>
      <c r="W2570">
        <f t="shared" si="241"/>
        <v>18429897</v>
      </c>
      <c r="X2570">
        <f t="shared" si="242"/>
        <v>17429897</v>
      </c>
      <c r="Y2570">
        <f t="shared" si="243"/>
        <v>-25144845.5</v>
      </c>
      <c r="Z2570">
        <f t="shared" si="244"/>
        <v>44574742.5</v>
      </c>
      <c r="AA2570" t="str">
        <f t="shared" si="245"/>
        <v>Normal</v>
      </c>
      <c r="AE2570" s="2"/>
      <c r="AF2570" s="2"/>
    </row>
    <row r="2571" spans="1:32" x14ac:dyDescent="0.35">
      <c r="A2571">
        <v>2570</v>
      </c>
      <c r="B2571" s="1">
        <v>42186</v>
      </c>
      <c r="C2571" s="9" t="s">
        <v>4213</v>
      </c>
      <c r="D2571" s="9" t="s">
        <v>5427</v>
      </c>
      <c r="E2571" s="9" t="s">
        <v>1111</v>
      </c>
      <c r="F2571" s="9" t="s">
        <v>31</v>
      </c>
      <c r="G2571" s="9" t="s">
        <v>2342</v>
      </c>
      <c r="H2571" s="9" t="s">
        <v>105</v>
      </c>
      <c r="I2571" s="11">
        <v>18429897</v>
      </c>
      <c r="J2571" s="11">
        <v>4665242</v>
      </c>
      <c r="K2571" s="11">
        <v>10795747</v>
      </c>
      <c r="L2571" s="3">
        <v>465</v>
      </c>
      <c r="M2571" s="3">
        <v>2505.5</v>
      </c>
      <c r="N2571" s="3">
        <v>25819</v>
      </c>
      <c r="O2571" s="2">
        <v>-0.23699999999999999</v>
      </c>
      <c r="P2571" s="2">
        <v>0.23499999999999999</v>
      </c>
      <c r="Q2571" s="2">
        <v>6.3E-2</v>
      </c>
      <c r="R2571" s="11">
        <v>250264963</v>
      </c>
      <c r="S2571" s="11">
        <v>1636722</v>
      </c>
      <c r="T2571">
        <v>2015</v>
      </c>
      <c r="U2571">
        <v>7</v>
      </c>
      <c r="V2571">
        <f t="shared" si="240"/>
        <v>1000000</v>
      </c>
      <c r="W2571">
        <f t="shared" si="241"/>
        <v>18429897</v>
      </c>
      <c r="X2571">
        <f t="shared" si="242"/>
        <v>17429897</v>
      </c>
      <c r="Y2571">
        <f t="shared" si="243"/>
        <v>-25144845.5</v>
      </c>
      <c r="Z2571">
        <f t="shared" si="244"/>
        <v>44574742.5</v>
      </c>
      <c r="AA2571" t="str">
        <f t="shared" si="245"/>
        <v>Normal</v>
      </c>
      <c r="AE2571" s="2"/>
      <c r="AF2571" s="2"/>
    </row>
    <row r="2572" spans="1:32" x14ac:dyDescent="0.35">
      <c r="A2572">
        <v>2571</v>
      </c>
      <c r="B2572" s="1">
        <v>42186</v>
      </c>
      <c r="C2572" s="9" t="s">
        <v>4214</v>
      </c>
      <c r="D2572" s="9" t="s">
        <v>5428</v>
      </c>
      <c r="E2572" s="9" t="s">
        <v>1111</v>
      </c>
      <c r="F2572" s="9" t="s">
        <v>35</v>
      </c>
      <c r="G2572" s="9" t="s">
        <v>4215</v>
      </c>
      <c r="H2572" s="9" t="s">
        <v>86</v>
      </c>
      <c r="I2572" s="11">
        <v>1000000</v>
      </c>
      <c r="J2572" s="11">
        <v>3657894</v>
      </c>
      <c r="K2572" s="11">
        <v>15089056</v>
      </c>
      <c r="L2572" s="3">
        <v>253</v>
      </c>
      <c r="M2572" s="3">
        <v>2648</v>
      </c>
      <c r="N2572" s="3">
        <v>8881</v>
      </c>
      <c r="O2572" s="2">
        <v>-0.13100000000000001</v>
      </c>
      <c r="P2572" s="2">
        <v>0.53100000000000003</v>
      </c>
      <c r="Q2572" s="2">
        <v>1.2999999999999999E-2</v>
      </c>
      <c r="R2572" s="11">
        <v>243611995</v>
      </c>
      <c r="S2572" s="11">
        <v>608296</v>
      </c>
      <c r="T2572">
        <v>2015</v>
      </c>
      <c r="U2572">
        <v>7</v>
      </c>
      <c r="V2572">
        <f t="shared" si="240"/>
        <v>1000000</v>
      </c>
      <c r="W2572">
        <f t="shared" si="241"/>
        <v>18429897</v>
      </c>
      <c r="X2572">
        <f t="shared" si="242"/>
        <v>17429897</v>
      </c>
      <c r="Y2572">
        <f t="shared" si="243"/>
        <v>-25144845.5</v>
      </c>
      <c r="Z2572">
        <f t="shared" si="244"/>
        <v>44574742.5</v>
      </c>
      <c r="AA2572" t="str">
        <f t="shared" si="245"/>
        <v>Normal</v>
      </c>
      <c r="AE2572" s="2"/>
      <c r="AF2572" s="2"/>
    </row>
    <row r="2573" spans="1:32" x14ac:dyDescent="0.35">
      <c r="A2573">
        <v>2572</v>
      </c>
      <c r="B2573" s="1">
        <v>42186</v>
      </c>
      <c r="C2573" s="9" t="s">
        <v>4216</v>
      </c>
      <c r="D2573" s="9" t="s">
        <v>5429</v>
      </c>
      <c r="E2573" s="9" t="s">
        <v>1111</v>
      </c>
      <c r="F2573" s="9" t="s">
        <v>31</v>
      </c>
      <c r="G2573" s="9" t="s">
        <v>4217</v>
      </c>
      <c r="H2573" s="9" t="s">
        <v>86</v>
      </c>
      <c r="I2573" s="11">
        <v>630000</v>
      </c>
      <c r="J2573" s="11">
        <v>2531926</v>
      </c>
      <c r="K2573" s="11">
        <v>6769708</v>
      </c>
      <c r="L2573" s="3">
        <v>259</v>
      </c>
      <c r="M2573" s="3">
        <v>4921</v>
      </c>
      <c r="N2573" s="3">
        <v>1780660</v>
      </c>
      <c r="O2573" s="2">
        <v>0.106</v>
      </c>
      <c r="P2573" s="2">
        <v>0.70700000000000007</v>
      </c>
      <c r="Q2573" s="2">
        <v>0.59200000000000008</v>
      </c>
      <c r="R2573" s="11">
        <v>465798544</v>
      </c>
      <c r="S2573" s="11">
        <v>1808677</v>
      </c>
      <c r="T2573">
        <v>2015</v>
      </c>
      <c r="U2573">
        <v>7</v>
      </c>
      <c r="V2573">
        <f t="shared" si="240"/>
        <v>1000000</v>
      </c>
      <c r="W2573">
        <f t="shared" si="241"/>
        <v>18429897</v>
      </c>
      <c r="X2573">
        <f t="shared" si="242"/>
        <v>17429897</v>
      </c>
      <c r="Y2573">
        <f t="shared" si="243"/>
        <v>-25144845.5</v>
      </c>
      <c r="Z2573">
        <f t="shared" si="244"/>
        <v>44574742.5</v>
      </c>
      <c r="AA2573" t="str">
        <f t="shared" si="245"/>
        <v>Normal</v>
      </c>
      <c r="AE2573" s="2"/>
      <c r="AF2573" s="2"/>
    </row>
    <row r="2574" spans="1:32" x14ac:dyDescent="0.35">
      <c r="A2574">
        <v>2573</v>
      </c>
      <c r="B2574" s="1">
        <v>42186</v>
      </c>
      <c r="C2574" s="9" t="s">
        <v>2863</v>
      </c>
      <c r="D2574" s="9" t="s">
        <v>5430</v>
      </c>
      <c r="E2574" s="9" t="s">
        <v>1111</v>
      </c>
      <c r="F2574" s="9" t="s">
        <v>27</v>
      </c>
      <c r="G2574" s="9" t="s">
        <v>4218</v>
      </c>
      <c r="H2574" s="9" t="s">
        <v>86</v>
      </c>
      <c r="I2574" s="11">
        <v>18429897</v>
      </c>
      <c r="J2574" s="11">
        <v>3869249</v>
      </c>
      <c r="K2574" s="11">
        <v>858999</v>
      </c>
      <c r="L2574" s="3">
        <v>108</v>
      </c>
      <c r="M2574" s="3">
        <v>3382</v>
      </c>
      <c r="N2574" s="3">
        <v>534974</v>
      </c>
      <c r="O2574" s="2">
        <v>-0.34399999999999997</v>
      </c>
      <c r="P2574" s="2">
        <v>0.27600000000000002</v>
      </c>
      <c r="Q2574" s="2">
        <v>0.11899999999999999</v>
      </c>
      <c r="R2574" s="11">
        <v>429577512</v>
      </c>
      <c r="S2574" s="11">
        <v>274715</v>
      </c>
      <c r="T2574">
        <v>2015</v>
      </c>
      <c r="U2574">
        <v>7</v>
      </c>
      <c r="V2574">
        <f t="shared" si="240"/>
        <v>1000000</v>
      </c>
      <c r="W2574">
        <f t="shared" si="241"/>
        <v>18429897</v>
      </c>
      <c r="X2574">
        <f t="shared" si="242"/>
        <v>17429897</v>
      </c>
      <c r="Y2574">
        <f t="shared" si="243"/>
        <v>-25144845.5</v>
      </c>
      <c r="Z2574">
        <f t="shared" si="244"/>
        <v>44574742.5</v>
      </c>
      <c r="AA2574" t="str">
        <f t="shared" si="245"/>
        <v>Normal</v>
      </c>
      <c r="AE2574" s="2"/>
      <c r="AF2574" s="2"/>
    </row>
    <row r="2575" spans="1:32" x14ac:dyDescent="0.35">
      <c r="A2575">
        <v>2574</v>
      </c>
      <c r="B2575" s="1">
        <v>42186</v>
      </c>
      <c r="C2575" s="9" t="s">
        <v>182</v>
      </c>
      <c r="D2575" s="9" t="s">
        <v>5295</v>
      </c>
      <c r="E2575" s="9" t="s">
        <v>1111</v>
      </c>
      <c r="F2575" s="9" t="s">
        <v>15</v>
      </c>
      <c r="G2575" s="9" t="s">
        <v>715</v>
      </c>
      <c r="H2575" s="9" t="s">
        <v>105</v>
      </c>
      <c r="I2575" s="11">
        <v>18429897</v>
      </c>
      <c r="J2575" s="11">
        <v>1659727</v>
      </c>
      <c r="K2575" s="11">
        <v>15720721</v>
      </c>
      <c r="L2575" s="3">
        <v>232</v>
      </c>
      <c r="M2575" s="3">
        <v>3180</v>
      </c>
      <c r="N2575" s="3">
        <v>1215664</v>
      </c>
      <c r="O2575" s="2">
        <v>7.8E-2</v>
      </c>
      <c r="P2575" s="2">
        <v>0.78</v>
      </c>
      <c r="Q2575" s="2">
        <v>0.28699999999999998</v>
      </c>
      <c r="R2575" s="11">
        <v>487656060</v>
      </c>
      <c r="S2575" s="11">
        <v>1807451</v>
      </c>
      <c r="T2575">
        <v>2015</v>
      </c>
      <c r="U2575">
        <v>7</v>
      </c>
      <c r="V2575">
        <f t="shared" si="240"/>
        <v>1000000</v>
      </c>
      <c r="W2575">
        <f t="shared" si="241"/>
        <v>18429897</v>
      </c>
      <c r="X2575">
        <f t="shared" si="242"/>
        <v>17429897</v>
      </c>
      <c r="Y2575">
        <f t="shared" si="243"/>
        <v>-25144845.5</v>
      </c>
      <c r="Z2575">
        <f t="shared" si="244"/>
        <v>44574742.5</v>
      </c>
      <c r="AA2575" t="str">
        <f t="shared" si="245"/>
        <v>Normal</v>
      </c>
      <c r="AE2575" s="2"/>
      <c r="AF2575" s="2"/>
    </row>
    <row r="2576" spans="1:32" x14ac:dyDescent="0.35">
      <c r="A2576">
        <v>2575</v>
      </c>
      <c r="B2576" s="1">
        <v>42186</v>
      </c>
      <c r="C2576" s="9" t="s">
        <v>4219</v>
      </c>
      <c r="D2576" s="9" t="s">
        <v>5431</v>
      </c>
      <c r="E2576" s="9" t="s">
        <v>1111</v>
      </c>
      <c r="F2576" s="9" t="s">
        <v>15</v>
      </c>
      <c r="G2576" s="9" t="s">
        <v>4220</v>
      </c>
      <c r="H2576" s="9" t="s">
        <v>105</v>
      </c>
      <c r="I2576" s="11">
        <v>13500000</v>
      </c>
      <c r="J2576" s="11">
        <v>1369225</v>
      </c>
      <c r="K2576" s="11">
        <v>15722085</v>
      </c>
      <c r="L2576" s="3">
        <v>5</v>
      </c>
      <c r="M2576" s="3">
        <v>3478</v>
      </c>
      <c r="N2576" s="3">
        <v>1231281</v>
      </c>
      <c r="O2576" s="2">
        <v>0.28899999999999998</v>
      </c>
      <c r="P2576" s="2">
        <v>1.18E-2</v>
      </c>
      <c r="Q2576" s="2">
        <v>-7.8E-2</v>
      </c>
      <c r="R2576" s="11">
        <v>68323937</v>
      </c>
      <c r="S2576" s="11">
        <v>997329</v>
      </c>
      <c r="T2576">
        <v>2015</v>
      </c>
      <c r="U2576">
        <v>7</v>
      </c>
      <c r="V2576">
        <f t="shared" si="240"/>
        <v>1000000</v>
      </c>
      <c r="W2576">
        <f t="shared" si="241"/>
        <v>18429897</v>
      </c>
      <c r="X2576">
        <f t="shared" si="242"/>
        <v>17429897</v>
      </c>
      <c r="Y2576">
        <f t="shared" si="243"/>
        <v>-25144845.5</v>
      </c>
      <c r="Z2576">
        <f t="shared" si="244"/>
        <v>44574742.5</v>
      </c>
      <c r="AA2576" t="str">
        <f t="shared" si="245"/>
        <v>Normal</v>
      </c>
      <c r="AE2576" s="2"/>
      <c r="AF2576" s="2"/>
    </row>
    <row r="2577" spans="1:32" x14ac:dyDescent="0.35">
      <c r="A2577">
        <v>2576</v>
      </c>
      <c r="B2577" s="1">
        <v>42187</v>
      </c>
      <c r="C2577" s="9" t="s">
        <v>4221</v>
      </c>
      <c r="D2577" s="9" t="s">
        <v>5432</v>
      </c>
      <c r="E2577" s="9" t="s">
        <v>1111</v>
      </c>
      <c r="F2577" s="9" t="s">
        <v>35</v>
      </c>
      <c r="G2577" s="9" t="s">
        <v>4222</v>
      </c>
      <c r="H2577" s="9" t="s">
        <v>105</v>
      </c>
      <c r="I2577" s="11">
        <v>60000000</v>
      </c>
      <c r="J2577" s="11">
        <v>2266211</v>
      </c>
      <c r="K2577" s="11">
        <v>12826778</v>
      </c>
      <c r="L2577" s="3">
        <v>252</v>
      </c>
      <c r="M2577" s="3">
        <v>3545</v>
      </c>
      <c r="N2577" s="3">
        <v>960185</v>
      </c>
      <c r="O2577" s="2">
        <v>0.19899999999999998</v>
      </c>
      <c r="P2577" s="2">
        <v>0.8</v>
      </c>
      <c r="Q2577" s="2">
        <v>-0.185</v>
      </c>
      <c r="R2577" s="11">
        <v>477004517</v>
      </c>
      <c r="S2577" s="11">
        <v>95042</v>
      </c>
      <c r="T2577">
        <v>2015</v>
      </c>
      <c r="U2577">
        <v>7</v>
      </c>
      <c r="V2577">
        <f t="shared" si="240"/>
        <v>1000000</v>
      </c>
      <c r="W2577">
        <f t="shared" si="241"/>
        <v>18429897</v>
      </c>
      <c r="X2577">
        <f t="shared" si="242"/>
        <v>17429897</v>
      </c>
      <c r="Y2577">
        <f t="shared" si="243"/>
        <v>-25144845.5</v>
      </c>
      <c r="Z2577">
        <f t="shared" si="244"/>
        <v>44574742.5</v>
      </c>
      <c r="AA2577" t="str">
        <f t="shared" si="245"/>
        <v>Outlier</v>
      </c>
      <c r="AE2577" s="2"/>
      <c r="AF2577" s="2"/>
    </row>
    <row r="2578" spans="1:32" x14ac:dyDescent="0.35">
      <c r="A2578">
        <v>2577</v>
      </c>
      <c r="B2578" s="1">
        <v>42187</v>
      </c>
      <c r="C2578" s="9" t="s">
        <v>4223</v>
      </c>
      <c r="D2578" s="9" t="s">
        <v>5433</v>
      </c>
      <c r="E2578" s="9" t="s">
        <v>1111</v>
      </c>
      <c r="F2578" s="9" t="s">
        <v>15</v>
      </c>
      <c r="G2578" s="9" t="s">
        <v>120</v>
      </c>
      <c r="H2578" s="9" t="s">
        <v>105</v>
      </c>
      <c r="I2578" s="11">
        <v>5000000</v>
      </c>
      <c r="J2578" s="11">
        <v>4847132</v>
      </c>
      <c r="K2578" s="11">
        <v>8146896</v>
      </c>
      <c r="L2578" s="3">
        <v>354</v>
      </c>
      <c r="M2578" s="3">
        <v>849</v>
      </c>
      <c r="N2578" s="3">
        <v>995326</v>
      </c>
      <c r="O2578" s="2">
        <v>0.13600000000000001</v>
      </c>
      <c r="P2578" s="2">
        <v>0.69400000000000006</v>
      </c>
      <c r="Q2578" s="2">
        <v>0.26600000000000001</v>
      </c>
      <c r="R2578" s="11">
        <v>289366011</v>
      </c>
      <c r="S2578" s="11">
        <v>1008193.5</v>
      </c>
      <c r="T2578">
        <v>2015</v>
      </c>
      <c r="U2578">
        <v>7</v>
      </c>
      <c r="V2578">
        <f t="shared" si="240"/>
        <v>975000</v>
      </c>
      <c r="W2578">
        <f t="shared" si="241"/>
        <v>18429897</v>
      </c>
      <c r="X2578">
        <f t="shared" si="242"/>
        <v>17454897</v>
      </c>
      <c r="Y2578">
        <f t="shared" si="243"/>
        <v>-25207345.5</v>
      </c>
      <c r="Z2578">
        <f t="shared" si="244"/>
        <v>44612242.5</v>
      </c>
      <c r="AA2578" t="str">
        <f t="shared" si="245"/>
        <v>Normal</v>
      </c>
      <c r="AE2578" s="2"/>
      <c r="AF2578" s="2"/>
    </row>
    <row r="2579" spans="1:32" x14ac:dyDescent="0.35">
      <c r="A2579">
        <v>2578</v>
      </c>
      <c r="B2579" s="1">
        <v>42187</v>
      </c>
      <c r="C2579" s="9" t="s">
        <v>1801</v>
      </c>
      <c r="D2579" s="9" t="s">
        <v>5311</v>
      </c>
      <c r="E2579" s="9" t="s">
        <v>1111</v>
      </c>
      <c r="F2579" s="9" t="s">
        <v>19</v>
      </c>
      <c r="G2579" s="9" t="s">
        <v>4224</v>
      </c>
      <c r="H2579" s="9" t="s">
        <v>86</v>
      </c>
      <c r="I2579" s="11">
        <v>161000</v>
      </c>
      <c r="J2579" s="11">
        <v>2848312</v>
      </c>
      <c r="K2579" s="11">
        <v>269244</v>
      </c>
      <c r="L2579" s="3">
        <v>394</v>
      </c>
      <c r="M2579" s="3">
        <v>1578</v>
      </c>
      <c r="N2579" s="3">
        <v>1376020</v>
      </c>
      <c r="O2579" s="2">
        <v>7.2999999999999995E-2</v>
      </c>
      <c r="P2579" s="2">
        <v>1.0669999999999999E-2</v>
      </c>
      <c r="Q2579" s="2">
        <v>0.16300000000000001</v>
      </c>
      <c r="R2579" s="11">
        <v>203957391</v>
      </c>
      <c r="S2579" s="11">
        <v>1001087</v>
      </c>
      <c r="T2579">
        <v>2015</v>
      </c>
      <c r="U2579">
        <v>7</v>
      </c>
      <c r="V2579">
        <f t="shared" si="240"/>
        <v>950000</v>
      </c>
      <c r="W2579">
        <f t="shared" si="241"/>
        <v>18429897</v>
      </c>
      <c r="X2579">
        <f t="shared" si="242"/>
        <v>17479897</v>
      </c>
      <c r="Y2579">
        <f t="shared" si="243"/>
        <v>-25269845.5</v>
      </c>
      <c r="Z2579">
        <f t="shared" si="244"/>
        <v>44649742.5</v>
      </c>
      <c r="AA2579" t="str">
        <f t="shared" si="245"/>
        <v>Normal</v>
      </c>
      <c r="AE2579" s="2"/>
      <c r="AF2579" s="2"/>
    </row>
    <row r="2580" spans="1:32" x14ac:dyDescent="0.35">
      <c r="A2580">
        <v>2579</v>
      </c>
      <c r="B2580" s="1">
        <v>42188</v>
      </c>
      <c r="C2580" s="9" t="s">
        <v>4225</v>
      </c>
      <c r="D2580" s="9" t="s">
        <v>5434</v>
      </c>
      <c r="E2580" s="9" t="s">
        <v>1111</v>
      </c>
      <c r="F2580" s="9" t="s">
        <v>294</v>
      </c>
      <c r="G2580" s="9" t="s">
        <v>322</v>
      </c>
      <c r="H2580" s="9" t="s">
        <v>105</v>
      </c>
      <c r="I2580" s="11">
        <v>6500000</v>
      </c>
      <c r="J2580" s="11">
        <v>1930791</v>
      </c>
      <c r="K2580" s="11">
        <v>14584287</v>
      </c>
      <c r="L2580" s="3">
        <v>333</v>
      </c>
      <c r="M2580" s="3">
        <v>999</v>
      </c>
      <c r="N2580" s="3">
        <v>478473</v>
      </c>
      <c r="O2580" s="2">
        <v>3.4000000000000002E-2</v>
      </c>
      <c r="P2580" s="2">
        <v>1.1639999999999999E-2</v>
      </c>
      <c r="Q2580" s="2">
        <v>0.35799999999999998</v>
      </c>
      <c r="R2580" s="11">
        <v>294837389</v>
      </c>
      <c r="S2580" s="11">
        <v>189001</v>
      </c>
      <c r="T2580">
        <v>2015</v>
      </c>
      <c r="U2580">
        <v>7</v>
      </c>
      <c r="V2580">
        <f t="shared" si="240"/>
        <v>1000000</v>
      </c>
      <c r="W2580">
        <f t="shared" si="241"/>
        <v>18429897</v>
      </c>
      <c r="X2580">
        <f t="shared" si="242"/>
        <v>17429897</v>
      </c>
      <c r="Y2580">
        <f t="shared" si="243"/>
        <v>-25144845.5</v>
      </c>
      <c r="Z2580">
        <f t="shared" si="244"/>
        <v>44574742.5</v>
      </c>
      <c r="AA2580" t="str">
        <f t="shared" si="245"/>
        <v>Normal</v>
      </c>
      <c r="AE2580" s="2"/>
      <c r="AF2580" s="2"/>
    </row>
    <row r="2581" spans="1:32" x14ac:dyDescent="0.35">
      <c r="A2581">
        <v>2580</v>
      </c>
      <c r="B2581" s="1">
        <v>42188</v>
      </c>
      <c r="C2581" s="9" t="s">
        <v>133</v>
      </c>
      <c r="D2581" s="9" t="s">
        <v>5435</v>
      </c>
      <c r="E2581" s="9" t="s">
        <v>1111</v>
      </c>
      <c r="F2581" s="9" t="s">
        <v>31</v>
      </c>
      <c r="G2581" s="9" t="s">
        <v>107</v>
      </c>
      <c r="H2581" s="9" t="s">
        <v>105</v>
      </c>
      <c r="I2581" s="11">
        <v>18429897</v>
      </c>
      <c r="J2581" s="11">
        <v>2319853</v>
      </c>
      <c r="K2581" s="11">
        <v>13235021</v>
      </c>
      <c r="L2581" s="3">
        <v>403</v>
      </c>
      <c r="M2581" s="3">
        <v>1098</v>
      </c>
      <c r="N2581" s="3">
        <v>359504</v>
      </c>
      <c r="O2581" s="2">
        <v>1.6E-2</v>
      </c>
      <c r="P2581" s="2">
        <v>1.101</v>
      </c>
      <c r="Q2581" s="2">
        <v>-0.122</v>
      </c>
      <c r="R2581" s="11">
        <v>127255255</v>
      </c>
      <c r="S2581" s="11">
        <v>1781105</v>
      </c>
      <c r="T2581">
        <v>2015</v>
      </c>
      <c r="U2581">
        <v>7</v>
      </c>
      <c r="V2581">
        <f t="shared" si="240"/>
        <v>1000000</v>
      </c>
      <c r="W2581">
        <f t="shared" si="241"/>
        <v>18429897</v>
      </c>
      <c r="X2581">
        <f t="shared" si="242"/>
        <v>17429897</v>
      </c>
      <c r="Y2581">
        <f t="shared" si="243"/>
        <v>-25144845.5</v>
      </c>
      <c r="Z2581">
        <f t="shared" si="244"/>
        <v>44574742.5</v>
      </c>
      <c r="AA2581" t="str">
        <f t="shared" si="245"/>
        <v>Normal</v>
      </c>
      <c r="AE2581" s="2"/>
      <c r="AF2581" s="2"/>
    </row>
    <row r="2582" spans="1:32" x14ac:dyDescent="0.35">
      <c r="A2582">
        <v>2581</v>
      </c>
      <c r="B2582" s="1">
        <v>42188</v>
      </c>
      <c r="C2582" s="9" t="s">
        <v>3251</v>
      </c>
      <c r="D2582" s="9" t="s">
        <v>5436</v>
      </c>
      <c r="E2582" s="9" t="s">
        <v>1111</v>
      </c>
      <c r="F2582" s="9" t="s">
        <v>408</v>
      </c>
      <c r="G2582" s="9" t="s">
        <v>4226</v>
      </c>
      <c r="H2582" s="9" t="s">
        <v>86</v>
      </c>
      <c r="I2582" s="11">
        <v>1000000</v>
      </c>
      <c r="J2582" s="11">
        <v>1470257</v>
      </c>
      <c r="K2582" s="11">
        <v>13386424</v>
      </c>
      <c r="L2582" s="3">
        <v>334</v>
      </c>
      <c r="M2582" s="3">
        <v>1080</v>
      </c>
      <c r="N2582" s="3">
        <v>1973508</v>
      </c>
      <c r="O2582" s="2">
        <v>0.16600000000000001</v>
      </c>
      <c r="P2582" s="2">
        <v>0.23699999999999999</v>
      </c>
      <c r="Q2582" s="2">
        <v>7.6999999999999999E-2</v>
      </c>
      <c r="R2582" s="11">
        <v>76615775</v>
      </c>
      <c r="S2582" s="11">
        <v>43386</v>
      </c>
      <c r="T2582">
        <v>2015</v>
      </c>
      <c r="U2582">
        <v>7</v>
      </c>
      <c r="V2582">
        <f t="shared" si="240"/>
        <v>975000</v>
      </c>
      <c r="W2582">
        <f t="shared" si="241"/>
        <v>18429897</v>
      </c>
      <c r="X2582">
        <f t="shared" si="242"/>
        <v>17454897</v>
      </c>
      <c r="Y2582">
        <f t="shared" si="243"/>
        <v>-25207345.5</v>
      </c>
      <c r="Z2582">
        <f t="shared" si="244"/>
        <v>44612242.5</v>
      </c>
      <c r="AA2582" t="str">
        <f t="shared" si="245"/>
        <v>Normal</v>
      </c>
      <c r="AE2582" s="2"/>
      <c r="AF2582" s="2"/>
    </row>
    <row r="2583" spans="1:32" x14ac:dyDescent="0.35">
      <c r="A2583">
        <v>2582</v>
      </c>
      <c r="B2583" s="1">
        <v>42189</v>
      </c>
      <c r="C2583" s="9" t="s">
        <v>1020</v>
      </c>
      <c r="D2583" s="9" t="s">
        <v>5437</v>
      </c>
      <c r="E2583" s="9" t="s">
        <v>1111</v>
      </c>
      <c r="F2583" s="9" t="s">
        <v>15</v>
      </c>
      <c r="G2583" s="9" t="s">
        <v>4227</v>
      </c>
      <c r="H2583" s="9" t="s">
        <v>86</v>
      </c>
      <c r="I2583" s="11">
        <v>18429897</v>
      </c>
      <c r="J2583" s="11">
        <v>2531926</v>
      </c>
      <c r="K2583" s="11">
        <v>3486223</v>
      </c>
      <c r="L2583" s="3">
        <v>391</v>
      </c>
      <c r="M2583" s="3">
        <v>3207</v>
      </c>
      <c r="N2583" s="3">
        <v>17420</v>
      </c>
      <c r="O2583" s="2">
        <v>-0.19</v>
      </c>
      <c r="P2583" s="2">
        <v>0.3</v>
      </c>
      <c r="Q2583" s="2">
        <v>-0.222</v>
      </c>
      <c r="R2583" s="11">
        <v>402116097</v>
      </c>
      <c r="S2583" s="11">
        <v>1587498</v>
      </c>
      <c r="T2583">
        <v>2015</v>
      </c>
      <c r="U2583">
        <v>7</v>
      </c>
      <c r="V2583">
        <f t="shared" si="240"/>
        <v>950000</v>
      </c>
      <c r="W2583">
        <f t="shared" si="241"/>
        <v>18429897</v>
      </c>
      <c r="X2583">
        <f t="shared" si="242"/>
        <v>17479897</v>
      </c>
      <c r="Y2583">
        <f t="shared" si="243"/>
        <v>-25269845.5</v>
      </c>
      <c r="Z2583">
        <f t="shared" si="244"/>
        <v>44649742.5</v>
      </c>
      <c r="AA2583" t="str">
        <f t="shared" si="245"/>
        <v>Normal</v>
      </c>
      <c r="AE2583" s="2"/>
      <c r="AF2583" s="2"/>
    </row>
    <row r="2584" spans="1:32" x14ac:dyDescent="0.35">
      <c r="A2584">
        <v>2583</v>
      </c>
      <c r="B2584" s="1">
        <v>42189</v>
      </c>
      <c r="C2584" s="9" t="s">
        <v>2608</v>
      </c>
      <c r="D2584" s="9" t="s">
        <v>5438</v>
      </c>
      <c r="E2584" s="9" t="s">
        <v>1111</v>
      </c>
      <c r="F2584" s="9" t="s">
        <v>31</v>
      </c>
      <c r="G2584" s="9" t="s">
        <v>4228</v>
      </c>
      <c r="H2584" s="9" t="s">
        <v>86</v>
      </c>
      <c r="I2584" s="11">
        <v>395000</v>
      </c>
      <c r="J2584" s="11">
        <v>1765115</v>
      </c>
      <c r="K2584" s="11">
        <v>14651257</v>
      </c>
      <c r="L2584" s="3">
        <v>221</v>
      </c>
      <c r="M2584" s="3">
        <v>2505.5</v>
      </c>
      <c r="N2584" s="3">
        <v>377835</v>
      </c>
      <c r="O2584" s="2">
        <v>0.41299999999999998</v>
      </c>
      <c r="P2584" s="2">
        <v>0.81499999999999995</v>
      </c>
      <c r="Q2584" s="2">
        <v>-2.4E-2</v>
      </c>
      <c r="R2584" s="11">
        <v>289652751</v>
      </c>
      <c r="S2584" s="11">
        <v>1745545</v>
      </c>
      <c r="T2584">
        <v>2015</v>
      </c>
      <c r="U2584">
        <v>7</v>
      </c>
      <c r="V2584">
        <f t="shared" si="240"/>
        <v>925000</v>
      </c>
      <c r="W2584">
        <f t="shared" si="241"/>
        <v>18429897</v>
      </c>
      <c r="X2584">
        <f t="shared" si="242"/>
        <v>17504897</v>
      </c>
      <c r="Y2584">
        <f t="shared" si="243"/>
        <v>-25332345.5</v>
      </c>
      <c r="Z2584">
        <f t="shared" si="244"/>
        <v>44687242.5</v>
      </c>
      <c r="AA2584" t="str">
        <f t="shared" si="245"/>
        <v>Normal</v>
      </c>
      <c r="AE2584" s="2"/>
      <c r="AF2584" s="2"/>
    </row>
    <row r="2585" spans="1:32" x14ac:dyDescent="0.35">
      <c r="A2585">
        <v>2584</v>
      </c>
      <c r="B2585" s="1">
        <v>42190</v>
      </c>
      <c r="C2585" s="9" t="s">
        <v>2652</v>
      </c>
      <c r="D2585" s="9" t="s">
        <v>5439</v>
      </c>
      <c r="E2585" s="9" t="s">
        <v>1111</v>
      </c>
      <c r="F2585" s="9" t="s">
        <v>15</v>
      </c>
      <c r="G2585" s="9" t="s">
        <v>4141</v>
      </c>
      <c r="H2585" s="9" t="s">
        <v>86</v>
      </c>
      <c r="I2585" s="11">
        <v>18429897</v>
      </c>
      <c r="J2585" s="11">
        <v>2780907</v>
      </c>
      <c r="K2585" s="11">
        <v>14517028</v>
      </c>
      <c r="L2585" s="3">
        <v>303</v>
      </c>
      <c r="M2585" s="3">
        <v>2817</v>
      </c>
      <c r="N2585" s="3">
        <v>1458870</v>
      </c>
      <c r="O2585" s="2">
        <v>-2.8000000000000001E-2</v>
      </c>
      <c r="P2585" s="2">
        <v>0.42700000000000005</v>
      </c>
      <c r="Q2585" s="2">
        <v>-0.26100000000000001</v>
      </c>
      <c r="R2585" s="11">
        <v>387903292</v>
      </c>
      <c r="S2585" s="11">
        <v>1762848</v>
      </c>
      <c r="T2585">
        <v>2015</v>
      </c>
      <c r="U2585">
        <v>7</v>
      </c>
      <c r="V2585">
        <f t="shared" si="240"/>
        <v>1000000</v>
      </c>
      <c r="W2585">
        <f t="shared" si="241"/>
        <v>18429897</v>
      </c>
      <c r="X2585">
        <f t="shared" si="242"/>
        <v>17429897</v>
      </c>
      <c r="Y2585">
        <f t="shared" si="243"/>
        <v>-25144845.5</v>
      </c>
      <c r="Z2585">
        <f t="shared" si="244"/>
        <v>44574742.5</v>
      </c>
      <c r="AA2585" t="str">
        <f t="shared" si="245"/>
        <v>Normal</v>
      </c>
      <c r="AE2585" s="2"/>
      <c r="AF2585" s="2"/>
    </row>
    <row r="2586" spans="1:32" x14ac:dyDescent="0.35">
      <c r="A2586">
        <v>2585</v>
      </c>
      <c r="B2586" s="1">
        <v>42191</v>
      </c>
      <c r="C2586" s="9" t="s">
        <v>4229</v>
      </c>
      <c r="D2586" s="9" t="s">
        <v>5440</v>
      </c>
      <c r="E2586" s="9" t="s">
        <v>1111</v>
      </c>
      <c r="F2586" s="9" t="s">
        <v>15</v>
      </c>
      <c r="G2586" s="9" t="s">
        <v>4230</v>
      </c>
      <c r="H2586" s="9" t="s">
        <v>86</v>
      </c>
      <c r="I2586" s="11">
        <v>18429897</v>
      </c>
      <c r="J2586" s="11">
        <v>1861694</v>
      </c>
      <c r="K2586" s="11">
        <v>17163894</v>
      </c>
      <c r="L2586" s="3">
        <v>321</v>
      </c>
      <c r="M2586" s="3">
        <v>127</v>
      </c>
      <c r="N2586" s="3">
        <v>1136746</v>
      </c>
      <c r="O2586" s="2">
        <v>0.23200000000000001</v>
      </c>
      <c r="P2586" s="2">
        <v>0.72099999999999997</v>
      </c>
      <c r="Q2586" s="2">
        <v>2.8999999999999998E-2</v>
      </c>
      <c r="R2586" s="11">
        <v>293159563</v>
      </c>
      <c r="S2586" s="11">
        <v>401851</v>
      </c>
      <c r="T2586">
        <v>2015</v>
      </c>
      <c r="U2586">
        <v>7</v>
      </c>
      <c r="V2586">
        <f t="shared" si="240"/>
        <v>975000</v>
      </c>
      <c r="W2586">
        <f t="shared" si="241"/>
        <v>18429897</v>
      </c>
      <c r="X2586">
        <f t="shared" si="242"/>
        <v>17454897</v>
      </c>
      <c r="Y2586">
        <f t="shared" si="243"/>
        <v>-25207345.5</v>
      </c>
      <c r="Z2586">
        <f t="shared" si="244"/>
        <v>44612242.5</v>
      </c>
      <c r="AA2586" t="str">
        <f t="shared" si="245"/>
        <v>Normal</v>
      </c>
      <c r="AE2586" s="2"/>
      <c r="AF2586" s="2"/>
    </row>
    <row r="2587" spans="1:32" x14ac:dyDescent="0.35">
      <c r="A2587">
        <v>2586</v>
      </c>
      <c r="B2587" s="1">
        <v>42191</v>
      </c>
      <c r="C2587" s="9" t="s">
        <v>4231</v>
      </c>
      <c r="D2587" s="9" t="s">
        <v>5441</v>
      </c>
      <c r="E2587" s="9" t="s">
        <v>1111</v>
      </c>
      <c r="F2587" s="9" t="s">
        <v>19</v>
      </c>
      <c r="G2587" s="9" t="s">
        <v>4232</v>
      </c>
      <c r="H2587" s="9" t="s">
        <v>105</v>
      </c>
      <c r="I2587" s="11">
        <v>30000000</v>
      </c>
      <c r="J2587" s="11">
        <v>1617163</v>
      </c>
      <c r="K2587" s="11">
        <v>11390039</v>
      </c>
      <c r="L2587" s="3">
        <v>288</v>
      </c>
      <c r="M2587" s="3">
        <v>3476</v>
      </c>
      <c r="N2587" s="3">
        <v>644492</v>
      </c>
      <c r="O2587" s="2">
        <v>0.13600000000000001</v>
      </c>
      <c r="P2587" s="2">
        <v>1.0390000000000001</v>
      </c>
      <c r="Q2587" s="2">
        <v>0.42700000000000005</v>
      </c>
      <c r="R2587" s="11">
        <v>93367322</v>
      </c>
      <c r="S2587" s="11">
        <v>1434046</v>
      </c>
      <c r="T2587">
        <v>2015</v>
      </c>
      <c r="U2587">
        <v>7</v>
      </c>
      <c r="V2587">
        <f t="shared" si="240"/>
        <v>950000</v>
      </c>
      <c r="W2587">
        <f t="shared" si="241"/>
        <v>18429897</v>
      </c>
      <c r="X2587">
        <f t="shared" si="242"/>
        <v>17479897</v>
      </c>
      <c r="Y2587">
        <f t="shared" si="243"/>
        <v>-25269845.5</v>
      </c>
      <c r="Z2587">
        <f t="shared" si="244"/>
        <v>44649742.5</v>
      </c>
      <c r="AA2587" t="str">
        <f t="shared" si="245"/>
        <v>Normal</v>
      </c>
      <c r="AE2587" s="2"/>
      <c r="AF2587" s="2"/>
    </row>
    <row r="2588" spans="1:32" x14ac:dyDescent="0.35">
      <c r="A2588">
        <v>2587</v>
      </c>
      <c r="B2588" s="1">
        <v>42191</v>
      </c>
      <c r="C2588" s="9" t="s">
        <v>4233</v>
      </c>
      <c r="D2588" s="9" t="s">
        <v>5442</v>
      </c>
      <c r="E2588" s="9" t="s">
        <v>1111</v>
      </c>
      <c r="F2588" s="9" t="s">
        <v>307</v>
      </c>
      <c r="G2588" s="9" t="s">
        <v>4234</v>
      </c>
      <c r="H2588" s="9" t="s">
        <v>86</v>
      </c>
      <c r="I2588" s="11">
        <v>18429897</v>
      </c>
      <c r="J2588" s="11">
        <v>4851773</v>
      </c>
      <c r="K2588" s="11">
        <v>14657707</v>
      </c>
      <c r="L2588" s="3">
        <v>287</v>
      </c>
      <c r="M2588" s="3">
        <v>2728</v>
      </c>
      <c r="N2588" s="3">
        <v>231856</v>
      </c>
      <c r="O2588" s="2">
        <v>-0.111</v>
      </c>
      <c r="P2588" s="2">
        <v>1.1379999999999999</v>
      </c>
      <c r="Q2588" s="2">
        <v>-0.115</v>
      </c>
      <c r="R2588" s="11">
        <v>293730899</v>
      </c>
      <c r="S2588" s="11">
        <v>1433931</v>
      </c>
      <c r="T2588">
        <v>2015</v>
      </c>
      <c r="U2588">
        <v>7</v>
      </c>
      <c r="V2588">
        <f t="shared" si="240"/>
        <v>925000</v>
      </c>
      <c r="W2588">
        <f t="shared" si="241"/>
        <v>18429897</v>
      </c>
      <c r="X2588">
        <f t="shared" si="242"/>
        <v>17504897</v>
      </c>
      <c r="Y2588">
        <f t="shared" si="243"/>
        <v>-25332345.5</v>
      </c>
      <c r="Z2588">
        <f t="shared" si="244"/>
        <v>44687242.5</v>
      </c>
      <c r="AA2588" t="str">
        <f t="shared" si="245"/>
        <v>Normal</v>
      </c>
      <c r="AE2588" s="2"/>
      <c r="AF2588" s="2"/>
    </row>
    <row r="2589" spans="1:32" x14ac:dyDescent="0.35">
      <c r="A2589">
        <v>2588</v>
      </c>
      <c r="B2589" s="1">
        <v>42192</v>
      </c>
      <c r="C2589" s="9" t="s">
        <v>4235</v>
      </c>
      <c r="D2589" s="9" t="s">
        <v>5443</v>
      </c>
      <c r="E2589" s="9" t="s">
        <v>1111</v>
      </c>
      <c r="F2589" s="9" t="s">
        <v>19</v>
      </c>
      <c r="G2589" s="9" t="s">
        <v>4236</v>
      </c>
      <c r="H2589" s="9" t="s">
        <v>105</v>
      </c>
      <c r="I2589" s="11">
        <v>3000000</v>
      </c>
      <c r="J2589" s="11">
        <v>1741739</v>
      </c>
      <c r="K2589" s="11">
        <v>8089505</v>
      </c>
      <c r="L2589" s="3">
        <v>392</v>
      </c>
      <c r="M2589" s="3">
        <v>3897</v>
      </c>
      <c r="N2589" s="3">
        <v>733855</v>
      </c>
      <c r="O2589" s="2">
        <v>0.379</v>
      </c>
      <c r="P2589" s="2">
        <v>0.53400000000000003</v>
      </c>
      <c r="Q2589" s="2">
        <v>0.36749999999999999</v>
      </c>
      <c r="R2589" s="11">
        <v>1475906</v>
      </c>
      <c r="S2589" s="11">
        <v>1704871</v>
      </c>
      <c r="T2589">
        <v>2015</v>
      </c>
      <c r="U2589">
        <v>7</v>
      </c>
      <c r="V2589">
        <f t="shared" si="240"/>
        <v>900000</v>
      </c>
      <c r="W2589">
        <f t="shared" si="241"/>
        <v>18429897</v>
      </c>
      <c r="X2589">
        <f t="shared" si="242"/>
        <v>17529897</v>
      </c>
      <c r="Y2589">
        <f t="shared" si="243"/>
        <v>-25394845.5</v>
      </c>
      <c r="Z2589">
        <f t="shared" si="244"/>
        <v>44724742.5</v>
      </c>
      <c r="AA2589" t="str">
        <f t="shared" si="245"/>
        <v>Normal</v>
      </c>
      <c r="AE2589" s="2"/>
      <c r="AF2589" s="2"/>
    </row>
    <row r="2590" spans="1:32" x14ac:dyDescent="0.35">
      <c r="A2590">
        <v>2589</v>
      </c>
      <c r="B2590" s="1">
        <v>42192</v>
      </c>
      <c r="C2590" s="9" t="s">
        <v>4237</v>
      </c>
      <c r="D2590" s="9" t="s">
        <v>5444</v>
      </c>
      <c r="E2590" s="9" t="s">
        <v>1111</v>
      </c>
      <c r="F2590" s="9" t="s">
        <v>27</v>
      </c>
      <c r="G2590" s="9" t="s">
        <v>4238</v>
      </c>
      <c r="H2590" s="9" t="s">
        <v>105</v>
      </c>
      <c r="I2590" s="11">
        <v>5000000</v>
      </c>
      <c r="J2590" s="11">
        <v>371191</v>
      </c>
      <c r="K2590" s="11">
        <v>13963820</v>
      </c>
      <c r="L2590" s="3">
        <v>123</v>
      </c>
      <c r="M2590" s="3">
        <v>1917</v>
      </c>
      <c r="N2590" s="3">
        <v>1018455</v>
      </c>
      <c r="O2590" s="2">
        <v>0.33600000000000002</v>
      </c>
      <c r="P2590" s="2">
        <v>1.0490000000000002</v>
      </c>
      <c r="Q2590" s="2">
        <v>5.7999999999999996E-2</v>
      </c>
      <c r="R2590" s="11">
        <v>89563866</v>
      </c>
      <c r="S2590" s="11">
        <v>1530815</v>
      </c>
      <c r="T2590">
        <v>2015</v>
      </c>
      <c r="U2590">
        <v>7</v>
      </c>
      <c r="V2590">
        <f t="shared" si="240"/>
        <v>881250</v>
      </c>
      <c r="W2590">
        <f t="shared" si="241"/>
        <v>18429897</v>
      </c>
      <c r="X2590">
        <f t="shared" si="242"/>
        <v>17548647</v>
      </c>
      <c r="Y2590">
        <f t="shared" si="243"/>
        <v>-25441720.5</v>
      </c>
      <c r="Z2590">
        <f t="shared" si="244"/>
        <v>44752867.5</v>
      </c>
      <c r="AA2590" t="str">
        <f t="shared" si="245"/>
        <v>Normal</v>
      </c>
      <c r="AE2590" s="2"/>
      <c r="AF2590" s="2"/>
    </row>
    <row r="2591" spans="1:32" x14ac:dyDescent="0.35">
      <c r="A2591">
        <v>2590</v>
      </c>
      <c r="B2591" s="1">
        <v>42192</v>
      </c>
      <c r="C2591" s="9" t="s">
        <v>4239</v>
      </c>
      <c r="D2591" s="9" t="s">
        <v>5267</v>
      </c>
      <c r="E2591" s="9" t="s">
        <v>1111</v>
      </c>
      <c r="F2591" s="9" t="s">
        <v>15</v>
      </c>
      <c r="G2591" s="9" t="s">
        <v>4240</v>
      </c>
      <c r="H2591" s="9" t="s">
        <v>86</v>
      </c>
      <c r="I2591" s="11">
        <v>18429897</v>
      </c>
      <c r="J2591" s="11">
        <v>1905392</v>
      </c>
      <c r="K2591" s="11">
        <v>13911921</v>
      </c>
      <c r="L2591" s="3">
        <v>161</v>
      </c>
      <c r="M2591" s="3">
        <v>2171</v>
      </c>
      <c r="N2591" s="3">
        <v>1107245</v>
      </c>
      <c r="O2591" s="2">
        <v>-0.19399999999999998</v>
      </c>
      <c r="P2591" s="2">
        <v>0.70400000000000007</v>
      </c>
      <c r="Q2591" s="2">
        <v>5.4000000000000006E-2</v>
      </c>
      <c r="R2591" s="11">
        <v>290088938</v>
      </c>
      <c r="S2591" s="11">
        <v>129495</v>
      </c>
      <c r="T2591">
        <v>2015</v>
      </c>
      <c r="U2591">
        <v>7</v>
      </c>
      <c r="V2591">
        <f t="shared" si="240"/>
        <v>862500</v>
      </c>
      <c r="W2591">
        <f t="shared" si="241"/>
        <v>18429897</v>
      </c>
      <c r="X2591">
        <f t="shared" si="242"/>
        <v>17567397</v>
      </c>
      <c r="Y2591">
        <f t="shared" si="243"/>
        <v>-25488595.5</v>
      </c>
      <c r="Z2591">
        <f t="shared" si="244"/>
        <v>44780992.5</v>
      </c>
      <c r="AA2591" t="str">
        <f t="shared" si="245"/>
        <v>Normal</v>
      </c>
      <c r="AE2591" s="2"/>
      <c r="AF2591" s="2"/>
    </row>
    <row r="2592" spans="1:32" x14ac:dyDescent="0.35">
      <c r="A2592">
        <v>2591</v>
      </c>
      <c r="B2592" s="1">
        <v>42192</v>
      </c>
      <c r="C2592" s="9" t="s">
        <v>3793</v>
      </c>
      <c r="D2592" s="9" t="s">
        <v>4984</v>
      </c>
      <c r="E2592" s="9" t="s">
        <v>1111</v>
      </c>
      <c r="F2592" s="9" t="s">
        <v>27</v>
      </c>
      <c r="G2592" s="9" t="s">
        <v>4241</v>
      </c>
      <c r="H2592" s="9" t="s">
        <v>105</v>
      </c>
      <c r="I2592" s="11">
        <v>18429897</v>
      </c>
      <c r="J2592" s="11">
        <v>2670077</v>
      </c>
      <c r="K2592" s="11">
        <v>15613842</v>
      </c>
      <c r="L2592" s="3">
        <v>261</v>
      </c>
      <c r="M2592" s="3">
        <v>3313</v>
      </c>
      <c r="N2592" s="3">
        <v>975794</v>
      </c>
      <c r="O2592" s="2">
        <v>0.105</v>
      </c>
      <c r="P2592" s="2">
        <v>0.8590000000000001</v>
      </c>
      <c r="Q2592" s="2">
        <v>0.29299999999999998</v>
      </c>
      <c r="R2592" s="11">
        <v>195309305</v>
      </c>
      <c r="S2592" s="11">
        <v>1320956</v>
      </c>
      <c r="T2592">
        <v>2015</v>
      </c>
      <c r="U2592">
        <v>7</v>
      </c>
      <c r="V2592">
        <f t="shared" si="240"/>
        <v>843750</v>
      </c>
      <c r="W2592">
        <f t="shared" si="241"/>
        <v>18429897</v>
      </c>
      <c r="X2592">
        <f t="shared" si="242"/>
        <v>17586147</v>
      </c>
      <c r="Y2592">
        <f t="shared" si="243"/>
        <v>-25535470.5</v>
      </c>
      <c r="Z2592">
        <f t="shared" si="244"/>
        <v>44809117.5</v>
      </c>
      <c r="AA2592" t="str">
        <f t="shared" si="245"/>
        <v>Normal</v>
      </c>
      <c r="AE2592" s="2"/>
      <c r="AF2592" s="2"/>
    </row>
    <row r="2593" spans="1:32" x14ac:dyDescent="0.35">
      <c r="A2593">
        <v>2592</v>
      </c>
      <c r="B2593" s="1">
        <v>42193</v>
      </c>
      <c r="C2593" s="9" t="s">
        <v>4242</v>
      </c>
      <c r="D2593" s="9" t="s">
        <v>5445</v>
      </c>
      <c r="E2593" s="9" t="s">
        <v>1111</v>
      </c>
      <c r="F2593" s="9" t="s">
        <v>41</v>
      </c>
      <c r="G2593" s="9" t="s">
        <v>4243</v>
      </c>
      <c r="H2593" s="9" t="s">
        <v>86</v>
      </c>
      <c r="I2593" s="11">
        <v>18429897</v>
      </c>
      <c r="J2593" s="11">
        <v>491306</v>
      </c>
      <c r="K2593" s="11">
        <v>10153449</v>
      </c>
      <c r="L2593" s="3">
        <v>324</v>
      </c>
      <c r="M2593" s="3">
        <v>2505.5</v>
      </c>
      <c r="N2593" s="3">
        <v>1839550</v>
      </c>
      <c r="O2593" s="2">
        <v>1.6E-2</v>
      </c>
      <c r="P2593" s="2">
        <v>0.32500000000000001</v>
      </c>
      <c r="Q2593" s="2">
        <v>-0.22500000000000001</v>
      </c>
      <c r="R2593" s="11">
        <v>227279963</v>
      </c>
      <c r="S2593" s="11">
        <v>403506</v>
      </c>
      <c r="T2593">
        <v>2015</v>
      </c>
      <c r="U2593">
        <v>7</v>
      </c>
      <c r="V2593">
        <f t="shared" si="240"/>
        <v>825000</v>
      </c>
      <c r="W2593">
        <f t="shared" si="241"/>
        <v>18429897</v>
      </c>
      <c r="X2593">
        <f t="shared" si="242"/>
        <v>17604897</v>
      </c>
      <c r="Y2593">
        <f t="shared" si="243"/>
        <v>-25582345.5</v>
      </c>
      <c r="Z2593">
        <f t="shared" si="244"/>
        <v>44837242.5</v>
      </c>
      <c r="AA2593" t="str">
        <f t="shared" si="245"/>
        <v>Normal</v>
      </c>
      <c r="AE2593" s="2"/>
      <c r="AF2593" s="2"/>
    </row>
    <row r="2594" spans="1:32" x14ac:dyDescent="0.35">
      <c r="A2594">
        <v>2593</v>
      </c>
      <c r="B2594" s="1">
        <v>42193</v>
      </c>
      <c r="C2594" s="9" t="s">
        <v>2777</v>
      </c>
      <c r="D2594" s="9" t="s">
        <v>5446</v>
      </c>
      <c r="E2594" s="9" t="s">
        <v>1111</v>
      </c>
      <c r="F2594" s="9" t="s">
        <v>31</v>
      </c>
      <c r="G2594" s="9" t="s">
        <v>4244</v>
      </c>
      <c r="H2594" s="9" t="s">
        <v>105</v>
      </c>
      <c r="I2594" s="11">
        <v>100000000</v>
      </c>
      <c r="J2594" s="11">
        <v>1542308</v>
      </c>
      <c r="K2594" s="11">
        <v>1000000000</v>
      </c>
      <c r="L2594" s="3">
        <v>259</v>
      </c>
      <c r="M2594" s="3">
        <v>1141</v>
      </c>
      <c r="N2594" s="3">
        <v>1609419</v>
      </c>
      <c r="O2594" s="2">
        <v>-0.29399999999999998</v>
      </c>
      <c r="P2594" s="2">
        <v>0.26300000000000001</v>
      </c>
      <c r="Q2594" s="2">
        <v>-0.52600000000000002</v>
      </c>
      <c r="R2594" s="11">
        <v>328638350</v>
      </c>
      <c r="S2594" s="11">
        <v>150577</v>
      </c>
      <c r="T2594">
        <v>2015</v>
      </c>
      <c r="U2594">
        <v>7</v>
      </c>
      <c r="V2594">
        <f t="shared" si="240"/>
        <v>818750</v>
      </c>
      <c r="W2594">
        <f t="shared" si="241"/>
        <v>18429897</v>
      </c>
      <c r="X2594">
        <f t="shared" si="242"/>
        <v>17611147</v>
      </c>
      <c r="Y2594">
        <f t="shared" si="243"/>
        <v>-25597970.5</v>
      </c>
      <c r="Z2594">
        <f t="shared" si="244"/>
        <v>44846617.5</v>
      </c>
      <c r="AA2594" t="str">
        <f t="shared" si="245"/>
        <v>Outlier</v>
      </c>
      <c r="AE2594" s="2"/>
      <c r="AF2594" s="2"/>
    </row>
    <row r="2595" spans="1:32" x14ac:dyDescent="0.35">
      <c r="A2595">
        <v>2594</v>
      </c>
      <c r="B2595" s="1">
        <v>42193</v>
      </c>
      <c r="C2595" s="9" t="s">
        <v>1659</v>
      </c>
      <c r="D2595" s="9" t="s">
        <v>5447</v>
      </c>
      <c r="E2595" s="9" t="s">
        <v>1111</v>
      </c>
      <c r="F2595" s="9" t="s">
        <v>4245</v>
      </c>
      <c r="G2595" s="9" t="s">
        <v>4246</v>
      </c>
      <c r="H2595" s="9" t="s">
        <v>105</v>
      </c>
      <c r="I2595" s="11">
        <v>11000000</v>
      </c>
      <c r="J2595" s="11">
        <v>846991</v>
      </c>
      <c r="K2595" s="11">
        <v>15596999</v>
      </c>
      <c r="L2595" s="3">
        <v>103</v>
      </c>
      <c r="M2595" s="3">
        <v>2953</v>
      </c>
      <c r="N2595" s="3">
        <v>939615</v>
      </c>
      <c r="O2595" s="2">
        <v>-0.30399999999999999</v>
      </c>
      <c r="P2595" s="2">
        <v>0.98</v>
      </c>
      <c r="Q2595" s="2">
        <v>0.11599999999999999</v>
      </c>
      <c r="R2595" s="11">
        <v>29575150</v>
      </c>
      <c r="S2595" s="11">
        <v>1450423</v>
      </c>
      <c r="T2595">
        <v>2015</v>
      </c>
      <c r="U2595">
        <v>7</v>
      </c>
      <c r="V2595">
        <f t="shared" si="240"/>
        <v>812500</v>
      </c>
      <c r="W2595">
        <f t="shared" si="241"/>
        <v>18429897</v>
      </c>
      <c r="X2595">
        <f t="shared" si="242"/>
        <v>17617397</v>
      </c>
      <c r="Y2595">
        <f t="shared" si="243"/>
        <v>-25613595.5</v>
      </c>
      <c r="Z2595">
        <f t="shared" si="244"/>
        <v>44855992.5</v>
      </c>
      <c r="AA2595" t="str">
        <f t="shared" si="245"/>
        <v>Normal</v>
      </c>
      <c r="AE2595" s="2"/>
      <c r="AF2595" s="2"/>
    </row>
    <row r="2596" spans="1:32" x14ac:dyDescent="0.35">
      <c r="A2596">
        <v>2595</v>
      </c>
      <c r="B2596" s="1">
        <v>42193</v>
      </c>
      <c r="C2596" s="9" t="s">
        <v>4247</v>
      </c>
      <c r="D2596" s="9" t="s">
        <v>5447</v>
      </c>
      <c r="E2596" s="9" t="s">
        <v>1111</v>
      </c>
      <c r="F2596" s="9" t="s">
        <v>4921</v>
      </c>
      <c r="G2596" s="9" t="s">
        <v>4248</v>
      </c>
      <c r="H2596" s="9" t="s">
        <v>105</v>
      </c>
      <c r="I2596" s="11">
        <v>30000000</v>
      </c>
      <c r="J2596" s="11">
        <v>2513228</v>
      </c>
      <c r="K2596" s="11">
        <v>15870393</v>
      </c>
      <c r="L2596" s="3">
        <v>412</v>
      </c>
      <c r="M2596" s="3">
        <v>4807</v>
      </c>
      <c r="N2596" s="3">
        <v>1062676</v>
      </c>
      <c r="O2596" s="2">
        <v>-4.7E-2</v>
      </c>
      <c r="P2596" s="2">
        <v>0.79799999999999993</v>
      </c>
      <c r="Q2596" s="2">
        <v>0.52300000000000002</v>
      </c>
      <c r="R2596" s="11">
        <v>474616654</v>
      </c>
      <c r="S2596" s="11">
        <v>840387</v>
      </c>
      <c r="T2596">
        <v>2015</v>
      </c>
      <c r="U2596">
        <v>7</v>
      </c>
      <c r="V2596">
        <f t="shared" si="240"/>
        <v>806250</v>
      </c>
      <c r="W2596">
        <f t="shared" si="241"/>
        <v>18429897</v>
      </c>
      <c r="X2596">
        <f t="shared" si="242"/>
        <v>17623647</v>
      </c>
      <c r="Y2596">
        <f t="shared" si="243"/>
        <v>-25629220.5</v>
      </c>
      <c r="Z2596">
        <f t="shared" si="244"/>
        <v>44865367.5</v>
      </c>
      <c r="AA2596" t="str">
        <f t="shared" si="245"/>
        <v>Normal</v>
      </c>
      <c r="AE2596" s="2"/>
      <c r="AF2596" s="2"/>
    </row>
    <row r="2597" spans="1:32" x14ac:dyDescent="0.35">
      <c r="A2597">
        <v>2596</v>
      </c>
      <c r="B2597" s="1">
        <v>42193</v>
      </c>
      <c r="C2597" s="9" t="s">
        <v>4249</v>
      </c>
      <c r="D2597" s="9" t="s">
        <v>5448</v>
      </c>
      <c r="E2597" s="9" t="s">
        <v>1111</v>
      </c>
      <c r="F2597" s="9" t="s">
        <v>2911</v>
      </c>
      <c r="G2597" s="9" t="s">
        <v>58</v>
      </c>
      <c r="H2597" s="9" t="s">
        <v>86</v>
      </c>
      <c r="I2597" s="11">
        <v>20000</v>
      </c>
      <c r="J2597" s="11">
        <v>3621106</v>
      </c>
      <c r="K2597" s="11">
        <v>10953047</v>
      </c>
      <c r="L2597" s="3">
        <v>275</v>
      </c>
      <c r="M2597" s="3">
        <v>369</v>
      </c>
      <c r="N2597" s="3">
        <v>1378676</v>
      </c>
      <c r="O2597" s="2">
        <v>-0.14300000000000002</v>
      </c>
      <c r="P2597" s="2">
        <v>1.0240000000000001E-2</v>
      </c>
      <c r="Q2597" s="2">
        <v>5.1999999999999998E-2</v>
      </c>
      <c r="R2597" s="11">
        <v>208336754</v>
      </c>
      <c r="S2597" s="11">
        <v>1629613</v>
      </c>
      <c r="T2597">
        <v>2015</v>
      </c>
      <c r="U2597">
        <v>7</v>
      </c>
      <c r="V2597">
        <f t="shared" si="240"/>
        <v>800000</v>
      </c>
      <c r="W2597">
        <f t="shared" si="241"/>
        <v>18429897</v>
      </c>
      <c r="X2597">
        <f t="shared" si="242"/>
        <v>17629897</v>
      </c>
      <c r="Y2597">
        <f t="shared" si="243"/>
        <v>-25644845.5</v>
      </c>
      <c r="Z2597">
        <f t="shared" si="244"/>
        <v>44874742.5</v>
      </c>
      <c r="AA2597" t="str">
        <f t="shared" si="245"/>
        <v>Normal</v>
      </c>
      <c r="AE2597" s="2"/>
      <c r="AF2597" s="2"/>
    </row>
    <row r="2598" spans="1:32" x14ac:dyDescent="0.35">
      <c r="A2598">
        <v>2597</v>
      </c>
      <c r="B2598" s="1">
        <v>42193</v>
      </c>
      <c r="C2598" s="9" t="s">
        <v>4250</v>
      </c>
      <c r="D2598" s="9" t="s">
        <v>5449</v>
      </c>
      <c r="E2598" s="9" t="s">
        <v>1111</v>
      </c>
      <c r="F2598" s="9" t="s">
        <v>601</v>
      </c>
      <c r="G2598" s="9" t="s">
        <v>715</v>
      </c>
      <c r="H2598" s="9" t="s">
        <v>86</v>
      </c>
      <c r="I2598" s="11">
        <v>18429897</v>
      </c>
      <c r="J2598" s="11">
        <v>4843031</v>
      </c>
      <c r="K2598" s="11">
        <v>10440646</v>
      </c>
      <c r="L2598" s="3">
        <v>219</v>
      </c>
      <c r="M2598" s="3">
        <v>1689</v>
      </c>
      <c r="N2598" s="3">
        <v>587331</v>
      </c>
      <c r="O2598" s="2">
        <v>-8.900000000000001E-2</v>
      </c>
      <c r="P2598" s="2">
        <v>0.316</v>
      </c>
      <c r="Q2598" s="2">
        <v>0.19899999999999998</v>
      </c>
      <c r="R2598" s="11">
        <v>41469005</v>
      </c>
      <c r="S2598" s="11">
        <v>1460853</v>
      </c>
      <c r="T2598">
        <v>2015</v>
      </c>
      <c r="U2598">
        <v>7</v>
      </c>
      <c r="V2598">
        <f t="shared" si="240"/>
        <v>818750</v>
      </c>
      <c r="W2598">
        <f t="shared" si="241"/>
        <v>18429897</v>
      </c>
      <c r="X2598">
        <f t="shared" si="242"/>
        <v>17611147</v>
      </c>
      <c r="Y2598">
        <f t="shared" si="243"/>
        <v>-25597970.5</v>
      </c>
      <c r="Z2598">
        <f t="shared" si="244"/>
        <v>44846617.5</v>
      </c>
      <c r="AA2598" t="str">
        <f t="shared" si="245"/>
        <v>Normal</v>
      </c>
      <c r="AE2598" s="2"/>
      <c r="AF2598" s="2"/>
    </row>
    <row r="2599" spans="1:32" x14ac:dyDescent="0.35">
      <c r="A2599">
        <v>2598</v>
      </c>
      <c r="B2599" s="1">
        <v>42193</v>
      </c>
      <c r="C2599" s="9" t="s">
        <v>4251</v>
      </c>
      <c r="D2599" s="9" t="s">
        <v>5450</v>
      </c>
      <c r="E2599" s="9" t="s">
        <v>1111</v>
      </c>
      <c r="F2599" s="9" t="s">
        <v>31</v>
      </c>
      <c r="G2599" s="9" t="s">
        <v>4252</v>
      </c>
      <c r="H2599" s="9" t="s">
        <v>86</v>
      </c>
      <c r="I2599" s="11">
        <v>470000</v>
      </c>
      <c r="J2599" s="11">
        <v>1957701</v>
      </c>
      <c r="K2599" s="11">
        <v>14481616</v>
      </c>
      <c r="L2599" s="3">
        <v>439</v>
      </c>
      <c r="M2599" s="3">
        <v>2691</v>
      </c>
      <c r="N2599" s="3">
        <v>1201950</v>
      </c>
      <c r="O2599" s="2">
        <v>-0.14300000000000002</v>
      </c>
      <c r="P2599" s="2">
        <v>0.372</v>
      </c>
      <c r="Q2599" s="2">
        <v>0.08</v>
      </c>
      <c r="R2599" s="11">
        <v>333935057</v>
      </c>
      <c r="S2599" s="11">
        <v>373955</v>
      </c>
      <c r="T2599">
        <v>2015</v>
      </c>
      <c r="U2599">
        <v>7</v>
      </c>
      <c r="V2599">
        <f t="shared" si="240"/>
        <v>812500</v>
      </c>
      <c r="W2599">
        <f t="shared" si="241"/>
        <v>18429897</v>
      </c>
      <c r="X2599">
        <f t="shared" si="242"/>
        <v>17617397</v>
      </c>
      <c r="Y2599">
        <f t="shared" si="243"/>
        <v>-25613595.5</v>
      </c>
      <c r="Z2599">
        <f t="shared" si="244"/>
        <v>44855992.5</v>
      </c>
      <c r="AA2599" t="str">
        <f t="shared" si="245"/>
        <v>Normal</v>
      </c>
      <c r="AE2599" s="2"/>
      <c r="AF2599" s="2"/>
    </row>
    <row r="2600" spans="1:32" x14ac:dyDescent="0.35">
      <c r="A2600">
        <v>2599</v>
      </c>
      <c r="B2600" s="1">
        <v>42193</v>
      </c>
      <c r="C2600" s="9" t="s">
        <v>4253</v>
      </c>
      <c r="D2600" s="9" t="s">
        <v>5451</v>
      </c>
      <c r="E2600" s="9" t="s">
        <v>1111</v>
      </c>
      <c r="F2600" s="9" t="s">
        <v>15</v>
      </c>
      <c r="G2600" s="9" t="s">
        <v>853</v>
      </c>
      <c r="H2600" s="9" t="s">
        <v>105</v>
      </c>
      <c r="I2600" s="11">
        <v>7500000</v>
      </c>
      <c r="J2600" s="11">
        <v>4319027</v>
      </c>
      <c r="K2600" s="11">
        <v>9160274</v>
      </c>
      <c r="L2600" s="3">
        <v>220</v>
      </c>
      <c r="M2600" s="3">
        <v>4633</v>
      </c>
      <c r="N2600" s="3">
        <v>33557</v>
      </c>
      <c r="O2600" s="2">
        <v>9.6000000000000002E-2</v>
      </c>
      <c r="P2600" s="2">
        <v>0.26300000000000001</v>
      </c>
      <c r="Q2600" s="2">
        <v>0.28600000000000003</v>
      </c>
      <c r="R2600" s="11">
        <v>429415985</v>
      </c>
      <c r="S2600" s="11">
        <v>698557</v>
      </c>
      <c r="T2600">
        <v>2015</v>
      </c>
      <c r="U2600">
        <v>7</v>
      </c>
      <c r="V2600">
        <f t="shared" si="240"/>
        <v>843750</v>
      </c>
      <c r="W2600">
        <f t="shared" si="241"/>
        <v>18429897</v>
      </c>
      <c r="X2600">
        <f t="shared" si="242"/>
        <v>17586147</v>
      </c>
      <c r="Y2600">
        <f t="shared" si="243"/>
        <v>-25535470.5</v>
      </c>
      <c r="Z2600">
        <f t="shared" si="244"/>
        <v>44809117.5</v>
      </c>
      <c r="AA2600" t="str">
        <f t="shared" si="245"/>
        <v>Normal</v>
      </c>
      <c r="AE2600" s="2"/>
      <c r="AF2600" s="2"/>
    </row>
    <row r="2601" spans="1:32" x14ac:dyDescent="0.35">
      <c r="A2601">
        <v>2600</v>
      </c>
      <c r="B2601" s="1">
        <v>42193</v>
      </c>
      <c r="C2601" s="9" t="s">
        <v>741</v>
      </c>
      <c r="D2601" s="9" t="s">
        <v>5452</v>
      </c>
      <c r="E2601" s="9" t="s">
        <v>1111</v>
      </c>
      <c r="F2601" s="9" t="s">
        <v>408</v>
      </c>
      <c r="G2601" s="9" t="s">
        <v>4254</v>
      </c>
      <c r="H2601" s="9" t="s">
        <v>105</v>
      </c>
      <c r="I2601" s="11">
        <v>10000000</v>
      </c>
      <c r="J2601" s="11">
        <v>1088404</v>
      </c>
      <c r="K2601" s="11">
        <v>8336899</v>
      </c>
      <c r="L2601" s="3">
        <v>84</v>
      </c>
      <c r="M2601" s="3">
        <v>4842</v>
      </c>
      <c r="N2601" s="3">
        <v>1877548</v>
      </c>
      <c r="O2601" s="2">
        <v>-5.8000000000000003E-2</v>
      </c>
      <c r="P2601" s="2">
        <v>0.85</v>
      </c>
      <c r="Q2601" s="2">
        <v>2.6000000000000002E-2</v>
      </c>
      <c r="R2601" s="11">
        <v>194725348</v>
      </c>
      <c r="S2601" s="11">
        <v>1008193.5</v>
      </c>
      <c r="T2601">
        <v>2015</v>
      </c>
      <c r="U2601">
        <v>7</v>
      </c>
      <c r="V2601">
        <f t="shared" si="240"/>
        <v>825000</v>
      </c>
      <c r="W2601">
        <f t="shared" si="241"/>
        <v>18429897</v>
      </c>
      <c r="X2601">
        <f t="shared" si="242"/>
        <v>17604897</v>
      </c>
      <c r="Y2601">
        <f t="shared" si="243"/>
        <v>-25582345.5</v>
      </c>
      <c r="Z2601">
        <f t="shared" si="244"/>
        <v>44837242.5</v>
      </c>
      <c r="AA2601" t="str">
        <f t="shared" si="245"/>
        <v>Normal</v>
      </c>
      <c r="AE2601" s="2"/>
      <c r="AF2601" s="2"/>
    </row>
    <row r="2602" spans="1:32" x14ac:dyDescent="0.35">
      <c r="A2602">
        <v>2601</v>
      </c>
      <c r="B2602" s="1">
        <v>42193</v>
      </c>
      <c r="C2602" s="9" t="s">
        <v>4255</v>
      </c>
      <c r="D2602" s="9" t="s">
        <v>5453</v>
      </c>
      <c r="E2602" s="9" t="s">
        <v>1111</v>
      </c>
      <c r="F2602" s="9" t="s">
        <v>27</v>
      </c>
      <c r="G2602" s="9" t="s">
        <v>4256</v>
      </c>
      <c r="H2602" s="9" t="s">
        <v>105</v>
      </c>
      <c r="I2602" s="11">
        <v>10200000</v>
      </c>
      <c r="J2602" s="11">
        <v>3906875</v>
      </c>
      <c r="K2602" s="11">
        <v>16086832</v>
      </c>
      <c r="L2602" s="3">
        <v>492</v>
      </c>
      <c r="M2602" s="3">
        <v>2966</v>
      </c>
      <c r="N2602" s="3">
        <v>1881070</v>
      </c>
      <c r="O2602" s="2">
        <v>0.34300000000000003</v>
      </c>
      <c r="P2602" s="2">
        <v>0.81599999999999995</v>
      </c>
      <c r="Q2602" s="2">
        <v>8.199999999999999E-2</v>
      </c>
      <c r="R2602" s="11">
        <v>261507427</v>
      </c>
      <c r="S2602" s="11">
        <v>1089647</v>
      </c>
      <c r="T2602">
        <v>2015</v>
      </c>
      <c r="U2602">
        <v>7</v>
      </c>
      <c r="V2602">
        <f t="shared" si="240"/>
        <v>818750</v>
      </c>
      <c r="W2602">
        <f t="shared" si="241"/>
        <v>18429897</v>
      </c>
      <c r="X2602">
        <f t="shared" si="242"/>
        <v>17611147</v>
      </c>
      <c r="Y2602">
        <f t="shared" si="243"/>
        <v>-25597970.5</v>
      </c>
      <c r="Z2602">
        <f t="shared" si="244"/>
        <v>44846617.5</v>
      </c>
      <c r="AA2602" t="str">
        <f t="shared" si="245"/>
        <v>Normal</v>
      </c>
      <c r="AE2602" s="2"/>
      <c r="AF2602" s="2"/>
    </row>
    <row r="2603" spans="1:32" x14ac:dyDescent="0.35">
      <c r="A2603">
        <v>2602</v>
      </c>
      <c r="B2603" s="1">
        <v>42193</v>
      </c>
      <c r="C2603" s="9" t="s">
        <v>2073</v>
      </c>
      <c r="D2603" s="9" t="s">
        <v>5454</v>
      </c>
      <c r="E2603" s="9" t="s">
        <v>1111</v>
      </c>
      <c r="F2603" s="9" t="s">
        <v>15</v>
      </c>
      <c r="G2603" s="9" t="s">
        <v>4257</v>
      </c>
      <c r="H2603" s="9" t="s">
        <v>105</v>
      </c>
      <c r="I2603" s="11">
        <v>11000000</v>
      </c>
      <c r="J2603" s="11">
        <v>2822108</v>
      </c>
      <c r="K2603" s="11">
        <v>15801619</v>
      </c>
      <c r="L2603" s="3">
        <v>194</v>
      </c>
      <c r="M2603" s="3">
        <v>2505.5</v>
      </c>
      <c r="N2603" s="3">
        <v>1779116</v>
      </c>
      <c r="O2603" s="2">
        <v>0.156</v>
      </c>
      <c r="P2603" s="2">
        <v>0.626</v>
      </c>
      <c r="Q2603" s="2">
        <v>0.51</v>
      </c>
      <c r="R2603" s="11">
        <v>280030685</v>
      </c>
      <c r="S2603" s="11">
        <v>464589</v>
      </c>
      <c r="T2603">
        <v>2015</v>
      </c>
      <c r="U2603">
        <v>7</v>
      </c>
      <c r="V2603">
        <f t="shared" si="240"/>
        <v>812500</v>
      </c>
      <c r="W2603">
        <f t="shared" si="241"/>
        <v>18429897</v>
      </c>
      <c r="X2603">
        <f t="shared" si="242"/>
        <v>17617397</v>
      </c>
      <c r="Y2603">
        <f t="shared" si="243"/>
        <v>-25613595.5</v>
      </c>
      <c r="Z2603">
        <f t="shared" si="244"/>
        <v>44855992.5</v>
      </c>
      <c r="AA2603" t="str">
        <f t="shared" si="245"/>
        <v>Normal</v>
      </c>
      <c r="AE2603" s="2"/>
      <c r="AF2603" s="2"/>
    </row>
    <row r="2604" spans="1:32" x14ac:dyDescent="0.35">
      <c r="A2604">
        <v>2603</v>
      </c>
      <c r="B2604" s="1">
        <v>42194</v>
      </c>
      <c r="C2604" s="9" t="s">
        <v>4258</v>
      </c>
      <c r="D2604" s="9" t="s">
        <v>5455</v>
      </c>
      <c r="E2604" s="9" t="s">
        <v>1111</v>
      </c>
      <c r="F2604" s="9" t="s">
        <v>63</v>
      </c>
      <c r="G2604" s="9" t="s">
        <v>322</v>
      </c>
      <c r="H2604" s="9" t="s">
        <v>105</v>
      </c>
      <c r="I2604" s="11">
        <v>18429897</v>
      </c>
      <c r="J2604" s="11">
        <v>3795703</v>
      </c>
      <c r="K2604" s="11">
        <v>4218117</v>
      </c>
      <c r="L2604" s="3">
        <v>447</v>
      </c>
      <c r="M2604" s="3">
        <v>2101</v>
      </c>
      <c r="N2604" s="3">
        <v>423847</v>
      </c>
      <c r="O2604" s="2">
        <v>0.27899999999999997</v>
      </c>
      <c r="P2604" s="2">
        <v>0.33500000000000002</v>
      </c>
      <c r="Q2604" s="2">
        <v>0.38600000000000001</v>
      </c>
      <c r="R2604" s="11">
        <v>48336297</v>
      </c>
      <c r="S2604" s="11">
        <v>1454977</v>
      </c>
      <c r="T2604">
        <v>2015</v>
      </c>
      <c r="U2604">
        <v>7</v>
      </c>
      <c r="V2604">
        <f t="shared" si="240"/>
        <v>806250</v>
      </c>
      <c r="W2604">
        <f t="shared" si="241"/>
        <v>18429897</v>
      </c>
      <c r="X2604">
        <f t="shared" si="242"/>
        <v>17623647</v>
      </c>
      <c r="Y2604">
        <f t="shared" si="243"/>
        <v>-25629220.5</v>
      </c>
      <c r="Z2604">
        <f t="shared" si="244"/>
        <v>44865367.5</v>
      </c>
      <c r="AA2604" t="str">
        <f t="shared" si="245"/>
        <v>Normal</v>
      </c>
      <c r="AE2604" s="2"/>
      <c r="AF2604" s="2"/>
    </row>
    <row r="2605" spans="1:32" x14ac:dyDescent="0.35">
      <c r="A2605">
        <v>2604</v>
      </c>
      <c r="B2605" s="1">
        <v>42194</v>
      </c>
      <c r="C2605" s="9" t="s">
        <v>2674</v>
      </c>
      <c r="D2605" s="9" t="s">
        <v>5456</v>
      </c>
      <c r="E2605" s="9" t="s">
        <v>1111</v>
      </c>
      <c r="F2605" s="9" t="s">
        <v>15</v>
      </c>
      <c r="G2605" s="9" t="s">
        <v>4259</v>
      </c>
      <c r="H2605" s="9" t="s">
        <v>105</v>
      </c>
      <c r="I2605" s="11">
        <v>18429897</v>
      </c>
      <c r="J2605" s="11">
        <v>3782586</v>
      </c>
      <c r="K2605" s="11">
        <v>16598132</v>
      </c>
      <c r="L2605" s="3">
        <v>260</v>
      </c>
      <c r="M2605" s="3">
        <v>2254</v>
      </c>
      <c r="N2605" s="3">
        <v>1576442</v>
      </c>
      <c r="O2605" s="2">
        <v>-0.218</v>
      </c>
      <c r="P2605" s="2">
        <v>0.224</v>
      </c>
      <c r="Q2605" s="2">
        <v>-7.2999999999999995E-2</v>
      </c>
      <c r="R2605" s="11">
        <v>132051390</v>
      </c>
      <c r="S2605" s="11">
        <v>1332018</v>
      </c>
      <c r="T2605">
        <v>2015</v>
      </c>
      <c r="U2605">
        <v>7</v>
      </c>
      <c r="V2605">
        <f t="shared" si="240"/>
        <v>800000</v>
      </c>
      <c r="W2605">
        <f t="shared" si="241"/>
        <v>18429897</v>
      </c>
      <c r="X2605">
        <f t="shared" si="242"/>
        <v>17629897</v>
      </c>
      <c r="Y2605">
        <f t="shared" si="243"/>
        <v>-25644845.5</v>
      </c>
      <c r="Z2605">
        <f t="shared" si="244"/>
        <v>44874742.5</v>
      </c>
      <c r="AA2605" t="str">
        <f t="shared" si="245"/>
        <v>Normal</v>
      </c>
      <c r="AE2605" s="2"/>
      <c r="AF2605" s="2"/>
    </row>
    <row r="2606" spans="1:32" x14ac:dyDescent="0.35">
      <c r="A2606">
        <v>2605</v>
      </c>
      <c r="B2606" s="1">
        <v>42194</v>
      </c>
      <c r="C2606" s="9" t="s">
        <v>4260</v>
      </c>
      <c r="D2606" s="9" t="s">
        <v>5457</v>
      </c>
      <c r="E2606" s="9" t="s">
        <v>1111</v>
      </c>
      <c r="F2606" s="9" t="s">
        <v>19</v>
      </c>
      <c r="G2606" s="9" t="s">
        <v>4261</v>
      </c>
      <c r="H2606" s="9" t="s">
        <v>86</v>
      </c>
      <c r="I2606" s="11">
        <v>18429897</v>
      </c>
      <c r="J2606" s="11">
        <v>2671512</v>
      </c>
      <c r="K2606" s="11">
        <v>6597182</v>
      </c>
      <c r="L2606" s="3">
        <v>124</v>
      </c>
      <c r="M2606" s="3">
        <v>3682</v>
      </c>
      <c r="N2606" s="3">
        <v>1149186</v>
      </c>
      <c r="O2606" s="2">
        <v>-0.6</v>
      </c>
      <c r="P2606" s="2">
        <v>0.45899999999999996</v>
      </c>
      <c r="Q2606" s="2">
        <v>-6.6000000000000003E-2</v>
      </c>
      <c r="R2606" s="11">
        <v>248067711</v>
      </c>
      <c r="S2606" s="11">
        <v>1791576</v>
      </c>
      <c r="T2606">
        <v>2015</v>
      </c>
      <c r="U2606">
        <v>7</v>
      </c>
      <c r="V2606">
        <f t="shared" si="240"/>
        <v>797500</v>
      </c>
      <c r="W2606">
        <f t="shared" si="241"/>
        <v>18429897</v>
      </c>
      <c r="X2606">
        <f t="shared" si="242"/>
        <v>17632397</v>
      </c>
      <c r="Y2606">
        <f t="shared" si="243"/>
        <v>-25651095.5</v>
      </c>
      <c r="Z2606">
        <f t="shared" si="244"/>
        <v>44878492.5</v>
      </c>
      <c r="AA2606" t="str">
        <f t="shared" si="245"/>
        <v>Normal</v>
      </c>
      <c r="AE2606" s="2"/>
      <c r="AF2606" s="2"/>
    </row>
    <row r="2607" spans="1:32" x14ac:dyDescent="0.35">
      <c r="A2607">
        <v>2606</v>
      </c>
      <c r="B2607" s="1">
        <v>42194</v>
      </c>
      <c r="C2607" s="9" t="s">
        <v>2544</v>
      </c>
      <c r="D2607" s="9" t="s">
        <v>5458</v>
      </c>
      <c r="E2607" s="9" t="s">
        <v>1111</v>
      </c>
      <c r="F2607" s="9" t="s">
        <v>27</v>
      </c>
      <c r="G2607" s="9" t="s">
        <v>4262</v>
      </c>
      <c r="H2607" s="9" t="s">
        <v>86</v>
      </c>
      <c r="I2607" s="11">
        <v>18429897</v>
      </c>
      <c r="J2607" s="11">
        <v>1301963</v>
      </c>
      <c r="K2607" s="11">
        <v>2832147</v>
      </c>
      <c r="L2607" s="3">
        <v>254</v>
      </c>
      <c r="M2607" s="3">
        <v>2744</v>
      </c>
      <c r="N2607" s="3">
        <v>1966767</v>
      </c>
      <c r="O2607" s="2">
        <v>0.14699999999999999</v>
      </c>
      <c r="P2607" s="2">
        <v>0.20300000000000001</v>
      </c>
      <c r="Q2607" s="2">
        <v>-4.9000000000000002E-2</v>
      </c>
      <c r="R2607" s="11">
        <v>123502687</v>
      </c>
      <c r="S2607" s="11">
        <v>1008193.5</v>
      </c>
      <c r="T2607">
        <v>2015</v>
      </c>
      <c r="U2607">
        <v>7</v>
      </c>
      <c r="V2607">
        <f t="shared" si="240"/>
        <v>795000</v>
      </c>
      <c r="W2607">
        <f t="shared" si="241"/>
        <v>18429897</v>
      </c>
      <c r="X2607">
        <f t="shared" si="242"/>
        <v>17634897</v>
      </c>
      <c r="Y2607">
        <f t="shared" si="243"/>
        <v>-25657345.5</v>
      </c>
      <c r="Z2607">
        <f t="shared" si="244"/>
        <v>44882242.5</v>
      </c>
      <c r="AA2607" t="str">
        <f t="shared" si="245"/>
        <v>Normal</v>
      </c>
      <c r="AE2607" s="2"/>
      <c r="AF2607" s="2"/>
    </row>
    <row r="2608" spans="1:32" x14ac:dyDescent="0.35">
      <c r="A2608">
        <v>2607</v>
      </c>
      <c r="B2608" s="1">
        <v>42560</v>
      </c>
      <c r="C2608" s="9" t="s">
        <v>4263</v>
      </c>
      <c r="D2608" s="9" t="s">
        <v>5459</v>
      </c>
      <c r="E2608" s="9" t="s">
        <v>1111</v>
      </c>
      <c r="F2608" s="9" t="s">
        <v>27</v>
      </c>
      <c r="G2608" s="9" t="s">
        <v>1315</v>
      </c>
      <c r="H2608" s="9" t="s">
        <v>86</v>
      </c>
      <c r="I2608" s="11">
        <v>18429897</v>
      </c>
      <c r="J2608" s="11">
        <v>2640397</v>
      </c>
      <c r="K2608" s="11">
        <v>17580463</v>
      </c>
      <c r="L2608" s="3">
        <v>455</v>
      </c>
      <c r="M2608" s="3">
        <v>2787</v>
      </c>
      <c r="N2608" s="3">
        <v>31150</v>
      </c>
      <c r="O2608" s="2">
        <v>0.21100000000000002</v>
      </c>
      <c r="P2608" s="2">
        <v>1.149</v>
      </c>
      <c r="Q2608" s="2">
        <v>0.36749999999999999</v>
      </c>
      <c r="R2608" s="11">
        <v>408227036</v>
      </c>
      <c r="S2608" s="11">
        <v>1622505</v>
      </c>
      <c r="T2608">
        <v>2016</v>
      </c>
      <c r="U2608">
        <v>7</v>
      </c>
      <c r="V2608">
        <f t="shared" si="240"/>
        <v>792500</v>
      </c>
      <c r="W2608">
        <f t="shared" si="241"/>
        <v>18429897</v>
      </c>
      <c r="X2608">
        <f t="shared" si="242"/>
        <v>17637397</v>
      </c>
      <c r="Y2608">
        <f t="shared" si="243"/>
        <v>-25663595.5</v>
      </c>
      <c r="Z2608">
        <f t="shared" si="244"/>
        <v>44885992.5</v>
      </c>
      <c r="AA2608" t="str">
        <f t="shared" si="245"/>
        <v>Normal</v>
      </c>
      <c r="AE2608" s="2"/>
      <c r="AF2608" s="2"/>
    </row>
    <row r="2609" spans="1:32" x14ac:dyDescent="0.35">
      <c r="A2609">
        <v>2608</v>
      </c>
      <c r="B2609" s="1">
        <v>42195</v>
      </c>
      <c r="C2609" s="9" t="s">
        <v>4264</v>
      </c>
      <c r="D2609" s="9" t="s">
        <v>5460</v>
      </c>
      <c r="E2609" s="9" t="s">
        <v>1111</v>
      </c>
      <c r="F2609" s="9" t="s">
        <v>19</v>
      </c>
      <c r="G2609" s="9" t="s">
        <v>4265</v>
      </c>
      <c r="H2609" s="9" t="s">
        <v>86</v>
      </c>
      <c r="I2609" s="11">
        <v>18429897</v>
      </c>
      <c r="J2609" s="11">
        <v>4137413</v>
      </c>
      <c r="K2609" s="11">
        <v>4836824</v>
      </c>
      <c r="L2609" s="3">
        <v>254</v>
      </c>
      <c r="M2609" s="3">
        <v>2505.5</v>
      </c>
      <c r="N2609" s="3">
        <v>794682</v>
      </c>
      <c r="O2609" s="2">
        <v>-0.01</v>
      </c>
      <c r="P2609" s="2">
        <v>0.37</v>
      </c>
      <c r="Q2609" s="2">
        <v>-3.7999999999999999E-2</v>
      </c>
      <c r="R2609" s="11">
        <v>251836254</v>
      </c>
      <c r="S2609" s="11">
        <v>1540936</v>
      </c>
      <c r="T2609">
        <v>2015</v>
      </c>
      <c r="U2609">
        <v>7</v>
      </c>
      <c r="V2609">
        <f t="shared" si="240"/>
        <v>790000</v>
      </c>
      <c r="W2609">
        <f t="shared" si="241"/>
        <v>18429897</v>
      </c>
      <c r="X2609">
        <f t="shared" si="242"/>
        <v>17639897</v>
      </c>
      <c r="Y2609">
        <f t="shared" si="243"/>
        <v>-25669845.5</v>
      </c>
      <c r="Z2609">
        <f t="shared" si="244"/>
        <v>44889742.5</v>
      </c>
      <c r="AA2609" t="str">
        <f t="shared" si="245"/>
        <v>Normal</v>
      </c>
      <c r="AE2609" s="2"/>
      <c r="AF2609" s="2"/>
    </row>
    <row r="2610" spans="1:32" x14ac:dyDescent="0.35">
      <c r="A2610">
        <v>2609</v>
      </c>
      <c r="B2610" s="1">
        <v>42195</v>
      </c>
      <c r="C2610" s="9" t="s">
        <v>4266</v>
      </c>
      <c r="D2610" s="9" t="s">
        <v>5461</v>
      </c>
      <c r="E2610" s="9" t="s">
        <v>1111</v>
      </c>
      <c r="F2610" s="9" t="s">
        <v>31</v>
      </c>
      <c r="G2610" s="9" t="s">
        <v>4267</v>
      </c>
      <c r="H2610" s="9" t="s">
        <v>105</v>
      </c>
      <c r="I2610" s="11">
        <v>18429897</v>
      </c>
      <c r="J2610" s="11">
        <v>4853882</v>
      </c>
      <c r="K2610" s="11">
        <v>5472775</v>
      </c>
      <c r="L2610" s="3">
        <v>73</v>
      </c>
      <c r="M2610" s="3">
        <v>735</v>
      </c>
      <c r="N2610" s="3">
        <v>194499</v>
      </c>
      <c r="O2610" s="2">
        <v>0.02</v>
      </c>
      <c r="P2610" s="2">
        <v>0.46500000000000002</v>
      </c>
      <c r="Q2610" s="2">
        <v>7.0000000000000007E-2</v>
      </c>
      <c r="R2610" s="11">
        <v>4225911</v>
      </c>
      <c r="S2610" s="11">
        <v>462770</v>
      </c>
      <c r="T2610">
        <v>2015</v>
      </c>
      <c r="U2610">
        <v>7</v>
      </c>
      <c r="V2610">
        <f t="shared" si="240"/>
        <v>767500</v>
      </c>
      <c r="W2610">
        <f t="shared" si="241"/>
        <v>18429897</v>
      </c>
      <c r="X2610">
        <f t="shared" si="242"/>
        <v>17662397</v>
      </c>
      <c r="Y2610">
        <f t="shared" si="243"/>
        <v>-25726095.5</v>
      </c>
      <c r="Z2610">
        <f t="shared" si="244"/>
        <v>44923492.5</v>
      </c>
      <c r="AA2610" t="str">
        <f t="shared" si="245"/>
        <v>Normal</v>
      </c>
      <c r="AE2610" s="2"/>
      <c r="AF2610" s="2"/>
    </row>
    <row r="2611" spans="1:32" x14ac:dyDescent="0.35">
      <c r="A2611">
        <v>2610</v>
      </c>
      <c r="B2611" s="1">
        <v>42198</v>
      </c>
      <c r="C2611" s="9" t="s">
        <v>4268</v>
      </c>
      <c r="D2611" s="9" t="s">
        <v>5462</v>
      </c>
      <c r="E2611" s="9" t="s">
        <v>1111</v>
      </c>
      <c r="F2611" s="9" t="s">
        <v>19</v>
      </c>
      <c r="G2611" s="9" t="s">
        <v>4269</v>
      </c>
      <c r="H2611" s="9" t="s">
        <v>105</v>
      </c>
      <c r="I2611" s="11">
        <v>18429897</v>
      </c>
      <c r="J2611" s="11">
        <v>4638974</v>
      </c>
      <c r="K2611" s="11">
        <v>9881759</v>
      </c>
      <c r="L2611" s="3">
        <v>254</v>
      </c>
      <c r="M2611" s="3">
        <v>4790</v>
      </c>
      <c r="N2611" s="3">
        <v>1892129</v>
      </c>
      <c r="O2611" s="2">
        <v>4.2000000000000003E-2</v>
      </c>
      <c r="P2611" s="2">
        <v>0.99900000000000011</v>
      </c>
      <c r="Q2611" s="2">
        <v>-9.3000000000000013E-2</v>
      </c>
      <c r="R2611" s="11">
        <v>399497841</v>
      </c>
      <c r="S2611" s="11">
        <v>871438</v>
      </c>
      <c r="T2611">
        <v>2015</v>
      </c>
      <c r="U2611">
        <v>7</v>
      </c>
      <c r="V2611">
        <f t="shared" si="240"/>
        <v>745000</v>
      </c>
      <c r="W2611">
        <f t="shared" si="241"/>
        <v>18429897</v>
      </c>
      <c r="X2611">
        <f t="shared" si="242"/>
        <v>17684897</v>
      </c>
      <c r="Y2611">
        <f t="shared" si="243"/>
        <v>-25782345.5</v>
      </c>
      <c r="Z2611">
        <f t="shared" si="244"/>
        <v>44957242.5</v>
      </c>
      <c r="AA2611" t="str">
        <f t="shared" si="245"/>
        <v>Normal</v>
      </c>
      <c r="AE2611" s="2"/>
      <c r="AF2611" s="2"/>
    </row>
    <row r="2612" spans="1:32" x14ac:dyDescent="0.35">
      <c r="A2612">
        <v>2611</v>
      </c>
      <c r="B2612" s="1">
        <v>42198</v>
      </c>
      <c r="C2612" s="9" t="s">
        <v>4270</v>
      </c>
      <c r="D2612" s="9" t="s">
        <v>5463</v>
      </c>
      <c r="E2612" s="9" t="s">
        <v>1111</v>
      </c>
      <c r="F2612" s="9" t="s">
        <v>27</v>
      </c>
      <c r="G2612" s="9" t="s">
        <v>1348</v>
      </c>
      <c r="H2612" s="9" t="s">
        <v>105</v>
      </c>
      <c r="I2612" s="11">
        <v>18429897</v>
      </c>
      <c r="J2612" s="11">
        <v>923705</v>
      </c>
      <c r="K2612" s="11">
        <v>10153449</v>
      </c>
      <c r="L2612" s="3">
        <v>427</v>
      </c>
      <c r="M2612" s="3">
        <v>3537</v>
      </c>
      <c r="N2612" s="3">
        <v>340422</v>
      </c>
      <c r="O2612" s="2">
        <v>0.06</v>
      </c>
      <c r="P2612" s="2">
        <v>1.1950000000000001E-2</v>
      </c>
      <c r="Q2612" s="2">
        <v>0.22800000000000001</v>
      </c>
      <c r="R2612" s="11">
        <v>445808202</v>
      </c>
      <c r="S2612" s="11">
        <v>943441</v>
      </c>
      <c r="T2612">
        <v>2015</v>
      </c>
      <c r="U2612">
        <v>7</v>
      </c>
      <c r="V2612">
        <f t="shared" si="240"/>
        <v>722500</v>
      </c>
      <c r="W2612">
        <f t="shared" si="241"/>
        <v>18429897</v>
      </c>
      <c r="X2612">
        <f t="shared" si="242"/>
        <v>17707397</v>
      </c>
      <c r="Y2612">
        <f t="shared" si="243"/>
        <v>-25838595.5</v>
      </c>
      <c r="Z2612">
        <f t="shared" si="244"/>
        <v>44990992.5</v>
      </c>
      <c r="AA2612" t="str">
        <f t="shared" si="245"/>
        <v>Normal</v>
      </c>
      <c r="AE2612" s="2"/>
      <c r="AF2612" s="2"/>
    </row>
    <row r="2613" spans="1:32" x14ac:dyDescent="0.35">
      <c r="A2613">
        <v>2612</v>
      </c>
      <c r="B2613" s="1">
        <v>42198</v>
      </c>
      <c r="C2613" s="9" t="s">
        <v>2668</v>
      </c>
      <c r="D2613" s="9" t="s">
        <v>5464</v>
      </c>
      <c r="E2613" s="9" t="s">
        <v>1111</v>
      </c>
      <c r="F2613" s="9" t="s">
        <v>19</v>
      </c>
      <c r="G2613" s="9" t="s">
        <v>3720</v>
      </c>
      <c r="H2613" s="9" t="s">
        <v>86</v>
      </c>
      <c r="I2613" s="11">
        <v>18429897</v>
      </c>
      <c r="J2613" s="11">
        <v>2995024</v>
      </c>
      <c r="K2613" s="11">
        <v>3275174</v>
      </c>
      <c r="L2613" s="3">
        <v>325</v>
      </c>
      <c r="M2613" s="3">
        <v>2954</v>
      </c>
      <c r="N2613" s="3">
        <v>77552</v>
      </c>
      <c r="O2613" s="2">
        <v>0.55299999999999994</v>
      </c>
      <c r="P2613" s="2">
        <v>0.82099999999999995</v>
      </c>
      <c r="Q2613" s="2">
        <v>-0.318</v>
      </c>
      <c r="R2613" s="11">
        <v>152664688</v>
      </c>
      <c r="S2613" s="11">
        <v>414166</v>
      </c>
      <c r="T2613">
        <v>2015</v>
      </c>
      <c r="U2613">
        <v>7</v>
      </c>
      <c r="V2613">
        <f t="shared" si="240"/>
        <v>700000</v>
      </c>
      <c r="W2613">
        <f t="shared" si="241"/>
        <v>18429897</v>
      </c>
      <c r="X2613">
        <f t="shared" si="242"/>
        <v>17729897</v>
      </c>
      <c r="Y2613">
        <f t="shared" si="243"/>
        <v>-25894845.5</v>
      </c>
      <c r="Z2613">
        <f t="shared" si="244"/>
        <v>45024742.5</v>
      </c>
      <c r="AA2613" t="str">
        <f t="shared" si="245"/>
        <v>Normal</v>
      </c>
      <c r="AE2613" s="2"/>
      <c r="AF2613" s="2"/>
    </row>
    <row r="2614" spans="1:32" x14ac:dyDescent="0.35">
      <c r="A2614">
        <v>2613</v>
      </c>
      <c r="B2614" s="1">
        <v>42199</v>
      </c>
      <c r="C2614" s="9" t="s">
        <v>4271</v>
      </c>
      <c r="D2614" s="9" t="s">
        <v>5465</v>
      </c>
      <c r="E2614" s="9" t="s">
        <v>1111</v>
      </c>
      <c r="F2614" s="9" t="s">
        <v>124</v>
      </c>
      <c r="G2614" s="9" t="s">
        <v>4272</v>
      </c>
      <c r="H2614" s="9" t="s">
        <v>105</v>
      </c>
      <c r="I2614" s="11">
        <v>10000000</v>
      </c>
      <c r="J2614" s="11">
        <v>540883</v>
      </c>
      <c r="K2614" s="11">
        <v>7911446</v>
      </c>
      <c r="L2614" s="3">
        <v>95</v>
      </c>
      <c r="M2614" s="3">
        <v>2918</v>
      </c>
      <c r="N2614" s="3">
        <v>224716</v>
      </c>
      <c r="O2614" s="2">
        <v>1.6E-2</v>
      </c>
      <c r="P2614" s="2">
        <v>0.45299999999999996</v>
      </c>
      <c r="Q2614" s="2">
        <v>-0.19500000000000001</v>
      </c>
      <c r="R2614" s="11">
        <v>265856157</v>
      </c>
      <c r="S2614" s="11">
        <v>1008193.5</v>
      </c>
      <c r="T2614">
        <v>2015</v>
      </c>
      <c r="U2614">
        <v>7</v>
      </c>
      <c r="V2614">
        <f t="shared" si="240"/>
        <v>687500</v>
      </c>
      <c r="W2614">
        <f t="shared" si="241"/>
        <v>18429897</v>
      </c>
      <c r="X2614">
        <f t="shared" si="242"/>
        <v>17742397</v>
      </c>
      <c r="Y2614">
        <f t="shared" si="243"/>
        <v>-25926095.5</v>
      </c>
      <c r="Z2614">
        <f t="shared" si="244"/>
        <v>45043492.5</v>
      </c>
      <c r="AA2614" t="str">
        <f t="shared" si="245"/>
        <v>Normal</v>
      </c>
      <c r="AE2614" s="2"/>
      <c r="AF2614" s="2"/>
    </row>
    <row r="2615" spans="1:32" x14ac:dyDescent="0.35">
      <c r="A2615">
        <v>2614</v>
      </c>
      <c r="B2615" s="1">
        <v>42199</v>
      </c>
      <c r="C2615" s="9" t="s">
        <v>2900</v>
      </c>
      <c r="D2615" s="9" t="s">
        <v>3877</v>
      </c>
      <c r="E2615" s="9" t="s">
        <v>1111</v>
      </c>
      <c r="F2615" s="9" t="s">
        <v>15</v>
      </c>
      <c r="G2615" s="9" t="s">
        <v>4273</v>
      </c>
      <c r="H2615" s="9" t="s">
        <v>86</v>
      </c>
      <c r="I2615" s="11">
        <v>18429897</v>
      </c>
      <c r="J2615" s="11">
        <v>2531926</v>
      </c>
      <c r="K2615" s="11">
        <v>4436956</v>
      </c>
      <c r="L2615" s="3">
        <v>295</v>
      </c>
      <c r="M2615" s="3">
        <v>2904</v>
      </c>
      <c r="N2615" s="3">
        <v>1930223</v>
      </c>
      <c r="O2615" s="2">
        <v>0.128</v>
      </c>
      <c r="P2615" s="2">
        <v>0.65300000000000002</v>
      </c>
      <c r="Q2615" s="2">
        <v>0.26500000000000001</v>
      </c>
      <c r="R2615" s="11">
        <v>250264963</v>
      </c>
      <c r="S2615" s="11">
        <v>1646547</v>
      </c>
      <c r="T2615">
        <v>2015</v>
      </c>
      <c r="U2615">
        <v>7</v>
      </c>
      <c r="V2615">
        <f t="shared" si="240"/>
        <v>675000</v>
      </c>
      <c r="W2615">
        <f t="shared" si="241"/>
        <v>18429897</v>
      </c>
      <c r="X2615">
        <f t="shared" si="242"/>
        <v>17754897</v>
      </c>
      <c r="Y2615">
        <f t="shared" si="243"/>
        <v>-25957345.5</v>
      </c>
      <c r="Z2615">
        <f t="shared" si="244"/>
        <v>45062242.5</v>
      </c>
      <c r="AA2615" t="str">
        <f t="shared" si="245"/>
        <v>Normal</v>
      </c>
      <c r="AE2615" s="2"/>
      <c r="AF2615" s="2"/>
    </row>
    <row r="2616" spans="1:32" x14ac:dyDescent="0.35">
      <c r="A2616">
        <v>2615</v>
      </c>
      <c r="B2616" s="1">
        <v>42199</v>
      </c>
      <c r="C2616" s="9" t="s">
        <v>4274</v>
      </c>
      <c r="D2616" s="9" t="s">
        <v>5466</v>
      </c>
      <c r="E2616" s="9" t="s">
        <v>1111</v>
      </c>
      <c r="F2616" s="9" t="s">
        <v>31</v>
      </c>
      <c r="G2616" s="9" t="s">
        <v>4275</v>
      </c>
      <c r="H2616" s="9" t="s">
        <v>86</v>
      </c>
      <c r="I2616" s="11">
        <v>300000</v>
      </c>
      <c r="J2616" s="11">
        <v>4961831</v>
      </c>
      <c r="K2616" s="11">
        <v>3941360</v>
      </c>
      <c r="L2616" s="3">
        <v>215</v>
      </c>
      <c r="M2616" s="3">
        <v>2849</v>
      </c>
      <c r="N2616" s="3">
        <v>1061554</v>
      </c>
      <c r="O2616" s="2">
        <v>-0.13200000000000001</v>
      </c>
      <c r="P2616" s="2">
        <v>0.26</v>
      </c>
      <c r="Q2616" s="2">
        <v>0.57499999999999996</v>
      </c>
      <c r="R2616" s="11">
        <v>307028810</v>
      </c>
      <c r="S2616" s="11">
        <v>148835</v>
      </c>
      <c r="T2616">
        <v>2015</v>
      </c>
      <c r="U2616">
        <v>7</v>
      </c>
      <c r="V2616">
        <f t="shared" si="240"/>
        <v>662500</v>
      </c>
      <c r="W2616">
        <f t="shared" si="241"/>
        <v>18429897</v>
      </c>
      <c r="X2616">
        <f t="shared" si="242"/>
        <v>17767397</v>
      </c>
      <c r="Y2616">
        <f t="shared" si="243"/>
        <v>-25988595.5</v>
      </c>
      <c r="Z2616">
        <f t="shared" si="244"/>
        <v>45080992.5</v>
      </c>
      <c r="AA2616" t="str">
        <f t="shared" si="245"/>
        <v>Normal</v>
      </c>
      <c r="AE2616" s="2"/>
      <c r="AF2616" s="2"/>
    </row>
    <row r="2617" spans="1:32" x14ac:dyDescent="0.35">
      <c r="A2617">
        <v>2616</v>
      </c>
      <c r="B2617" s="1">
        <v>42199</v>
      </c>
      <c r="C2617" s="9" t="s">
        <v>4276</v>
      </c>
      <c r="D2617" s="9" t="s">
        <v>5467</v>
      </c>
      <c r="E2617" s="9" t="s">
        <v>1111</v>
      </c>
      <c r="F2617" s="9" t="s">
        <v>15</v>
      </c>
      <c r="G2617" s="9" t="s">
        <v>4277</v>
      </c>
      <c r="H2617" s="9" t="s">
        <v>105</v>
      </c>
      <c r="I2617" s="11">
        <v>7500000</v>
      </c>
      <c r="J2617" s="11">
        <v>281828</v>
      </c>
      <c r="K2617" s="11">
        <v>18252054</v>
      </c>
      <c r="L2617" s="3">
        <v>66</v>
      </c>
      <c r="M2617" s="3">
        <v>1785</v>
      </c>
      <c r="N2617" s="3">
        <v>215431</v>
      </c>
      <c r="O2617" s="2">
        <v>-0.127</v>
      </c>
      <c r="P2617" s="2">
        <v>0.309</v>
      </c>
      <c r="Q2617" s="2">
        <v>0.16300000000000001</v>
      </c>
      <c r="R2617" s="11">
        <v>256041512</v>
      </c>
      <c r="S2617" s="11">
        <v>1854165</v>
      </c>
      <c r="T2617">
        <v>2015</v>
      </c>
      <c r="U2617">
        <v>7</v>
      </c>
      <c r="V2617">
        <f t="shared" si="240"/>
        <v>700000</v>
      </c>
      <c r="W2617">
        <f t="shared" si="241"/>
        <v>18429897</v>
      </c>
      <c r="X2617">
        <f t="shared" si="242"/>
        <v>17729897</v>
      </c>
      <c r="Y2617">
        <f t="shared" si="243"/>
        <v>-25894845.5</v>
      </c>
      <c r="Z2617">
        <f t="shared" si="244"/>
        <v>45024742.5</v>
      </c>
      <c r="AA2617" t="str">
        <f t="shared" si="245"/>
        <v>Normal</v>
      </c>
      <c r="AE2617" s="2"/>
      <c r="AF2617" s="2"/>
    </row>
    <row r="2618" spans="1:32" x14ac:dyDescent="0.35">
      <c r="A2618">
        <v>2617</v>
      </c>
      <c r="B2618" s="1">
        <v>42199</v>
      </c>
      <c r="C2618" s="9" t="s">
        <v>537</v>
      </c>
      <c r="D2618" s="9" t="s">
        <v>5468</v>
      </c>
      <c r="E2618" s="9" t="s">
        <v>1111</v>
      </c>
      <c r="F2618" s="9" t="s">
        <v>15</v>
      </c>
      <c r="G2618" s="9" t="s">
        <v>193</v>
      </c>
      <c r="H2618" s="9" t="s">
        <v>86</v>
      </c>
      <c r="I2618" s="11">
        <v>790000</v>
      </c>
      <c r="J2618" s="11">
        <v>3289731</v>
      </c>
      <c r="K2618" s="11">
        <v>11951232</v>
      </c>
      <c r="L2618" s="3">
        <v>492</v>
      </c>
      <c r="M2618" s="3">
        <v>3703</v>
      </c>
      <c r="N2618" s="3">
        <v>794167</v>
      </c>
      <c r="O2618" s="2">
        <v>7.6999999999999999E-2</v>
      </c>
      <c r="P2618" s="2">
        <v>0.91</v>
      </c>
      <c r="Q2618" s="2">
        <v>-0.109</v>
      </c>
      <c r="R2618" s="11">
        <v>238313573</v>
      </c>
      <c r="S2618" s="11">
        <v>1657907</v>
      </c>
      <c r="T2618">
        <v>2015</v>
      </c>
      <c r="U2618">
        <v>7</v>
      </c>
      <c r="V2618">
        <f t="shared" si="240"/>
        <v>687500</v>
      </c>
      <c r="W2618">
        <f t="shared" si="241"/>
        <v>18429897</v>
      </c>
      <c r="X2618">
        <f t="shared" si="242"/>
        <v>17742397</v>
      </c>
      <c r="Y2618">
        <f t="shared" si="243"/>
        <v>-25926095.5</v>
      </c>
      <c r="Z2618">
        <f t="shared" si="244"/>
        <v>45043492.5</v>
      </c>
      <c r="AA2618" t="str">
        <f t="shared" si="245"/>
        <v>Normal</v>
      </c>
      <c r="AE2618" s="2"/>
      <c r="AF2618" s="2"/>
    </row>
    <row r="2619" spans="1:32" x14ac:dyDescent="0.35">
      <c r="A2619">
        <v>2618</v>
      </c>
      <c r="B2619" s="1">
        <v>42199</v>
      </c>
      <c r="C2619" s="9" t="s">
        <v>4278</v>
      </c>
      <c r="D2619" s="9" t="s">
        <v>5469</v>
      </c>
      <c r="E2619" s="9" t="s">
        <v>1111</v>
      </c>
      <c r="F2619" s="9" t="s">
        <v>31</v>
      </c>
      <c r="G2619" s="9" t="s">
        <v>4279</v>
      </c>
      <c r="H2619" s="9" t="s">
        <v>86</v>
      </c>
      <c r="I2619" s="11">
        <v>500000</v>
      </c>
      <c r="J2619" s="11">
        <v>4728689</v>
      </c>
      <c r="K2619" s="11">
        <v>374944</v>
      </c>
      <c r="L2619" s="3">
        <v>303</v>
      </c>
      <c r="M2619" s="3">
        <v>1300</v>
      </c>
      <c r="N2619" s="3">
        <v>851412</v>
      </c>
      <c r="O2619" s="2">
        <v>0.34599999999999997</v>
      </c>
      <c r="P2619" s="2">
        <v>1.0290000000000001</v>
      </c>
      <c r="Q2619" s="2">
        <v>-0.17800000000000002</v>
      </c>
      <c r="R2619" s="11">
        <v>91681779</v>
      </c>
      <c r="S2619" s="11">
        <v>1252167</v>
      </c>
      <c r="T2619">
        <v>2015</v>
      </c>
      <c r="U2619">
        <v>7</v>
      </c>
      <c r="V2619">
        <f t="shared" si="240"/>
        <v>675000</v>
      </c>
      <c r="W2619">
        <f t="shared" si="241"/>
        <v>18429897</v>
      </c>
      <c r="X2619">
        <f t="shared" si="242"/>
        <v>17754897</v>
      </c>
      <c r="Y2619">
        <f t="shared" si="243"/>
        <v>-25957345.5</v>
      </c>
      <c r="Z2619">
        <f t="shared" si="244"/>
        <v>45062242.5</v>
      </c>
      <c r="AA2619" t="str">
        <f t="shared" si="245"/>
        <v>Normal</v>
      </c>
      <c r="AE2619" s="2"/>
      <c r="AF2619" s="2"/>
    </row>
    <row r="2620" spans="1:32" x14ac:dyDescent="0.35">
      <c r="A2620">
        <v>2619</v>
      </c>
      <c r="B2620" s="1">
        <v>42200</v>
      </c>
      <c r="C2620" s="9" t="s">
        <v>291</v>
      </c>
      <c r="D2620" s="9" t="s">
        <v>5470</v>
      </c>
      <c r="E2620" s="9" t="s">
        <v>1111</v>
      </c>
      <c r="F2620" s="9" t="s">
        <v>19</v>
      </c>
      <c r="G2620" s="9" t="s">
        <v>4280</v>
      </c>
      <c r="H2620" s="9" t="s">
        <v>105</v>
      </c>
      <c r="I2620" s="11">
        <v>100000000</v>
      </c>
      <c r="J2620" s="11">
        <v>4238978</v>
      </c>
      <c r="K2620" s="11">
        <v>2122147</v>
      </c>
      <c r="L2620" s="3">
        <v>53</v>
      </c>
      <c r="M2620" s="3">
        <v>3284</v>
      </c>
      <c r="N2620" s="3">
        <v>1602589</v>
      </c>
      <c r="O2620" s="2">
        <v>0.08</v>
      </c>
      <c r="P2620" s="2">
        <v>0.50800000000000001</v>
      </c>
      <c r="Q2620" s="2">
        <v>0.6</v>
      </c>
      <c r="R2620" s="11">
        <v>70299940</v>
      </c>
      <c r="S2620" s="11">
        <v>1751107</v>
      </c>
      <c r="T2620">
        <v>2015</v>
      </c>
      <c r="U2620">
        <v>7</v>
      </c>
      <c r="V2620">
        <f t="shared" si="240"/>
        <v>725000</v>
      </c>
      <c r="W2620">
        <f t="shared" si="241"/>
        <v>18429897</v>
      </c>
      <c r="X2620">
        <f t="shared" si="242"/>
        <v>17704897</v>
      </c>
      <c r="Y2620">
        <f t="shared" si="243"/>
        <v>-25832345.5</v>
      </c>
      <c r="Z2620">
        <f t="shared" si="244"/>
        <v>44987242.5</v>
      </c>
      <c r="AA2620" t="str">
        <f t="shared" si="245"/>
        <v>Outlier</v>
      </c>
      <c r="AE2620" s="2"/>
      <c r="AF2620" s="2"/>
    </row>
    <row r="2621" spans="1:32" x14ac:dyDescent="0.35">
      <c r="A2621">
        <v>2620</v>
      </c>
      <c r="B2621" s="1">
        <v>42200</v>
      </c>
      <c r="C2621" s="9" t="s">
        <v>1275</v>
      </c>
      <c r="D2621" s="9" t="s">
        <v>5471</v>
      </c>
      <c r="E2621" s="9" t="s">
        <v>1111</v>
      </c>
      <c r="F2621" s="9" t="s">
        <v>41</v>
      </c>
      <c r="G2621" s="9" t="s">
        <v>1533</v>
      </c>
      <c r="H2621" s="9" t="s">
        <v>105</v>
      </c>
      <c r="I2621" s="11">
        <v>2300000</v>
      </c>
      <c r="J2621" s="11">
        <v>1974573</v>
      </c>
      <c r="K2621" s="11">
        <v>16297371</v>
      </c>
      <c r="L2621" s="3">
        <v>174</v>
      </c>
      <c r="M2621" s="3">
        <v>2655</v>
      </c>
      <c r="N2621" s="3">
        <v>439338</v>
      </c>
      <c r="O2621" s="2">
        <v>8.900000000000001E-2</v>
      </c>
      <c r="P2621" s="2">
        <v>0.93799999999999994</v>
      </c>
      <c r="Q2621" s="2">
        <v>0.41700000000000004</v>
      </c>
      <c r="R2621" s="11">
        <v>189215234</v>
      </c>
      <c r="S2621" s="11">
        <v>1730717</v>
      </c>
      <c r="T2621">
        <v>2015</v>
      </c>
      <c r="U2621">
        <v>7</v>
      </c>
      <c r="V2621">
        <f t="shared" si="240"/>
        <v>700000</v>
      </c>
      <c r="W2621">
        <f t="shared" si="241"/>
        <v>18429897</v>
      </c>
      <c r="X2621">
        <f t="shared" si="242"/>
        <v>17729897</v>
      </c>
      <c r="Y2621">
        <f t="shared" si="243"/>
        <v>-25894845.5</v>
      </c>
      <c r="Z2621">
        <f t="shared" si="244"/>
        <v>45024742.5</v>
      </c>
      <c r="AA2621" t="str">
        <f t="shared" si="245"/>
        <v>Normal</v>
      </c>
      <c r="AE2621" s="2"/>
      <c r="AF2621" s="2"/>
    </row>
    <row r="2622" spans="1:32" x14ac:dyDescent="0.35">
      <c r="A2622">
        <v>2621</v>
      </c>
      <c r="B2622" s="1">
        <v>42200</v>
      </c>
      <c r="C2622" s="9" t="s">
        <v>4281</v>
      </c>
      <c r="D2622" s="9" t="s">
        <v>5472</v>
      </c>
      <c r="E2622" s="9" t="s">
        <v>1111</v>
      </c>
      <c r="F2622" s="9" t="s">
        <v>27</v>
      </c>
      <c r="G2622" s="9" t="s">
        <v>4282</v>
      </c>
      <c r="H2622" s="9" t="s">
        <v>86</v>
      </c>
      <c r="I2622" s="11">
        <v>18429897</v>
      </c>
      <c r="J2622" s="11">
        <v>2531926</v>
      </c>
      <c r="K2622" s="11">
        <v>5471391</v>
      </c>
      <c r="L2622" s="3">
        <v>420</v>
      </c>
      <c r="M2622" s="3">
        <v>1862</v>
      </c>
      <c r="N2622" s="3">
        <v>232496</v>
      </c>
      <c r="O2622" s="2">
        <v>-2.8999999999999998E-2</v>
      </c>
      <c r="P2622" s="2">
        <v>0.84</v>
      </c>
      <c r="Q2622" s="2">
        <v>0.22900000000000001</v>
      </c>
      <c r="R2622" s="11">
        <v>654392</v>
      </c>
      <c r="S2622" s="11">
        <v>1914310</v>
      </c>
      <c r="T2622">
        <v>2015</v>
      </c>
      <c r="U2622">
        <v>7</v>
      </c>
      <c r="V2622">
        <f t="shared" si="240"/>
        <v>687500</v>
      </c>
      <c r="W2622">
        <f t="shared" si="241"/>
        <v>18429897</v>
      </c>
      <c r="X2622">
        <f t="shared" si="242"/>
        <v>17742397</v>
      </c>
      <c r="Y2622">
        <f t="shared" si="243"/>
        <v>-25926095.5</v>
      </c>
      <c r="Z2622">
        <f t="shared" si="244"/>
        <v>45043492.5</v>
      </c>
      <c r="AA2622" t="str">
        <f t="shared" si="245"/>
        <v>Normal</v>
      </c>
      <c r="AE2622" s="2"/>
      <c r="AF2622" s="2"/>
    </row>
    <row r="2623" spans="1:32" x14ac:dyDescent="0.35">
      <c r="A2623">
        <v>2622</v>
      </c>
      <c r="B2623" s="1">
        <v>42200</v>
      </c>
      <c r="C2623" s="9" t="s">
        <v>3898</v>
      </c>
      <c r="D2623" s="9" t="s">
        <v>5473</v>
      </c>
      <c r="E2623" s="9" t="s">
        <v>1111</v>
      </c>
      <c r="F2623" s="9" t="s">
        <v>15</v>
      </c>
      <c r="G2623" s="9" t="s">
        <v>4283</v>
      </c>
      <c r="H2623" s="9" t="s">
        <v>105</v>
      </c>
      <c r="I2623" s="11">
        <v>11000000</v>
      </c>
      <c r="J2623" s="11">
        <v>4621023</v>
      </c>
      <c r="K2623" s="11">
        <v>3132706</v>
      </c>
      <c r="L2623" s="3">
        <v>223</v>
      </c>
      <c r="M2623" s="3">
        <v>4029</v>
      </c>
      <c r="N2623" s="3">
        <v>1499607</v>
      </c>
      <c r="O2623" s="2">
        <v>-0.22800000000000001</v>
      </c>
      <c r="P2623" s="2">
        <v>0.71</v>
      </c>
      <c r="Q2623" s="2">
        <v>-0.20899999999999999</v>
      </c>
      <c r="R2623" s="11">
        <v>251395550</v>
      </c>
      <c r="S2623" s="11">
        <v>53805</v>
      </c>
      <c r="T2623">
        <v>2015</v>
      </c>
      <c r="U2623">
        <v>7</v>
      </c>
      <c r="V2623">
        <f t="shared" si="240"/>
        <v>675000</v>
      </c>
      <c r="W2623">
        <f t="shared" si="241"/>
        <v>18429897</v>
      </c>
      <c r="X2623">
        <f t="shared" si="242"/>
        <v>17754897</v>
      </c>
      <c r="Y2623">
        <f t="shared" si="243"/>
        <v>-25957345.5</v>
      </c>
      <c r="Z2623">
        <f t="shared" si="244"/>
        <v>45062242.5</v>
      </c>
      <c r="AA2623" t="str">
        <f t="shared" si="245"/>
        <v>Normal</v>
      </c>
      <c r="AE2623" s="2"/>
      <c r="AF2623" s="2"/>
    </row>
    <row r="2624" spans="1:32" x14ac:dyDescent="0.35">
      <c r="A2624">
        <v>2623</v>
      </c>
      <c r="B2624" s="1">
        <v>42201</v>
      </c>
      <c r="C2624" s="9" t="s">
        <v>4094</v>
      </c>
      <c r="D2624" s="9" t="s">
        <v>5361</v>
      </c>
      <c r="E2624" s="9" t="s">
        <v>1111</v>
      </c>
      <c r="F2624" s="9" t="s">
        <v>31</v>
      </c>
      <c r="G2624" s="9" t="s">
        <v>4284</v>
      </c>
      <c r="H2624" s="9" t="s">
        <v>86</v>
      </c>
      <c r="I2624" s="11">
        <v>700000</v>
      </c>
      <c r="J2624" s="11">
        <v>4608186</v>
      </c>
      <c r="K2624" s="11">
        <v>13343860</v>
      </c>
      <c r="L2624" s="3">
        <v>249</v>
      </c>
      <c r="M2624" s="3">
        <v>1626</v>
      </c>
      <c r="N2624" s="3">
        <v>862192</v>
      </c>
      <c r="O2624" s="2">
        <v>0.20699999999999999</v>
      </c>
      <c r="P2624" s="2">
        <v>0.48899999999999999</v>
      </c>
      <c r="Q2624" s="2">
        <v>0.191</v>
      </c>
      <c r="R2624" s="11">
        <v>178013137</v>
      </c>
      <c r="S2624" s="11">
        <v>1809041</v>
      </c>
      <c r="T2624">
        <v>2015</v>
      </c>
      <c r="U2624">
        <v>7</v>
      </c>
      <c r="V2624">
        <f t="shared" si="240"/>
        <v>662500</v>
      </c>
      <c r="W2624">
        <f t="shared" si="241"/>
        <v>18429897</v>
      </c>
      <c r="X2624">
        <f t="shared" si="242"/>
        <v>17767397</v>
      </c>
      <c r="Y2624">
        <f t="shared" si="243"/>
        <v>-25988595.5</v>
      </c>
      <c r="Z2624">
        <f t="shared" si="244"/>
        <v>45080992.5</v>
      </c>
      <c r="AA2624" t="str">
        <f t="shared" si="245"/>
        <v>Normal</v>
      </c>
      <c r="AE2624" s="2"/>
      <c r="AF2624" s="2"/>
    </row>
    <row r="2625" spans="1:32" x14ac:dyDescent="0.35">
      <c r="A2625">
        <v>2624</v>
      </c>
      <c r="B2625" s="1">
        <v>42202</v>
      </c>
      <c r="C2625" s="9" t="s">
        <v>4285</v>
      </c>
      <c r="D2625" s="9" t="s">
        <v>5474</v>
      </c>
      <c r="E2625" s="9" t="s">
        <v>1111</v>
      </c>
      <c r="F2625" s="9" t="s">
        <v>31</v>
      </c>
      <c r="G2625" s="9" t="s">
        <v>3224</v>
      </c>
      <c r="H2625" s="9" t="s">
        <v>105</v>
      </c>
      <c r="I2625" s="11">
        <v>1600000</v>
      </c>
      <c r="J2625" s="11">
        <v>2903308</v>
      </c>
      <c r="K2625" s="11">
        <v>16776762</v>
      </c>
      <c r="L2625" s="3">
        <v>75</v>
      </c>
      <c r="M2625" s="3">
        <v>3314</v>
      </c>
      <c r="N2625" s="3">
        <v>248285</v>
      </c>
      <c r="O2625" s="2">
        <v>6.9000000000000006E-2</v>
      </c>
      <c r="P2625" s="2">
        <v>1.1850000000000001E-2</v>
      </c>
      <c r="Q2625" s="2">
        <v>0.45899999999999996</v>
      </c>
      <c r="R2625" s="11">
        <v>213814999</v>
      </c>
      <c r="S2625" s="11">
        <v>1095234</v>
      </c>
      <c r="T2625">
        <v>2015</v>
      </c>
      <c r="U2625">
        <v>7</v>
      </c>
      <c r="V2625">
        <f t="shared" si="240"/>
        <v>650000</v>
      </c>
      <c r="W2625">
        <f t="shared" si="241"/>
        <v>18429897</v>
      </c>
      <c r="X2625">
        <f t="shared" si="242"/>
        <v>17779897</v>
      </c>
      <c r="Y2625">
        <f t="shared" si="243"/>
        <v>-26019845.5</v>
      </c>
      <c r="Z2625">
        <f t="shared" si="244"/>
        <v>45099742.5</v>
      </c>
      <c r="AA2625" t="str">
        <f t="shared" si="245"/>
        <v>Normal</v>
      </c>
      <c r="AE2625" s="2"/>
      <c r="AF2625" s="2"/>
    </row>
    <row r="2626" spans="1:32" x14ac:dyDescent="0.35">
      <c r="A2626">
        <v>2625</v>
      </c>
      <c r="B2626" s="1">
        <v>42202</v>
      </c>
      <c r="C2626" s="9" t="s">
        <v>4286</v>
      </c>
      <c r="D2626" s="9" t="s">
        <v>5475</v>
      </c>
      <c r="E2626" s="9" t="s">
        <v>1111</v>
      </c>
      <c r="F2626" s="9" t="s">
        <v>31</v>
      </c>
      <c r="G2626" s="9" t="s">
        <v>4287</v>
      </c>
      <c r="H2626" s="9" t="s">
        <v>86</v>
      </c>
      <c r="I2626" s="11">
        <v>100000</v>
      </c>
      <c r="J2626" s="11">
        <v>4894895</v>
      </c>
      <c r="K2626" s="11">
        <v>8031047</v>
      </c>
      <c r="L2626" s="3">
        <v>59</v>
      </c>
      <c r="M2626" s="3">
        <v>1291</v>
      </c>
      <c r="N2626" s="3">
        <v>856559</v>
      </c>
      <c r="O2626" s="2">
        <v>0.20899999999999999</v>
      </c>
      <c r="P2626" s="2">
        <v>0.44800000000000001</v>
      </c>
      <c r="Q2626" s="2">
        <v>0.39500000000000002</v>
      </c>
      <c r="R2626" s="11">
        <v>390733263</v>
      </c>
      <c r="S2626" s="11">
        <v>1609997</v>
      </c>
      <c r="T2626">
        <v>2015</v>
      </c>
      <c r="U2626">
        <v>7</v>
      </c>
      <c r="V2626">
        <f t="shared" ref="V2626:V2689" si="246">_xlfn.PERCENTILE.INC(I2626:I5669,0.25)</f>
        <v>650000</v>
      </c>
      <c r="W2626">
        <f t="shared" ref="W2626:W2689" si="247">_xlfn.PERCENTILE.INC(I2626:I5669,0.75)</f>
        <v>18429897</v>
      </c>
      <c r="X2626">
        <f t="shared" ref="X2626:X2689" si="248">W2626-V2626</f>
        <v>17779897</v>
      </c>
      <c r="Y2626">
        <f t="shared" ref="Y2626:Y2689" si="249">V2626-1.5*X2626</f>
        <v>-26019845.5</v>
      </c>
      <c r="Z2626">
        <f t="shared" ref="Z2626:Z2689" si="250">W2626+1.5*X2626</f>
        <v>45099742.5</v>
      </c>
      <c r="AA2626" t="str">
        <f t="shared" ref="AA2626:AA2689" si="251">IF(OR(I2626&lt;$Y$2, I2626&gt;$Z$2), "Outlier", "Normal")</f>
        <v>Normal</v>
      </c>
      <c r="AE2626" s="2"/>
      <c r="AF2626" s="2"/>
    </row>
    <row r="2627" spans="1:32" x14ac:dyDescent="0.35">
      <c r="A2627">
        <v>2626</v>
      </c>
      <c r="B2627" s="1">
        <v>42205</v>
      </c>
      <c r="C2627" s="9" t="s">
        <v>4074</v>
      </c>
      <c r="D2627" s="9" t="s">
        <v>5353</v>
      </c>
      <c r="E2627" s="9" t="s">
        <v>1111</v>
      </c>
      <c r="F2627" s="9" t="s">
        <v>27</v>
      </c>
      <c r="G2627" s="9" t="s">
        <v>4288</v>
      </c>
      <c r="H2627" s="9" t="s">
        <v>105</v>
      </c>
      <c r="I2627" s="11">
        <v>15000000</v>
      </c>
      <c r="J2627" s="11">
        <v>43001</v>
      </c>
      <c r="K2627" s="11">
        <v>14883244</v>
      </c>
      <c r="L2627" s="3">
        <v>489</v>
      </c>
      <c r="M2627" s="3">
        <v>1042</v>
      </c>
      <c r="N2627" s="3">
        <v>852258</v>
      </c>
      <c r="O2627" s="2">
        <v>0.151</v>
      </c>
      <c r="P2627" s="2">
        <v>0.40899999999999997</v>
      </c>
      <c r="Q2627" s="2">
        <v>0.433</v>
      </c>
      <c r="R2627" s="11">
        <v>292580505</v>
      </c>
      <c r="S2627" s="11">
        <v>777081</v>
      </c>
      <c r="T2627">
        <v>2015</v>
      </c>
      <c r="U2627">
        <v>7</v>
      </c>
      <c r="V2627">
        <f t="shared" si="246"/>
        <v>725000</v>
      </c>
      <c r="W2627">
        <f t="shared" si="247"/>
        <v>18429897</v>
      </c>
      <c r="X2627">
        <f t="shared" si="248"/>
        <v>17704897</v>
      </c>
      <c r="Y2627">
        <f t="shared" si="249"/>
        <v>-25832345.5</v>
      </c>
      <c r="Z2627">
        <f t="shared" si="250"/>
        <v>44987242.5</v>
      </c>
      <c r="AA2627" t="str">
        <f t="shared" si="251"/>
        <v>Normal</v>
      </c>
      <c r="AE2627" s="2"/>
      <c r="AF2627" s="2"/>
    </row>
    <row r="2628" spans="1:32" x14ac:dyDescent="0.35">
      <c r="A2628">
        <v>2627</v>
      </c>
      <c r="B2628" s="1">
        <v>42205</v>
      </c>
      <c r="C2628" s="9" t="s">
        <v>1308</v>
      </c>
      <c r="D2628" s="9" t="s">
        <v>5476</v>
      </c>
      <c r="E2628" s="9" t="s">
        <v>1111</v>
      </c>
      <c r="F2628" s="9" t="s">
        <v>15</v>
      </c>
      <c r="G2628" s="9" t="s">
        <v>4289</v>
      </c>
      <c r="H2628" s="9" t="s">
        <v>105</v>
      </c>
      <c r="I2628" s="11">
        <v>4850000</v>
      </c>
      <c r="J2628" s="11">
        <v>3090720</v>
      </c>
      <c r="K2628" s="11">
        <v>10153449</v>
      </c>
      <c r="L2628" s="3">
        <v>476</v>
      </c>
      <c r="M2628" s="3">
        <v>2896</v>
      </c>
      <c r="N2628" s="3">
        <v>461700</v>
      </c>
      <c r="O2628" s="2">
        <v>-7.2999999999999995E-2</v>
      </c>
      <c r="P2628" s="2">
        <v>0.31</v>
      </c>
      <c r="Q2628" s="2">
        <v>0.3</v>
      </c>
      <c r="R2628" s="11">
        <v>478737232</v>
      </c>
      <c r="S2628" s="11">
        <v>909865</v>
      </c>
      <c r="T2628">
        <v>2015</v>
      </c>
      <c r="U2628">
        <v>7</v>
      </c>
      <c r="V2628">
        <f t="shared" si="246"/>
        <v>687500</v>
      </c>
      <c r="W2628">
        <f t="shared" si="247"/>
        <v>18429897</v>
      </c>
      <c r="X2628">
        <f t="shared" si="248"/>
        <v>17742397</v>
      </c>
      <c r="Y2628">
        <f t="shared" si="249"/>
        <v>-25926095.5</v>
      </c>
      <c r="Z2628">
        <f t="shared" si="250"/>
        <v>45043492.5</v>
      </c>
      <c r="AA2628" t="str">
        <f t="shared" si="251"/>
        <v>Normal</v>
      </c>
      <c r="AE2628" s="2"/>
      <c r="AF2628" s="2"/>
    </row>
    <row r="2629" spans="1:32" x14ac:dyDescent="0.35">
      <c r="A2629">
        <v>2628</v>
      </c>
      <c r="B2629" s="1">
        <v>42206</v>
      </c>
      <c r="C2629" s="9" t="s">
        <v>4290</v>
      </c>
      <c r="D2629" s="9" t="s">
        <v>5477</v>
      </c>
      <c r="E2629" s="9" t="s">
        <v>1111</v>
      </c>
      <c r="F2629" s="9" t="s">
        <v>15</v>
      </c>
      <c r="G2629" s="9" t="s">
        <v>4291</v>
      </c>
      <c r="H2629" s="9" t="s">
        <v>86</v>
      </c>
      <c r="I2629" s="11">
        <v>18429897</v>
      </c>
      <c r="J2629" s="11">
        <v>211939</v>
      </c>
      <c r="K2629" s="11">
        <v>2265302</v>
      </c>
      <c r="L2629" s="3">
        <v>52</v>
      </c>
      <c r="M2629" s="3">
        <v>4879</v>
      </c>
      <c r="N2629" s="3">
        <v>401207</v>
      </c>
      <c r="O2629" s="2">
        <v>0.16500000000000001</v>
      </c>
      <c r="P2629" s="2">
        <v>0.85899999999999999</v>
      </c>
      <c r="Q2629" s="2">
        <v>-0.221</v>
      </c>
      <c r="R2629" s="11">
        <v>16218861</v>
      </c>
      <c r="S2629" s="11">
        <v>1425827</v>
      </c>
      <c r="T2629">
        <v>2015</v>
      </c>
      <c r="U2629">
        <v>7</v>
      </c>
      <c r="V2629">
        <f t="shared" si="246"/>
        <v>650000</v>
      </c>
      <c r="W2629">
        <f t="shared" si="247"/>
        <v>18429897</v>
      </c>
      <c r="X2629">
        <f t="shared" si="248"/>
        <v>17779897</v>
      </c>
      <c r="Y2629">
        <f t="shared" si="249"/>
        <v>-26019845.5</v>
      </c>
      <c r="Z2629">
        <f t="shared" si="250"/>
        <v>45099742.5</v>
      </c>
      <c r="AA2629" t="str">
        <f t="shared" si="251"/>
        <v>Normal</v>
      </c>
      <c r="AE2629" s="2"/>
      <c r="AF2629" s="2"/>
    </row>
    <row r="2630" spans="1:32" x14ac:dyDescent="0.35">
      <c r="A2630">
        <v>2629</v>
      </c>
      <c r="B2630" s="1">
        <v>42206</v>
      </c>
      <c r="C2630" s="9" t="s">
        <v>4292</v>
      </c>
      <c r="D2630" s="9" t="s">
        <v>5478</v>
      </c>
      <c r="E2630" s="9" t="s">
        <v>1111</v>
      </c>
      <c r="F2630" s="9" t="s">
        <v>27</v>
      </c>
      <c r="G2630" s="9" t="s">
        <v>4293</v>
      </c>
      <c r="H2630" s="9" t="s">
        <v>105</v>
      </c>
      <c r="I2630" s="11">
        <v>1000000</v>
      </c>
      <c r="J2630" s="11">
        <v>4679757</v>
      </c>
      <c r="K2630" s="11">
        <v>15978712</v>
      </c>
      <c r="L2630" s="3">
        <v>276</v>
      </c>
      <c r="M2630" s="3">
        <v>1534</v>
      </c>
      <c r="N2630" s="3">
        <v>192013</v>
      </c>
      <c r="O2630" s="2">
        <v>-0.13800000000000001</v>
      </c>
      <c r="P2630" s="2">
        <v>1.101</v>
      </c>
      <c r="Q2630" s="2">
        <v>-0.10199999999999999</v>
      </c>
      <c r="R2630" s="11">
        <v>24233046</v>
      </c>
      <c r="S2630" s="11">
        <v>838903</v>
      </c>
      <c r="T2630">
        <v>2015</v>
      </c>
      <c r="U2630">
        <v>7</v>
      </c>
      <c r="V2630">
        <f t="shared" si="246"/>
        <v>650000</v>
      </c>
      <c r="W2630">
        <f t="shared" si="247"/>
        <v>18429897</v>
      </c>
      <c r="X2630">
        <f t="shared" si="248"/>
        <v>17779897</v>
      </c>
      <c r="Y2630">
        <f t="shared" si="249"/>
        <v>-26019845.5</v>
      </c>
      <c r="Z2630">
        <f t="shared" si="250"/>
        <v>45099742.5</v>
      </c>
      <c r="AA2630" t="str">
        <f t="shared" si="251"/>
        <v>Normal</v>
      </c>
      <c r="AE2630" s="2"/>
      <c r="AF2630" s="2"/>
    </row>
    <row r="2631" spans="1:32" x14ac:dyDescent="0.35">
      <c r="A2631">
        <v>2630</v>
      </c>
      <c r="B2631" s="1">
        <v>42207</v>
      </c>
      <c r="C2631" s="9" t="s">
        <v>477</v>
      </c>
      <c r="D2631" s="9" t="s">
        <v>5447</v>
      </c>
      <c r="E2631" s="9" t="s">
        <v>1111</v>
      </c>
      <c r="F2631" s="9" t="s">
        <v>15</v>
      </c>
      <c r="G2631" s="9" t="s">
        <v>125</v>
      </c>
      <c r="H2631" s="9" t="s">
        <v>105</v>
      </c>
      <c r="I2631" s="11">
        <v>2000000</v>
      </c>
      <c r="J2631" s="11">
        <v>3408485</v>
      </c>
      <c r="K2631" s="11">
        <v>18387076</v>
      </c>
      <c r="L2631" s="3">
        <v>342</v>
      </c>
      <c r="M2631" s="3">
        <v>616</v>
      </c>
      <c r="N2631" s="3">
        <v>1680928</v>
      </c>
      <c r="O2631" s="2">
        <v>0.16399999999999998</v>
      </c>
      <c r="P2631" s="2">
        <v>0.33399999999999996</v>
      </c>
      <c r="Q2631" s="2">
        <v>0.53500000000000003</v>
      </c>
      <c r="R2631" s="11">
        <v>356904620</v>
      </c>
      <c r="S2631" s="11">
        <v>664154</v>
      </c>
      <c r="T2631">
        <v>2015</v>
      </c>
      <c r="U2631">
        <v>7</v>
      </c>
      <c r="V2631">
        <f t="shared" si="246"/>
        <v>650000</v>
      </c>
      <c r="W2631">
        <f t="shared" si="247"/>
        <v>18429897</v>
      </c>
      <c r="X2631">
        <f t="shared" si="248"/>
        <v>17779897</v>
      </c>
      <c r="Y2631">
        <f t="shared" si="249"/>
        <v>-26019845.5</v>
      </c>
      <c r="Z2631">
        <f t="shared" si="250"/>
        <v>45099742.5</v>
      </c>
      <c r="AA2631" t="str">
        <f t="shared" si="251"/>
        <v>Normal</v>
      </c>
      <c r="AE2631" s="2"/>
      <c r="AF2631" s="2"/>
    </row>
    <row r="2632" spans="1:32" x14ac:dyDescent="0.35">
      <c r="A2632">
        <v>2631</v>
      </c>
      <c r="B2632" s="1">
        <v>42207</v>
      </c>
      <c r="C2632" s="9" t="s">
        <v>4294</v>
      </c>
      <c r="D2632" s="9" t="s">
        <v>5479</v>
      </c>
      <c r="E2632" s="9" t="s">
        <v>1111</v>
      </c>
      <c r="F2632" s="9" t="s">
        <v>31</v>
      </c>
      <c r="G2632" s="9" t="s">
        <v>4295</v>
      </c>
      <c r="H2632" s="9" t="s">
        <v>105</v>
      </c>
      <c r="I2632" s="11">
        <v>30000000</v>
      </c>
      <c r="J2632" s="11">
        <v>4568874</v>
      </c>
      <c r="K2632" s="11">
        <v>19691779</v>
      </c>
      <c r="L2632" s="3">
        <v>440</v>
      </c>
      <c r="M2632" s="3">
        <v>646</v>
      </c>
      <c r="N2632" s="3">
        <v>21424</v>
      </c>
      <c r="O2632" s="2">
        <v>0.107</v>
      </c>
      <c r="P2632" s="2">
        <v>0.30399999999999999</v>
      </c>
      <c r="Q2632" s="2">
        <v>1.4999999999999999E-2</v>
      </c>
      <c r="R2632" s="11">
        <v>414261522</v>
      </c>
      <c r="S2632" s="11">
        <v>269369</v>
      </c>
      <c r="T2632">
        <v>2015</v>
      </c>
      <c r="U2632">
        <v>7</v>
      </c>
      <c r="V2632">
        <f t="shared" si="246"/>
        <v>650000</v>
      </c>
      <c r="W2632">
        <f t="shared" si="247"/>
        <v>18429897</v>
      </c>
      <c r="X2632">
        <f t="shared" si="248"/>
        <v>17779897</v>
      </c>
      <c r="Y2632">
        <f t="shared" si="249"/>
        <v>-26019845.5</v>
      </c>
      <c r="Z2632">
        <f t="shared" si="250"/>
        <v>45099742.5</v>
      </c>
      <c r="AA2632" t="str">
        <f t="shared" si="251"/>
        <v>Normal</v>
      </c>
      <c r="AE2632" s="2"/>
      <c r="AF2632" s="2"/>
    </row>
    <row r="2633" spans="1:32" x14ac:dyDescent="0.35">
      <c r="A2633">
        <v>2632</v>
      </c>
      <c r="B2633" s="1">
        <v>42208</v>
      </c>
      <c r="C2633" s="9" t="s">
        <v>3037</v>
      </c>
      <c r="D2633" s="9" t="s">
        <v>5480</v>
      </c>
      <c r="E2633" s="9" t="s">
        <v>1111</v>
      </c>
      <c r="F2633" s="9" t="s">
        <v>15</v>
      </c>
      <c r="G2633" s="9" t="s">
        <v>4296</v>
      </c>
      <c r="H2633" s="9" t="s">
        <v>105</v>
      </c>
      <c r="I2633" s="11">
        <v>12750000</v>
      </c>
      <c r="J2633" s="11">
        <v>2822086</v>
      </c>
      <c r="K2633" s="11">
        <v>2091221</v>
      </c>
      <c r="L2633" s="3">
        <v>282</v>
      </c>
      <c r="M2633" s="3">
        <v>2484</v>
      </c>
      <c r="N2633" s="3">
        <v>1016156</v>
      </c>
      <c r="O2633" s="2">
        <v>0.42799999999999999</v>
      </c>
      <c r="P2633" s="2">
        <v>1.1040000000000001</v>
      </c>
      <c r="Q2633" s="2">
        <v>-0.374</v>
      </c>
      <c r="R2633" s="11">
        <v>184957394</v>
      </c>
      <c r="S2633" s="11">
        <v>37026</v>
      </c>
      <c r="T2633">
        <v>2015</v>
      </c>
      <c r="U2633">
        <v>7</v>
      </c>
      <c r="V2633">
        <f t="shared" si="246"/>
        <v>650000</v>
      </c>
      <c r="W2633">
        <f t="shared" si="247"/>
        <v>18429897</v>
      </c>
      <c r="X2633">
        <f t="shared" si="248"/>
        <v>17779897</v>
      </c>
      <c r="Y2633">
        <f t="shared" si="249"/>
        <v>-26019845.5</v>
      </c>
      <c r="Z2633">
        <f t="shared" si="250"/>
        <v>45099742.5</v>
      </c>
      <c r="AA2633" t="str">
        <f t="shared" si="251"/>
        <v>Normal</v>
      </c>
      <c r="AE2633" s="2"/>
      <c r="AF2633" s="2"/>
    </row>
    <row r="2634" spans="1:32" x14ac:dyDescent="0.35">
      <c r="A2634">
        <v>2633</v>
      </c>
      <c r="B2634" s="1">
        <v>42208</v>
      </c>
      <c r="C2634" s="9" t="s">
        <v>872</v>
      </c>
      <c r="D2634" s="9" t="s">
        <v>5481</v>
      </c>
      <c r="E2634" s="9" t="s">
        <v>1111</v>
      </c>
      <c r="F2634" s="9" t="s">
        <v>15</v>
      </c>
      <c r="G2634" s="9" t="s">
        <v>4297</v>
      </c>
      <c r="H2634" s="9" t="s">
        <v>105</v>
      </c>
      <c r="I2634" s="11">
        <v>25000000</v>
      </c>
      <c r="J2634" s="11">
        <v>434650</v>
      </c>
      <c r="K2634" s="11">
        <v>11344848</v>
      </c>
      <c r="L2634" s="3">
        <v>435</v>
      </c>
      <c r="M2634" s="3">
        <v>3924</v>
      </c>
      <c r="N2634" s="3">
        <v>37753</v>
      </c>
      <c r="O2634" s="2">
        <v>-5.2999999999999999E-2</v>
      </c>
      <c r="P2634" s="2">
        <v>0.86099999999999999</v>
      </c>
      <c r="Q2634" s="2">
        <v>0.252</v>
      </c>
      <c r="R2634" s="11">
        <v>456313644</v>
      </c>
      <c r="S2634" s="11">
        <v>1763870</v>
      </c>
      <c r="T2634">
        <v>2015</v>
      </c>
      <c r="U2634">
        <v>7</v>
      </c>
      <c r="V2634">
        <f t="shared" si="246"/>
        <v>643750</v>
      </c>
      <c r="W2634">
        <f t="shared" si="247"/>
        <v>18429897</v>
      </c>
      <c r="X2634">
        <f t="shared" si="248"/>
        <v>17786147</v>
      </c>
      <c r="Y2634">
        <f t="shared" si="249"/>
        <v>-26035470.5</v>
      </c>
      <c r="Z2634">
        <f t="shared" si="250"/>
        <v>45109117.5</v>
      </c>
      <c r="AA2634" t="str">
        <f t="shared" si="251"/>
        <v>Normal</v>
      </c>
      <c r="AE2634" s="2"/>
      <c r="AF2634" s="2"/>
    </row>
    <row r="2635" spans="1:32" x14ac:dyDescent="0.35">
      <c r="A2635">
        <v>2634</v>
      </c>
      <c r="B2635" s="1">
        <v>42208</v>
      </c>
      <c r="C2635" s="9" t="s">
        <v>4298</v>
      </c>
      <c r="D2635" s="9" t="s">
        <v>5482</v>
      </c>
      <c r="E2635" s="9" t="s">
        <v>1111</v>
      </c>
      <c r="F2635" s="9" t="s">
        <v>408</v>
      </c>
      <c r="G2635" s="9" t="s">
        <v>4299</v>
      </c>
      <c r="H2635" s="9" t="s">
        <v>86</v>
      </c>
      <c r="I2635" s="11">
        <v>320000</v>
      </c>
      <c r="J2635" s="11">
        <v>2531926</v>
      </c>
      <c r="K2635" s="11">
        <v>12506055</v>
      </c>
      <c r="L2635" s="3">
        <v>254</v>
      </c>
      <c r="M2635" s="3">
        <v>3575</v>
      </c>
      <c r="N2635" s="3">
        <v>1608193</v>
      </c>
      <c r="O2635" s="2">
        <v>-0.14499999999999999</v>
      </c>
      <c r="P2635" s="2">
        <v>1.1690000000000001E-2</v>
      </c>
      <c r="Q2635" s="2">
        <v>0.36599999999999999</v>
      </c>
      <c r="R2635" s="11">
        <v>137524617</v>
      </c>
      <c r="S2635" s="11">
        <v>950470</v>
      </c>
      <c r="T2635">
        <v>2015</v>
      </c>
      <c r="U2635">
        <v>7</v>
      </c>
      <c r="V2635">
        <f t="shared" si="246"/>
        <v>637500</v>
      </c>
      <c r="W2635">
        <f t="shared" si="247"/>
        <v>18429897</v>
      </c>
      <c r="X2635">
        <f t="shared" si="248"/>
        <v>17792397</v>
      </c>
      <c r="Y2635">
        <f t="shared" si="249"/>
        <v>-26051095.5</v>
      </c>
      <c r="Z2635">
        <f t="shared" si="250"/>
        <v>45118492.5</v>
      </c>
      <c r="AA2635" t="str">
        <f t="shared" si="251"/>
        <v>Normal</v>
      </c>
      <c r="AE2635" s="2"/>
      <c r="AF2635" s="2"/>
    </row>
    <row r="2636" spans="1:32" x14ac:dyDescent="0.35">
      <c r="A2636">
        <v>2635</v>
      </c>
      <c r="B2636" s="1">
        <v>42208</v>
      </c>
      <c r="C2636" s="9" t="s">
        <v>4300</v>
      </c>
      <c r="D2636" s="9" t="s">
        <v>5483</v>
      </c>
      <c r="E2636" s="9" t="s">
        <v>1111</v>
      </c>
      <c r="F2636" s="9" t="s">
        <v>31</v>
      </c>
      <c r="G2636" s="9" t="s">
        <v>939</v>
      </c>
      <c r="H2636" s="9" t="s">
        <v>86</v>
      </c>
      <c r="I2636" s="11">
        <v>18429897</v>
      </c>
      <c r="J2636" s="11">
        <v>1691155</v>
      </c>
      <c r="K2636" s="11">
        <v>1673436</v>
      </c>
      <c r="L2636" s="3">
        <v>12</v>
      </c>
      <c r="M2636" s="3">
        <v>1085</v>
      </c>
      <c r="N2636" s="3">
        <v>797310</v>
      </c>
      <c r="O2636" s="2">
        <v>3.7000000000000005E-2</v>
      </c>
      <c r="P2636" s="2">
        <v>0.91</v>
      </c>
      <c r="Q2636" s="2">
        <v>0.08</v>
      </c>
      <c r="R2636" s="11">
        <v>247262456</v>
      </c>
      <c r="S2636" s="11">
        <v>577785</v>
      </c>
      <c r="T2636">
        <v>2015</v>
      </c>
      <c r="U2636">
        <v>7</v>
      </c>
      <c r="V2636">
        <f t="shared" si="246"/>
        <v>650000</v>
      </c>
      <c r="W2636">
        <f t="shared" si="247"/>
        <v>18429897</v>
      </c>
      <c r="X2636">
        <f t="shared" si="248"/>
        <v>17779897</v>
      </c>
      <c r="Y2636">
        <f t="shared" si="249"/>
        <v>-26019845.5</v>
      </c>
      <c r="Z2636">
        <f t="shared" si="250"/>
        <v>45099742.5</v>
      </c>
      <c r="AA2636" t="str">
        <f t="shared" si="251"/>
        <v>Normal</v>
      </c>
      <c r="AE2636" s="2"/>
      <c r="AF2636" s="2"/>
    </row>
    <row r="2637" spans="1:32" x14ac:dyDescent="0.35">
      <c r="A2637">
        <v>2636</v>
      </c>
      <c r="B2637" s="1">
        <v>42208</v>
      </c>
      <c r="C2637" s="9" t="s">
        <v>670</v>
      </c>
      <c r="D2637" s="9" t="s">
        <v>5484</v>
      </c>
      <c r="E2637" s="9" t="s">
        <v>1111</v>
      </c>
      <c r="F2637" s="9" t="s">
        <v>15</v>
      </c>
      <c r="G2637" s="9" t="s">
        <v>673</v>
      </c>
      <c r="H2637" s="9" t="s">
        <v>105</v>
      </c>
      <c r="I2637" s="11">
        <v>20000000</v>
      </c>
      <c r="J2637" s="11">
        <v>3722430</v>
      </c>
      <c r="K2637" s="11">
        <v>19037789</v>
      </c>
      <c r="L2637" s="3">
        <v>235</v>
      </c>
      <c r="M2637" s="3">
        <v>4182</v>
      </c>
      <c r="N2637" s="3">
        <v>1962522</v>
      </c>
      <c r="O2637" s="2">
        <v>0.24199999999999999</v>
      </c>
      <c r="P2637" s="2">
        <v>0.97199999999999998</v>
      </c>
      <c r="Q2637" s="2">
        <v>0.36749999999999999</v>
      </c>
      <c r="R2637" s="11">
        <v>250264963</v>
      </c>
      <c r="S2637" s="11">
        <v>1192964</v>
      </c>
      <c r="T2637">
        <v>2015</v>
      </c>
      <c r="U2637">
        <v>7</v>
      </c>
      <c r="V2637">
        <f t="shared" si="246"/>
        <v>650000</v>
      </c>
      <c r="W2637">
        <f t="shared" si="247"/>
        <v>18429897</v>
      </c>
      <c r="X2637">
        <f t="shared" si="248"/>
        <v>17779897</v>
      </c>
      <c r="Y2637">
        <f t="shared" si="249"/>
        <v>-26019845.5</v>
      </c>
      <c r="Z2637">
        <f t="shared" si="250"/>
        <v>45099742.5</v>
      </c>
      <c r="AA2637" t="str">
        <f t="shared" si="251"/>
        <v>Normal</v>
      </c>
      <c r="AE2637" s="2"/>
      <c r="AF2637" s="2"/>
    </row>
    <row r="2638" spans="1:32" x14ac:dyDescent="0.35">
      <c r="A2638">
        <v>2637</v>
      </c>
      <c r="B2638" s="1">
        <v>42208</v>
      </c>
      <c r="C2638" s="9" t="s">
        <v>4301</v>
      </c>
      <c r="D2638" s="9" t="s">
        <v>5485</v>
      </c>
      <c r="E2638" s="9" t="s">
        <v>1111</v>
      </c>
      <c r="F2638" s="9" t="s">
        <v>15</v>
      </c>
      <c r="G2638" s="9" t="s">
        <v>482</v>
      </c>
      <c r="H2638" s="9" t="s">
        <v>105</v>
      </c>
      <c r="I2638" s="11">
        <v>15000000</v>
      </c>
      <c r="J2638" s="11">
        <v>772140</v>
      </c>
      <c r="K2638" s="11">
        <v>2147769</v>
      </c>
      <c r="L2638" s="3">
        <v>136</v>
      </c>
      <c r="M2638" s="3">
        <v>866</v>
      </c>
      <c r="N2638" s="3">
        <v>108649</v>
      </c>
      <c r="O2638" s="2">
        <v>-0.44</v>
      </c>
      <c r="P2638" s="2">
        <v>0.50800000000000001</v>
      </c>
      <c r="Q2638" s="2">
        <v>-0.107</v>
      </c>
      <c r="R2638" s="11">
        <v>18913904</v>
      </c>
      <c r="S2638" s="11">
        <v>1957841</v>
      </c>
      <c r="T2638">
        <v>2015</v>
      </c>
      <c r="U2638">
        <v>7</v>
      </c>
      <c r="V2638">
        <f t="shared" si="246"/>
        <v>643750</v>
      </c>
      <c r="W2638">
        <f t="shared" si="247"/>
        <v>18429897</v>
      </c>
      <c r="X2638">
        <f t="shared" si="248"/>
        <v>17786147</v>
      </c>
      <c r="Y2638">
        <f t="shared" si="249"/>
        <v>-26035470.5</v>
      </c>
      <c r="Z2638">
        <f t="shared" si="250"/>
        <v>45109117.5</v>
      </c>
      <c r="AA2638" t="str">
        <f t="shared" si="251"/>
        <v>Normal</v>
      </c>
      <c r="AE2638" s="2"/>
      <c r="AF2638" s="2"/>
    </row>
    <row r="2639" spans="1:32" x14ac:dyDescent="0.35">
      <c r="A2639">
        <v>2638</v>
      </c>
      <c r="B2639" s="1">
        <v>42208</v>
      </c>
      <c r="C2639" s="9" t="s">
        <v>598</v>
      </c>
      <c r="D2639" s="9" t="s">
        <v>5486</v>
      </c>
      <c r="E2639" s="9" t="s">
        <v>1111</v>
      </c>
      <c r="F2639" s="9" t="s">
        <v>31</v>
      </c>
      <c r="G2639" s="9" t="s">
        <v>125</v>
      </c>
      <c r="H2639" s="9" t="s">
        <v>105</v>
      </c>
      <c r="I2639" s="11">
        <v>1000000</v>
      </c>
      <c r="J2639" s="11">
        <v>4263683</v>
      </c>
      <c r="K2639" s="11">
        <v>5447705</v>
      </c>
      <c r="L2639" s="3">
        <v>378</v>
      </c>
      <c r="M2639" s="3">
        <v>2818</v>
      </c>
      <c r="N2639" s="3">
        <v>664093</v>
      </c>
      <c r="O2639" s="2">
        <v>0.29499999999999998</v>
      </c>
      <c r="P2639" s="2">
        <v>0.43799999999999994</v>
      </c>
      <c r="Q2639" s="2">
        <v>-1.6E-2</v>
      </c>
      <c r="R2639" s="11">
        <v>400655459</v>
      </c>
      <c r="S2639" s="11">
        <v>1008193.5</v>
      </c>
      <c r="T2639">
        <v>2015</v>
      </c>
      <c r="U2639">
        <v>7</v>
      </c>
      <c r="V2639">
        <f t="shared" si="246"/>
        <v>637500</v>
      </c>
      <c r="W2639">
        <f t="shared" si="247"/>
        <v>18429897</v>
      </c>
      <c r="X2639">
        <f t="shared" si="248"/>
        <v>17792397</v>
      </c>
      <c r="Y2639">
        <f t="shared" si="249"/>
        <v>-26051095.5</v>
      </c>
      <c r="Z2639">
        <f t="shared" si="250"/>
        <v>45118492.5</v>
      </c>
      <c r="AA2639" t="str">
        <f t="shared" si="251"/>
        <v>Normal</v>
      </c>
      <c r="AE2639" s="2"/>
      <c r="AF2639" s="2"/>
    </row>
    <row r="2640" spans="1:32" x14ac:dyDescent="0.35">
      <c r="A2640">
        <v>2639</v>
      </c>
      <c r="B2640" s="1">
        <v>42208</v>
      </c>
      <c r="C2640" s="9" t="s">
        <v>2532</v>
      </c>
      <c r="D2640" s="9" t="s">
        <v>5487</v>
      </c>
      <c r="E2640" s="9" t="s">
        <v>1111</v>
      </c>
      <c r="F2640" s="9" t="s">
        <v>31</v>
      </c>
      <c r="G2640" s="9" t="s">
        <v>4302</v>
      </c>
      <c r="H2640" s="9" t="s">
        <v>105</v>
      </c>
      <c r="I2640" s="11">
        <v>60000000</v>
      </c>
      <c r="J2640" s="11">
        <v>1212627</v>
      </c>
      <c r="K2640" s="11">
        <v>19373164</v>
      </c>
      <c r="L2640" s="3">
        <v>171</v>
      </c>
      <c r="M2640" s="3">
        <v>4252</v>
      </c>
      <c r="N2640" s="3">
        <v>789175</v>
      </c>
      <c r="O2640" s="2">
        <v>7.8E-2</v>
      </c>
      <c r="P2640" s="2">
        <v>0.76900000000000002</v>
      </c>
      <c r="Q2640" s="2">
        <v>0.36749999999999999</v>
      </c>
      <c r="R2640" s="11">
        <v>406137577</v>
      </c>
      <c r="S2640" s="11">
        <v>1050553</v>
      </c>
      <c r="T2640">
        <v>2015</v>
      </c>
      <c r="U2640">
        <v>7</v>
      </c>
      <c r="V2640">
        <f t="shared" si="246"/>
        <v>631250</v>
      </c>
      <c r="W2640">
        <f t="shared" si="247"/>
        <v>18429897</v>
      </c>
      <c r="X2640">
        <f t="shared" si="248"/>
        <v>17798647</v>
      </c>
      <c r="Y2640">
        <f t="shared" si="249"/>
        <v>-26066720.5</v>
      </c>
      <c r="Z2640">
        <f t="shared" si="250"/>
        <v>45127867.5</v>
      </c>
      <c r="AA2640" t="str">
        <f t="shared" si="251"/>
        <v>Outlier</v>
      </c>
      <c r="AE2640" s="2"/>
      <c r="AF2640" s="2"/>
    </row>
    <row r="2641" spans="1:32" x14ac:dyDescent="0.35">
      <c r="A2641">
        <v>2640</v>
      </c>
      <c r="B2641" s="1">
        <v>42208</v>
      </c>
      <c r="C2641" s="9" t="s">
        <v>3592</v>
      </c>
      <c r="D2641" s="9" t="s">
        <v>5488</v>
      </c>
      <c r="E2641" s="9" t="s">
        <v>1111</v>
      </c>
      <c r="F2641" s="9" t="s">
        <v>27</v>
      </c>
      <c r="G2641" s="9" t="s">
        <v>4303</v>
      </c>
      <c r="H2641" s="9" t="s">
        <v>86</v>
      </c>
      <c r="I2641" s="11">
        <v>18429897</v>
      </c>
      <c r="J2641" s="11">
        <v>2492159</v>
      </c>
      <c r="K2641" s="11">
        <v>11166375</v>
      </c>
      <c r="L2641" s="3">
        <v>206</v>
      </c>
      <c r="M2641" s="3">
        <v>4048</v>
      </c>
      <c r="N2641" s="3">
        <v>1018455</v>
      </c>
      <c r="O2641" s="2">
        <v>-0.10800000000000001</v>
      </c>
      <c r="P2641" s="2">
        <v>0.55800000000000005</v>
      </c>
      <c r="Q2641" s="2">
        <v>-0.16800000000000001</v>
      </c>
      <c r="R2641" s="11">
        <v>248801752</v>
      </c>
      <c r="S2641" s="11">
        <v>1667524</v>
      </c>
      <c r="T2641">
        <v>2015</v>
      </c>
      <c r="U2641">
        <v>7</v>
      </c>
      <c r="V2641">
        <f t="shared" si="246"/>
        <v>625000</v>
      </c>
      <c r="W2641">
        <f t="shared" si="247"/>
        <v>18429897</v>
      </c>
      <c r="X2641">
        <f t="shared" si="248"/>
        <v>17804897</v>
      </c>
      <c r="Y2641">
        <f t="shared" si="249"/>
        <v>-26082345.5</v>
      </c>
      <c r="Z2641">
        <f t="shared" si="250"/>
        <v>45137242.5</v>
      </c>
      <c r="AA2641" t="str">
        <f t="shared" si="251"/>
        <v>Normal</v>
      </c>
      <c r="AE2641" s="2"/>
      <c r="AF2641" s="2"/>
    </row>
    <row r="2642" spans="1:32" x14ac:dyDescent="0.35">
      <c r="A2642">
        <v>2641</v>
      </c>
      <c r="B2642" s="1">
        <v>42209</v>
      </c>
      <c r="C2642" s="9" t="s">
        <v>4304</v>
      </c>
      <c r="D2642" s="9" t="s">
        <v>5489</v>
      </c>
      <c r="E2642" s="9" t="s">
        <v>1111</v>
      </c>
      <c r="F2642" s="9" t="s">
        <v>19</v>
      </c>
      <c r="G2642" s="9" t="s">
        <v>3343</v>
      </c>
      <c r="H2642" s="9" t="s">
        <v>105</v>
      </c>
      <c r="I2642" s="11">
        <v>1000000</v>
      </c>
      <c r="J2642" s="11">
        <v>1031343</v>
      </c>
      <c r="K2642" s="11">
        <v>13616774</v>
      </c>
      <c r="L2642" s="3">
        <v>269</v>
      </c>
      <c r="M2642" s="3">
        <v>3525</v>
      </c>
      <c r="N2642" s="3">
        <v>874875</v>
      </c>
      <c r="O2642" s="2">
        <v>4.5999999999999999E-2</v>
      </c>
      <c r="P2642" s="2">
        <v>0.67</v>
      </c>
      <c r="Q2642" s="2">
        <v>0.45899999999999996</v>
      </c>
      <c r="R2642" s="11">
        <v>470825077</v>
      </c>
      <c r="S2642" s="11">
        <v>60766</v>
      </c>
      <c r="T2642">
        <v>2015</v>
      </c>
      <c r="U2642">
        <v>7</v>
      </c>
      <c r="V2642">
        <f t="shared" si="246"/>
        <v>618750</v>
      </c>
      <c r="W2642">
        <f t="shared" si="247"/>
        <v>18429897</v>
      </c>
      <c r="X2642">
        <f t="shared" si="248"/>
        <v>17811147</v>
      </c>
      <c r="Y2642">
        <f t="shared" si="249"/>
        <v>-26097970.5</v>
      </c>
      <c r="Z2642">
        <f t="shared" si="250"/>
        <v>45146617.5</v>
      </c>
      <c r="AA2642" t="str">
        <f t="shared" si="251"/>
        <v>Normal</v>
      </c>
      <c r="AE2642" s="2"/>
      <c r="AF2642" s="2"/>
    </row>
    <row r="2643" spans="1:32" x14ac:dyDescent="0.35">
      <c r="A2643">
        <v>2642</v>
      </c>
      <c r="B2643" s="1">
        <v>42210</v>
      </c>
      <c r="C2643" s="9" t="s">
        <v>4305</v>
      </c>
      <c r="D2643" s="9" t="s">
        <v>5490</v>
      </c>
      <c r="E2643" s="9" t="s">
        <v>1111</v>
      </c>
      <c r="F2643" s="9" t="s">
        <v>27</v>
      </c>
      <c r="G2643" s="9" t="s">
        <v>1315</v>
      </c>
      <c r="H2643" s="9" t="s">
        <v>86</v>
      </c>
      <c r="I2643" s="11">
        <v>18429897</v>
      </c>
      <c r="J2643" s="11">
        <v>2339472</v>
      </c>
      <c r="K2643" s="11">
        <v>9924792</v>
      </c>
      <c r="L2643" s="3">
        <v>480</v>
      </c>
      <c r="M2643" s="3">
        <v>1688</v>
      </c>
      <c r="N2643" s="3">
        <v>918289</v>
      </c>
      <c r="O2643" s="2">
        <v>-2.7999999999999997E-2</v>
      </c>
      <c r="P2643" s="2">
        <v>0.71599999999999997</v>
      </c>
      <c r="Q2643" s="2">
        <v>-0.72900000000000009</v>
      </c>
      <c r="R2643" s="11">
        <v>86934548</v>
      </c>
      <c r="S2643" s="11">
        <v>1999661</v>
      </c>
      <c r="T2643">
        <v>2015</v>
      </c>
      <c r="U2643">
        <v>7</v>
      </c>
      <c r="V2643">
        <f t="shared" si="246"/>
        <v>612500</v>
      </c>
      <c r="W2643">
        <f t="shared" si="247"/>
        <v>18429897</v>
      </c>
      <c r="X2643">
        <f t="shared" si="248"/>
        <v>17817397</v>
      </c>
      <c r="Y2643">
        <f t="shared" si="249"/>
        <v>-26113595.5</v>
      </c>
      <c r="Z2643">
        <f t="shared" si="250"/>
        <v>45155992.5</v>
      </c>
      <c r="AA2643" t="str">
        <f t="shared" si="251"/>
        <v>Normal</v>
      </c>
      <c r="AE2643" s="2"/>
      <c r="AF2643" s="2"/>
    </row>
    <row r="2644" spans="1:32" x14ac:dyDescent="0.35">
      <c r="A2644">
        <v>2643</v>
      </c>
      <c r="B2644" s="1">
        <v>42210</v>
      </c>
      <c r="C2644" s="9" t="s">
        <v>3962</v>
      </c>
      <c r="D2644" s="9" t="s">
        <v>5491</v>
      </c>
      <c r="E2644" s="9" t="s">
        <v>1111</v>
      </c>
      <c r="F2644" s="9" t="s">
        <v>31</v>
      </c>
      <c r="G2644" s="9" t="s">
        <v>4306</v>
      </c>
      <c r="H2644" s="9" t="s">
        <v>105</v>
      </c>
      <c r="I2644" s="11">
        <v>15000000</v>
      </c>
      <c r="J2644" s="11">
        <v>2271826</v>
      </c>
      <c r="K2644" s="11">
        <v>15074135</v>
      </c>
      <c r="L2644" s="3">
        <v>40</v>
      </c>
      <c r="M2644" s="3">
        <v>3842</v>
      </c>
      <c r="N2644" s="3">
        <v>890827</v>
      </c>
      <c r="O2644" s="2">
        <v>-0.125</v>
      </c>
      <c r="P2644" s="2">
        <v>0.22699999999999998</v>
      </c>
      <c r="Q2644" s="2">
        <v>0.3</v>
      </c>
      <c r="R2644" s="11">
        <v>306977047</v>
      </c>
      <c r="S2644" s="11">
        <v>1428284</v>
      </c>
      <c r="T2644">
        <v>2015</v>
      </c>
      <c r="U2644">
        <v>7</v>
      </c>
      <c r="V2644">
        <f t="shared" si="246"/>
        <v>606250</v>
      </c>
      <c r="W2644">
        <f t="shared" si="247"/>
        <v>18429897</v>
      </c>
      <c r="X2644">
        <f t="shared" si="248"/>
        <v>17823647</v>
      </c>
      <c r="Y2644">
        <f t="shared" si="249"/>
        <v>-26129220.5</v>
      </c>
      <c r="Z2644">
        <f t="shared" si="250"/>
        <v>45165367.5</v>
      </c>
      <c r="AA2644" t="str">
        <f t="shared" si="251"/>
        <v>Normal</v>
      </c>
      <c r="AE2644" s="2"/>
      <c r="AF2644" s="2"/>
    </row>
    <row r="2645" spans="1:32" x14ac:dyDescent="0.35">
      <c r="A2645">
        <v>2644</v>
      </c>
      <c r="B2645" s="1">
        <v>42212</v>
      </c>
      <c r="C2645" s="9" t="s">
        <v>4307</v>
      </c>
      <c r="D2645" s="9" t="s">
        <v>5492</v>
      </c>
      <c r="E2645" s="9" t="s">
        <v>1111</v>
      </c>
      <c r="F2645" s="9" t="s">
        <v>124</v>
      </c>
      <c r="G2645" s="9" t="s">
        <v>853</v>
      </c>
      <c r="H2645" s="9" t="s">
        <v>105</v>
      </c>
      <c r="I2645" s="11">
        <v>6000000</v>
      </c>
      <c r="J2645" s="11">
        <v>47256</v>
      </c>
      <c r="K2645" s="11">
        <v>1721241</v>
      </c>
      <c r="L2645" s="3">
        <v>278</v>
      </c>
      <c r="M2645" s="3">
        <v>1963</v>
      </c>
      <c r="N2645" s="3">
        <v>1066851</v>
      </c>
      <c r="O2645" s="2">
        <v>-0.26800000000000002</v>
      </c>
      <c r="P2645" s="2">
        <v>0.80900000000000005</v>
      </c>
      <c r="Q2645" s="2">
        <v>-3.3000000000000002E-2</v>
      </c>
      <c r="R2645" s="11">
        <v>435666770</v>
      </c>
      <c r="S2645" s="11">
        <v>1527359</v>
      </c>
      <c r="T2645">
        <v>2015</v>
      </c>
      <c r="U2645">
        <v>7</v>
      </c>
      <c r="V2645">
        <f t="shared" si="246"/>
        <v>600000</v>
      </c>
      <c r="W2645">
        <f t="shared" si="247"/>
        <v>18429897</v>
      </c>
      <c r="X2645">
        <f t="shared" si="248"/>
        <v>17829897</v>
      </c>
      <c r="Y2645">
        <f t="shared" si="249"/>
        <v>-26144845.5</v>
      </c>
      <c r="Z2645">
        <f t="shared" si="250"/>
        <v>45174742.5</v>
      </c>
      <c r="AA2645" t="str">
        <f t="shared" si="251"/>
        <v>Normal</v>
      </c>
      <c r="AE2645" s="2"/>
      <c r="AF2645" s="2"/>
    </row>
    <row r="2646" spans="1:32" x14ac:dyDescent="0.35">
      <c r="A2646">
        <v>2645</v>
      </c>
      <c r="B2646" s="1">
        <v>42212</v>
      </c>
      <c r="C2646" s="9" t="s">
        <v>4308</v>
      </c>
      <c r="D2646" s="9" t="s">
        <v>5493</v>
      </c>
      <c r="E2646" s="9" t="s">
        <v>1111</v>
      </c>
      <c r="F2646" s="9" t="s">
        <v>15</v>
      </c>
      <c r="G2646" s="9" t="s">
        <v>1686</v>
      </c>
      <c r="H2646" s="9" t="s">
        <v>86</v>
      </c>
      <c r="I2646" s="11">
        <v>18429897</v>
      </c>
      <c r="J2646" s="11">
        <v>2847701</v>
      </c>
      <c r="K2646" s="11">
        <v>13547698</v>
      </c>
      <c r="L2646" s="3">
        <v>197</v>
      </c>
      <c r="M2646" s="3">
        <v>1784</v>
      </c>
      <c r="N2646" s="3">
        <v>383391</v>
      </c>
      <c r="O2646" s="2">
        <v>0.26600000000000001</v>
      </c>
      <c r="P2646" s="2">
        <v>0.55900000000000005</v>
      </c>
      <c r="Q2646" s="2">
        <v>0.249</v>
      </c>
      <c r="R2646" s="11">
        <v>191488861</v>
      </c>
      <c r="S2646" s="11">
        <v>478993</v>
      </c>
      <c r="T2646">
        <v>2015</v>
      </c>
      <c r="U2646">
        <v>7</v>
      </c>
      <c r="V2646">
        <f t="shared" si="246"/>
        <v>600000</v>
      </c>
      <c r="W2646">
        <f t="shared" si="247"/>
        <v>18429897</v>
      </c>
      <c r="X2646">
        <f t="shared" si="248"/>
        <v>17829897</v>
      </c>
      <c r="Y2646">
        <f t="shared" si="249"/>
        <v>-26144845.5</v>
      </c>
      <c r="Z2646">
        <f t="shared" si="250"/>
        <v>45174742.5</v>
      </c>
      <c r="AA2646" t="str">
        <f t="shared" si="251"/>
        <v>Normal</v>
      </c>
      <c r="AE2646" s="2"/>
      <c r="AF2646" s="2"/>
    </row>
    <row r="2647" spans="1:32" x14ac:dyDescent="0.35">
      <c r="A2647">
        <v>2646</v>
      </c>
      <c r="B2647" s="1">
        <v>42212</v>
      </c>
      <c r="C2647" s="9" t="s">
        <v>2888</v>
      </c>
      <c r="D2647" s="9" t="s">
        <v>5494</v>
      </c>
      <c r="E2647" s="9" t="s">
        <v>1111</v>
      </c>
      <c r="F2647" s="9" t="s">
        <v>15</v>
      </c>
      <c r="G2647" s="9" t="s">
        <v>4885</v>
      </c>
      <c r="H2647" s="9" t="s">
        <v>86</v>
      </c>
      <c r="I2647" s="11">
        <v>18429897</v>
      </c>
      <c r="J2647" s="11">
        <v>3937515</v>
      </c>
      <c r="K2647" s="11">
        <v>1426095</v>
      </c>
      <c r="L2647" s="3">
        <v>22</v>
      </c>
      <c r="M2647" s="3">
        <v>2686</v>
      </c>
      <c r="N2647" s="3">
        <v>477576</v>
      </c>
      <c r="O2647" s="2">
        <v>0.8</v>
      </c>
      <c r="P2647" s="2">
        <v>1.012</v>
      </c>
      <c r="Q2647" s="2">
        <v>-0.433</v>
      </c>
      <c r="R2647" s="11">
        <v>131603563</v>
      </c>
      <c r="S2647" s="11">
        <v>1008193.5</v>
      </c>
      <c r="T2647">
        <v>2015</v>
      </c>
      <c r="U2647">
        <v>7</v>
      </c>
      <c r="V2647">
        <f t="shared" si="246"/>
        <v>600000</v>
      </c>
      <c r="W2647">
        <f t="shared" si="247"/>
        <v>18429897</v>
      </c>
      <c r="X2647">
        <f t="shared" si="248"/>
        <v>17829897</v>
      </c>
      <c r="Y2647">
        <f t="shared" si="249"/>
        <v>-26144845.5</v>
      </c>
      <c r="Z2647">
        <f t="shared" si="250"/>
        <v>45174742.5</v>
      </c>
      <c r="AA2647" t="str">
        <f t="shared" si="251"/>
        <v>Normal</v>
      </c>
      <c r="AE2647" s="2"/>
      <c r="AF2647" s="2"/>
    </row>
    <row r="2648" spans="1:32" x14ac:dyDescent="0.35">
      <c r="A2648">
        <v>2647</v>
      </c>
      <c r="B2648" s="1">
        <v>42212</v>
      </c>
      <c r="C2648" s="9" t="s">
        <v>4309</v>
      </c>
      <c r="D2648" s="9" t="s">
        <v>5477</v>
      </c>
      <c r="E2648" s="9" t="s">
        <v>1111</v>
      </c>
      <c r="F2648" s="9" t="s">
        <v>15</v>
      </c>
      <c r="G2648" s="9" t="s">
        <v>4310</v>
      </c>
      <c r="H2648" s="9" t="s">
        <v>86</v>
      </c>
      <c r="I2648" s="11">
        <v>18429897</v>
      </c>
      <c r="J2648" s="11">
        <v>4682654</v>
      </c>
      <c r="K2648" s="11">
        <v>3674390</v>
      </c>
      <c r="L2648" s="3">
        <v>408</v>
      </c>
      <c r="M2648" s="3">
        <v>3106</v>
      </c>
      <c r="N2648" s="3">
        <v>997480</v>
      </c>
      <c r="O2648" s="2">
        <v>4.2000000000000003E-2</v>
      </c>
      <c r="P2648" s="2">
        <v>0.25600000000000001</v>
      </c>
      <c r="Q2648" s="2">
        <v>-9.0999999999999998E-2</v>
      </c>
      <c r="R2648" s="11">
        <v>274618182</v>
      </c>
      <c r="S2648" s="11">
        <v>1254014</v>
      </c>
      <c r="T2648">
        <v>2015</v>
      </c>
      <c r="U2648">
        <v>7</v>
      </c>
      <c r="V2648">
        <f t="shared" si="246"/>
        <v>600000</v>
      </c>
      <c r="W2648">
        <f t="shared" si="247"/>
        <v>18429897</v>
      </c>
      <c r="X2648">
        <f t="shared" si="248"/>
        <v>17829897</v>
      </c>
      <c r="Y2648">
        <f t="shared" si="249"/>
        <v>-26144845.5</v>
      </c>
      <c r="Z2648">
        <f t="shared" si="250"/>
        <v>45174742.5</v>
      </c>
      <c r="AA2648" t="str">
        <f t="shared" si="251"/>
        <v>Normal</v>
      </c>
      <c r="AE2648" s="2"/>
      <c r="AF2648" s="2"/>
    </row>
    <row r="2649" spans="1:32" x14ac:dyDescent="0.35">
      <c r="A2649">
        <v>2648</v>
      </c>
      <c r="B2649" s="1">
        <v>42213</v>
      </c>
      <c r="C2649" s="9" t="s">
        <v>680</v>
      </c>
      <c r="D2649" s="9" t="s">
        <v>5495</v>
      </c>
      <c r="E2649" s="9" t="s">
        <v>1111</v>
      </c>
      <c r="F2649" s="9" t="s">
        <v>31</v>
      </c>
      <c r="G2649" s="9" t="s">
        <v>4311</v>
      </c>
      <c r="H2649" s="9" t="s">
        <v>105</v>
      </c>
      <c r="I2649" s="11">
        <v>100000000</v>
      </c>
      <c r="J2649" s="11">
        <v>1666966</v>
      </c>
      <c r="K2649" s="11">
        <v>10174287</v>
      </c>
      <c r="L2649" s="3">
        <v>457</v>
      </c>
      <c r="M2649" s="3">
        <v>1085</v>
      </c>
      <c r="N2649" s="3">
        <v>1288036</v>
      </c>
      <c r="O2649" s="2">
        <v>0.28899999999999998</v>
      </c>
      <c r="P2649" s="2">
        <v>0.75599999999999989</v>
      </c>
      <c r="Q2649" s="2">
        <v>-4.7E-2</v>
      </c>
      <c r="R2649" s="11">
        <v>277114484</v>
      </c>
      <c r="S2649" s="11">
        <v>1881104</v>
      </c>
      <c r="T2649">
        <v>2015</v>
      </c>
      <c r="U2649">
        <v>7</v>
      </c>
      <c r="V2649">
        <f t="shared" si="246"/>
        <v>600000</v>
      </c>
      <c r="W2649">
        <f t="shared" si="247"/>
        <v>18429897</v>
      </c>
      <c r="X2649">
        <f t="shared" si="248"/>
        <v>17829897</v>
      </c>
      <c r="Y2649">
        <f t="shared" si="249"/>
        <v>-26144845.5</v>
      </c>
      <c r="Z2649">
        <f t="shared" si="250"/>
        <v>45174742.5</v>
      </c>
      <c r="AA2649" t="str">
        <f t="shared" si="251"/>
        <v>Outlier</v>
      </c>
      <c r="AE2649" s="2"/>
      <c r="AF2649" s="2"/>
    </row>
    <row r="2650" spans="1:32" x14ac:dyDescent="0.35">
      <c r="A2650">
        <v>2649</v>
      </c>
      <c r="B2650" s="1">
        <v>42213</v>
      </c>
      <c r="C2650" s="9" t="s">
        <v>398</v>
      </c>
      <c r="D2650" s="9" t="s">
        <v>4976</v>
      </c>
      <c r="E2650" s="9" t="s">
        <v>1111</v>
      </c>
      <c r="F2650" s="9" t="s">
        <v>15</v>
      </c>
      <c r="G2650" s="9" t="s">
        <v>4312</v>
      </c>
      <c r="H2650" s="9" t="s">
        <v>105</v>
      </c>
      <c r="I2650" s="11">
        <v>200000000</v>
      </c>
      <c r="J2650" s="11">
        <v>4405319</v>
      </c>
      <c r="K2650" s="11">
        <v>9022406</v>
      </c>
      <c r="L2650" s="3">
        <v>90</v>
      </c>
      <c r="M2650" s="3">
        <v>4664</v>
      </c>
      <c r="N2650" s="3">
        <v>784695</v>
      </c>
      <c r="O2650" s="2">
        <v>0.13100000000000001</v>
      </c>
      <c r="P2650" s="2">
        <v>0.56000000000000005</v>
      </c>
      <c r="Q2650" s="2">
        <v>0.20100000000000001</v>
      </c>
      <c r="R2650" s="11">
        <v>434291964</v>
      </c>
      <c r="S2650" s="11">
        <v>506229</v>
      </c>
      <c r="T2650">
        <v>2015</v>
      </c>
      <c r="U2650">
        <v>7</v>
      </c>
      <c r="V2650">
        <f t="shared" si="246"/>
        <v>587500</v>
      </c>
      <c r="W2650">
        <f t="shared" si="247"/>
        <v>18429897</v>
      </c>
      <c r="X2650">
        <f t="shared" si="248"/>
        <v>17842397</v>
      </c>
      <c r="Y2650">
        <f t="shared" si="249"/>
        <v>-26176095.5</v>
      </c>
      <c r="Z2650">
        <f t="shared" si="250"/>
        <v>45193492.5</v>
      </c>
      <c r="AA2650" t="str">
        <f t="shared" si="251"/>
        <v>Outlier</v>
      </c>
      <c r="AE2650" s="2"/>
      <c r="AF2650" s="2"/>
    </row>
    <row r="2651" spans="1:32" x14ac:dyDescent="0.35">
      <c r="A2651">
        <v>2650</v>
      </c>
      <c r="B2651" s="1">
        <v>42213</v>
      </c>
      <c r="C2651" s="9" t="s">
        <v>3863</v>
      </c>
      <c r="D2651" s="9" t="s">
        <v>5496</v>
      </c>
      <c r="E2651" s="9" t="s">
        <v>1111</v>
      </c>
      <c r="F2651" s="9" t="s">
        <v>15</v>
      </c>
      <c r="G2651" s="9" t="s">
        <v>4313</v>
      </c>
      <c r="H2651" s="9" t="s">
        <v>86</v>
      </c>
      <c r="I2651" s="11">
        <v>1300000</v>
      </c>
      <c r="J2651" s="11">
        <v>2531926</v>
      </c>
      <c r="K2651" s="11">
        <v>3135619</v>
      </c>
      <c r="L2651" s="3">
        <v>381</v>
      </c>
      <c r="M2651" s="3">
        <v>4341</v>
      </c>
      <c r="N2651" s="3">
        <v>913948</v>
      </c>
      <c r="O2651" s="2">
        <v>-0.192</v>
      </c>
      <c r="P2651" s="2">
        <v>0.29299999999999998</v>
      </c>
      <c r="Q2651" s="2">
        <v>9.8000000000000004E-2</v>
      </c>
      <c r="R2651" s="11">
        <v>173183277</v>
      </c>
      <c r="S2651" s="11">
        <v>1359560</v>
      </c>
      <c r="T2651">
        <v>2015</v>
      </c>
      <c r="U2651">
        <v>7</v>
      </c>
      <c r="V2651">
        <f t="shared" si="246"/>
        <v>575000</v>
      </c>
      <c r="W2651">
        <f t="shared" si="247"/>
        <v>18429897</v>
      </c>
      <c r="X2651">
        <f t="shared" si="248"/>
        <v>17854897</v>
      </c>
      <c r="Y2651">
        <f t="shared" si="249"/>
        <v>-26207345.5</v>
      </c>
      <c r="Z2651">
        <f t="shared" si="250"/>
        <v>45212242.5</v>
      </c>
      <c r="AA2651" t="str">
        <f t="shared" si="251"/>
        <v>Normal</v>
      </c>
      <c r="AE2651" s="2"/>
      <c r="AF2651" s="2"/>
    </row>
    <row r="2652" spans="1:32" x14ac:dyDescent="0.35">
      <c r="A2652">
        <v>2651</v>
      </c>
      <c r="B2652" s="1">
        <v>42213</v>
      </c>
      <c r="C2652" s="9" t="s">
        <v>501</v>
      </c>
      <c r="D2652" s="9" t="s">
        <v>5149</v>
      </c>
      <c r="E2652" s="9" t="s">
        <v>1111</v>
      </c>
      <c r="F2652" s="9" t="s">
        <v>31</v>
      </c>
      <c r="G2652" s="9" t="s">
        <v>4314</v>
      </c>
      <c r="H2652" s="9" t="s">
        <v>86</v>
      </c>
      <c r="I2652" s="11">
        <v>1000000</v>
      </c>
      <c r="J2652" s="11">
        <v>4942146</v>
      </c>
      <c r="K2652" s="11">
        <v>15981800</v>
      </c>
      <c r="L2652" s="3">
        <v>352</v>
      </c>
      <c r="M2652" s="3">
        <v>1449</v>
      </c>
      <c r="N2652" s="3">
        <v>1979055</v>
      </c>
      <c r="O2652" s="2">
        <v>0.255</v>
      </c>
      <c r="P2652" s="2">
        <v>0.61399999999999999</v>
      </c>
      <c r="Q2652" s="2">
        <v>-0.314</v>
      </c>
      <c r="R2652" s="11">
        <v>42474179</v>
      </c>
      <c r="S2652" s="11">
        <v>620198</v>
      </c>
      <c r="T2652">
        <v>2015</v>
      </c>
      <c r="U2652">
        <v>7</v>
      </c>
      <c r="V2652">
        <f t="shared" si="246"/>
        <v>562500</v>
      </c>
      <c r="W2652">
        <f t="shared" si="247"/>
        <v>18429897</v>
      </c>
      <c r="X2652">
        <f t="shared" si="248"/>
        <v>17867397</v>
      </c>
      <c r="Y2652">
        <f t="shared" si="249"/>
        <v>-26238595.5</v>
      </c>
      <c r="Z2652">
        <f t="shared" si="250"/>
        <v>45230992.5</v>
      </c>
      <c r="AA2652" t="str">
        <f t="shared" si="251"/>
        <v>Normal</v>
      </c>
      <c r="AE2652" s="2"/>
      <c r="AF2652" s="2"/>
    </row>
    <row r="2653" spans="1:32" x14ac:dyDescent="0.35">
      <c r="A2653">
        <v>2652</v>
      </c>
      <c r="B2653" s="1">
        <v>42214</v>
      </c>
      <c r="C2653" s="9" t="s">
        <v>4315</v>
      </c>
      <c r="D2653" s="9" t="s">
        <v>5354</v>
      </c>
      <c r="E2653" s="9" t="s">
        <v>1111</v>
      </c>
      <c r="F2653" s="9" t="s">
        <v>31</v>
      </c>
      <c r="G2653" s="9" t="s">
        <v>4886</v>
      </c>
      <c r="H2653" s="9" t="s">
        <v>105</v>
      </c>
      <c r="I2653" s="11">
        <v>2000000</v>
      </c>
      <c r="J2653" s="11">
        <v>1877841</v>
      </c>
      <c r="K2653" s="11">
        <v>6107112</v>
      </c>
      <c r="L2653" s="3">
        <v>354</v>
      </c>
      <c r="M2653" s="3">
        <v>1246</v>
      </c>
      <c r="N2653" s="3">
        <v>1018455</v>
      </c>
      <c r="O2653" s="2">
        <v>1.6E-2</v>
      </c>
      <c r="P2653" s="2">
        <v>0.60899999999999999</v>
      </c>
      <c r="Q2653" s="2">
        <v>1.4999999999999999E-2</v>
      </c>
      <c r="R2653" s="11">
        <v>416922873</v>
      </c>
      <c r="S2653" s="11">
        <v>1790421</v>
      </c>
      <c r="T2653">
        <v>2015</v>
      </c>
      <c r="U2653">
        <v>7</v>
      </c>
      <c r="V2653">
        <f t="shared" si="246"/>
        <v>550000</v>
      </c>
      <c r="W2653">
        <f t="shared" si="247"/>
        <v>18429897</v>
      </c>
      <c r="X2653">
        <f t="shared" si="248"/>
        <v>17879897</v>
      </c>
      <c r="Y2653">
        <f t="shared" si="249"/>
        <v>-26269845.5</v>
      </c>
      <c r="Z2653">
        <f t="shared" si="250"/>
        <v>45249742.5</v>
      </c>
      <c r="AA2653" t="str">
        <f t="shared" si="251"/>
        <v>Normal</v>
      </c>
      <c r="AE2653" s="2"/>
      <c r="AF2653" s="2"/>
    </row>
    <row r="2654" spans="1:32" x14ac:dyDescent="0.35">
      <c r="A2654">
        <v>2653</v>
      </c>
      <c r="B2654" s="1">
        <v>42214</v>
      </c>
      <c r="C2654" s="9" t="s">
        <v>4316</v>
      </c>
      <c r="D2654" s="9" t="s">
        <v>5497</v>
      </c>
      <c r="E2654" s="9" t="s">
        <v>1111</v>
      </c>
      <c r="F2654" s="9" t="s">
        <v>27</v>
      </c>
      <c r="G2654" s="9" t="s">
        <v>4317</v>
      </c>
      <c r="H2654" s="9" t="s">
        <v>86</v>
      </c>
      <c r="I2654" s="11">
        <v>2400000</v>
      </c>
      <c r="J2654" s="11">
        <v>4257439</v>
      </c>
      <c r="K2654" s="11">
        <v>17340622</v>
      </c>
      <c r="L2654" s="3">
        <v>232</v>
      </c>
      <c r="M2654" s="3">
        <v>391</v>
      </c>
      <c r="N2654" s="3">
        <v>90833</v>
      </c>
      <c r="O2654" s="2">
        <v>0.221</v>
      </c>
      <c r="P2654" s="2">
        <v>0.95299999999999996</v>
      </c>
      <c r="Q2654" s="2">
        <v>-9.4E-2</v>
      </c>
      <c r="R2654" s="11">
        <v>28367803</v>
      </c>
      <c r="S2654" s="11">
        <v>1167053</v>
      </c>
      <c r="T2654">
        <v>2015</v>
      </c>
      <c r="U2654">
        <v>7</v>
      </c>
      <c r="V2654">
        <f t="shared" si="246"/>
        <v>550000</v>
      </c>
      <c r="W2654">
        <f t="shared" si="247"/>
        <v>18429897</v>
      </c>
      <c r="X2654">
        <f t="shared" si="248"/>
        <v>17879897</v>
      </c>
      <c r="Y2654">
        <f t="shared" si="249"/>
        <v>-26269845.5</v>
      </c>
      <c r="Z2654">
        <f t="shared" si="250"/>
        <v>45249742.5</v>
      </c>
      <c r="AA2654" t="str">
        <f t="shared" si="251"/>
        <v>Normal</v>
      </c>
      <c r="AE2654" s="2"/>
      <c r="AF2654" s="2"/>
    </row>
    <row r="2655" spans="1:32" x14ac:dyDescent="0.35">
      <c r="A2655">
        <v>2654</v>
      </c>
      <c r="B2655" s="1">
        <v>42214</v>
      </c>
      <c r="C2655" s="9" t="s">
        <v>4318</v>
      </c>
      <c r="D2655" s="9" t="s">
        <v>5498</v>
      </c>
      <c r="E2655" s="9" t="s">
        <v>1111</v>
      </c>
      <c r="F2655" s="9" t="s">
        <v>15</v>
      </c>
      <c r="G2655" s="9" t="s">
        <v>4887</v>
      </c>
      <c r="H2655" s="9" t="s">
        <v>105</v>
      </c>
      <c r="I2655" s="11">
        <v>50000000</v>
      </c>
      <c r="J2655" s="11">
        <v>2834087</v>
      </c>
      <c r="K2655" s="11">
        <v>398375</v>
      </c>
      <c r="L2655" s="3">
        <v>163</v>
      </c>
      <c r="M2655" s="3">
        <v>2060</v>
      </c>
      <c r="N2655" s="3">
        <v>721324</v>
      </c>
      <c r="O2655" s="2">
        <v>-5.2999999999999999E-2</v>
      </c>
      <c r="P2655" s="2">
        <v>0.35199999999999998</v>
      </c>
      <c r="Q2655" s="2">
        <v>0.216</v>
      </c>
      <c r="R2655" s="11">
        <v>91860038</v>
      </c>
      <c r="S2655" s="11">
        <v>1008193.5</v>
      </c>
      <c r="T2655">
        <v>2015</v>
      </c>
      <c r="U2655">
        <v>7</v>
      </c>
      <c r="V2655">
        <f t="shared" si="246"/>
        <v>550000</v>
      </c>
      <c r="W2655">
        <f t="shared" si="247"/>
        <v>18429897</v>
      </c>
      <c r="X2655">
        <f t="shared" si="248"/>
        <v>17879897</v>
      </c>
      <c r="Y2655">
        <f t="shared" si="249"/>
        <v>-26269845.5</v>
      </c>
      <c r="Z2655">
        <f t="shared" si="250"/>
        <v>45249742.5</v>
      </c>
      <c r="AA2655" t="str">
        <f t="shared" si="251"/>
        <v>Outlier</v>
      </c>
      <c r="AE2655" s="2"/>
      <c r="AF2655" s="2"/>
    </row>
    <row r="2656" spans="1:32" x14ac:dyDescent="0.35">
      <c r="A2656">
        <v>2655</v>
      </c>
      <c r="B2656" s="1">
        <v>42214</v>
      </c>
      <c r="C2656" s="9" t="s">
        <v>4319</v>
      </c>
      <c r="D2656" s="9" t="s">
        <v>5499</v>
      </c>
      <c r="E2656" s="9" t="s">
        <v>1111</v>
      </c>
      <c r="F2656" s="9" t="s">
        <v>19</v>
      </c>
      <c r="G2656" s="9" t="s">
        <v>4320</v>
      </c>
      <c r="H2656" s="9" t="s">
        <v>105</v>
      </c>
      <c r="I2656" s="11">
        <v>1200000</v>
      </c>
      <c r="J2656" s="11">
        <v>310188</v>
      </c>
      <c r="K2656" s="11">
        <v>4822976</v>
      </c>
      <c r="L2656" s="3">
        <v>39</v>
      </c>
      <c r="M2656" s="3">
        <v>895</v>
      </c>
      <c r="N2656" s="3">
        <v>107851</v>
      </c>
      <c r="O2656" s="2">
        <v>-0.17499999999999999</v>
      </c>
      <c r="P2656" s="2">
        <v>1.03</v>
      </c>
      <c r="Q2656" s="2">
        <v>3.7999999999999999E-2</v>
      </c>
      <c r="R2656" s="11">
        <v>416884531</v>
      </c>
      <c r="S2656" s="11">
        <v>1988700</v>
      </c>
      <c r="T2656">
        <v>2015</v>
      </c>
      <c r="U2656">
        <v>7</v>
      </c>
      <c r="V2656">
        <f t="shared" si="246"/>
        <v>550000</v>
      </c>
      <c r="W2656">
        <f t="shared" si="247"/>
        <v>18429897</v>
      </c>
      <c r="X2656">
        <f t="shared" si="248"/>
        <v>17879897</v>
      </c>
      <c r="Y2656">
        <f t="shared" si="249"/>
        <v>-26269845.5</v>
      </c>
      <c r="Z2656">
        <f t="shared" si="250"/>
        <v>45249742.5</v>
      </c>
      <c r="AA2656" t="str">
        <f t="shared" si="251"/>
        <v>Normal</v>
      </c>
      <c r="AE2656" s="2"/>
      <c r="AF2656" s="2"/>
    </row>
    <row r="2657" spans="1:32" x14ac:dyDescent="0.35">
      <c r="A2657">
        <v>2656</v>
      </c>
      <c r="B2657" s="1">
        <v>42215</v>
      </c>
      <c r="C2657" s="9" t="s">
        <v>4321</v>
      </c>
      <c r="D2657" s="9" t="s">
        <v>5500</v>
      </c>
      <c r="E2657" s="9" t="s">
        <v>1111</v>
      </c>
      <c r="F2657" s="9" t="s">
        <v>31</v>
      </c>
      <c r="G2657" s="9" t="s">
        <v>4322</v>
      </c>
      <c r="H2657" s="9" t="s">
        <v>105</v>
      </c>
      <c r="I2657" s="11">
        <v>600000</v>
      </c>
      <c r="J2657" s="11">
        <v>1366302</v>
      </c>
      <c r="K2657" s="11">
        <v>6007366</v>
      </c>
      <c r="L2657" s="3">
        <v>22</v>
      </c>
      <c r="M2657" s="3">
        <v>4655</v>
      </c>
      <c r="N2657" s="3">
        <v>1750427</v>
      </c>
      <c r="O2657" s="2">
        <v>-0.06</v>
      </c>
      <c r="P2657" s="2">
        <v>0.248</v>
      </c>
      <c r="Q2657" s="2">
        <v>0.53700000000000003</v>
      </c>
      <c r="R2657" s="11">
        <v>365498498</v>
      </c>
      <c r="S2657" s="11">
        <v>292574</v>
      </c>
      <c r="T2657">
        <v>2015</v>
      </c>
      <c r="U2657">
        <v>7</v>
      </c>
      <c r="V2657">
        <f t="shared" si="246"/>
        <v>550000</v>
      </c>
      <c r="W2657">
        <f t="shared" si="247"/>
        <v>18429897</v>
      </c>
      <c r="X2657">
        <f t="shared" si="248"/>
        <v>17879897</v>
      </c>
      <c r="Y2657">
        <f t="shared" si="249"/>
        <v>-26269845.5</v>
      </c>
      <c r="Z2657">
        <f t="shared" si="250"/>
        <v>45249742.5</v>
      </c>
      <c r="AA2657" t="str">
        <f t="shared" si="251"/>
        <v>Normal</v>
      </c>
      <c r="AE2657" s="2"/>
      <c r="AF2657" s="2"/>
    </row>
    <row r="2658" spans="1:32" x14ac:dyDescent="0.35">
      <c r="A2658">
        <v>2657</v>
      </c>
      <c r="B2658" s="1">
        <v>42215</v>
      </c>
      <c r="C2658" s="9" t="s">
        <v>4323</v>
      </c>
      <c r="D2658" s="9" t="s">
        <v>5501</v>
      </c>
      <c r="E2658" s="9" t="s">
        <v>1111</v>
      </c>
      <c r="F2658" s="9" t="s">
        <v>31</v>
      </c>
      <c r="G2658" s="9" t="s">
        <v>4324</v>
      </c>
      <c r="H2658" s="9" t="s">
        <v>105</v>
      </c>
      <c r="I2658" s="11">
        <v>2400000</v>
      </c>
      <c r="J2658" s="11">
        <v>3366815</v>
      </c>
      <c r="K2658" s="11">
        <v>11959639</v>
      </c>
      <c r="L2658" s="3">
        <v>92</v>
      </c>
      <c r="M2658" s="3">
        <v>4492</v>
      </c>
      <c r="N2658" s="3">
        <v>1649077</v>
      </c>
      <c r="O2658" s="2">
        <v>0.14099999999999999</v>
      </c>
      <c r="P2658" s="2">
        <v>0.71599999999999997</v>
      </c>
      <c r="Q2658" s="2">
        <v>-6.6000000000000003E-2</v>
      </c>
      <c r="R2658" s="11">
        <v>84453612</v>
      </c>
      <c r="S2658" s="11">
        <v>815563</v>
      </c>
      <c r="T2658">
        <v>2015</v>
      </c>
      <c r="U2658">
        <v>7</v>
      </c>
      <c r="V2658">
        <f t="shared" si="246"/>
        <v>542000</v>
      </c>
      <c r="W2658">
        <f t="shared" si="247"/>
        <v>18429897</v>
      </c>
      <c r="X2658">
        <f t="shared" si="248"/>
        <v>17887897</v>
      </c>
      <c r="Y2658">
        <f t="shared" si="249"/>
        <v>-26289845.5</v>
      </c>
      <c r="Z2658">
        <f t="shared" si="250"/>
        <v>45261742.5</v>
      </c>
      <c r="AA2658" t="str">
        <f t="shared" si="251"/>
        <v>Normal</v>
      </c>
      <c r="AE2658" s="2"/>
      <c r="AF2658" s="2"/>
    </row>
    <row r="2659" spans="1:32" x14ac:dyDescent="0.35">
      <c r="A2659">
        <v>2658</v>
      </c>
      <c r="B2659" s="1">
        <v>42215</v>
      </c>
      <c r="C2659" s="9" t="s">
        <v>354</v>
      </c>
      <c r="D2659" s="9" t="s">
        <v>5502</v>
      </c>
      <c r="E2659" s="9" t="s">
        <v>1111</v>
      </c>
      <c r="F2659" s="9" t="s">
        <v>27</v>
      </c>
      <c r="G2659" s="9" t="s">
        <v>4325</v>
      </c>
      <c r="H2659" s="9" t="s">
        <v>105</v>
      </c>
      <c r="I2659" s="11">
        <v>16000000</v>
      </c>
      <c r="J2659" s="11">
        <v>819729</v>
      </c>
      <c r="K2659" s="11">
        <v>8080498</v>
      </c>
      <c r="L2659" s="3">
        <v>266</v>
      </c>
      <c r="M2659" s="3">
        <v>4151</v>
      </c>
      <c r="N2659" s="3">
        <v>931629</v>
      </c>
      <c r="O2659" s="2">
        <v>0.40500000000000003</v>
      </c>
      <c r="P2659" s="2">
        <v>0.84900000000000009</v>
      </c>
      <c r="Q2659" s="2">
        <v>-4.2000000000000003E-2</v>
      </c>
      <c r="R2659" s="11">
        <v>59661094</v>
      </c>
      <c r="S2659" s="11">
        <v>1366688</v>
      </c>
      <c r="T2659">
        <v>2015</v>
      </c>
      <c r="U2659">
        <v>7</v>
      </c>
      <c r="V2659">
        <f t="shared" si="246"/>
        <v>534000</v>
      </c>
      <c r="W2659">
        <f t="shared" si="247"/>
        <v>18429897</v>
      </c>
      <c r="X2659">
        <f t="shared" si="248"/>
        <v>17895897</v>
      </c>
      <c r="Y2659">
        <f t="shared" si="249"/>
        <v>-26309845.5</v>
      </c>
      <c r="Z2659">
        <f t="shared" si="250"/>
        <v>45273742.5</v>
      </c>
      <c r="AA2659" t="str">
        <f t="shared" si="251"/>
        <v>Normal</v>
      </c>
      <c r="AE2659" s="2"/>
      <c r="AF2659" s="2"/>
    </row>
    <row r="2660" spans="1:32" x14ac:dyDescent="0.35">
      <c r="A2660">
        <v>2659</v>
      </c>
      <c r="B2660" s="1">
        <v>42215</v>
      </c>
      <c r="C2660" s="9" t="s">
        <v>2749</v>
      </c>
      <c r="D2660" s="9" t="s">
        <v>5503</v>
      </c>
      <c r="E2660" s="9" t="s">
        <v>1111</v>
      </c>
      <c r="F2660" s="9" t="s">
        <v>15</v>
      </c>
      <c r="G2660" s="9" t="s">
        <v>4326</v>
      </c>
      <c r="H2660" s="9" t="s">
        <v>86</v>
      </c>
      <c r="I2660" s="11">
        <v>168000</v>
      </c>
      <c r="J2660" s="11">
        <v>2184965</v>
      </c>
      <c r="K2660" s="11">
        <v>3226327</v>
      </c>
      <c r="L2660" s="3">
        <v>74</v>
      </c>
      <c r="M2660" s="3">
        <v>1443</v>
      </c>
      <c r="N2660" s="3">
        <v>532111</v>
      </c>
      <c r="O2660" s="2">
        <v>-3.2000000000000001E-2</v>
      </c>
      <c r="P2660" s="2">
        <v>0.214</v>
      </c>
      <c r="Q2660" s="2">
        <v>-3.3000000000000002E-2</v>
      </c>
      <c r="R2660" s="11">
        <v>352224402</v>
      </c>
      <c r="S2660" s="11">
        <v>813568</v>
      </c>
      <c r="T2660">
        <v>2015</v>
      </c>
      <c r="U2660">
        <v>7</v>
      </c>
      <c r="V2660">
        <f t="shared" si="246"/>
        <v>526000</v>
      </c>
      <c r="W2660">
        <f t="shared" si="247"/>
        <v>18429897</v>
      </c>
      <c r="X2660">
        <f t="shared" si="248"/>
        <v>17903897</v>
      </c>
      <c r="Y2660">
        <f t="shared" si="249"/>
        <v>-26329845.5</v>
      </c>
      <c r="Z2660">
        <f t="shared" si="250"/>
        <v>45285742.5</v>
      </c>
      <c r="AA2660" t="str">
        <f t="shared" si="251"/>
        <v>Normal</v>
      </c>
      <c r="AE2660" s="2"/>
      <c r="AF2660" s="2"/>
    </row>
    <row r="2661" spans="1:32" x14ac:dyDescent="0.35">
      <c r="A2661">
        <v>2660</v>
      </c>
      <c r="B2661" s="1">
        <v>42215</v>
      </c>
      <c r="C2661" s="9" t="s">
        <v>4327</v>
      </c>
      <c r="D2661" s="9" t="s">
        <v>5504</v>
      </c>
      <c r="E2661" s="9" t="s">
        <v>1111</v>
      </c>
      <c r="F2661" s="9" t="s">
        <v>31</v>
      </c>
      <c r="G2661" s="9" t="s">
        <v>4328</v>
      </c>
      <c r="H2661" s="9" t="s">
        <v>86</v>
      </c>
      <c r="I2661" s="11">
        <v>168000</v>
      </c>
      <c r="J2661" s="11">
        <v>3879041</v>
      </c>
      <c r="K2661" s="11">
        <v>11464187</v>
      </c>
      <c r="L2661" s="3">
        <v>344</v>
      </c>
      <c r="M2661" s="3">
        <v>3465</v>
      </c>
      <c r="N2661" s="3">
        <v>1438165</v>
      </c>
      <c r="O2661" s="2">
        <v>-1</v>
      </c>
      <c r="P2661" s="2">
        <v>0.26899999999999996</v>
      </c>
      <c r="Q2661" s="2">
        <v>5.2000000000000005E-2</v>
      </c>
      <c r="R2661" s="11">
        <v>314933823</v>
      </c>
      <c r="S2661" s="11">
        <v>279951</v>
      </c>
      <c r="T2661">
        <v>2015</v>
      </c>
      <c r="U2661">
        <v>7</v>
      </c>
      <c r="V2661">
        <f t="shared" si="246"/>
        <v>550000</v>
      </c>
      <c r="W2661">
        <f t="shared" si="247"/>
        <v>18429897</v>
      </c>
      <c r="X2661">
        <f t="shared" si="248"/>
        <v>17879897</v>
      </c>
      <c r="Y2661">
        <f t="shared" si="249"/>
        <v>-26269845.5</v>
      </c>
      <c r="Z2661">
        <f t="shared" si="250"/>
        <v>45249742.5</v>
      </c>
      <c r="AA2661" t="str">
        <f t="shared" si="251"/>
        <v>Normal</v>
      </c>
      <c r="AE2661" s="2"/>
      <c r="AF2661" s="2"/>
    </row>
    <row r="2662" spans="1:32" x14ac:dyDescent="0.35">
      <c r="A2662">
        <v>2661</v>
      </c>
      <c r="B2662" s="1">
        <v>42215</v>
      </c>
      <c r="C2662" s="9" t="s">
        <v>1820</v>
      </c>
      <c r="D2662" s="9" t="s">
        <v>5505</v>
      </c>
      <c r="E2662" s="9" t="s">
        <v>1111</v>
      </c>
      <c r="F2662" s="9" t="s">
        <v>35</v>
      </c>
      <c r="G2662" s="9" t="s">
        <v>4329</v>
      </c>
      <c r="H2662" s="9" t="s">
        <v>105</v>
      </c>
      <c r="I2662" s="11">
        <v>18429897</v>
      </c>
      <c r="J2662" s="11">
        <v>765802</v>
      </c>
      <c r="K2662" s="11">
        <v>19169709</v>
      </c>
      <c r="L2662" s="3">
        <v>311</v>
      </c>
      <c r="M2662" s="3">
        <v>2481</v>
      </c>
      <c r="N2662" s="3">
        <v>367654</v>
      </c>
      <c r="O2662" s="2">
        <v>0.32400000000000001</v>
      </c>
      <c r="P2662" s="2">
        <v>0.47399999999999998</v>
      </c>
      <c r="Q2662" s="2">
        <v>0.31</v>
      </c>
      <c r="R2662" s="11">
        <v>243661679</v>
      </c>
      <c r="S2662" s="11">
        <v>595955</v>
      </c>
      <c r="T2662">
        <v>2015</v>
      </c>
      <c r="U2662">
        <v>7</v>
      </c>
      <c r="V2662">
        <f t="shared" si="246"/>
        <v>550000</v>
      </c>
      <c r="W2662">
        <f t="shared" si="247"/>
        <v>18429897</v>
      </c>
      <c r="X2662">
        <f t="shared" si="248"/>
        <v>17879897</v>
      </c>
      <c r="Y2662">
        <f t="shared" si="249"/>
        <v>-26269845.5</v>
      </c>
      <c r="Z2662">
        <f t="shared" si="250"/>
        <v>45249742.5</v>
      </c>
      <c r="AA2662" t="str">
        <f t="shared" si="251"/>
        <v>Normal</v>
      </c>
      <c r="AE2662" s="2"/>
      <c r="AF2662" s="2"/>
    </row>
    <row r="2663" spans="1:32" x14ac:dyDescent="0.35">
      <c r="A2663">
        <v>2662</v>
      </c>
      <c r="B2663" s="1">
        <v>42215</v>
      </c>
      <c r="C2663" s="9" t="s">
        <v>4330</v>
      </c>
      <c r="D2663" s="9" t="s">
        <v>5506</v>
      </c>
      <c r="E2663" s="9" t="s">
        <v>1111</v>
      </c>
      <c r="F2663" s="9" t="s">
        <v>15</v>
      </c>
      <c r="G2663" s="9" t="s">
        <v>4888</v>
      </c>
      <c r="H2663" s="9" t="s">
        <v>86</v>
      </c>
      <c r="I2663" s="11">
        <v>18429897</v>
      </c>
      <c r="J2663" s="11">
        <v>2493020</v>
      </c>
      <c r="K2663" s="11">
        <v>2759973</v>
      </c>
      <c r="L2663" s="3">
        <v>175</v>
      </c>
      <c r="M2663" s="3">
        <v>1402</v>
      </c>
      <c r="N2663" s="3">
        <v>1540367</v>
      </c>
      <c r="O2663" s="2">
        <v>3.3000000000000002E-2</v>
      </c>
      <c r="P2663" s="2">
        <v>0.58099999999999996</v>
      </c>
      <c r="Q2663" s="2">
        <v>-1.1000000000000001E-2</v>
      </c>
      <c r="R2663" s="11">
        <v>120812803</v>
      </c>
      <c r="S2663" s="11">
        <v>1741455</v>
      </c>
      <c r="T2663">
        <v>2015</v>
      </c>
      <c r="U2663">
        <v>7</v>
      </c>
      <c r="V2663">
        <f t="shared" si="246"/>
        <v>550000</v>
      </c>
      <c r="W2663">
        <f t="shared" si="247"/>
        <v>18429897</v>
      </c>
      <c r="X2663">
        <f t="shared" si="248"/>
        <v>17879897</v>
      </c>
      <c r="Y2663">
        <f t="shared" si="249"/>
        <v>-26269845.5</v>
      </c>
      <c r="Z2663">
        <f t="shared" si="250"/>
        <v>45249742.5</v>
      </c>
      <c r="AA2663" t="str">
        <f t="shared" si="251"/>
        <v>Normal</v>
      </c>
      <c r="AE2663" s="2"/>
      <c r="AF2663" s="2"/>
    </row>
    <row r="2664" spans="1:32" x14ac:dyDescent="0.35">
      <c r="A2664">
        <v>2663</v>
      </c>
      <c r="B2664" s="1">
        <v>42216</v>
      </c>
      <c r="C2664" s="9" t="s">
        <v>4331</v>
      </c>
      <c r="D2664" s="9" t="s">
        <v>5507</v>
      </c>
      <c r="E2664" s="9" t="s">
        <v>1111</v>
      </c>
      <c r="F2664" s="9" t="s">
        <v>19</v>
      </c>
      <c r="G2664" s="9" t="s">
        <v>4332</v>
      </c>
      <c r="H2664" s="9" t="s">
        <v>105</v>
      </c>
      <c r="I2664" s="11">
        <v>500000</v>
      </c>
      <c r="J2664" s="11">
        <v>1089996</v>
      </c>
      <c r="K2664" s="11">
        <v>5118865</v>
      </c>
      <c r="L2664" s="3">
        <v>48</v>
      </c>
      <c r="M2664" s="3">
        <v>2696</v>
      </c>
      <c r="N2664" s="3">
        <v>1748983</v>
      </c>
      <c r="O2664" s="2">
        <v>0.46299999999999997</v>
      </c>
      <c r="P2664" s="2">
        <v>0.54700000000000004</v>
      </c>
      <c r="Q2664" s="2">
        <v>1E-3</v>
      </c>
      <c r="R2664" s="11">
        <v>25944583</v>
      </c>
      <c r="S2664" s="11">
        <v>365899</v>
      </c>
      <c r="T2664">
        <v>2015</v>
      </c>
      <c r="U2664">
        <v>7</v>
      </c>
      <c r="V2664">
        <f t="shared" si="246"/>
        <v>550000</v>
      </c>
      <c r="W2664">
        <f t="shared" si="247"/>
        <v>18429897</v>
      </c>
      <c r="X2664">
        <f t="shared" si="248"/>
        <v>17879897</v>
      </c>
      <c r="Y2664">
        <f t="shared" si="249"/>
        <v>-26269845.5</v>
      </c>
      <c r="Z2664">
        <f t="shared" si="250"/>
        <v>45249742.5</v>
      </c>
      <c r="AA2664" t="str">
        <f t="shared" si="251"/>
        <v>Normal</v>
      </c>
      <c r="AE2664" s="2"/>
      <c r="AF2664" s="2"/>
    </row>
    <row r="2665" spans="1:32" x14ac:dyDescent="0.35">
      <c r="A2665">
        <v>2664</v>
      </c>
      <c r="B2665" s="1">
        <v>42216</v>
      </c>
      <c r="C2665" s="9" t="s">
        <v>4333</v>
      </c>
      <c r="D2665" s="9" t="s">
        <v>5508</v>
      </c>
      <c r="E2665" s="9" t="s">
        <v>1111</v>
      </c>
      <c r="F2665" s="9" t="s">
        <v>15</v>
      </c>
      <c r="G2665" s="9" t="s">
        <v>4334</v>
      </c>
      <c r="H2665" s="9" t="s">
        <v>105</v>
      </c>
      <c r="I2665" s="11">
        <v>18429897</v>
      </c>
      <c r="J2665" s="11">
        <v>2691709</v>
      </c>
      <c r="K2665" s="11">
        <v>9621966</v>
      </c>
      <c r="L2665" s="3">
        <v>261</v>
      </c>
      <c r="M2665" s="3">
        <v>868</v>
      </c>
      <c r="N2665" s="3">
        <v>1018455</v>
      </c>
      <c r="O2665" s="2">
        <v>0.09</v>
      </c>
      <c r="P2665" s="2">
        <v>1.171</v>
      </c>
      <c r="Q2665" s="2">
        <v>0.18899999999999997</v>
      </c>
      <c r="R2665" s="11">
        <v>468056640</v>
      </c>
      <c r="S2665" s="11">
        <v>1287152</v>
      </c>
      <c r="T2665">
        <v>2015</v>
      </c>
      <c r="U2665">
        <v>7</v>
      </c>
      <c r="V2665">
        <f t="shared" si="246"/>
        <v>550000</v>
      </c>
      <c r="W2665">
        <f t="shared" si="247"/>
        <v>18429897</v>
      </c>
      <c r="X2665">
        <f t="shared" si="248"/>
        <v>17879897</v>
      </c>
      <c r="Y2665">
        <f t="shared" si="249"/>
        <v>-26269845.5</v>
      </c>
      <c r="Z2665">
        <f t="shared" si="250"/>
        <v>45249742.5</v>
      </c>
      <c r="AA2665" t="str">
        <f t="shared" si="251"/>
        <v>Normal</v>
      </c>
      <c r="AE2665" s="2"/>
      <c r="AF2665" s="2"/>
    </row>
    <row r="2666" spans="1:32" x14ac:dyDescent="0.35">
      <c r="A2666">
        <v>2665</v>
      </c>
      <c r="B2666" s="1">
        <v>42216</v>
      </c>
      <c r="C2666" s="9" t="s">
        <v>4335</v>
      </c>
      <c r="D2666" s="9" t="s">
        <v>5509</v>
      </c>
      <c r="E2666" s="9" t="s">
        <v>1111</v>
      </c>
      <c r="F2666" s="9" t="s">
        <v>41</v>
      </c>
      <c r="G2666" s="9" t="s">
        <v>4336</v>
      </c>
      <c r="H2666" s="9" t="s">
        <v>105</v>
      </c>
      <c r="I2666" s="11">
        <v>2000000</v>
      </c>
      <c r="J2666" s="11">
        <v>1218743</v>
      </c>
      <c r="K2666" s="11">
        <v>14560039</v>
      </c>
      <c r="L2666" s="3">
        <v>412</v>
      </c>
      <c r="M2666" s="3">
        <v>4802</v>
      </c>
      <c r="N2666" s="3">
        <v>1065504</v>
      </c>
      <c r="O2666" s="2">
        <v>0.35399999999999998</v>
      </c>
      <c r="P2666" s="2">
        <v>0.36700000000000005</v>
      </c>
      <c r="Q2666" s="2">
        <v>-0.13699999999999998</v>
      </c>
      <c r="R2666" s="11">
        <v>51310834</v>
      </c>
      <c r="S2666" s="11">
        <v>282420</v>
      </c>
      <c r="T2666">
        <v>2015</v>
      </c>
      <c r="U2666">
        <v>7</v>
      </c>
      <c r="V2666">
        <f t="shared" si="246"/>
        <v>550000</v>
      </c>
      <c r="W2666">
        <f t="shared" si="247"/>
        <v>18429897</v>
      </c>
      <c r="X2666">
        <f t="shared" si="248"/>
        <v>17879897</v>
      </c>
      <c r="Y2666">
        <f t="shared" si="249"/>
        <v>-26269845.5</v>
      </c>
      <c r="Z2666">
        <f t="shared" si="250"/>
        <v>45249742.5</v>
      </c>
      <c r="AA2666" t="str">
        <f t="shared" si="251"/>
        <v>Normal</v>
      </c>
      <c r="AE2666" s="2"/>
      <c r="AF2666" s="2"/>
    </row>
    <row r="2667" spans="1:32" x14ac:dyDescent="0.35">
      <c r="A2667">
        <v>2666</v>
      </c>
      <c r="B2667" s="1">
        <v>42216</v>
      </c>
      <c r="C2667" s="9" t="s">
        <v>4337</v>
      </c>
      <c r="D2667" s="9" t="s">
        <v>4974</v>
      </c>
      <c r="E2667" s="9" t="s">
        <v>1111</v>
      </c>
      <c r="F2667" s="9" t="s">
        <v>19</v>
      </c>
      <c r="G2667" s="9" t="s">
        <v>482</v>
      </c>
      <c r="H2667" s="9" t="s">
        <v>105</v>
      </c>
      <c r="I2667" s="11">
        <v>5000000</v>
      </c>
      <c r="J2667" s="11">
        <v>4827771</v>
      </c>
      <c r="K2667" s="11">
        <v>2818568</v>
      </c>
      <c r="L2667" s="3">
        <v>199</v>
      </c>
      <c r="M2667" s="3">
        <v>860</v>
      </c>
      <c r="N2667" s="3">
        <v>309219</v>
      </c>
      <c r="O2667" s="2">
        <v>0.19699999999999998</v>
      </c>
      <c r="P2667" s="2">
        <v>1.091</v>
      </c>
      <c r="Q2667" s="2">
        <v>0.25800000000000001</v>
      </c>
      <c r="R2667" s="11">
        <v>404834627</v>
      </c>
      <c r="S2667" s="11">
        <v>890809</v>
      </c>
      <c r="T2667">
        <v>2015</v>
      </c>
      <c r="U2667">
        <v>7</v>
      </c>
      <c r="V2667">
        <f t="shared" si="246"/>
        <v>550000</v>
      </c>
      <c r="W2667">
        <f t="shared" si="247"/>
        <v>18429897</v>
      </c>
      <c r="X2667">
        <f t="shared" si="248"/>
        <v>17879897</v>
      </c>
      <c r="Y2667">
        <f t="shared" si="249"/>
        <v>-26269845.5</v>
      </c>
      <c r="Z2667">
        <f t="shared" si="250"/>
        <v>45249742.5</v>
      </c>
      <c r="AA2667" t="str">
        <f t="shared" si="251"/>
        <v>Normal</v>
      </c>
      <c r="AE2667" s="2"/>
      <c r="AF2667" s="2"/>
    </row>
    <row r="2668" spans="1:32" x14ac:dyDescent="0.35">
      <c r="A2668">
        <v>2667</v>
      </c>
      <c r="B2668" s="1">
        <v>42156</v>
      </c>
      <c r="C2668" s="9" t="s">
        <v>3032</v>
      </c>
      <c r="D2668" s="9" t="s">
        <v>5510</v>
      </c>
      <c r="E2668" s="9" t="s">
        <v>1111</v>
      </c>
      <c r="F2668" s="9" t="s">
        <v>27</v>
      </c>
      <c r="G2668" s="9" t="s">
        <v>4338</v>
      </c>
      <c r="H2668" s="9" t="s">
        <v>86</v>
      </c>
      <c r="I2668" s="11">
        <v>18429897</v>
      </c>
      <c r="J2668" s="11">
        <v>401971</v>
      </c>
      <c r="K2668" s="11">
        <v>4699147</v>
      </c>
      <c r="L2668" s="3">
        <v>404</v>
      </c>
      <c r="M2668" s="3">
        <v>1542</v>
      </c>
      <c r="N2668" s="3">
        <v>1231617</v>
      </c>
      <c r="O2668" s="2">
        <v>0.26100000000000001</v>
      </c>
      <c r="P2668" s="2">
        <v>1.145</v>
      </c>
      <c r="Q2668" s="2">
        <v>6.0000000000000001E-3</v>
      </c>
      <c r="R2668" s="11">
        <v>312328012</v>
      </c>
      <c r="S2668" s="11">
        <v>813929</v>
      </c>
      <c r="T2668">
        <v>2015</v>
      </c>
      <c r="U2668">
        <v>6</v>
      </c>
      <c r="V2668">
        <f t="shared" si="246"/>
        <v>550000</v>
      </c>
      <c r="W2668">
        <f t="shared" si="247"/>
        <v>18429897</v>
      </c>
      <c r="X2668">
        <f t="shared" si="248"/>
        <v>17879897</v>
      </c>
      <c r="Y2668">
        <f t="shared" si="249"/>
        <v>-26269845.5</v>
      </c>
      <c r="Z2668">
        <f t="shared" si="250"/>
        <v>45249742.5</v>
      </c>
      <c r="AA2668" t="str">
        <f t="shared" si="251"/>
        <v>Normal</v>
      </c>
      <c r="AE2668" s="2"/>
      <c r="AF2668" s="2"/>
    </row>
    <row r="2669" spans="1:32" x14ac:dyDescent="0.35">
      <c r="A2669">
        <v>2668</v>
      </c>
      <c r="B2669" s="1">
        <v>42156</v>
      </c>
      <c r="C2669" s="9" t="s">
        <v>4339</v>
      </c>
      <c r="D2669" s="9" t="s">
        <v>5511</v>
      </c>
      <c r="E2669" s="9" t="s">
        <v>1111</v>
      </c>
      <c r="F2669" s="9" t="s">
        <v>27</v>
      </c>
      <c r="G2669" s="9" t="s">
        <v>4340</v>
      </c>
      <c r="H2669" s="9" t="s">
        <v>105</v>
      </c>
      <c r="I2669" s="11">
        <v>6000000</v>
      </c>
      <c r="J2669" s="11">
        <v>4818627</v>
      </c>
      <c r="K2669" s="11">
        <v>4780255</v>
      </c>
      <c r="L2669" s="3">
        <v>146</v>
      </c>
      <c r="M2669" s="3">
        <v>1145</v>
      </c>
      <c r="N2669" s="3">
        <v>1349682</v>
      </c>
      <c r="O2669" s="2">
        <v>8.5000000000000006E-2</v>
      </c>
      <c r="P2669" s="2">
        <v>0.376</v>
      </c>
      <c r="Q2669" s="2">
        <v>-0.126</v>
      </c>
      <c r="R2669" s="11">
        <v>342469636</v>
      </c>
      <c r="S2669" s="11">
        <v>265831</v>
      </c>
      <c r="T2669">
        <v>2015</v>
      </c>
      <c r="U2669">
        <v>6</v>
      </c>
      <c r="V2669">
        <f t="shared" si="246"/>
        <v>550000</v>
      </c>
      <c r="W2669">
        <f t="shared" si="247"/>
        <v>18429897</v>
      </c>
      <c r="X2669">
        <f t="shared" si="248"/>
        <v>17879897</v>
      </c>
      <c r="Y2669">
        <f t="shared" si="249"/>
        <v>-26269845.5</v>
      </c>
      <c r="Z2669">
        <f t="shared" si="250"/>
        <v>45249742.5</v>
      </c>
      <c r="AA2669" t="str">
        <f t="shared" si="251"/>
        <v>Normal</v>
      </c>
      <c r="AE2669" s="2"/>
      <c r="AF2669" s="2"/>
    </row>
    <row r="2670" spans="1:32" x14ac:dyDescent="0.35">
      <c r="A2670">
        <v>2669</v>
      </c>
      <c r="B2670" s="1">
        <v>42156</v>
      </c>
      <c r="C2670" s="9" t="s">
        <v>1837</v>
      </c>
      <c r="D2670" s="9" t="s">
        <v>5433</v>
      </c>
      <c r="E2670" s="9" t="s">
        <v>1111</v>
      </c>
      <c r="F2670" s="9" t="s">
        <v>31</v>
      </c>
      <c r="G2670" s="9" t="s">
        <v>4341</v>
      </c>
      <c r="H2670" s="9" t="s">
        <v>86</v>
      </c>
      <c r="I2670" s="11">
        <v>500000</v>
      </c>
      <c r="J2670" s="11">
        <v>3963537</v>
      </c>
      <c r="K2670" s="11">
        <v>12359473</v>
      </c>
      <c r="L2670" s="3">
        <v>44</v>
      </c>
      <c r="M2670" s="3">
        <v>2630</v>
      </c>
      <c r="N2670" s="3">
        <v>16020</v>
      </c>
      <c r="O2670" s="2">
        <v>9.8000000000000004E-2</v>
      </c>
      <c r="P2670" s="2">
        <v>0.95900000000000007</v>
      </c>
      <c r="Q2670" s="2">
        <v>0.36749999999999999</v>
      </c>
      <c r="R2670" s="11">
        <v>307971049</v>
      </c>
      <c r="S2670" s="11">
        <v>1569888</v>
      </c>
      <c r="T2670">
        <v>2015</v>
      </c>
      <c r="U2670">
        <v>6</v>
      </c>
      <c r="V2670">
        <f t="shared" si="246"/>
        <v>542000</v>
      </c>
      <c r="W2670">
        <f t="shared" si="247"/>
        <v>18429897</v>
      </c>
      <c r="X2670">
        <f t="shared" si="248"/>
        <v>17887897</v>
      </c>
      <c r="Y2670">
        <f t="shared" si="249"/>
        <v>-26289845.5</v>
      </c>
      <c r="Z2670">
        <f t="shared" si="250"/>
        <v>45261742.5</v>
      </c>
      <c r="AA2670" t="str">
        <f t="shared" si="251"/>
        <v>Normal</v>
      </c>
      <c r="AE2670" s="2"/>
      <c r="AF2670" s="2"/>
    </row>
    <row r="2671" spans="1:32" x14ac:dyDescent="0.35">
      <c r="A2671">
        <v>2670</v>
      </c>
      <c r="B2671" s="1">
        <v>42156</v>
      </c>
      <c r="C2671" s="9" t="s">
        <v>4342</v>
      </c>
      <c r="D2671" s="9" t="s">
        <v>5512</v>
      </c>
      <c r="E2671" s="9" t="s">
        <v>1111</v>
      </c>
      <c r="F2671" s="9" t="s">
        <v>27</v>
      </c>
      <c r="G2671" s="9" t="s">
        <v>667</v>
      </c>
      <c r="H2671" s="9" t="s">
        <v>105</v>
      </c>
      <c r="I2671" s="11">
        <v>4000000</v>
      </c>
      <c r="J2671" s="11">
        <v>4281097</v>
      </c>
      <c r="K2671" s="11">
        <v>1740015</v>
      </c>
      <c r="L2671" s="3">
        <v>326</v>
      </c>
      <c r="M2671" s="3">
        <v>3376</v>
      </c>
      <c r="N2671" s="3">
        <v>1889626</v>
      </c>
      <c r="O2671" s="2">
        <v>0.20399999999999999</v>
      </c>
      <c r="P2671" s="2">
        <v>1.198</v>
      </c>
      <c r="Q2671" s="2">
        <v>-0.17600000000000002</v>
      </c>
      <c r="R2671" s="11">
        <v>266936232</v>
      </c>
      <c r="S2671" s="11">
        <v>569627</v>
      </c>
      <c r="T2671">
        <v>2015</v>
      </c>
      <c r="U2671">
        <v>6</v>
      </c>
      <c r="V2671">
        <f t="shared" si="246"/>
        <v>550000</v>
      </c>
      <c r="W2671">
        <f t="shared" si="247"/>
        <v>18429897</v>
      </c>
      <c r="X2671">
        <f t="shared" si="248"/>
        <v>17879897</v>
      </c>
      <c r="Y2671">
        <f t="shared" si="249"/>
        <v>-26269845.5</v>
      </c>
      <c r="Z2671">
        <f t="shared" si="250"/>
        <v>45249742.5</v>
      </c>
      <c r="AA2671" t="str">
        <f t="shared" si="251"/>
        <v>Normal</v>
      </c>
      <c r="AE2671" s="2"/>
      <c r="AF2671" s="2"/>
    </row>
    <row r="2672" spans="1:32" x14ac:dyDescent="0.35">
      <c r="A2672">
        <v>2671</v>
      </c>
      <c r="B2672" s="1">
        <v>42156</v>
      </c>
      <c r="C2672" s="9" t="s">
        <v>4343</v>
      </c>
      <c r="D2672" s="9" t="s">
        <v>5513</v>
      </c>
      <c r="E2672" s="9" t="s">
        <v>1111</v>
      </c>
      <c r="F2672" s="9" t="s">
        <v>27</v>
      </c>
      <c r="G2672" s="9" t="s">
        <v>4344</v>
      </c>
      <c r="H2672" s="9" t="s">
        <v>86</v>
      </c>
      <c r="I2672" s="11">
        <v>350000</v>
      </c>
      <c r="J2672" s="11">
        <v>4260515</v>
      </c>
      <c r="K2672" s="11">
        <v>13219359</v>
      </c>
      <c r="L2672" s="3">
        <v>444</v>
      </c>
      <c r="M2672" s="3">
        <v>2505.5</v>
      </c>
      <c r="N2672" s="3">
        <v>521575</v>
      </c>
      <c r="O2672" s="2">
        <v>0.28000000000000003</v>
      </c>
      <c r="P2672" s="2">
        <v>0.44799999999999995</v>
      </c>
      <c r="Q2672" s="2">
        <v>4.8000000000000001E-2</v>
      </c>
      <c r="R2672" s="11">
        <v>335294224</v>
      </c>
      <c r="S2672" s="11">
        <v>1159392</v>
      </c>
      <c r="T2672">
        <v>2015</v>
      </c>
      <c r="U2672">
        <v>6</v>
      </c>
      <c r="V2672">
        <f t="shared" si="246"/>
        <v>550000</v>
      </c>
      <c r="W2672">
        <f t="shared" si="247"/>
        <v>18429897</v>
      </c>
      <c r="X2672">
        <f t="shared" si="248"/>
        <v>17879897</v>
      </c>
      <c r="Y2672">
        <f t="shared" si="249"/>
        <v>-26269845.5</v>
      </c>
      <c r="Z2672">
        <f t="shared" si="250"/>
        <v>45249742.5</v>
      </c>
      <c r="AA2672" t="str">
        <f t="shared" si="251"/>
        <v>Normal</v>
      </c>
      <c r="AE2672" s="2"/>
      <c r="AF2672" s="2"/>
    </row>
    <row r="2673" spans="1:32" x14ac:dyDescent="0.35">
      <c r="A2673">
        <v>2672</v>
      </c>
      <c r="B2673" s="1">
        <v>42156</v>
      </c>
      <c r="C2673" s="9" t="s">
        <v>3962</v>
      </c>
      <c r="D2673" s="9" t="s">
        <v>5514</v>
      </c>
      <c r="E2673" s="9" t="s">
        <v>1111</v>
      </c>
      <c r="F2673" s="9" t="s">
        <v>31</v>
      </c>
      <c r="G2673" s="9" t="s">
        <v>4345</v>
      </c>
      <c r="H2673" s="9" t="s">
        <v>86</v>
      </c>
      <c r="I2673" s="11">
        <v>18429897</v>
      </c>
      <c r="J2673" s="11">
        <v>954294</v>
      </c>
      <c r="K2673" s="11">
        <v>8566804</v>
      </c>
      <c r="L2673" s="3">
        <v>442</v>
      </c>
      <c r="M2673" s="3">
        <v>1973</v>
      </c>
      <c r="N2673" s="3">
        <v>927096</v>
      </c>
      <c r="O2673" s="2">
        <v>0.22500000000000001</v>
      </c>
      <c r="P2673" s="2">
        <v>0.70299999999999996</v>
      </c>
      <c r="Q2673" s="2">
        <v>7.6999999999999999E-2</v>
      </c>
      <c r="R2673" s="11">
        <v>111758590</v>
      </c>
      <c r="S2673" s="11">
        <v>572530</v>
      </c>
      <c r="T2673">
        <v>2015</v>
      </c>
      <c r="U2673">
        <v>6</v>
      </c>
      <c r="V2673">
        <f t="shared" si="246"/>
        <v>550000</v>
      </c>
      <c r="W2673">
        <f t="shared" si="247"/>
        <v>18429897</v>
      </c>
      <c r="X2673">
        <f t="shared" si="248"/>
        <v>17879897</v>
      </c>
      <c r="Y2673">
        <f t="shared" si="249"/>
        <v>-26269845.5</v>
      </c>
      <c r="Z2673">
        <f t="shared" si="250"/>
        <v>45249742.5</v>
      </c>
      <c r="AA2673" t="str">
        <f t="shared" si="251"/>
        <v>Normal</v>
      </c>
      <c r="AE2673" s="2"/>
      <c r="AF2673" s="2"/>
    </row>
    <row r="2674" spans="1:32" x14ac:dyDescent="0.35">
      <c r="A2674">
        <v>2673</v>
      </c>
      <c r="B2674" s="1">
        <v>42156</v>
      </c>
      <c r="C2674" s="9" t="s">
        <v>4346</v>
      </c>
      <c r="D2674" s="9" t="s">
        <v>5515</v>
      </c>
      <c r="E2674" s="9" t="s">
        <v>1111</v>
      </c>
      <c r="F2674" s="9" t="s">
        <v>31</v>
      </c>
      <c r="G2674" s="9" t="s">
        <v>4347</v>
      </c>
      <c r="H2674" s="9" t="s">
        <v>105</v>
      </c>
      <c r="I2674" s="11">
        <v>1000000</v>
      </c>
      <c r="J2674" s="11">
        <v>4656836</v>
      </c>
      <c r="K2674" s="11">
        <v>10153449</v>
      </c>
      <c r="L2674" s="3">
        <v>479</v>
      </c>
      <c r="M2674" s="3">
        <v>1046</v>
      </c>
      <c r="N2674" s="3">
        <v>518480</v>
      </c>
      <c r="O2674" s="2">
        <v>-0.23300000000000001</v>
      </c>
      <c r="P2674" s="2">
        <v>0.95900000000000007</v>
      </c>
      <c r="Q2674" s="2">
        <v>2.8999999999999998E-2</v>
      </c>
      <c r="R2674" s="11">
        <v>475838302</v>
      </c>
      <c r="S2674" s="11">
        <v>834258</v>
      </c>
      <c r="T2674">
        <v>2015</v>
      </c>
      <c r="U2674">
        <v>6</v>
      </c>
      <c r="V2674">
        <f t="shared" si="246"/>
        <v>550000</v>
      </c>
      <c r="W2674">
        <f t="shared" si="247"/>
        <v>18429897</v>
      </c>
      <c r="X2674">
        <f t="shared" si="248"/>
        <v>17879897</v>
      </c>
      <c r="Y2674">
        <f t="shared" si="249"/>
        <v>-26269845.5</v>
      </c>
      <c r="Z2674">
        <f t="shared" si="250"/>
        <v>45249742.5</v>
      </c>
      <c r="AA2674" t="str">
        <f t="shared" si="251"/>
        <v>Normal</v>
      </c>
      <c r="AE2674" s="2"/>
      <c r="AF2674" s="2"/>
    </row>
    <row r="2675" spans="1:32" x14ac:dyDescent="0.35">
      <c r="A2675">
        <v>2674</v>
      </c>
      <c r="B2675" s="1">
        <v>42156</v>
      </c>
      <c r="C2675" s="9" t="s">
        <v>4348</v>
      </c>
      <c r="D2675" s="9" t="s">
        <v>5516</v>
      </c>
      <c r="E2675" s="9" t="s">
        <v>1111</v>
      </c>
      <c r="F2675" s="9" t="s">
        <v>35</v>
      </c>
      <c r="G2675" s="9" t="s">
        <v>2784</v>
      </c>
      <c r="H2675" s="9" t="s">
        <v>105</v>
      </c>
      <c r="I2675" s="11">
        <v>550000</v>
      </c>
      <c r="J2675" s="11">
        <v>2979478</v>
      </c>
      <c r="K2675" s="11">
        <v>17256890</v>
      </c>
      <c r="L2675" s="3">
        <v>58</v>
      </c>
      <c r="M2675" s="3">
        <v>157</v>
      </c>
      <c r="N2675" s="3">
        <v>1810509</v>
      </c>
      <c r="O2675" s="2">
        <v>0.17199999999999999</v>
      </c>
      <c r="P2675" s="2">
        <v>0.50800000000000001</v>
      </c>
      <c r="Q2675" s="2">
        <v>-0.27</v>
      </c>
      <c r="R2675" s="11">
        <v>291459969</v>
      </c>
      <c r="S2675" s="11">
        <v>101822</v>
      </c>
      <c r="T2675">
        <v>2015</v>
      </c>
      <c r="U2675">
        <v>6</v>
      </c>
      <c r="V2675">
        <f t="shared" si="246"/>
        <v>550000</v>
      </c>
      <c r="W2675">
        <f t="shared" si="247"/>
        <v>18429897</v>
      </c>
      <c r="X2675">
        <f t="shared" si="248"/>
        <v>17879897</v>
      </c>
      <c r="Y2675">
        <f t="shared" si="249"/>
        <v>-26269845.5</v>
      </c>
      <c r="Z2675">
        <f t="shared" si="250"/>
        <v>45249742.5</v>
      </c>
      <c r="AA2675" t="str">
        <f t="shared" si="251"/>
        <v>Normal</v>
      </c>
      <c r="AE2675" s="2"/>
      <c r="AF2675" s="2"/>
    </row>
    <row r="2676" spans="1:32" x14ac:dyDescent="0.35">
      <c r="A2676">
        <v>2675</v>
      </c>
      <c r="B2676" s="1">
        <v>42156</v>
      </c>
      <c r="C2676" s="9" t="s">
        <v>4349</v>
      </c>
      <c r="D2676" s="9" t="s">
        <v>5517</v>
      </c>
      <c r="E2676" s="9" t="s">
        <v>1111</v>
      </c>
      <c r="F2676" s="9" t="s">
        <v>124</v>
      </c>
      <c r="G2676" s="9" t="s">
        <v>4350</v>
      </c>
      <c r="H2676" s="9" t="s">
        <v>86</v>
      </c>
      <c r="I2676" s="11">
        <v>500000</v>
      </c>
      <c r="J2676" s="11">
        <v>4811543</v>
      </c>
      <c r="K2676" s="11">
        <v>16394793</v>
      </c>
      <c r="L2676" s="3">
        <v>26</v>
      </c>
      <c r="M2676" s="3">
        <v>3009</v>
      </c>
      <c r="N2676" s="3">
        <v>1521808</v>
      </c>
      <c r="O2676" s="2">
        <v>-1.0999999999999999E-2</v>
      </c>
      <c r="P2676" s="2">
        <v>1.0329999999999999E-2</v>
      </c>
      <c r="Q2676" s="2">
        <v>4.7E-2</v>
      </c>
      <c r="R2676" s="11">
        <v>23425871</v>
      </c>
      <c r="S2676" s="11">
        <v>499101</v>
      </c>
      <c r="T2676">
        <v>2015</v>
      </c>
      <c r="U2676">
        <v>6</v>
      </c>
      <c r="V2676">
        <f t="shared" si="246"/>
        <v>562500</v>
      </c>
      <c r="W2676">
        <f t="shared" si="247"/>
        <v>18429897</v>
      </c>
      <c r="X2676">
        <f t="shared" si="248"/>
        <v>17867397</v>
      </c>
      <c r="Y2676">
        <f t="shared" si="249"/>
        <v>-26238595.5</v>
      </c>
      <c r="Z2676">
        <f t="shared" si="250"/>
        <v>45230992.5</v>
      </c>
      <c r="AA2676" t="str">
        <f t="shared" si="251"/>
        <v>Normal</v>
      </c>
      <c r="AE2676" s="2"/>
      <c r="AF2676" s="2"/>
    </row>
    <row r="2677" spans="1:32" x14ac:dyDescent="0.35">
      <c r="A2677">
        <v>2676</v>
      </c>
      <c r="B2677" s="1">
        <v>42157</v>
      </c>
      <c r="C2677" s="9" t="s">
        <v>4351</v>
      </c>
      <c r="D2677" s="9" t="s">
        <v>5518</v>
      </c>
      <c r="E2677" s="9" t="s">
        <v>1111</v>
      </c>
      <c r="F2677" s="9" t="s">
        <v>4917</v>
      </c>
      <c r="G2677" s="9" t="s">
        <v>4352</v>
      </c>
      <c r="H2677" s="9" t="s">
        <v>105</v>
      </c>
      <c r="I2677" s="11">
        <v>35000000</v>
      </c>
      <c r="J2677" s="11">
        <v>4393174</v>
      </c>
      <c r="K2677" s="11">
        <v>16078581</v>
      </c>
      <c r="L2677" s="3">
        <v>286</v>
      </c>
      <c r="M2677" s="3">
        <v>4896</v>
      </c>
      <c r="N2677" s="3">
        <v>1979510</v>
      </c>
      <c r="O2677" s="2">
        <v>1.1000000000000001E-2</v>
      </c>
      <c r="P2677" s="2">
        <v>0.54800000000000004</v>
      </c>
      <c r="Q2677" s="2">
        <v>-0.28800000000000003</v>
      </c>
      <c r="R2677" s="11">
        <v>368272863</v>
      </c>
      <c r="S2677" s="11">
        <v>300839</v>
      </c>
      <c r="T2677">
        <v>2015</v>
      </c>
      <c r="U2677">
        <v>6</v>
      </c>
      <c r="V2677">
        <f t="shared" si="246"/>
        <v>600000</v>
      </c>
      <c r="W2677">
        <f t="shared" si="247"/>
        <v>18429897</v>
      </c>
      <c r="X2677">
        <f t="shared" si="248"/>
        <v>17829897</v>
      </c>
      <c r="Y2677">
        <f t="shared" si="249"/>
        <v>-26144845.5</v>
      </c>
      <c r="Z2677">
        <f t="shared" si="250"/>
        <v>45174742.5</v>
      </c>
      <c r="AA2677" t="str">
        <f t="shared" si="251"/>
        <v>Normal</v>
      </c>
      <c r="AE2677" s="2"/>
      <c r="AF2677" s="2"/>
    </row>
    <row r="2678" spans="1:32" x14ac:dyDescent="0.35">
      <c r="A2678">
        <v>2677</v>
      </c>
      <c r="B2678" s="1">
        <v>42157</v>
      </c>
      <c r="C2678" s="9" t="s">
        <v>4353</v>
      </c>
      <c r="D2678" s="9" t="s">
        <v>5519</v>
      </c>
      <c r="E2678" s="9" t="s">
        <v>1111</v>
      </c>
      <c r="F2678" s="9" t="s">
        <v>41</v>
      </c>
      <c r="G2678" s="9" t="s">
        <v>4354</v>
      </c>
      <c r="H2678" s="9" t="s">
        <v>86</v>
      </c>
      <c r="I2678" s="11">
        <v>350000</v>
      </c>
      <c r="J2678" s="11">
        <v>2906458</v>
      </c>
      <c r="K2678" s="11">
        <v>17718880</v>
      </c>
      <c r="L2678" s="3">
        <v>475</v>
      </c>
      <c r="M2678" s="3">
        <v>364</v>
      </c>
      <c r="N2678" s="3">
        <v>771165</v>
      </c>
      <c r="O2678" s="2">
        <v>0.21199999999999999</v>
      </c>
      <c r="P2678" s="2">
        <v>0.32100000000000001</v>
      </c>
      <c r="Q2678" s="2">
        <v>-0.217</v>
      </c>
      <c r="R2678" s="11">
        <v>205810362</v>
      </c>
      <c r="S2678" s="11">
        <v>1313139</v>
      </c>
      <c r="T2678">
        <v>2015</v>
      </c>
      <c r="U2678">
        <v>6</v>
      </c>
      <c r="V2678">
        <f t="shared" si="246"/>
        <v>587500</v>
      </c>
      <c r="W2678">
        <f t="shared" si="247"/>
        <v>18429897</v>
      </c>
      <c r="X2678">
        <f t="shared" si="248"/>
        <v>17842397</v>
      </c>
      <c r="Y2678">
        <f t="shared" si="249"/>
        <v>-26176095.5</v>
      </c>
      <c r="Z2678">
        <f t="shared" si="250"/>
        <v>45193492.5</v>
      </c>
      <c r="AA2678" t="str">
        <f t="shared" si="251"/>
        <v>Normal</v>
      </c>
      <c r="AE2678" s="2"/>
      <c r="AF2678" s="2"/>
    </row>
    <row r="2679" spans="1:32" x14ac:dyDescent="0.35">
      <c r="A2679">
        <v>2678</v>
      </c>
      <c r="B2679" s="1">
        <v>42157</v>
      </c>
      <c r="C2679" s="9" t="s">
        <v>691</v>
      </c>
      <c r="D2679" s="9" t="s">
        <v>5520</v>
      </c>
      <c r="E2679" s="9" t="s">
        <v>1111</v>
      </c>
      <c r="F2679" s="9" t="s">
        <v>692</v>
      </c>
      <c r="G2679" s="9" t="s">
        <v>4355</v>
      </c>
      <c r="H2679" s="9" t="s">
        <v>105</v>
      </c>
      <c r="I2679" s="11">
        <v>18429897</v>
      </c>
      <c r="J2679" s="11">
        <v>1884830</v>
      </c>
      <c r="K2679" s="11">
        <v>4754804</v>
      </c>
      <c r="L2679" s="3">
        <v>498</v>
      </c>
      <c r="M2679" s="3">
        <v>4980</v>
      </c>
      <c r="N2679" s="3">
        <v>1125136</v>
      </c>
      <c r="O2679" s="2">
        <v>0.46</v>
      </c>
      <c r="P2679" s="2">
        <v>0.876</v>
      </c>
      <c r="Q2679" s="2">
        <v>0.371</v>
      </c>
      <c r="R2679" s="11">
        <v>321242824</v>
      </c>
      <c r="S2679" s="11">
        <v>1008193.5</v>
      </c>
      <c r="T2679">
        <v>2015</v>
      </c>
      <c r="U2679">
        <v>6</v>
      </c>
      <c r="V2679">
        <f t="shared" si="246"/>
        <v>612500</v>
      </c>
      <c r="W2679">
        <f t="shared" si="247"/>
        <v>18429897</v>
      </c>
      <c r="X2679">
        <f t="shared" si="248"/>
        <v>17817397</v>
      </c>
      <c r="Y2679">
        <f t="shared" si="249"/>
        <v>-26113595.5</v>
      </c>
      <c r="Z2679">
        <f t="shared" si="250"/>
        <v>45155992.5</v>
      </c>
      <c r="AA2679" t="str">
        <f t="shared" si="251"/>
        <v>Normal</v>
      </c>
      <c r="AE2679" s="2"/>
      <c r="AF2679" s="2"/>
    </row>
    <row r="2680" spans="1:32" x14ac:dyDescent="0.35">
      <c r="A2680">
        <v>2679</v>
      </c>
      <c r="B2680" s="1">
        <v>42158</v>
      </c>
      <c r="C2680" s="9" t="s">
        <v>4356</v>
      </c>
      <c r="D2680" s="9" t="s">
        <v>5521</v>
      </c>
      <c r="E2680" s="9" t="s">
        <v>1111</v>
      </c>
      <c r="F2680" s="9" t="s">
        <v>31</v>
      </c>
      <c r="G2680" s="9" t="s">
        <v>4357</v>
      </c>
      <c r="H2680" s="9" t="s">
        <v>86</v>
      </c>
      <c r="I2680" s="11">
        <v>18429897</v>
      </c>
      <c r="J2680" s="11">
        <v>604090</v>
      </c>
      <c r="K2680" s="11">
        <v>10153449</v>
      </c>
      <c r="L2680" s="3">
        <v>143</v>
      </c>
      <c r="M2680" s="3">
        <v>1351</v>
      </c>
      <c r="N2680" s="3">
        <v>1154912</v>
      </c>
      <c r="O2680" s="2">
        <v>1.6E-2</v>
      </c>
      <c r="P2680" s="2">
        <v>0.54</v>
      </c>
      <c r="Q2680" s="2">
        <v>6.6000000000000003E-2</v>
      </c>
      <c r="R2680" s="11">
        <v>473796050</v>
      </c>
      <c r="S2680" s="11">
        <v>471183</v>
      </c>
      <c r="T2680">
        <v>2015</v>
      </c>
      <c r="U2680">
        <v>6</v>
      </c>
      <c r="V2680">
        <f t="shared" si="246"/>
        <v>606250</v>
      </c>
      <c r="W2680">
        <f t="shared" si="247"/>
        <v>18429897</v>
      </c>
      <c r="X2680">
        <f t="shared" si="248"/>
        <v>17823647</v>
      </c>
      <c r="Y2680">
        <f t="shared" si="249"/>
        <v>-26129220.5</v>
      </c>
      <c r="Z2680">
        <f t="shared" si="250"/>
        <v>45165367.5</v>
      </c>
      <c r="AA2680" t="str">
        <f t="shared" si="251"/>
        <v>Normal</v>
      </c>
      <c r="AE2680" s="2"/>
      <c r="AF2680" s="2"/>
    </row>
    <row r="2681" spans="1:32" x14ac:dyDescent="0.35">
      <c r="A2681">
        <v>2680</v>
      </c>
      <c r="B2681" s="1">
        <v>42158</v>
      </c>
      <c r="C2681" s="9" t="s">
        <v>4358</v>
      </c>
      <c r="D2681" s="9" t="s">
        <v>5522</v>
      </c>
      <c r="E2681" s="9" t="s">
        <v>1111</v>
      </c>
      <c r="F2681" s="9" t="s">
        <v>31</v>
      </c>
      <c r="G2681" s="9" t="s">
        <v>4359</v>
      </c>
      <c r="H2681" s="9" t="s">
        <v>105</v>
      </c>
      <c r="I2681" s="11">
        <v>3000000</v>
      </c>
      <c r="J2681" s="11">
        <v>523508</v>
      </c>
      <c r="K2681" s="11">
        <v>3602234</v>
      </c>
      <c r="L2681" s="3">
        <v>190</v>
      </c>
      <c r="M2681" s="3">
        <v>4546</v>
      </c>
      <c r="N2681" s="3">
        <v>460113</v>
      </c>
      <c r="O2681" s="2">
        <v>0.51500000000000001</v>
      </c>
      <c r="P2681" s="2">
        <v>0.84599999999999997</v>
      </c>
      <c r="Q2681" s="2">
        <v>0.20499999999999999</v>
      </c>
      <c r="R2681" s="11">
        <v>444180448</v>
      </c>
      <c r="S2681" s="11">
        <v>85976</v>
      </c>
      <c r="T2681">
        <v>2015</v>
      </c>
      <c r="U2681">
        <v>6</v>
      </c>
      <c r="V2681">
        <f t="shared" si="246"/>
        <v>600000</v>
      </c>
      <c r="W2681">
        <f t="shared" si="247"/>
        <v>18429897</v>
      </c>
      <c r="X2681">
        <f t="shared" si="248"/>
        <v>17829897</v>
      </c>
      <c r="Y2681">
        <f t="shared" si="249"/>
        <v>-26144845.5</v>
      </c>
      <c r="Z2681">
        <f t="shared" si="250"/>
        <v>45174742.5</v>
      </c>
      <c r="AA2681" t="str">
        <f t="shared" si="251"/>
        <v>Normal</v>
      </c>
      <c r="AE2681" s="2"/>
      <c r="AF2681" s="2"/>
    </row>
    <row r="2682" spans="1:32" x14ac:dyDescent="0.35">
      <c r="A2682">
        <v>2681</v>
      </c>
      <c r="B2682" s="1">
        <v>42158</v>
      </c>
      <c r="C2682" s="9" t="s">
        <v>2693</v>
      </c>
      <c r="D2682" s="9" t="s">
        <v>5523</v>
      </c>
      <c r="E2682" s="9" t="s">
        <v>1111</v>
      </c>
      <c r="F2682" s="9" t="s">
        <v>27</v>
      </c>
      <c r="G2682" s="9" t="s">
        <v>3956</v>
      </c>
      <c r="H2682" s="9" t="s">
        <v>86</v>
      </c>
      <c r="I2682" s="11">
        <v>100000</v>
      </c>
      <c r="J2682" s="11">
        <v>1960753</v>
      </c>
      <c r="K2682" s="11">
        <v>6682884</v>
      </c>
      <c r="L2682" s="3">
        <v>334</v>
      </c>
      <c r="M2682" s="3">
        <v>392</v>
      </c>
      <c r="N2682" s="3">
        <v>1863813</v>
      </c>
      <c r="O2682" s="2">
        <v>-9.9000000000000005E-2</v>
      </c>
      <c r="P2682" s="2">
        <v>0.67299999999999993</v>
      </c>
      <c r="Q2682" s="2">
        <v>0.45</v>
      </c>
      <c r="R2682" s="11">
        <v>347403398</v>
      </c>
      <c r="S2682" s="11">
        <v>684967</v>
      </c>
      <c r="T2682">
        <v>2015</v>
      </c>
      <c r="U2682">
        <v>6</v>
      </c>
      <c r="V2682">
        <f t="shared" si="246"/>
        <v>587500</v>
      </c>
      <c r="W2682">
        <f t="shared" si="247"/>
        <v>18429897</v>
      </c>
      <c r="X2682">
        <f t="shared" si="248"/>
        <v>17842397</v>
      </c>
      <c r="Y2682">
        <f t="shared" si="249"/>
        <v>-26176095.5</v>
      </c>
      <c r="Z2682">
        <f t="shared" si="250"/>
        <v>45193492.5</v>
      </c>
      <c r="AA2682" t="str">
        <f t="shared" si="251"/>
        <v>Normal</v>
      </c>
      <c r="AE2682" s="2"/>
      <c r="AF2682" s="2"/>
    </row>
    <row r="2683" spans="1:32" x14ac:dyDescent="0.35">
      <c r="A2683">
        <v>2682</v>
      </c>
      <c r="B2683" s="1">
        <v>42158</v>
      </c>
      <c r="C2683" s="9" t="s">
        <v>4360</v>
      </c>
      <c r="D2683" s="9" t="s">
        <v>5524</v>
      </c>
      <c r="E2683" s="9" t="s">
        <v>1111</v>
      </c>
      <c r="F2683" s="9" t="s">
        <v>4917</v>
      </c>
      <c r="G2683" s="9" t="s">
        <v>227</v>
      </c>
      <c r="H2683" s="9" t="s">
        <v>105</v>
      </c>
      <c r="I2683" s="11">
        <v>15000000</v>
      </c>
      <c r="J2683" s="11">
        <v>4058595</v>
      </c>
      <c r="K2683" s="11">
        <v>11154819</v>
      </c>
      <c r="L2683" s="3">
        <v>457</v>
      </c>
      <c r="M2683" s="3">
        <v>4464</v>
      </c>
      <c r="N2683" s="3">
        <v>1728474</v>
      </c>
      <c r="O2683" s="2">
        <v>1.6E-2</v>
      </c>
      <c r="P2683" s="2">
        <v>0.65900000000000003</v>
      </c>
      <c r="Q2683" s="2">
        <v>7.8E-2</v>
      </c>
      <c r="R2683" s="11">
        <v>21374588</v>
      </c>
      <c r="S2683" s="11">
        <v>953145</v>
      </c>
      <c r="T2683">
        <v>2015</v>
      </c>
      <c r="U2683">
        <v>6</v>
      </c>
      <c r="V2683">
        <f t="shared" si="246"/>
        <v>612500</v>
      </c>
      <c r="W2683">
        <f t="shared" si="247"/>
        <v>18429897</v>
      </c>
      <c r="X2683">
        <f t="shared" si="248"/>
        <v>17817397</v>
      </c>
      <c r="Y2683">
        <f t="shared" si="249"/>
        <v>-26113595.5</v>
      </c>
      <c r="Z2683">
        <f t="shared" si="250"/>
        <v>45155992.5</v>
      </c>
      <c r="AA2683" t="str">
        <f t="shared" si="251"/>
        <v>Normal</v>
      </c>
      <c r="AE2683" s="2"/>
      <c r="AF2683" s="2"/>
    </row>
    <row r="2684" spans="1:32" x14ac:dyDescent="0.35">
      <c r="A2684">
        <v>2683</v>
      </c>
      <c r="B2684" s="1">
        <v>42158</v>
      </c>
      <c r="C2684" s="9" t="s">
        <v>4361</v>
      </c>
      <c r="D2684" s="9" t="s">
        <v>5525</v>
      </c>
      <c r="E2684" s="9" t="s">
        <v>1111</v>
      </c>
      <c r="F2684" s="9" t="s">
        <v>27</v>
      </c>
      <c r="G2684" s="9" t="s">
        <v>4362</v>
      </c>
      <c r="H2684" s="9" t="s">
        <v>86</v>
      </c>
      <c r="I2684" s="11">
        <v>150000</v>
      </c>
      <c r="J2684" s="11">
        <v>2531926</v>
      </c>
      <c r="K2684" s="11">
        <v>10153449</v>
      </c>
      <c r="L2684" s="3">
        <v>91</v>
      </c>
      <c r="M2684" s="3">
        <v>1684</v>
      </c>
      <c r="N2684" s="3">
        <v>1969355</v>
      </c>
      <c r="O2684" s="2">
        <v>0.20600000000000002</v>
      </c>
      <c r="P2684" s="2">
        <v>1.0820000000000001E-2</v>
      </c>
      <c r="Q2684" s="2">
        <v>0.33200000000000002</v>
      </c>
      <c r="R2684" s="11">
        <v>94528429</v>
      </c>
      <c r="S2684" s="11">
        <v>135562</v>
      </c>
      <c r="T2684">
        <v>2015</v>
      </c>
      <c r="U2684">
        <v>6</v>
      </c>
      <c r="V2684">
        <f t="shared" si="246"/>
        <v>606250</v>
      </c>
      <c r="W2684">
        <f t="shared" si="247"/>
        <v>18429897</v>
      </c>
      <c r="X2684">
        <f t="shared" si="248"/>
        <v>17823647</v>
      </c>
      <c r="Y2684">
        <f t="shared" si="249"/>
        <v>-26129220.5</v>
      </c>
      <c r="Z2684">
        <f t="shared" si="250"/>
        <v>45165367.5</v>
      </c>
      <c r="AA2684" t="str">
        <f t="shared" si="251"/>
        <v>Normal</v>
      </c>
      <c r="AE2684" s="2"/>
      <c r="AF2684" s="2"/>
    </row>
    <row r="2685" spans="1:32" x14ac:dyDescent="0.35">
      <c r="A2685">
        <v>2684</v>
      </c>
      <c r="B2685" s="1">
        <v>42158</v>
      </c>
      <c r="C2685" s="9" t="s">
        <v>4113</v>
      </c>
      <c r="D2685" s="9" t="s">
        <v>5526</v>
      </c>
      <c r="E2685" s="9" t="s">
        <v>1111</v>
      </c>
      <c r="F2685" s="9" t="s">
        <v>27</v>
      </c>
      <c r="G2685" s="9" t="s">
        <v>4889</v>
      </c>
      <c r="H2685" s="9" t="s">
        <v>86</v>
      </c>
      <c r="I2685" s="11">
        <v>18429897</v>
      </c>
      <c r="J2685" s="11">
        <v>2419182</v>
      </c>
      <c r="K2685" s="11">
        <v>11595649</v>
      </c>
      <c r="L2685" s="3">
        <v>487</v>
      </c>
      <c r="M2685" s="3">
        <v>1410</v>
      </c>
      <c r="N2685" s="3">
        <v>914435</v>
      </c>
      <c r="O2685" s="2">
        <v>0.16200000000000001</v>
      </c>
      <c r="P2685" s="2">
        <v>0.84</v>
      </c>
      <c r="Q2685" s="2">
        <v>0.18899999999999997</v>
      </c>
      <c r="R2685" s="11">
        <v>2287196</v>
      </c>
      <c r="S2685" s="11">
        <v>1195160</v>
      </c>
      <c r="T2685">
        <v>2015</v>
      </c>
      <c r="U2685">
        <v>6</v>
      </c>
      <c r="V2685">
        <f t="shared" si="246"/>
        <v>625000</v>
      </c>
      <c r="W2685">
        <f t="shared" si="247"/>
        <v>18429897</v>
      </c>
      <c r="X2685">
        <f t="shared" si="248"/>
        <v>17804897</v>
      </c>
      <c r="Y2685">
        <f t="shared" si="249"/>
        <v>-26082345.5</v>
      </c>
      <c r="Z2685">
        <f t="shared" si="250"/>
        <v>45137242.5</v>
      </c>
      <c r="AA2685" t="str">
        <f t="shared" si="251"/>
        <v>Normal</v>
      </c>
      <c r="AE2685" s="2"/>
      <c r="AF2685" s="2"/>
    </row>
    <row r="2686" spans="1:32" x14ac:dyDescent="0.35">
      <c r="A2686">
        <v>2685</v>
      </c>
      <c r="B2686" s="1">
        <v>42158</v>
      </c>
      <c r="C2686" s="9" t="s">
        <v>4363</v>
      </c>
      <c r="D2686" s="9" t="s">
        <v>5527</v>
      </c>
      <c r="E2686" s="9" t="s">
        <v>1111</v>
      </c>
      <c r="F2686" s="9" t="s">
        <v>41</v>
      </c>
      <c r="G2686" s="9" t="s">
        <v>4364</v>
      </c>
      <c r="H2686" s="9" t="s">
        <v>86</v>
      </c>
      <c r="I2686" s="11">
        <v>250000</v>
      </c>
      <c r="J2686" s="11">
        <v>1237379</v>
      </c>
      <c r="K2686" s="11">
        <v>11233866</v>
      </c>
      <c r="L2686" s="3">
        <v>409</v>
      </c>
      <c r="M2686" s="3">
        <v>1071</v>
      </c>
      <c r="N2686" s="3">
        <v>254745</v>
      </c>
      <c r="O2686" s="2">
        <v>0.39700000000000002</v>
      </c>
      <c r="P2686" s="2">
        <v>0.82499999999999996</v>
      </c>
      <c r="Q2686" s="2">
        <v>-8.7999999999999995E-2</v>
      </c>
      <c r="R2686" s="11">
        <v>443740022</v>
      </c>
      <c r="S2686" s="11">
        <v>914682</v>
      </c>
      <c r="T2686">
        <v>2015</v>
      </c>
      <c r="U2686">
        <v>6</v>
      </c>
      <c r="V2686">
        <f t="shared" si="246"/>
        <v>618750</v>
      </c>
      <c r="W2686">
        <f t="shared" si="247"/>
        <v>18429897</v>
      </c>
      <c r="X2686">
        <f t="shared" si="248"/>
        <v>17811147</v>
      </c>
      <c r="Y2686">
        <f t="shared" si="249"/>
        <v>-26097970.5</v>
      </c>
      <c r="Z2686">
        <f t="shared" si="250"/>
        <v>45146617.5</v>
      </c>
      <c r="AA2686" t="str">
        <f t="shared" si="251"/>
        <v>Normal</v>
      </c>
      <c r="AE2686" s="2"/>
      <c r="AF2686" s="2"/>
    </row>
    <row r="2687" spans="1:32" x14ac:dyDescent="0.35">
      <c r="A2687">
        <v>2686</v>
      </c>
      <c r="B2687" s="1">
        <v>42158</v>
      </c>
      <c r="C2687" s="9" t="s">
        <v>3535</v>
      </c>
      <c r="D2687" s="9" t="s">
        <v>5528</v>
      </c>
      <c r="E2687" s="9" t="s">
        <v>1111</v>
      </c>
      <c r="F2687" s="9" t="s">
        <v>19</v>
      </c>
      <c r="G2687" s="9" t="s">
        <v>715</v>
      </c>
      <c r="H2687" s="9" t="s">
        <v>86</v>
      </c>
      <c r="I2687" s="11">
        <v>18429897</v>
      </c>
      <c r="J2687" s="11">
        <v>2830675</v>
      </c>
      <c r="K2687" s="11">
        <v>7591671</v>
      </c>
      <c r="L2687" s="3">
        <v>38</v>
      </c>
      <c r="M2687" s="3">
        <v>711</v>
      </c>
      <c r="N2687" s="3">
        <v>317748</v>
      </c>
      <c r="O2687" s="2">
        <v>-0.7</v>
      </c>
      <c r="P2687" s="2">
        <v>1.171</v>
      </c>
      <c r="Q2687" s="2">
        <v>5.5999999999999994E-2</v>
      </c>
      <c r="R2687" s="11">
        <v>407888495</v>
      </c>
      <c r="S2687" s="11">
        <v>500715</v>
      </c>
      <c r="T2687">
        <v>2015</v>
      </c>
      <c r="U2687">
        <v>6</v>
      </c>
      <c r="V2687">
        <f t="shared" si="246"/>
        <v>637500</v>
      </c>
      <c r="W2687">
        <f t="shared" si="247"/>
        <v>18429897</v>
      </c>
      <c r="X2687">
        <f t="shared" si="248"/>
        <v>17792397</v>
      </c>
      <c r="Y2687">
        <f t="shared" si="249"/>
        <v>-26051095.5</v>
      </c>
      <c r="Z2687">
        <f t="shared" si="250"/>
        <v>45118492.5</v>
      </c>
      <c r="AA2687" t="str">
        <f t="shared" si="251"/>
        <v>Normal</v>
      </c>
      <c r="AE2687" s="2"/>
      <c r="AF2687" s="2"/>
    </row>
    <row r="2688" spans="1:32" x14ac:dyDescent="0.35">
      <c r="A2688">
        <v>2687</v>
      </c>
      <c r="B2688" s="1">
        <v>42159</v>
      </c>
      <c r="C2688" s="9" t="s">
        <v>1133</v>
      </c>
      <c r="D2688" s="9" t="s">
        <v>5529</v>
      </c>
      <c r="E2688" s="9" t="s">
        <v>1111</v>
      </c>
      <c r="F2688" s="9" t="s">
        <v>27</v>
      </c>
      <c r="G2688" s="9" t="s">
        <v>1134</v>
      </c>
      <c r="H2688" s="9" t="s">
        <v>105</v>
      </c>
      <c r="I2688" s="11">
        <v>137000000</v>
      </c>
      <c r="J2688" s="11">
        <v>2531926</v>
      </c>
      <c r="K2688" s="11">
        <v>11893303</v>
      </c>
      <c r="L2688" s="3">
        <v>421</v>
      </c>
      <c r="M2688" s="3">
        <v>4002</v>
      </c>
      <c r="N2688" s="3">
        <v>1111778</v>
      </c>
      <c r="O2688" s="2">
        <v>0.376</v>
      </c>
      <c r="P2688" s="2">
        <v>0.47</v>
      </c>
      <c r="Q2688" s="2">
        <v>0.36749999999999999</v>
      </c>
      <c r="R2688" s="11">
        <v>250264963</v>
      </c>
      <c r="S2688" s="11">
        <v>819863</v>
      </c>
      <c r="T2688">
        <v>2015</v>
      </c>
      <c r="U2688">
        <v>6</v>
      </c>
      <c r="V2688">
        <f t="shared" si="246"/>
        <v>631250</v>
      </c>
      <c r="W2688">
        <f t="shared" si="247"/>
        <v>18429897</v>
      </c>
      <c r="X2688">
        <f t="shared" si="248"/>
        <v>17798647</v>
      </c>
      <c r="Y2688">
        <f t="shared" si="249"/>
        <v>-26066720.5</v>
      </c>
      <c r="Z2688">
        <f t="shared" si="250"/>
        <v>45127867.5</v>
      </c>
      <c r="AA2688" t="str">
        <f t="shared" si="251"/>
        <v>Outlier</v>
      </c>
      <c r="AE2688" s="2"/>
      <c r="AF2688" s="2"/>
    </row>
    <row r="2689" spans="1:32" x14ac:dyDescent="0.35">
      <c r="A2689">
        <v>2688</v>
      </c>
      <c r="B2689" s="1">
        <v>42159</v>
      </c>
      <c r="C2689" s="9" t="s">
        <v>1506</v>
      </c>
      <c r="D2689" s="9" t="s">
        <v>5530</v>
      </c>
      <c r="E2689" s="9" t="s">
        <v>1111</v>
      </c>
      <c r="F2689" s="9" t="s">
        <v>63</v>
      </c>
      <c r="G2689" s="9" t="s">
        <v>898</v>
      </c>
      <c r="H2689" s="9" t="s">
        <v>105</v>
      </c>
      <c r="I2689" s="11">
        <v>1000000</v>
      </c>
      <c r="J2689" s="11">
        <v>4911078</v>
      </c>
      <c r="K2689" s="11">
        <v>9554601</v>
      </c>
      <c r="L2689" s="3">
        <v>322</v>
      </c>
      <c r="M2689" s="3">
        <v>393</v>
      </c>
      <c r="N2689" s="3">
        <v>1636910</v>
      </c>
      <c r="O2689" s="2">
        <v>7.8E-2</v>
      </c>
      <c r="P2689" s="2">
        <v>0.88900000000000001</v>
      </c>
      <c r="Q2689" s="2">
        <v>0.245</v>
      </c>
      <c r="R2689" s="11">
        <v>181217416</v>
      </c>
      <c r="S2689" s="11">
        <v>1990294</v>
      </c>
      <c r="T2689">
        <v>2015</v>
      </c>
      <c r="U2689">
        <v>6</v>
      </c>
      <c r="V2689">
        <f t="shared" si="246"/>
        <v>625000</v>
      </c>
      <c r="W2689">
        <f t="shared" si="247"/>
        <v>18429897</v>
      </c>
      <c r="X2689">
        <f t="shared" si="248"/>
        <v>17804897</v>
      </c>
      <c r="Y2689">
        <f t="shared" si="249"/>
        <v>-26082345.5</v>
      </c>
      <c r="Z2689">
        <f t="shared" si="250"/>
        <v>45137242.5</v>
      </c>
      <c r="AA2689" t="str">
        <f t="shared" si="251"/>
        <v>Normal</v>
      </c>
      <c r="AE2689" s="2"/>
      <c r="AF2689" s="2"/>
    </row>
    <row r="2690" spans="1:32" x14ac:dyDescent="0.35">
      <c r="A2690">
        <v>2689</v>
      </c>
      <c r="B2690" s="1">
        <v>42159</v>
      </c>
      <c r="C2690" s="9" t="s">
        <v>4365</v>
      </c>
      <c r="D2690" s="9" t="s">
        <v>5531</v>
      </c>
      <c r="E2690" s="9" t="s">
        <v>1111</v>
      </c>
      <c r="F2690" s="9" t="s">
        <v>31</v>
      </c>
      <c r="G2690" s="9" t="s">
        <v>4890</v>
      </c>
      <c r="H2690" s="9" t="s">
        <v>105</v>
      </c>
      <c r="I2690" s="11">
        <v>20000000</v>
      </c>
      <c r="J2690" s="11">
        <v>3652496</v>
      </c>
      <c r="K2690" s="11">
        <v>9600759</v>
      </c>
      <c r="L2690" s="3">
        <v>489</v>
      </c>
      <c r="M2690" s="3">
        <v>2343</v>
      </c>
      <c r="N2690" s="3">
        <v>1398313</v>
      </c>
      <c r="O2690" s="2">
        <v>-0.8</v>
      </c>
      <c r="P2690" s="2">
        <v>0.55600000000000005</v>
      </c>
      <c r="Q2690" s="2">
        <v>0.34100000000000003</v>
      </c>
      <c r="R2690" s="11">
        <v>156900908</v>
      </c>
      <c r="S2690" s="11">
        <v>1924830</v>
      </c>
      <c r="T2690">
        <v>2015</v>
      </c>
      <c r="U2690">
        <v>6</v>
      </c>
      <c r="V2690">
        <f t="shared" ref="V2690:V2753" si="252">_xlfn.PERCENTILE.INC(I2690:I5733,0.25)</f>
        <v>618750</v>
      </c>
      <c r="W2690">
        <f t="shared" ref="W2690:W2753" si="253">_xlfn.PERCENTILE.INC(I2690:I5733,0.75)</f>
        <v>18429897</v>
      </c>
      <c r="X2690">
        <f t="shared" ref="X2690:X2753" si="254">W2690-V2690</f>
        <v>17811147</v>
      </c>
      <c r="Y2690">
        <f t="shared" ref="Y2690:Y2753" si="255">V2690-1.5*X2690</f>
        <v>-26097970.5</v>
      </c>
      <c r="Z2690">
        <f t="shared" ref="Z2690:Z2753" si="256">W2690+1.5*X2690</f>
        <v>45146617.5</v>
      </c>
      <c r="AA2690" t="str">
        <f t="shared" ref="AA2690:AA2753" si="257">IF(OR(I2690&lt;$Y$2, I2690&gt;$Z$2), "Outlier", "Normal")</f>
        <v>Normal</v>
      </c>
      <c r="AE2690" s="2"/>
      <c r="AF2690" s="2"/>
    </row>
    <row r="2691" spans="1:32" x14ac:dyDescent="0.35">
      <c r="A2691">
        <v>2690</v>
      </c>
      <c r="B2691" s="1">
        <v>42159</v>
      </c>
      <c r="C2691" s="9" t="s">
        <v>398</v>
      </c>
      <c r="D2691" s="9" t="s">
        <v>5532</v>
      </c>
      <c r="E2691" s="9" t="s">
        <v>1111</v>
      </c>
      <c r="F2691" s="9" t="s">
        <v>15</v>
      </c>
      <c r="G2691" s="9" t="s">
        <v>4366</v>
      </c>
      <c r="H2691" s="9" t="s">
        <v>105</v>
      </c>
      <c r="I2691" s="11">
        <v>50000000</v>
      </c>
      <c r="J2691" s="11">
        <v>3043912</v>
      </c>
      <c r="K2691" s="11">
        <v>10153449</v>
      </c>
      <c r="L2691" s="3">
        <v>108</v>
      </c>
      <c r="M2691" s="3">
        <v>4745</v>
      </c>
      <c r="N2691" s="3">
        <v>1465110</v>
      </c>
      <c r="O2691" s="2">
        <v>-0.14499999999999999</v>
      </c>
      <c r="P2691" s="2">
        <v>0.79900000000000004</v>
      </c>
      <c r="Q2691" s="2">
        <v>-0.25</v>
      </c>
      <c r="R2691" s="11">
        <v>58619469</v>
      </c>
      <c r="S2691" s="11">
        <v>920704</v>
      </c>
      <c r="T2691">
        <v>2015</v>
      </c>
      <c r="U2691">
        <v>6</v>
      </c>
      <c r="V2691">
        <f t="shared" si="252"/>
        <v>612500</v>
      </c>
      <c r="W2691">
        <f t="shared" si="253"/>
        <v>18429897</v>
      </c>
      <c r="X2691">
        <f t="shared" si="254"/>
        <v>17817397</v>
      </c>
      <c r="Y2691">
        <f t="shared" si="255"/>
        <v>-26113595.5</v>
      </c>
      <c r="Z2691">
        <f t="shared" si="256"/>
        <v>45155992.5</v>
      </c>
      <c r="AA2691" t="str">
        <f t="shared" si="257"/>
        <v>Outlier</v>
      </c>
      <c r="AE2691" s="2"/>
      <c r="AF2691" s="2"/>
    </row>
    <row r="2692" spans="1:32" x14ac:dyDescent="0.35">
      <c r="A2692">
        <v>2691</v>
      </c>
      <c r="B2692" s="1">
        <v>42160</v>
      </c>
      <c r="C2692" s="9" t="s">
        <v>4367</v>
      </c>
      <c r="D2692" s="9" t="s">
        <v>5533</v>
      </c>
      <c r="E2692" s="9" t="s">
        <v>1111</v>
      </c>
      <c r="F2692" s="9" t="s">
        <v>31</v>
      </c>
      <c r="G2692" s="9" t="s">
        <v>58</v>
      </c>
      <c r="H2692" s="9" t="s">
        <v>86</v>
      </c>
      <c r="I2692" s="11">
        <v>500000</v>
      </c>
      <c r="J2692" s="11">
        <v>4552182</v>
      </c>
      <c r="K2692" s="11">
        <v>12045196</v>
      </c>
      <c r="L2692" s="3">
        <v>496</v>
      </c>
      <c r="M2692" s="3">
        <v>2054</v>
      </c>
      <c r="N2692" s="3">
        <v>1564127</v>
      </c>
      <c r="O2692" s="2">
        <v>0.43700000000000006</v>
      </c>
      <c r="P2692" s="2">
        <v>1.0170000000000001</v>
      </c>
      <c r="Q2692" s="2">
        <v>-0.128</v>
      </c>
      <c r="R2692" s="11">
        <v>151717098</v>
      </c>
      <c r="S2692" s="11">
        <v>1008193.5</v>
      </c>
      <c r="T2692">
        <v>2015</v>
      </c>
      <c r="U2692">
        <v>6</v>
      </c>
      <c r="V2692">
        <f t="shared" si="252"/>
        <v>606250</v>
      </c>
      <c r="W2692">
        <f t="shared" si="253"/>
        <v>18429897</v>
      </c>
      <c r="X2692">
        <f t="shared" si="254"/>
        <v>17823647</v>
      </c>
      <c r="Y2692">
        <f t="shared" si="255"/>
        <v>-26129220.5</v>
      </c>
      <c r="Z2692">
        <f t="shared" si="256"/>
        <v>45165367.5</v>
      </c>
      <c r="AA2692" t="str">
        <f t="shared" si="257"/>
        <v>Normal</v>
      </c>
      <c r="AE2692" s="2"/>
      <c r="AF2692" s="2"/>
    </row>
    <row r="2693" spans="1:32" x14ac:dyDescent="0.35">
      <c r="A2693">
        <v>2692</v>
      </c>
      <c r="B2693" s="1">
        <v>42160</v>
      </c>
      <c r="C2693" s="9" t="s">
        <v>1593</v>
      </c>
      <c r="D2693" s="9" t="s">
        <v>5534</v>
      </c>
      <c r="E2693" s="9" t="s">
        <v>1111</v>
      </c>
      <c r="F2693" s="9" t="s">
        <v>15</v>
      </c>
      <c r="G2693" s="9" t="s">
        <v>4368</v>
      </c>
      <c r="H2693" s="9" t="s">
        <v>105</v>
      </c>
      <c r="I2693" s="11">
        <v>10000000</v>
      </c>
      <c r="J2693" s="11">
        <v>2136397</v>
      </c>
      <c r="K2693" s="11">
        <v>6666244</v>
      </c>
      <c r="L2693" s="3">
        <v>28</v>
      </c>
      <c r="M2693" s="3">
        <v>4144</v>
      </c>
      <c r="N2693" s="3">
        <v>1685580</v>
      </c>
      <c r="O2693" s="2">
        <v>0.34799999999999998</v>
      </c>
      <c r="P2693" s="2">
        <v>1.123</v>
      </c>
      <c r="Q2693" s="2">
        <v>2E-3</v>
      </c>
      <c r="R2693" s="11">
        <v>402239377</v>
      </c>
      <c r="S2693" s="11">
        <v>1510420</v>
      </c>
      <c r="T2693">
        <v>2015</v>
      </c>
      <c r="U2693">
        <v>6</v>
      </c>
      <c r="V2693">
        <f t="shared" si="252"/>
        <v>625000</v>
      </c>
      <c r="W2693">
        <f t="shared" si="253"/>
        <v>18429897</v>
      </c>
      <c r="X2693">
        <f t="shared" si="254"/>
        <v>17804897</v>
      </c>
      <c r="Y2693">
        <f t="shared" si="255"/>
        <v>-26082345.5</v>
      </c>
      <c r="Z2693">
        <f t="shared" si="256"/>
        <v>45137242.5</v>
      </c>
      <c r="AA2693" t="str">
        <f t="shared" si="257"/>
        <v>Normal</v>
      </c>
      <c r="AE2693" s="2"/>
      <c r="AF2693" s="2"/>
    </row>
    <row r="2694" spans="1:32" x14ac:dyDescent="0.35">
      <c r="A2694">
        <v>2693</v>
      </c>
      <c r="B2694" s="1">
        <v>42160</v>
      </c>
      <c r="C2694" s="9" t="s">
        <v>3045</v>
      </c>
      <c r="D2694" s="9" t="s">
        <v>5535</v>
      </c>
      <c r="E2694" s="9" t="s">
        <v>1111</v>
      </c>
      <c r="F2694" s="9" t="s">
        <v>526</v>
      </c>
      <c r="G2694" s="9" t="s">
        <v>4369</v>
      </c>
      <c r="H2694" s="9" t="s">
        <v>105</v>
      </c>
      <c r="I2694" s="11">
        <v>5000000</v>
      </c>
      <c r="J2694" s="11">
        <v>4676045</v>
      </c>
      <c r="K2694" s="11">
        <v>2799517</v>
      </c>
      <c r="L2694" s="3">
        <v>42</v>
      </c>
      <c r="M2694" s="3">
        <v>2505.5</v>
      </c>
      <c r="N2694" s="3">
        <v>1840224</v>
      </c>
      <c r="O2694" s="2">
        <v>2.4E-2</v>
      </c>
      <c r="P2694" s="2">
        <v>0.627</v>
      </c>
      <c r="Q2694" s="2">
        <v>-0.112</v>
      </c>
      <c r="R2694" s="11">
        <v>55384056</v>
      </c>
      <c r="S2694" s="11">
        <v>574636</v>
      </c>
      <c r="T2694">
        <v>2015</v>
      </c>
      <c r="U2694">
        <v>6</v>
      </c>
      <c r="V2694">
        <f t="shared" si="252"/>
        <v>618750</v>
      </c>
      <c r="W2694">
        <f t="shared" si="253"/>
        <v>18429897</v>
      </c>
      <c r="X2694">
        <f t="shared" si="254"/>
        <v>17811147</v>
      </c>
      <c r="Y2694">
        <f t="shared" si="255"/>
        <v>-26097970.5</v>
      </c>
      <c r="Z2694">
        <f t="shared" si="256"/>
        <v>45146617.5</v>
      </c>
      <c r="AA2694" t="str">
        <f t="shared" si="257"/>
        <v>Normal</v>
      </c>
      <c r="AE2694" s="2"/>
      <c r="AF2694" s="2"/>
    </row>
    <row r="2695" spans="1:32" x14ac:dyDescent="0.35">
      <c r="A2695">
        <v>2694</v>
      </c>
      <c r="B2695" s="1">
        <v>42163</v>
      </c>
      <c r="C2695" s="9" t="s">
        <v>4370</v>
      </c>
      <c r="D2695" s="9" t="s">
        <v>5536</v>
      </c>
      <c r="E2695" s="9" t="s">
        <v>1111</v>
      </c>
      <c r="F2695" s="9" t="s">
        <v>27</v>
      </c>
      <c r="G2695" s="9" t="s">
        <v>4891</v>
      </c>
      <c r="H2695" s="9" t="s">
        <v>86</v>
      </c>
      <c r="I2695" s="11">
        <v>18429897</v>
      </c>
      <c r="J2695" s="11">
        <v>1862522</v>
      </c>
      <c r="K2695" s="11">
        <v>6061225</v>
      </c>
      <c r="L2695" s="3">
        <v>226</v>
      </c>
      <c r="M2695" s="3">
        <v>3986</v>
      </c>
      <c r="N2695" s="3">
        <v>726213</v>
      </c>
      <c r="O2695" s="2">
        <v>0.22899999999999998</v>
      </c>
      <c r="P2695" s="2">
        <v>1.032</v>
      </c>
      <c r="Q2695" s="2">
        <v>3.3000000000000002E-2</v>
      </c>
      <c r="R2695" s="11">
        <v>50331680</v>
      </c>
      <c r="S2695" s="11">
        <v>452750</v>
      </c>
      <c r="T2695">
        <v>2015</v>
      </c>
      <c r="U2695">
        <v>6</v>
      </c>
      <c r="V2695">
        <f t="shared" si="252"/>
        <v>612500</v>
      </c>
      <c r="W2695">
        <f t="shared" si="253"/>
        <v>18429897</v>
      </c>
      <c r="X2695">
        <f t="shared" si="254"/>
        <v>17817397</v>
      </c>
      <c r="Y2695">
        <f t="shared" si="255"/>
        <v>-26113595.5</v>
      </c>
      <c r="Z2695">
        <f t="shared" si="256"/>
        <v>45155992.5</v>
      </c>
      <c r="AA2695" t="str">
        <f t="shared" si="257"/>
        <v>Normal</v>
      </c>
      <c r="AE2695" s="2"/>
      <c r="AF2695" s="2"/>
    </row>
    <row r="2696" spans="1:32" x14ac:dyDescent="0.35">
      <c r="A2696">
        <v>2695</v>
      </c>
      <c r="B2696" s="1">
        <v>42163</v>
      </c>
      <c r="C2696" s="9" t="s">
        <v>4371</v>
      </c>
      <c r="D2696" s="9" t="s">
        <v>5537</v>
      </c>
      <c r="E2696" s="9" t="s">
        <v>1111</v>
      </c>
      <c r="F2696" s="9" t="s">
        <v>31</v>
      </c>
      <c r="G2696" s="9" t="s">
        <v>4372</v>
      </c>
      <c r="H2696" s="9" t="s">
        <v>105</v>
      </c>
      <c r="I2696" s="11">
        <v>40000000</v>
      </c>
      <c r="J2696" s="11">
        <v>656340</v>
      </c>
      <c r="K2696" s="11">
        <v>10153449</v>
      </c>
      <c r="L2696" s="3">
        <v>330</v>
      </c>
      <c r="M2696" s="3">
        <v>4738</v>
      </c>
      <c r="N2696" s="3">
        <v>1456701</v>
      </c>
      <c r="O2696" s="2">
        <v>0.14499999999999999</v>
      </c>
      <c r="P2696" s="2">
        <v>0.53500000000000003</v>
      </c>
      <c r="Q2696" s="2">
        <v>0.182</v>
      </c>
      <c r="R2696" s="11">
        <v>278977899</v>
      </c>
      <c r="S2696" s="11">
        <v>1008193.5</v>
      </c>
      <c r="T2696">
        <v>2015</v>
      </c>
      <c r="U2696">
        <v>6</v>
      </c>
      <c r="V2696">
        <f t="shared" si="252"/>
        <v>606250</v>
      </c>
      <c r="W2696">
        <f t="shared" si="253"/>
        <v>18429897</v>
      </c>
      <c r="X2696">
        <f t="shared" si="254"/>
        <v>17823647</v>
      </c>
      <c r="Y2696">
        <f t="shared" si="255"/>
        <v>-26129220.5</v>
      </c>
      <c r="Z2696">
        <f t="shared" si="256"/>
        <v>45165367.5</v>
      </c>
      <c r="AA2696" t="str">
        <f t="shared" si="257"/>
        <v>Normal</v>
      </c>
      <c r="AE2696" s="2"/>
      <c r="AF2696" s="2"/>
    </row>
    <row r="2697" spans="1:32" x14ac:dyDescent="0.35">
      <c r="A2697">
        <v>2696</v>
      </c>
      <c r="B2697" s="1">
        <v>42164</v>
      </c>
      <c r="C2697" s="9" t="s">
        <v>1611</v>
      </c>
      <c r="D2697" s="9" t="s">
        <v>5538</v>
      </c>
      <c r="E2697" s="9" t="s">
        <v>1111</v>
      </c>
      <c r="F2697" s="9" t="s">
        <v>27</v>
      </c>
      <c r="G2697" s="9" t="s">
        <v>1973</v>
      </c>
      <c r="H2697" s="9" t="s">
        <v>105</v>
      </c>
      <c r="I2697" s="11">
        <v>5000000</v>
      </c>
      <c r="J2697" s="11">
        <v>2099744</v>
      </c>
      <c r="K2697" s="11">
        <v>3302390</v>
      </c>
      <c r="L2697" s="3">
        <v>87</v>
      </c>
      <c r="M2697" s="3">
        <v>534</v>
      </c>
      <c r="N2697" s="3">
        <v>557150</v>
      </c>
      <c r="O2697" s="2">
        <v>1.6E-2</v>
      </c>
      <c r="P2697" s="2">
        <v>0.86099999999999999</v>
      </c>
      <c r="Q2697" s="2">
        <v>0.41299999999999998</v>
      </c>
      <c r="R2697" s="11">
        <v>451623942</v>
      </c>
      <c r="S2697" s="11">
        <v>77928</v>
      </c>
      <c r="T2697">
        <v>2015</v>
      </c>
      <c r="U2697">
        <v>6</v>
      </c>
      <c r="V2697">
        <f t="shared" si="252"/>
        <v>600000</v>
      </c>
      <c r="W2697">
        <f t="shared" si="253"/>
        <v>18429897</v>
      </c>
      <c r="X2697">
        <f t="shared" si="254"/>
        <v>17829897</v>
      </c>
      <c r="Y2697">
        <f t="shared" si="255"/>
        <v>-26144845.5</v>
      </c>
      <c r="Z2697">
        <f t="shared" si="256"/>
        <v>45174742.5</v>
      </c>
      <c r="AA2697" t="str">
        <f t="shared" si="257"/>
        <v>Normal</v>
      </c>
      <c r="AE2697" s="2"/>
      <c r="AF2697" s="2"/>
    </row>
    <row r="2698" spans="1:32" x14ac:dyDescent="0.35">
      <c r="A2698">
        <v>2697</v>
      </c>
      <c r="B2698" s="1">
        <v>42164</v>
      </c>
      <c r="C2698" s="9" t="s">
        <v>729</v>
      </c>
      <c r="D2698" s="9" t="s">
        <v>5539</v>
      </c>
      <c r="E2698" s="9" t="s">
        <v>1111</v>
      </c>
      <c r="F2698" s="9" t="s">
        <v>15</v>
      </c>
      <c r="G2698" s="9" t="s">
        <v>4373</v>
      </c>
      <c r="H2698" s="9" t="s">
        <v>105</v>
      </c>
      <c r="I2698" s="11">
        <v>16500000</v>
      </c>
      <c r="J2698" s="11">
        <v>661256</v>
      </c>
      <c r="K2698" s="11">
        <v>3635668</v>
      </c>
      <c r="L2698" s="3">
        <v>140</v>
      </c>
      <c r="M2698" s="3">
        <v>1542</v>
      </c>
      <c r="N2698" s="3">
        <v>1379901</v>
      </c>
      <c r="O2698" s="2">
        <v>0.313</v>
      </c>
      <c r="P2698" s="2">
        <v>1.0780000000000001</v>
      </c>
      <c r="Q2698" s="2">
        <v>-3.5000000000000003E-2</v>
      </c>
      <c r="R2698" s="11">
        <v>323796454</v>
      </c>
      <c r="S2698" s="11">
        <v>873510</v>
      </c>
      <c r="T2698">
        <v>2015</v>
      </c>
      <c r="U2698">
        <v>6</v>
      </c>
      <c r="V2698">
        <f t="shared" si="252"/>
        <v>587500</v>
      </c>
      <c r="W2698">
        <f t="shared" si="253"/>
        <v>18429897</v>
      </c>
      <c r="X2698">
        <f t="shared" si="254"/>
        <v>17842397</v>
      </c>
      <c r="Y2698">
        <f t="shared" si="255"/>
        <v>-26176095.5</v>
      </c>
      <c r="Z2698">
        <f t="shared" si="256"/>
        <v>45193492.5</v>
      </c>
      <c r="AA2698" t="str">
        <f t="shared" si="257"/>
        <v>Normal</v>
      </c>
      <c r="AE2698" s="2"/>
      <c r="AF2698" s="2"/>
    </row>
    <row r="2699" spans="1:32" x14ac:dyDescent="0.35">
      <c r="A2699">
        <v>2698</v>
      </c>
      <c r="B2699" s="1">
        <v>42164</v>
      </c>
      <c r="C2699" s="9" t="s">
        <v>4374</v>
      </c>
      <c r="D2699" s="9" t="s">
        <v>5540</v>
      </c>
      <c r="E2699" s="9" t="s">
        <v>1111</v>
      </c>
      <c r="F2699" s="9" t="s">
        <v>19</v>
      </c>
      <c r="G2699" s="9" t="s">
        <v>4171</v>
      </c>
      <c r="H2699" s="9" t="s">
        <v>86</v>
      </c>
      <c r="I2699" s="11">
        <v>234000</v>
      </c>
      <c r="J2699" s="11">
        <v>609627</v>
      </c>
      <c r="K2699" s="11">
        <v>10153449</v>
      </c>
      <c r="L2699" s="3">
        <v>197</v>
      </c>
      <c r="M2699" s="3">
        <v>1641</v>
      </c>
      <c r="N2699" s="3">
        <v>110934</v>
      </c>
      <c r="O2699" s="2">
        <v>-5.0000000000000001E-3</v>
      </c>
      <c r="P2699" s="2">
        <v>0.88500000000000001</v>
      </c>
      <c r="Q2699" s="2">
        <v>-4.5999999999999999E-2</v>
      </c>
      <c r="R2699" s="11">
        <v>250264963</v>
      </c>
      <c r="S2699" s="11">
        <v>155652</v>
      </c>
      <c r="T2699">
        <v>2015</v>
      </c>
      <c r="U2699">
        <v>6</v>
      </c>
      <c r="V2699">
        <f t="shared" si="252"/>
        <v>575000</v>
      </c>
      <c r="W2699">
        <f t="shared" si="253"/>
        <v>18429897</v>
      </c>
      <c r="X2699">
        <f t="shared" si="254"/>
        <v>17854897</v>
      </c>
      <c r="Y2699">
        <f t="shared" si="255"/>
        <v>-26207345.5</v>
      </c>
      <c r="Z2699">
        <f t="shared" si="256"/>
        <v>45212242.5</v>
      </c>
      <c r="AA2699" t="str">
        <f t="shared" si="257"/>
        <v>Normal</v>
      </c>
      <c r="AE2699" s="2"/>
      <c r="AF2699" s="2"/>
    </row>
    <row r="2700" spans="1:32" x14ac:dyDescent="0.35">
      <c r="A2700">
        <v>2699</v>
      </c>
      <c r="B2700" s="1">
        <v>42164</v>
      </c>
      <c r="C2700" s="9" t="s">
        <v>4375</v>
      </c>
      <c r="D2700" s="9" t="s">
        <v>5541</v>
      </c>
      <c r="E2700" s="9" t="s">
        <v>1111</v>
      </c>
      <c r="F2700" s="9" t="s">
        <v>27</v>
      </c>
      <c r="G2700" s="9" t="s">
        <v>4324</v>
      </c>
      <c r="H2700" s="9" t="s">
        <v>105</v>
      </c>
      <c r="I2700" s="11">
        <v>18429897</v>
      </c>
      <c r="J2700" s="11">
        <v>4408418</v>
      </c>
      <c r="K2700" s="11">
        <v>5674100</v>
      </c>
      <c r="L2700" s="3">
        <v>67</v>
      </c>
      <c r="M2700" s="3">
        <v>380</v>
      </c>
      <c r="N2700" s="3">
        <v>108289</v>
      </c>
      <c r="O2700" s="2">
        <v>-0.318</v>
      </c>
      <c r="P2700" s="2">
        <v>0.90599999999999992</v>
      </c>
      <c r="Q2700" s="2">
        <v>0.185</v>
      </c>
      <c r="R2700" s="11">
        <v>450892409</v>
      </c>
      <c r="S2700" s="11">
        <v>1407090</v>
      </c>
      <c r="T2700">
        <v>2015</v>
      </c>
      <c r="U2700">
        <v>6</v>
      </c>
      <c r="V2700">
        <f t="shared" si="252"/>
        <v>606250</v>
      </c>
      <c r="W2700">
        <f t="shared" si="253"/>
        <v>18429897</v>
      </c>
      <c r="X2700">
        <f t="shared" si="254"/>
        <v>17823647</v>
      </c>
      <c r="Y2700">
        <f t="shared" si="255"/>
        <v>-26129220.5</v>
      </c>
      <c r="Z2700">
        <f t="shared" si="256"/>
        <v>45165367.5</v>
      </c>
      <c r="AA2700" t="str">
        <f t="shared" si="257"/>
        <v>Normal</v>
      </c>
      <c r="AE2700" s="2"/>
      <c r="AF2700" s="2"/>
    </row>
    <row r="2701" spans="1:32" x14ac:dyDescent="0.35">
      <c r="A2701">
        <v>2700</v>
      </c>
      <c r="B2701" s="1">
        <v>42164</v>
      </c>
      <c r="C2701" s="9" t="s">
        <v>4376</v>
      </c>
      <c r="D2701" s="9" t="s">
        <v>5542</v>
      </c>
      <c r="E2701" s="9" t="s">
        <v>1111</v>
      </c>
      <c r="F2701" s="9" t="s">
        <v>15</v>
      </c>
      <c r="G2701" s="9" t="s">
        <v>4377</v>
      </c>
      <c r="H2701" s="9" t="s">
        <v>86</v>
      </c>
      <c r="I2701" s="11">
        <v>140000</v>
      </c>
      <c r="J2701" s="11">
        <v>3977857</v>
      </c>
      <c r="K2701" s="11">
        <v>10153449</v>
      </c>
      <c r="L2701" s="3">
        <v>92</v>
      </c>
      <c r="M2701" s="3">
        <v>575</v>
      </c>
      <c r="N2701" s="3">
        <v>399658</v>
      </c>
      <c r="O2701" s="2">
        <v>0.17199999999999999</v>
      </c>
      <c r="P2701" s="2">
        <v>0.50800000000000001</v>
      </c>
      <c r="Q2701" s="2">
        <v>7.9000000000000001E-2</v>
      </c>
      <c r="R2701" s="11">
        <v>244525817</v>
      </c>
      <c r="S2701" s="11">
        <v>591996</v>
      </c>
      <c r="T2701">
        <v>2015</v>
      </c>
      <c r="U2701">
        <v>6</v>
      </c>
      <c r="V2701">
        <f t="shared" si="252"/>
        <v>600000</v>
      </c>
      <c r="W2701">
        <f t="shared" si="253"/>
        <v>18429897</v>
      </c>
      <c r="X2701">
        <f t="shared" si="254"/>
        <v>17829897</v>
      </c>
      <c r="Y2701">
        <f t="shared" si="255"/>
        <v>-26144845.5</v>
      </c>
      <c r="Z2701">
        <f t="shared" si="256"/>
        <v>45174742.5</v>
      </c>
      <c r="AA2701" t="str">
        <f t="shared" si="257"/>
        <v>Normal</v>
      </c>
      <c r="AE2701" s="2"/>
      <c r="AF2701" s="2"/>
    </row>
    <row r="2702" spans="1:32" x14ac:dyDescent="0.35">
      <c r="A2702">
        <v>2701</v>
      </c>
      <c r="B2702" s="1">
        <v>42165</v>
      </c>
      <c r="C2702" s="9" t="s">
        <v>303</v>
      </c>
      <c r="D2702" s="9" t="s">
        <v>5543</v>
      </c>
      <c r="E2702" s="9" t="s">
        <v>1111</v>
      </c>
      <c r="F2702" s="9" t="s">
        <v>31</v>
      </c>
      <c r="G2702" s="9" t="s">
        <v>4378</v>
      </c>
      <c r="H2702" s="9" t="s">
        <v>86</v>
      </c>
      <c r="I2702" s="11">
        <v>18429897</v>
      </c>
      <c r="J2702" s="11">
        <v>1121634</v>
      </c>
      <c r="K2702" s="11">
        <v>2643509</v>
      </c>
      <c r="L2702" s="3">
        <v>254</v>
      </c>
      <c r="M2702" s="3">
        <v>593</v>
      </c>
      <c r="N2702" s="3">
        <v>1018455</v>
      </c>
      <c r="O2702" s="2">
        <v>0.13300000000000001</v>
      </c>
      <c r="P2702" s="2">
        <v>0.45200000000000001</v>
      </c>
      <c r="Q2702" s="2">
        <v>-0.29799999999999999</v>
      </c>
      <c r="R2702" s="11">
        <v>216904766</v>
      </c>
      <c r="S2702" s="11">
        <v>466815</v>
      </c>
      <c r="T2702">
        <v>2015</v>
      </c>
      <c r="U2702">
        <v>6</v>
      </c>
      <c r="V2702">
        <f t="shared" si="252"/>
        <v>618750</v>
      </c>
      <c r="W2702">
        <f t="shared" si="253"/>
        <v>18429897</v>
      </c>
      <c r="X2702">
        <f t="shared" si="254"/>
        <v>17811147</v>
      </c>
      <c r="Y2702">
        <f t="shared" si="255"/>
        <v>-26097970.5</v>
      </c>
      <c r="Z2702">
        <f t="shared" si="256"/>
        <v>45146617.5</v>
      </c>
      <c r="AA2702" t="str">
        <f t="shared" si="257"/>
        <v>Normal</v>
      </c>
      <c r="AE2702" s="2"/>
      <c r="AF2702" s="2"/>
    </row>
    <row r="2703" spans="1:32" x14ac:dyDescent="0.35">
      <c r="A2703">
        <v>2702</v>
      </c>
      <c r="B2703" s="1">
        <v>42165</v>
      </c>
      <c r="C2703" s="9" t="s">
        <v>1809</v>
      </c>
      <c r="D2703" s="9" t="s">
        <v>5544</v>
      </c>
      <c r="E2703" s="9" t="s">
        <v>1111</v>
      </c>
      <c r="F2703" s="9" t="s">
        <v>15</v>
      </c>
      <c r="G2703" s="9" t="s">
        <v>4379</v>
      </c>
      <c r="H2703" s="9" t="s">
        <v>105</v>
      </c>
      <c r="I2703" s="11">
        <v>5000000</v>
      </c>
      <c r="J2703" s="11">
        <v>4191829</v>
      </c>
      <c r="K2703" s="11">
        <v>19448830</v>
      </c>
      <c r="L2703" s="3">
        <v>477</v>
      </c>
      <c r="M2703" s="3">
        <v>4750</v>
      </c>
      <c r="N2703" s="3">
        <v>1821141</v>
      </c>
      <c r="O2703" s="2">
        <v>0.1</v>
      </c>
      <c r="P2703" s="2">
        <v>0.94699999999999995</v>
      </c>
      <c r="Q2703" s="2">
        <v>-0.124</v>
      </c>
      <c r="R2703" s="11">
        <v>478915731</v>
      </c>
      <c r="S2703" s="11">
        <v>615018</v>
      </c>
      <c r="T2703">
        <v>2015</v>
      </c>
      <c r="U2703">
        <v>6</v>
      </c>
      <c r="V2703">
        <f t="shared" si="252"/>
        <v>612500</v>
      </c>
      <c r="W2703">
        <f t="shared" si="253"/>
        <v>18429897</v>
      </c>
      <c r="X2703">
        <f t="shared" si="254"/>
        <v>17817397</v>
      </c>
      <c r="Y2703">
        <f t="shared" si="255"/>
        <v>-26113595.5</v>
      </c>
      <c r="Z2703">
        <f t="shared" si="256"/>
        <v>45155992.5</v>
      </c>
      <c r="AA2703" t="str">
        <f t="shared" si="257"/>
        <v>Normal</v>
      </c>
      <c r="AE2703" s="2"/>
      <c r="AF2703" s="2"/>
    </row>
    <row r="2704" spans="1:32" x14ac:dyDescent="0.35">
      <c r="A2704">
        <v>2703</v>
      </c>
      <c r="B2704" s="1">
        <v>42166</v>
      </c>
      <c r="C2704" s="9" t="s">
        <v>4380</v>
      </c>
      <c r="D2704" s="9" t="s">
        <v>5545</v>
      </c>
      <c r="E2704" s="9" t="s">
        <v>1111</v>
      </c>
      <c r="F2704" s="9" t="s">
        <v>31</v>
      </c>
      <c r="G2704" s="9" t="s">
        <v>4892</v>
      </c>
      <c r="H2704" s="9" t="s">
        <v>86</v>
      </c>
      <c r="I2704" s="11">
        <v>350000</v>
      </c>
      <c r="J2704" s="11">
        <v>363132</v>
      </c>
      <c r="K2704" s="11">
        <v>4328662</v>
      </c>
      <c r="L2704" s="3">
        <v>468</v>
      </c>
      <c r="M2704" s="3">
        <v>4293</v>
      </c>
      <c r="N2704" s="3">
        <v>1197570</v>
      </c>
      <c r="O2704" s="2">
        <v>-5.7999999999999996E-2</v>
      </c>
      <c r="P2704" s="2">
        <v>0.83799999999999997</v>
      </c>
      <c r="Q2704" s="2">
        <v>0.4</v>
      </c>
      <c r="R2704" s="11">
        <v>339700233</v>
      </c>
      <c r="S2704" s="11">
        <v>1020630</v>
      </c>
      <c r="T2704">
        <v>2015</v>
      </c>
      <c r="U2704">
        <v>6</v>
      </c>
      <c r="V2704">
        <f t="shared" si="252"/>
        <v>606250</v>
      </c>
      <c r="W2704">
        <f t="shared" si="253"/>
        <v>18429897</v>
      </c>
      <c r="X2704">
        <f t="shared" si="254"/>
        <v>17823647</v>
      </c>
      <c r="Y2704">
        <f t="shared" si="255"/>
        <v>-26129220.5</v>
      </c>
      <c r="Z2704">
        <f t="shared" si="256"/>
        <v>45165367.5</v>
      </c>
      <c r="AA2704" t="str">
        <f t="shared" si="257"/>
        <v>Normal</v>
      </c>
      <c r="AE2704" s="2"/>
      <c r="AF2704" s="2"/>
    </row>
    <row r="2705" spans="1:32" x14ac:dyDescent="0.35">
      <c r="A2705">
        <v>2704</v>
      </c>
      <c r="B2705" s="1">
        <v>42166</v>
      </c>
      <c r="C2705" s="9" t="s">
        <v>2503</v>
      </c>
      <c r="D2705" s="9" t="s">
        <v>5546</v>
      </c>
      <c r="E2705" s="9" t="s">
        <v>1111</v>
      </c>
      <c r="F2705" s="9" t="s">
        <v>19</v>
      </c>
      <c r="G2705" s="9" t="s">
        <v>4381</v>
      </c>
      <c r="H2705" s="9" t="s">
        <v>86</v>
      </c>
      <c r="I2705" s="11">
        <v>250000</v>
      </c>
      <c r="J2705" s="11">
        <v>1436297</v>
      </c>
      <c r="K2705" s="11">
        <v>7937785</v>
      </c>
      <c r="L2705" s="3">
        <v>316</v>
      </c>
      <c r="M2705" s="3">
        <v>2962</v>
      </c>
      <c r="N2705" s="3">
        <v>1122626</v>
      </c>
      <c r="O2705" s="2">
        <v>-0.192</v>
      </c>
      <c r="P2705" s="2">
        <v>0.746</v>
      </c>
      <c r="Q2705" s="2">
        <v>0.28499999999999998</v>
      </c>
      <c r="R2705" s="11">
        <v>281646145</v>
      </c>
      <c r="S2705" s="11">
        <v>391634</v>
      </c>
      <c r="T2705">
        <v>2015</v>
      </c>
      <c r="U2705">
        <v>6</v>
      </c>
      <c r="V2705">
        <f t="shared" si="252"/>
        <v>625000</v>
      </c>
      <c r="W2705">
        <f t="shared" si="253"/>
        <v>18429897</v>
      </c>
      <c r="X2705">
        <f t="shared" si="254"/>
        <v>17804897</v>
      </c>
      <c r="Y2705">
        <f t="shared" si="255"/>
        <v>-26082345.5</v>
      </c>
      <c r="Z2705">
        <f t="shared" si="256"/>
        <v>45137242.5</v>
      </c>
      <c r="AA2705" t="str">
        <f t="shared" si="257"/>
        <v>Normal</v>
      </c>
      <c r="AE2705" s="2"/>
      <c r="AF2705" s="2"/>
    </row>
    <row r="2706" spans="1:32" x14ac:dyDescent="0.35">
      <c r="A2706">
        <v>2705</v>
      </c>
      <c r="B2706" s="1">
        <v>42167</v>
      </c>
      <c r="C2706" s="9" t="s">
        <v>4382</v>
      </c>
      <c r="D2706" s="9" t="s">
        <v>5547</v>
      </c>
      <c r="E2706" s="9" t="s">
        <v>1111</v>
      </c>
      <c r="F2706" s="9" t="s">
        <v>408</v>
      </c>
      <c r="G2706" s="9" t="s">
        <v>673</v>
      </c>
      <c r="H2706" s="9" t="s">
        <v>105</v>
      </c>
      <c r="I2706" s="11">
        <v>16000000</v>
      </c>
      <c r="J2706" s="11">
        <v>3536386</v>
      </c>
      <c r="K2706" s="11">
        <v>15660392</v>
      </c>
      <c r="L2706" s="3">
        <v>343</v>
      </c>
      <c r="M2706" s="3">
        <v>4236</v>
      </c>
      <c r="N2706" s="3">
        <v>1393025</v>
      </c>
      <c r="O2706" s="2">
        <v>4.7E-2</v>
      </c>
      <c r="P2706" s="2">
        <v>1.175</v>
      </c>
      <c r="Q2706" s="2">
        <v>0.36799999999999999</v>
      </c>
      <c r="R2706" s="11">
        <v>7805303</v>
      </c>
      <c r="S2706" s="11">
        <v>632775</v>
      </c>
      <c r="T2706">
        <v>2015</v>
      </c>
      <c r="U2706">
        <v>6</v>
      </c>
      <c r="V2706">
        <f t="shared" si="252"/>
        <v>643750</v>
      </c>
      <c r="W2706">
        <f t="shared" si="253"/>
        <v>18429897</v>
      </c>
      <c r="X2706">
        <f t="shared" si="254"/>
        <v>17786147</v>
      </c>
      <c r="Y2706">
        <f t="shared" si="255"/>
        <v>-26035470.5</v>
      </c>
      <c r="Z2706">
        <f t="shared" si="256"/>
        <v>45109117.5</v>
      </c>
      <c r="AA2706" t="str">
        <f t="shared" si="257"/>
        <v>Normal</v>
      </c>
      <c r="AE2706" s="2"/>
      <c r="AF2706" s="2"/>
    </row>
    <row r="2707" spans="1:32" x14ac:dyDescent="0.35">
      <c r="A2707">
        <v>2706</v>
      </c>
      <c r="B2707" s="1">
        <v>42170</v>
      </c>
      <c r="C2707" s="9" t="s">
        <v>521</v>
      </c>
      <c r="D2707" s="9" t="s">
        <v>5548</v>
      </c>
      <c r="E2707" s="9" t="s">
        <v>1111</v>
      </c>
      <c r="F2707" s="9" t="s">
        <v>15</v>
      </c>
      <c r="G2707" s="9" t="s">
        <v>673</v>
      </c>
      <c r="H2707" s="9" t="s">
        <v>105</v>
      </c>
      <c r="I2707" s="11">
        <v>50000000</v>
      </c>
      <c r="J2707" s="11">
        <v>1532907</v>
      </c>
      <c r="K2707" s="11">
        <v>4108550</v>
      </c>
      <c r="L2707" s="3">
        <v>72</v>
      </c>
      <c r="M2707" s="3">
        <v>1752</v>
      </c>
      <c r="N2707" s="3">
        <v>1772726</v>
      </c>
      <c r="O2707" s="2">
        <v>-5.5E-2</v>
      </c>
      <c r="P2707" s="2">
        <v>0.61299999999999999</v>
      </c>
      <c r="Q2707" s="2">
        <v>-0.17499999999999999</v>
      </c>
      <c r="R2707" s="11">
        <v>118865073</v>
      </c>
      <c r="S2707" s="11">
        <v>676106</v>
      </c>
      <c r="T2707">
        <v>2015</v>
      </c>
      <c r="U2707">
        <v>6</v>
      </c>
      <c r="V2707">
        <f t="shared" si="252"/>
        <v>637500</v>
      </c>
      <c r="W2707">
        <f t="shared" si="253"/>
        <v>18429897</v>
      </c>
      <c r="X2707">
        <f t="shared" si="254"/>
        <v>17792397</v>
      </c>
      <c r="Y2707">
        <f t="shared" si="255"/>
        <v>-26051095.5</v>
      </c>
      <c r="Z2707">
        <f t="shared" si="256"/>
        <v>45118492.5</v>
      </c>
      <c r="AA2707" t="str">
        <f t="shared" si="257"/>
        <v>Outlier</v>
      </c>
      <c r="AE2707" s="2"/>
      <c r="AF2707" s="2"/>
    </row>
    <row r="2708" spans="1:32" x14ac:dyDescent="0.35">
      <c r="A2708">
        <v>2707</v>
      </c>
      <c r="B2708" s="1">
        <v>42170</v>
      </c>
      <c r="C2708" s="9" t="s">
        <v>4383</v>
      </c>
      <c r="D2708" s="9" t="s">
        <v>5549</v>
      </c>
      <c r="E2708" s="9" t="s">
        <v>1111</v>
      </c>
      <c r="F2708" s="9" t="s">
        <v>15</v>
      </c>
      <c r="G2708" s="9" t="s">
        <v>791</v>
      </c>
      <c r="H2708" s="9" t="s">
        <v>105</v>
      </c>
      <c r="I2708" s="11">
        <v>18429897</v>
      </c>
      <c r="J2708" s="11">
        <v>3657907</v>
      </c>
      <c r="K2708" s="11">
        <v>11041745</v>
      </c>
      <c r="L2708" s="3">
        <v>254</v>
      </c>
      <c r="M2708" s="3">
        <v>2403</v>
      </c>
      <c r="N2708" s="3">
        <v>1166768</v>
      </c>
      <c r="O2708" s="2">
        <v>0.313</v>
      </c>
      <c r="P2708" s="2">
        <v>0.435</v>
      </c>
      <c r="Q2708" s="2">
        <v>-0.10199999999999999</v>
      </c>
      <c r="R2708" s="11">
        <v>260232595</v>
      </c>
      <c r="S2708" s="11">
        <v>1924825</v>
      </c>
      <c r="T2708">
        <v>2015</v>
      </c>
      <c r="U2708">
        <v>6</v>
      </c>
      <c r="V2708">
        <f t="shared" si="252"/>
        <v>631250</v>
      </c>
      <c r="W2708">
        <f t="shared" si="253"/>
        <v>18429897</v>
      </c>
      <c r="X2708">
        <f t="shared" si="254"/>
        <v>17798647</v>
      </c>
      <c r="Y2708">
        <f t="shared" si="255"/>
        <v>-26066720.5</v>
      </c>
      <c r="Z2708">
        <f t="shared" si="256"/>
        <v>45127867.5</v>
      </c>
      <c r="AA2708" t="str">
        <f t="shared" si="257"/>
        <v>Normal</v>
      </c>
      <c r="AE2708" s="2"/>
      <c r="AF2708" s="2"/>
    </row>
    <row r="2709" spans="1:32" x14ac:dyDescent="0.35">
      <c r="A2709">
        <v>2708</v>
      </c>
      <c r="B2709" s="1">
        <v>42170</v>
      </c>
      <c r="C2709" s="9" t="s">
        <v>4384</v>
      </c>
      <c r="D2709" s="9" t="s">
        <v>5550</v>
      </c>
      <c r="E2709" s="9" t="s">
        <v>1111</v>
      </c>
      <c r="F2709" s="9" t="s">
        <v>15</v>
      </c>
      <c r="G2709" s="9" t="s">
        <v>4385</v>
      </c>
      <c r="H2709" s="9" t="s">
        <v>86</v>
      </c>
      <c r="I2709" s="11">
        <v>500000</v>
      </c>
      <c r="J2709" s="11">
        <v>4374184</v>
      </c>
      <c r="K2709" s="11">
        <v>15731482</v>
      </c>
      <c r="L2709" s="3">
        <v>191</v>
      </c>
      <c r="M2709" s="3">
        <v>4423</v>
      </c>
      <c r="N2709" s="3">
        <v>1475808</v>
      </c>
      <c r="O2709" s="2">
        <v>0.223</v>
      </c>
      <c r="P2709" s="2">
        <v>1.0390000000000001</v>
      </c>
      <c r="Q2709" s="2">
        <v>0.30599999999999999</v>
      </c>
      <c r="R2709" s="11">
        <v>300140402</v>
      </c>
      <c r="S2709" s="11">
        <v>252025</v>
      </c>
      <c r="T2709">
        <v>2015</v>
      </c>
      <c r="U2709">
        <v>6</v>
      </c>
      <c r="V2709">
        <f t="shared" si="252"/>
        <v>625000</v>
      </c>
      <c r="W2709">
        <f t="shared" si="253"/>
        <v>18429897</v>
      </c>
      <c r="X2709">
        <f t="shared" si="254"/>
        <v>17804897</v>
      </c>
      <c r="Y2709">
        <f t="shared" si="255"/>
        <v>-26082345.5</v>
      </c>
      <c r="Z2709">
        <f t="shared" si="256"/>
        <v>45137242.5</v>
      </c>
      <c r="AA2709" t="str">
        <f t="shared" si="257"/>
        <v>Normal</v>
      </c>
      <c r="AE2709" s="2"/>
      <c r="AF2709" s="2"/>
    </row>
    <row r="2710" spans="1:32" x14ac:dyDescent="0.35">
      <c r="A2710">
        <v>2709</v>
      </c>
      <c r="B2710" s="1">
        <v>42171</v>
      </c>
      <c r="C2710" s="9" t="s">
        <v>4386</v>
      </c>
      <c r="D2710" s="9" t="s">
        <v>4387</v>
      </c>
      <c r="E2710" s="9" t="s">
        <v>1111</v>
      </c>
      <c r="F2710" s="9" t="s">
        <v>31</v>
      </c>
      <c r="G2710" s="9" t="s">
        <v>4141</v>
      </c>
      <c r="H2710" s="9" t="s">
        <v>86</v>
      </c>
      <c r="I2710" s="11">
        <v>18429897</v>
      </c>
      <c r="J2710" s="11">
        <v>348987</v>
      </c>
      <c r="K2710" s="11">
        <v>570498</v>
      </c>
      <c r="L2710" s="3">
        <v>492</v>
      </c>
      <c r="M2710" s="3">
        <v>2505.5</v>
      </c>
      <c r="N2710" s="3">
        <v>818959</v>
      </c>
      <c r="O2710" s="2">
        <v>2.3E-2</v>
      </c>
      <c r="P2710" s="2">
        <v>0.38500000000000001</v>
      </c>
      <c r="Q2710" s="2">
        <v>-2.5000000000000001E-2</v>
      </c>
      <c r="R2710" s="11">
        <v>222079488</v>
      </c>
      <c r="S2710" s="11">
        <v>304586</v>
      </c>
      <c r="T2710">
        <v>2015</v>
      </c>
      <c r="U2710">
        <v>6</v>
      </c>
      <c r="V2710">
        <f t="shared" si="252"/>
        <v>643750</v>
      </c>
      <c r="W2710">
        <f t="shared" si="253"/>
        <v>18429897</v>
      </c>
      <c r="X2710">
        <f t="shared" si="254"/>
        <v>17786147</v>
      </c>
      <c r="Y2710">
        <f t="shared" si="255"/>
        <v>-26035470.5</v>
      </c>
      <c r="Z2710">
        <f t="shared" si="256"/>
        <v>45109117.5</v>
      </c>
      <c r="AA2710" t="str">
        <f t="shared" si="257"/>
        <v>Normal</v>
      </c>
      <c r="AE2710" s="2"/>
      <c r="AF2710" s="2"/>
    </row>
    <row r="2711" spans="1:32" x14ac:dyDescent="0.35">
      <c r="A2711">
        <v>2710</v>
      </c>
      <c r="B2711" s="1">
        <v>42171</v>
      </c>
      <c r="C2711" s="9" t="s">
        <v>4388</v>
      </c>
      <c r="D2711" s="9" t="s">
        <v>5551</v>
      </c>
      <c r="E2711" s="9" t="s">
        <v>1111</v>
      </c>
      <c r="F2711" s="9" t="s">
        <v>94</v>
      </c>
      <c r="G2711" s="9" t="s">
        <v>4389</v>
      </c>
      <c r="H2711" s="9" t="s">
        <v>105</v>
      </c>
      <c r="I2711" s="11">
        <v>18429897</v>
      </c>
      <c r="J2711" s="11">
        <v>139372</v>
      </c>
      <c r="K2711" s="11">
        <v>604833</v>
      </c>
      <c r="L2711" s="3">
        <v>241</v>
      </c>
      <c r="M2711" s="3">
        <v>773</v>
      </c>
      <c r="N2711" s="3">
        <v>1990162</v>
      </c>
      <c r="O2711" s="2">
        <v>0.22500000000000001</v>
      </c>
      <c r="P2711" s="2">
        <v>0.94499999999999995</v>
      </c>
      <c r="Q2711" s="2">
        <v>0.18</v>
      </c>
      <c r="R2711" s="11">
        <v>225852035</v>
      </c>
      <c r="S2711" s="11">
        <v>1773814</v>
      </c>
      <c r="T2711">
        <v>2015</v>
      </c>
      <c r="U2711">
        <v>6</v>
      </c>
      <c r="V2711">
        <f t="shared" si="252"/>
        <v>637500</v>
      </c>
      <c r="W2711">
        <f t="shared" si="253"/>
        <v>18429897</v>
      </c>
      <c r="X2711">
        <f t="shared" si="254"/>
        <v>17792397</v>
      </c>
      <c r="Y2711">
        <f t="shared" si="255"/>
        <v>-26051095.5</v>
      </c>
      <c r="Z2711">
        <f t="shared" si="256"/>
        <v>45118492.5</v>
      </c>
      <c r="AA2711" t="str">
        <f t="shared" si="257"/>
        <v>Normal</v>
      </c>
      <c r="AE2711" s="2"/>
      <c r="AF2711" s="2"/>
    </row>
    <row r="2712" spans="1:32" x14ac:dyDescent="0.35">
      <c r="A2712">
        <v>2711</v>
      </c>
      <c r="B2712" s="1">
        <v>42171</v>
      </c>
      <c r="C2712" s="9" t="s">
        <v>4390</v>
      </c>
      <c r="D2712" s="9" t="s">
        <v>5552</v>
      </c>
      <c r="E2712" s="9" t="s">
        <v>1111</v>
      </c>
      <c r="F2712" s="9" t="s">
        <v>31</v>
      </c>
      <c r="G2712" s="9" t="s">
        <v>4391</v>
      </c>
      <c r="H2712" s="9" t="s">
        <v>86</v>
      </c>
      <c r="I2712" s="11">
        <v>500000</v>
      </c>
      <c r="J2712" s="11">
        <v>4701210</v>
      </c>
      <c r="K2712" s="11">
        <v>15791637</v>
      </c>
      <c r="L2712" s="3">
        <v>404</v>
      </c>
      <c r="M2712" s="3">
        <v>2656</v>
      </c>
      <c r="N2712" s="3">
        <v>974966</v>
      </c>
      <c r="O2712" s="2">
        <v>9.9000000000000005E-2</v>
      </c>
      <c r="P2712" s="2">
        <v>1.1279999999999999</v>
      </c>
      <c r="Q2712" s="2">
        <v>4.2000000000000003E-2</v>
      </c>
      <c r="R2712" s="11">
        <v>148944196</v>
      </c>
      <c r="S2712" s="11">
        <v>1450841</v>
      </c>
      <c r="T2712">
        <v>2015</v>
      </c>
      <c r="U2712">
        <v>6</v>
      </c>
      <c r="V2712">
        <f t="shared" si="252"/>
        <v>631250</v>
      </c>
      <c r="W2712">
        <f t="shared" si="253"/>
        <v>18429897</v>
      </c>
      <c r="X2712">
        <f t="shared" si="254"/>
        <v>17798647</v>
      </c>
      <c r="Y2712">
        <f t="shared" si="255"/>
        <v>-26066720.5</v>
      </c>
      <c r="Z2712">
        <f t="shared" si="256"/>
        <v>45127867.5</v>
      </c>
      <c r="AA2712" t="str">
        <f t="shared" si="257"/>
        <v>Normal</v>
      </c>
      <c r="AE2712" s="2"/>
      <c r="AF2712" s="2"/>
    </row>
    <row r="2713" spans="1:32" x14ac:dyDescent="0.35">
      <c r="A2713">
        <v>2712</v>
      </c>
      <c r="B2713" s="1">
        <v>42172</v>
      </c>
      <c r="C2713" s="9" t="s">
        <v>2310</v>
      </c>
      <c r="D2713" s="9" t="s">
        <v>5553</v>
      </c>
      <c r="E2713" s="9" t="s">
        <v>1111</v>
      </c>
      <c r="F2713" s="9" t="s">
        <v>31</v>
      </c>
      <c r="G2713" s="9" t="s">
        <v>4392</v>
      </c>
      <c r="H2713" s="9" t="s">
        <v>86</v>
      </c>
      <c r="I2713" s="11">
        <v>18429897</v>
      </c>
      <c r="J2713" s="11">
        <v>2611878</v>
      </c>
      <c r="K2713" s="11">
        <v>5328566</v>
      </c>
      <c r="L2713" s="3">
        <v>188</v>
      </c>
      <c r="M2713" s="3">
        <v>1300</v>
      </c>
      <c r="N2713" s="3">
        <v>1018455</v>
      </c>
      <c r="O2713" s="2">
        <v>6.6000000000000003E-2</v>
      </c>
      <c r="P2713" s="2">
        <v>1.022</v>
      </c>
      <c r="Q2713" s="2">
        <v>9.8000000000000004E-2</v>
      </c>
      <c r="R2713" s="11">
        <v>3113688</v>
      </c>
      <c r="S2713" s="11">
        <v>615717</v>
      </c>
      <c r="T2713">
        <v>2015</v>
      </c>
      <c r="U2713">
        <v>6</v>
      </c>
      <c r="V2713">
        <f t="shared" si="252"/>
        <v>650000</v>
      </c>
      <c r="W2713">
        <f t="shared" si="253"/>
        <v>18429897</v>
      </c>
      <c r="X2713">
        <f t="shared" si="254"/>
        <v>17779897</v>
      </c>
      <c r="Y2713">
        <f t="shared" si="255"/>
        <v>-26019845.5</v>
      </c>
      <c r="Z2713">
        <f t="shared" si="256"/>
        <v>45099742.5</v>
      </c>
      <c r="AA2713" t="str">
        <f t="shared" si="257"/>
        <v>Normal</v>
      </c>
      <c r="AE2713" s="2"/>
      <c r="AF2713" s="2"/>
    </row>
    <row r="2714" spans="1:32" x14ac:dyDescent="0.35">
      <c r="A2714">
        <v>2713</v>
      </c>
      <c r="B2714" s="1">
        <v>42172</v>
      </c>
      <c r="C2714" s="9" t="s">
        <v>4393</v>
      </c>
      <c r="D2714" s="9" t="s">
        <v>5109</v>
      </c>
      <c r="E2714" s="9" t="s">
        <v>1111</v>
      </c>
      <c r="F2714" s="9" t="s">
        <v>15</v>
      </c>
      <c r="G2714" s="9" t="s">
        <v>4394</v>
      </c>
      <c r="H2714" s="9" t="s">
        <v>86</v>
      </c>
      <c r="I2714" s="11">
        <v>18429897</v>
      </c>
      <c r="J2714" s="11">
        <v>2542242</v>
      </c>
      <c r="K2714" s="11">
        <v>18198421</v>
      </c>
      <c r="L2714" s="3">
        <v>158</v>
      </c>
      <c r="M2714" s="3">
        <v>3358</v>
      </c>
      <c r="N2714" s="3">
        <v>1934642</v>
      </c>
      <c r="O2714" s="2">
        <v>0.109</v>
      </c>
      <c r="P2714" s="2">
        <v>0.83299999999999996</v>
      </c>
      <c r="Q2714" s="2">
        <v>-1.3999999999999999E-2</v>
      </c>
      <c r="R2714" s="11">
        <v>459893815</v>
      </c>
      <c r="S2714" s="11">
        <v>1008193.5</v>
      </c>
      <c r="T2714">
        <v>2015</v>
      </c>
      <c r="U2714">
        <v>6</v>
      </c>
      <c r="V2714">
        <f t="shared" si="252"/>
        <v>643750</v>
      </c>
      <c r="W2714">
        <f t="shared" si="253"/>
        <v>18429897</v>
      </c>
      <c r="X2714">
        <f t="shared" si="254"/>
        <v>17786147</v>
      </c>
      <c r="Y2714">
        <f t="shared" si="255"/>
        <v>-26035470.5</v>
      </c>
      <c r="Z2714">
        <f t="shared" si="256"/>
        <v>45109117.5</v>
      </c>
      <c r="AA2714" t="str">
        <f t="shared" si="257"/>
        <v>Normal</v>
      </c>
      <c r="AE2714" s="2"/>
      <c r="AF2714" s="2"/>
    </row>
    <row r="2715" spans="1:32" x14ac:dyDescent="0.35">
      <c r="A2715">
        <v>2714</v>
      </c>
      <c r="B2715" s="1">
        <v>42172</v>
      </c>
      <c r="C2715" s="9" t="s">
        <v>4395</v>
      </c>
      <c r="D2715" s="9" t="s">
        <v>5554</v>
      </c>
      <c r="E2715" s="9" t="s">
        <v>1111</v>
      </c>
      <c r="F2715" s="9" t="s">
        <v>31</v>
      </c>
      <c r="G2715" s="9" t="s">
        <v>4396</v>
      </c>
      <c r="H2715" s="9" t="s">
        <v>105</v>
      </c>
      <c r="I2715" s="11">
        <v>8200000</v>
      </c>
      <c r="J2715" s="11">
        <v>2329105</v>
      </c>
      <c r="K2715" s="11">
        <v>18555133</v>
      </c>
      <c r="L2715" s="3">
        <v>407</v>
      </c>
      <c r="M2715" s="3">
        <v>3197</v>
      </c>
      <c r="N2715" s="3">
        <v>1765417</v>
      </c>
      <c r="O2715" s="2">
        <v>0.47399999999999998</v>
      </c>
      <c r="P2715" s="2">
        <v>1.123</v>
      </c>
      <c r="Q2715" s="2">
        <v>0.36899999999999999</v>
      </c>
      <c r="R2715" s="11">
        <v>329766537</v>
      </c>
      <c r="S2715" s="11">
        <v>1465164</v>
      </c>
      <c r="T2715">
        <v>2015</v>
      </c>
      <c r="U2715">
        <v>6</v>
      </c>
      <c r="V2715">
        <f t="shared" si="252"/>
        <v>637500</v>
      </c>
      <c r="W2715">
        <f t="shared" si="253"/>
        <v>18429897</v>
      </c>
      <c r="X2715">
        <f t="shared" si="254"/>
        <v>17792397</v>
      </c>
      <c r="Y2715">
        <f t="shared" si="255"/>
        <v>-26051095.5</v>
      </c>
      <c r="Z2715">
        <f t="shared" si="256"/>
        <v>45118492.5</v>
      </c>
      <c r="AA2715" t="str">
        <f t="shared" si="257"/>
        <v>Normal</v>
      </c>
      <c r="AE2715" s="2"/>
      <c r="AF2715" s="2"/>
    </row>
    <row r="2716" spans="1:32" x14ac:dyDescent="0.35">
      <c r="A2716">
        <v>2715</v>
      </c>
      <c r="B2716" s="1">
        <v>42173</v>
      </c>
      <c r="C2716" s="9" t="s">
        <v>4397</v>
      </c>
      <c r="D2716" s="9" t="s">
        <v>5555</v>
      </c>
      <c r="E2716" s="9" t="s">
        <v>1111</v>
      </c>
      <c r="F2716" s="9" t="s">
        <v>27</v>
      </c>
      <c r="G2716" s="9" t="s">
        <v>1419</v>
      </c>
      <c r="H2716" s="9" t="s">
        <v>86</v>
      </c>
      <c r="I2716" s="11">
        <v>18429897</v>
      </c>
      <c r="J2716" s="11">
        <v>2179390</v>
      </c>
      <c r="K2716" s="11">
        <v>17620542</v>
      </c>
      <c r="L2716" s="3">
        <v>238</v>
      </c>
      <c r="M2716" s="3">
        <v>1694</v>
      </c>
      <c r="N2716" s="3">
        <v>658274</v>
      </c>
      <c r="O2716" s="2">
        <v>0.249</v>
      </c>
      <c r="P2716" s="2">
        <v>0.68899999999999995</v>
      </c>
      <c r="Q2716" s="2">
        <v>-0.29799999999999999</v>
      </c>
      <c r="R2716" s="11">
        <v>282928507</v>
      </c>
      <c r="S2716" s="11">
        <v>1257622</v>
      </c>
      <c r="T2716">
        <v>2015</v>
      </c>
      <c r="U2716">
        <v>6</v>
      </c>
      <c r="V2716">
        <f t="shared" si="252"/>
        <v>631250</v>
      </c>
      <c r="W2716">
        <f t="shared" si="253"/>
        <v>18429897</v>
      </c>
      <c r="X2716">
        <f t="shared" si="254"/>
        <v>17798647</v>
      </c>
      <c r="Y2716">
        <f t="shared" si="255"/>
        <v>-26066720.5</v>
      </c>
      <c r="Z2716">
        <f t="shared" si="256"/>
        <v>45127867.5</v>
      </c>
      <c r="AA2716" t="str">
        <f t="shared" si="257"/>
        <v>Normal</v>
      </c>
      <c r="AE2716" s="2"/>
      <c r="AF2716" s="2"/>
    </row>
    <row r="2717" spans="1:32" x14ac:dyDescent="0.35">
      <c r="A2717">
        <v>2716</v>
      </c>
      <c r="B2717" s="1">
        <v>42173</v>
      </c>
      <c r="C2717" s="9" t="s">
        <v>888</v>
      </c>
      <c r="D2717" s="9" t="s">
        <v>5556</v>
      </c>
      <c r="E2717" s="9" t="s">
        <v>1111</v>
      </c>
      <c r="F2717" s="9" t="s">
        <v>15</v>
      </c>
      <c r="G2717" s="9" t="s">
        <v>4398</v>
      </c>
      <c r="H2717" s="9" t="s">
        <v>105</v>
      </c>
      <c r="I2717" s="11">
        <v>3000000</v>
      </c>
      <c r="J2717" s="11">
        <v>3456831</v>
      </c>
      <c r="K2717" s="11">
        <v>19935918</v>
      </c>
      <c r="L2717" s="3">
        <v>254</v>
      </c>
      <c r="M2717" s="3">
        <v>623</v>
      </c>
      <c r="N2717" s="3">
        <v>746772</v>
      </c>
      <c r="O2717" s="2">
        <v>0.06</v>
      </c>
      <c r="P2717" s="2">
        <v>0.27600000000000002</v>
      </c>
      <c r="Q2717" s="2">
        <v>-0.9</v>
      </c>
      <c r="R2717" s="11">
        <v>342687267</v>
      </c>
      <c r="S2717" s="11">
        <v>1829431</v>
      </c>
      <c r="T2717">
        <v>2015</v>
      </c>
      <c r="U2717">
        <v>6</v>
      </c>
      <c r="V2717">
        <f t="shared" si="252"/>
        <v>625000</v>
      </c>
      <c r="W2717">
        <f t="shared" si="253"/>
        <v>18429897</v>
      </c>
      <c r="X2717">
        <f t="shared" si="254"/>
        <v>17804897</v>
      </c>
      <c r="Y2717">
        <f t="shared" si="255"/>
        <v>-26082345.5</v>
      </c>
      <c r="Z2717">
        <f t="shared" si="256"/>
        <v>45137242.5</v>
      </c>
      <c r="AA2717" t="str">
        <f t="shared" si="257"/>
        <v>Normal</v>
      </c>
      <c r="AE2717" s="2"/>
      <c r="AF2717" s="2"/>
    </row>
    <row r="2718" spans="1:32" x14ac:dyDescent="0.35">
      <c r="A2718">
        <v>2717</v>
      </c>
      <c r="B2718" s="1">
        <v>42173</v>
      </c>
      <c r="C2718" s="9" t="s">
        <v>4399</v>
      </c>
      <c r="D2718" s="9" t="s">
        <v>5557</v>
      </c>
      <c r="E2718" s="9" t="s">
        <v>1111</v>
      </c>
      <c r="F2718" s="9" t="s">
        <v>31</v>
      </c>
      <c r="G2718" s="9" t="s">
        <v>4400</v>
      </c>
      <c r="H2718" s="9" t="s">
        <v>105</v>
      </c>
      <c r="I2718" s="11">
        <v>5000000</v>
      </c>
      <c r="J2718" s="11">
        <v>2907132</v>
      </c>
      <c r="K2718" s="11">
        <v>16478035</v>
      </c>
      <c r="L2718" s="3">
        <v>364</v>
      </c>
      <c r="M2718" s="3">
        <v>458</v>
      </c>
      <c r="N2718" s="3">
        <v>1568935</v>
      </c>
      <c r="O2718" s="2">
        <v>0.29899999999999999</v>
      </c>
      <c r="P2718" s="2">
        <v>0.93500000000000005</v>
      </c>
      <c r="Q2718" s="2">
        <v>0.34600000000000003</v>
      </c>
      <c r="R2718" s="11">
        <v>66004018</v>
      </c>
      <c r="S2718" s="11">
        <v>115934</v>
      </c>
      <c r="T2718">
        <v>2015</v>
      </c>
      <c r="U2718">
        <v>6</v>
      </c>
      <c r="V2718">
        <f t="shared" si="252"/>
        <v>618750</v>
      </c>
      <c r="W2718">
        <f t="shared" si="253"/>
        <v>18429897</v>
      </c>
      <c r="X2718">
        <f t="shared" si="254"/>
        <v>17811147</v>
      </c>
      <c r="Y2718">
        <f t="shared" si="255"/>
        <v>-26097970.5</v>
      </c>
      <c r="Z2718">
        <f t="shared" si="256"/>
        <v>45146617.5</v>
      </c>
      <c r="AA2718" t="str">
        <f t="shared" si="257"/>
        <v>Normal</v>
      </c>
      <c r="AE2718" s="2"/>
      <c r="AF2718" s="2"/>
    </row>
    <row r="2719" spans="1:32" x14ac:dyDescent="0.35">
      <c r="A2719">
        <v>2718</v>
      </c>
      <c r="B2719" s="1">
        <v>42173</v>
      </c>
      <c r="C2719" s="9" t="s">
        <v>332</v>
      </c>
      <c r="D2719" s="9" t="s">
        <v>5558</v>
      </c>
      <c r="E2719" s="9" t="s">
        <v>1111</v>
      </c>
      <c r="F2719" s="9" t="s">
        <v>15</v>
      </c>
      <c r="G2719" s="9" t="s">
        <v>4401</v>
      </c>
      <c r="H2719" s="9" t="s">
        <v>105</v>
      </c>
      <c r="I2719" s="11">
        <v>18429897</v>
      </c>
      <c r="J2719" s="11">
        <v>833690</v>
      </c>
      <c r="K2719" s="11">
        <v>7731228</v>
      </c>
      <c r="L2719" s="3">
        <v>364</v>
      </c>
      <c r="M2719" s="3">
        <v>2242</v>
      </c>
      <c r="N2719" s="3">
        <v>1857482</v>
      </c>
      <c r="O2719" s="2">
        <v>1.6E-2</v>
      </c>
      <c r="P2719" s="2">
        <v>0.91700000000000004</v>
      </c>
      <c r="Q2719" s="2">
        <v>3.7000000000000005E-2</v>
      </c>
      <c r="R2719" s="11">
        <v>183045850</v>
      </c>
      <c r="S2719" s="11">
        <v>1872508</v>
      </c>
      <c r="T2719">
        <v>2015</v>
      </c>
      <c r="U2719">
        <v>6</v>
      </c>
      <c r="V2719">
        <f t="shared" si="252"/>
        <v>612500</v>
      </c>
      <c r="W2719">
        <f t="shared" si="253"/>
        <v>18429897</v>
      </c>
      <c r="X2719">
        <f t="shared" si="254"/>
        <v>17817397</v>
      </c>
      <c r="Y2719">
        <f t="shared" si="255"/>
        <v>-26113595.5</v>
      </c>
      <c r="Z2719">
        <f t="shared" si="256"/>
        <v>45155992.5</v>
      </c>
      <c r="AA2719" t="str">
        <f t="shared" si="257"/>
        <v>Normal</v>
      </c>
      <c r="AE2719" s="2"/>
      <c r="AF2719" s="2"/>
    </row>
    <row r="2720" spans="1:32" x14ac:dyDescent="0.35">
      <c r="A2720">
        <v>2719</v>
      </c>
      <c r="B2720" s="1">
        <v>42173</v>
      </c>
      <c r="C2720" s="9" t="s">
        <v>4402</v>
      </c>
      <c r="D2720" s="9" t="s">
        <v>5559</v>
      </c>
      <c r="E2720" s="9" t="s">
        <v>1111</v>
      </c>
      <c r="F2720" s="9" t="s">
        <v>15</v>
      </c>
      <c r="G2720" s="9" t="s">
        <v>4403</v>
      </c>
      <c r="H2720" s="9" t="s">
        <v>86</v>
      </c>
      <c r="I2720" s="11">
        <v>18429897</v>
      </c>
      <c r="J2720" s="11">
        <v>3140660</v>
      </c>
      <c r="K2720" s="11">
        <v>19845107</v>
      </c>
      <c r="L2720" s="3">
        <v>339</v>
      </c>
      <c r="M2720" s="3">
        <v>1643</v>
      </c>
      <c r="N2720" s="3">
        <v>1214919</v>
      </c>
      <c r="O2720" s="2">
        <v>0.17199999999999999</v>
      </c>
      <c r="P2720" s="2">
        <v>1.065E-2</v>
      </c>
      <c r="Q2720" s="2">
        <v>6.0999999999999999E-2</v>
      </c>
      <c r="R2720" s="11">
        <v>340511461</v>
      </c>
      <c r="S2720" s="11">
        <v>1100773</v>
      </c>
      <c r="T2720">
        <v>2015</v>
      </c>
      <c r="U2720">
        <v>6</v>
      </c>
      <c r="V2720">
        <f t="shared" si="252"/>
        <v>606250</v>
      </c>
      <c r="W2720">
        <f t="shared" si="253"/>
        <v>18429897</v>
      </c>
      <c r="X2720">
        <f t="shared" si="254"/>
        <v>17823647</v>
      </c>
      <c r="Y2720">
        <f t="shared" si="255"/>
        <v>-26129220.5</v>
      </c>
      <c r="Z2720">
        <f t="shared" si="256"/>
        <v>45165367.5</v>
      </c>
      <c r="AA2720" t="str">
        <f t="shared" si="257"/>
        <v>Normal</v>
      </c>
      <c r="AE2720" s="2"/>
      <c r="AF2720" s="2"/>
    </row>
    <row r="2721" spans="1:32" x14ac:dyDescent="0.35">
      <c r="A2721">
        <v>2720</v>
      </c>
      <c r="B2721" s="1">
        <v>42174</v>
      </c>
      <c r="C2721" s="9" t="s">
        <v>3604</v>
      </c>
      <c r="D2721" s="9" t="s">
        <v>5060</v>
      </c>
      <c r="E2721" s="9" t="s">
        <v>1111</v>
      </c>
      <c r="F2721" s="9" t="s">
        <v>15</v>
      </c>
      <c r="G2721" s="9" t="s">
        <v>212</v>
      </c>
      <c r="H2721" s="9" t="s">
        <v>105</v>
      </c>
      <c r="I2721" s="11">
        <v>4000000</v>
      </c>
      <c r="J2721" s="11">
        <v>3348287</v>
      </c>
      <c r="K2721" s="11">
        <v>6982783</v>
      </c>
      <c r="L2721" s="3">
        <v>405</v>
      </c>
      <c r="M2721" s="3">
        <v>217</v>
      </c>
      <c r="N2721" s="3">
        <v>1554625</v>
      </c>
      <c r="O2721" s="2">
        <v>5.3999999999999999E-2</v>
      </c>
      <c r="P2721" s="2">
        <v>0.60599999999999998</v>
      </c>
      <c r="Q2721" s="2">
        <v>0.32800000000000001</v>
      </c>
      <c r="R2721" s="11">
        <v>290500006</v>
      </c>
      <c r="S2721" s="11">
        <v>1136426</v>
      </c>
      <c r="T2721">
        <v>2015</v>
      </c>
      <c r="U2721">
        <v>6</v>
      </c>
      <c r="V2721">
        <f t="shared" si="252"/>
        <v>600000</v>
      </c>
      <c r="W2721">
        <f t="shared" si="253"/>
        <v>18429897</v>
      </c>
      <c r="X2721">
        <f t="shared" si="254"/>
        <v>17829897</v>
      </c>
      <c r="Y2721">
        <f t="shared" si="255"/>
        <v>-26144845.5</v>
      </c>
      <c r="Z2721">
        <f t="shared" si="256"/>
        <v>45174742.5</v>
      </c>
      <c r="AA2721" t="str">
        <f t="shared" si="257"/>
        <v>Normal</v>
      </c>
      <c r="AE2721" s="2"/>
      <c r="AF2721" s="2"/>
    </row>
    <row r="2722" spans="1:32" x14ac:dyDescent="0.35">
      <c r="A2722">
        <v>2721</v>
      </c>
      <c r="B2722" s="1">
        <v>42174</v>
      </c>
      <c r="C2722" s="9" t="s">
        <v>4404</v>
      </c>
      <c r="D2722" s="9" t="s">
        <v>5560</v>
      </c>
      <c r="E2722" s="9" t="s">
        <v>1111</v>
      </c>
      <c r="F2722" s="9" t="s">
        <v>35</v>
      </c>
      <c r="G2722" s="9" t="s">
        <v>4405</v>
      </c>
      <c r="H2722" s="9" t="s">
        <v>105</v>
      </c>
      <c r="I2722" s="11">
        <v>11000000</v>
      </c>
      <c r="J2722" s="11">
        <v>585732</v>
      </c>
      <c r="K2722" s="11">
        <v>11769398</v>
      </c>
      <c r="L2722" s="3">
        <v>234</v>
      </c>
      <c r="M2722" s="3">
        <v>3468</v>
      </c>
      <c r="N2722" s="3">
        <v>887717</v>
      </c>
      <c r="O2722" s="2">
        <v>4.0999999999999995E-2</v>
      </c>
      <c r="P2722" s="2">
        <v>0.34499999999999997</v>
      </c>
      <c r="Q2722" s="2">
        <v>0.20399999999999999</v>
      </c>
      <c r="R2722" s="11">
        <v>228917372</v>
      </c>
      <c r="S2722" s="11">
        <v>1557567</v>
      </c>
      <c r="T2722">
        <v>2015</v>
      </c>
      <c r="U2722">
        <v>6</v>
      </c>
      <c r="V2722">
        <f t="shared" si="252"/>
        <v>587500</v>
      </c>
      <c r="W2722">
        <f t="shared" si="253"/>
        <v>18429897</v>
      </c>
      <c r="X2722">
        <f t="shared" si="254"/>
        <v>17842397</v>
      </c>
      <c r="Y2722">
        <f t="shared" si="255"/>
        <v>-26176095.5</v>
      </c>
      <c r="Z2722">
        <f t="shared" si="256"/>
        <v>45193492.5</v>
      </c>
      <c r="AA2722" t="str">
        <f t="shared" si="257"/>
        <v>Normal</v>
      </c>
      <c r="AE2722" s="2"/>
      <c r="AF2722" s="2"/>
    </row>
    <row r="2723" spans="1:32" x14ac:dyDescent="0.35">
      <c r="A2723">
        <v>2722</v>
      </c>
      <c r="B2723" s="1">
        <v>42175</v>
      </c>
      <c r="C2723" s="9" t="s">
        <v>4406</v>
      </c>
      <c r="D2723" s="9" t="s">
        <v>5561</v>
      </c>
      <c r="E2723" s="9" t="s">
        <v>1111</v>
      </c>
      <c r="F2723" s="9" t="s">
        <v>15</v>
      </c>
      <c r="G2723" s="9" t="s">
        <v>4407</v>
      </c>
      <c r="H2723" s="9" t="s">
        <v>86</v>
      </c>
      <c r="I2723" s="11">
        <v>120000</v>
      </c>
      <c r="J2723" s="11">
        <v>1896135</v>
      </c>
      <c r="K2723" s="11">
        <v>213707</v>
      </c>
      <c r="L2723" s="3">
        <v>155</v>
      </c>
      <c r="M2723" s="3">
        <v>4788</v>
      </c>
      <c r="N2723" s="3">
        <v>1714142</v>
      </c>
      <c r="O2723" s="2">
        <v>-9.5000000000000001E-2</v>
      </c>
      <c r="P2723" s="2">
        <v>0.30299999999999999</v>
      </c>
      <c r="Q2723" s="2">
        <v>0.29899999999999999</v>
      </c>
      <c r="R2723" s="11">
        <v>121509912</v>
      </c>
      <c r="S2723" s="11">
        <v>659340</v>
      </c>
      <c r="T2723">
        <v>2015</v>
      </c>
      <c r="U2723">
        <v>6</v>
      </c>
      <c r="V2723">
        <f t="shared" si="252"/>
        <v>575000</v>
      </c>
      <c r="W2723">
        <f t="shared" si="253"/>
        <v>18429897</v>
      </c>
      <c r="X2723">
        <f t="shared" si="254"/>
        <v>17854897</v>
      </c>
      <c r="Y2723">
        <f t="shared" si="255"/>
        <v>-26207345.5</v>
      </c>
      <c r="Z2723">
        <f t="shared" si="256"/>
        <v>45212242.5</v>
      </c>
      <c r="AA2723" t="str">
        <f t="shared" si="257"/>
        <v>Normal</v>
      </c>
      <c r="AE2723" s="2"/>
      <c r="AF2723" s="2"/>
    </row>
    <row r="2724" spans="1:32" x14ac:dyDescent="0.35">
      <c r="A2724">
        <v>2723</v>
      </c>
      <c r="B2724" s="1">
        <v>42175</v>
      </c>
      <c r="C2724" s="9" t="s">
        <v>3324</v>
      </c>
      <c r="D2724" s="9" t="s">
        <v>5562</v>
      </c>
      <c r="E2724" s="9" t="s">
        <v>1111</v>
      </c>
      <c r="F2724" s="9" t="s">
        <v>15</v>
      </c>
      <c r="G2724" s="9" t="s">
        <v>4408</v>
      </c>
      <c r="H2724" s="9" t="s">
        <v>105</v>
      </c>
      <c r="I2724" s="11">
        <v>10000000</v>
      </c>
      <c r="J2724" s="11">
        <v>3956727</v>
      </c>
      <c r="K2724" s="11">
        <v>19255493</v>
      </c>
      <c r="L2724" s="3">
        <v>258</v>
      </c>
      <c r="M2724" s="3">
        <v>4892</v>
      </c>
      <c r="N2724" s="3">
        <v>828695</v>
      </c>
      <c r="O2724" s="2">
        <v>0.156</v>
      </c>
      <c r="P2724" s="2">
        <v>0.54500000000000004</v>
      </c>
      <c r="Q2724" s="2">
        <v>0.38700000000000001</v>
      </c>
      <c r="R2724" s="11">
        <v>350389921</v>
      </c>
      <c r="S2724" s="11">
        <v>1104207</v>
      </c>
      <c r="T2724">
        <v>2015</v>
      </c>
      <c r="U2724">
        <v>6</v>
      </c>
      <c r="V2724">
        <f t="shared" si="252"/>
        <v>606250</v>
      </c>
      <c r="W2724">
        <f t="shared" si="253"/>
        <v>18429897</v>
      </c>
      <c r="X2724">
        <f t="shared" si="254"/>
        <v>17823647</v>
      </c>
      <c r="Y2724">
        <f t="shared" si="255"/>
        <v>-26129220.5</v>
      </c>
      <c r="Z2724">
        <f t="shared" si="256"/>
        <v>45165367.5</v>
      </c>
      <c r="AA2724" t="str">
        <f t="shared" si="257"/>
        <v>Normal</v>
      </c>
      <c r="AE2724" s="2"/>
      <c r="AF2724" s="2"/>
    </row>
    <row r="2725" spans="1:32" x14ac:dyDescent="0.35">
      <c r="A2725">
        <v>2724</v>
      </c>
      <c r="B2725" s="1">
        <v>42176</v>
      </c>
      <c r="C2725" s="9" t="s">
        <v>746</v>
      </c>
      <c r="D2725" s="9" t="s">
        <v>5267</v>
      </c>
      <c r="E2725" s="9" t="s">
        <v>1111</v>
      </c>
      <c r="F2725" s="9" t="s">
        <v>31</v>
      </c>
      <c r="G2725" s="9" t="s">
        <v>2632</v>
      </c>
      <c r="H2725" s="9" t="s">
        <v>105</v>
      </c>
      <c r="I2725" s="11">
        <v>3100000</v>
      </c>
      <c r="J2725" s="11">
        <v>2531926</v>
      </c>
      <c r="K2725" s="11">
        <v>11877840</v>
      </c>
      <c r="L2725" s="3">
        <v>165</v>
      </c>
      <c r="M2725" s="3">
        <v>633</v>
      </c>
      <c r="N2725" s="3">
        <v>1243856</v>
      </c>
      <c r="O2725" s="2">
        <v>1.6E-2</v>
      </c>
      <c r="P2725" s="2">
        <v>0.99299999999999999</v>
      </c>
      <c r="Q2725" s="2">
        <v>-0.27400000000000002</v>
      </c>
      <c r="R2725" s="11">
        <v>7984531</v>
      </c>
      <c r="S2725" s="11">
        <v>1813370</v>
      </c>
      <c r="T2725">
        <v>2015</v>
      </c>
      <c r="U2725">
        <v>6</v>
      </c>
      <c r="V2725">
        <f t="shared" si="252"/>
        <v>600000</v>
      </c>
      <c r="W2725">
        <f t="shared" si="253"/>
        <v>18429897</v>
      </c>
      <c r="X2725">
        <f t="shared" si="254"/>
        <v>17829897</v>
      </c>
      <c r="Y2725">
        <f t="shared" si="255"/>
        <v>-26144845.5</v>
      </c>
      <c r="Z2725">
        <f t="shared" si="256"/>
        <v>45174742.5</v>
      </c>
      <c r="AA2725" t="str">
        <f t="shared" si="257"/>
        <v>Normal</v>
      </c>
      <c r="AE2725" s="2"/>
      <c r="AF2725" s="2"/>
    </row>
    <row r="2726" spans="1:32" x14ac:dyDescent="0.35">
      <c r="A2726">
        <v>2725</v>
      </c>
      <c r="B2726" s="1">
        <v>42177</v>
      </c>
      <c r="C2726" s="9" t="s">
        <v>4409</v>
      </c>
      <c r="D2726" s="9" t="s">
        <v>5563</v>
      </c>
      <c r="E2726" s="9" t="s">
        <v>1111</v>
      </c>
      <c r="F2726" s="9" t="s">
        <v>15</v>
      </c>
      <c r="G2726" s="9" t="s">
        <v>4410</v>
      </c>
      <c r="H2726" s="9" t="s">
        <v>105</v>
      </c>
      <c r="I2726" s="11">
        <v>5000000</v>
      </c>
      <c r="J2726" s="11">
        <v>699121</v>
      </c>
      <c r="K2726" s="11">
        <v>18982000</v>
      </c>
      <c r="L2726" s="3">
        <v>26</v>
      </c>
      <c r="M2726" s="3">
        <v>990</v>
      </c>
      <c r="N2726" s="3">
        <v>1074499</v>
      </c>
      <c r="O2726" s="2">
        <v>3.3000000000000002E-2</v>
      </c>
      <c r="P2726" s="2">
        <v>0.72099999999999997</v>
      </c>
      <c r="Q2726" s="2">
        <v>-2.7000000000000003E-2</v>
      </c>
      <c r="R2726" s="11">
        <v>405041002</v>
      </c>
      <c r="S2726" s="11">
        <v>1112395</v>
      </c>
      <c r="T2726">
        <v>2015</v>
      </c>
      <c r="U2726">
        <v>6</v>
      </c>
      <c r="V2726">
        <f t="shared" si="252"/>
        <v>587500</v>
      </c>
      <c r="W2726">
        <f t="shared" si="253"/>
        <v>18429897</v>
      </c>
      <c r="X2726">
        <f t="shared" si="254"/>
        <v>17842397</v>
      </c>
      <c r="Y2726">
        <f t="shared" si="255"/>
        <v>-26176095.5</v>
      </c>
      <c r="Z2726">
        <f t="shared" si="256"/>
        <v>45193492.5</v>
      </c>
      <c r="AA2726" t="str">
        <f t="shared" si="257"/>
        <v>Normal</v>
      </c>
      <c r="AE2726" s="2"/>
      <c r="AF2726" s="2"/>
    </row>
    <row r="2727" spans="1:32" x14ac:dyDescent="0.35">
      <c r="A2727">
        <v>2726</v>
      </c>
      <c r="B2727" s="1">
        <v>42177</v>
      </c>
      <c r="C2727" s="9" t="s">
        <v>1755</v>
      </c>
      <c r="D2727" s="9" t="s">
        <v>5564</v>
      </c>
      <c r="E2727" s="9" t="s">
        <v>1111</v>
      </c>
      <c r="F2727" s="9" t="s">
        <v>19</v>
      </c>
      <c r="G2727" s="9" t="s">
        <v>3811</v>
      </c>
      <c r="H2727" s="9" t="s">
        <v>105</v>
      </c>
      <c r="I2727" s="11">
        <v>18429897</v>
      </c>
      <c r="J2727" s="11">
        <v>2531926</v>
      </c>
      <c r="K2727" s="11">
        <v>7121312</v>
      </c>
      <c r="L2727" s="3">
        <v>184</v>
      </c>
      <c r="M2727" s="3">
        <v>2188</v>
      </c>
      <c r="N2727" s="3">
        <v>1672708</v>
      </c>
      <c r="O2727" s="2">
        <v>0.245</v>
      </c>
      <c r="P2727" s="2">
        <v>0.37</v>
      </c>
      <c r="Q2727" s="2">
        <v>-0.11900000000000001</v>
      </c>
      <c r="R2727" s="11">
        <v>250264963</v>
      </c>
      <c r="S2727" s="11">
        <v>1945073</v>
      </c>
      <c r="T2727">
        <v>2015</v>
      </c>
      <c r="U2727">
        <v>6</v>
      </c>
      <c r="V2727">
        <f t="shared" si="252"/>
        <v>575000</v>
      </c>
      <c r="W2727">
        <f t="shared" si="253"/>
        <v>18429897</v>
      </c>
      <c r="X2727">
        <f t="shared" si="254"/>
        <v>17854897</v>
      </c>
      <c r="Y2727">
        <f t="shared" si="255"/>
        <v>-26207345.5</v>
      </c>
      <c r="Z2727">
        <f t="shared" si="256"/>
        <v>45212242.5</v>
      </c>
      <c r="AA2727" t="str">
        <f t="shared" si="257"/>
        <v>Normal</v>
      </c>
      <c r="AE2727" s="2"/>
      <c r="AF2727" s="2"/>
    </row>
    <row r="2728" spans="1:32" x14ac:dyDescent="0.35">
      <c r="A2728">
        <v>2727</v>
      </c>
      <c r="B2728" s="1">
        <v>42177</v>
      </c>
      <c r="C2728" s="9" t="s">
        <v>4411</v>
      </c>
      <c r="D2728" s="9" t="s">
        <v>5565</v>
      </c>
      <c r="E2728" s="9" t="s">
        <v>1111</v>
      </c>
      <c r="F2728" s="9" t="s">
        <v>35</v>
      </c>
      <c r="G2728" s="9" t="s">
        <v>4412</v>
      </c>
      <c r="H2728" s="9" t="s">
        <v>86</v>
      </c>
      <c r="I2728" s="11">
        <v>18429897</v>
      </c>
      <c r="J2728" s="11">
        <v>2914431</v>
      </c>
      <c r="K2728" s="11">
        <v>6333450</v>
      </c>
      <c r="L2728" s="3">
        <v>252</v>
      </c>
      <c r="M2728" s="3">
        <v>2505.5</v>
      </c>
      <c r="N2728" s="3">
        <v>1599605</v>
      </c>
      <c r="O2728" s="2">
        <v>0.45700000000000002</v>
      </c>
      <c r="P2728" s="2">
        <v>0.442</v>
      </c>
      <c r="Q2728" s="2">
        <v>0.16699999999999998</v>
      </c>
      <c r="R2728" s="11">
        <v>268239912</v>
      </c>
      <c r="S2728" s="11">
        <v>146731</v>
      </c>
      <c r="T2728">
        <v>2015</v>
      </c>
      <c r="U2728">
        <v>6</v>
      </c>
      <c r="V2728">
        <f t="shared" si="252"/>
        <v>562500</v>
      </c>
      <c r="W2728">
        <f t="shared" si="253"/>
        <v>18429897</v>
      </c>
      <c r="X2728">
        <f t="shared" si="254"/>
        <v>17867397</v>
      </c>
      <c r="Y2728">
        <f t="shared" si="255"/>
        <v>-26238595.5</v>
      </c>
      <c r="Z2728">
        <f t="shared" si="256"/>
        <v>45230992.5</v>
      </c>
      <c r="AA2728" t="str">
        <f t="shared" si="257"/>
        <v>Normal</v>
      </c>
      <c r="AE2728" s="2"/>
      <c r="AF2728" s="2"/>
    </row>
    <row r="2729" spans="1:32" x14ac:dyDescent="0.35">
      <c r="A2729">
        <v>2728</v>
      </c>
      <c r="B2729" s="1">
        <v>42177</v>
      </c>
      <c r="C2729" s="9" t="s">
        <v>4413</v>
      </c>
      <c r="D2729" s="9" t="s">
        <v>5566</v>
      </c>
      <c r="E2729" s="9" t="s">
        <v>1111</v>
      </c>
      <c r="F2729" s="9" t="s">
        <v>15</v>
      </c>
      <c r="G2729" s="9" t="s">
        <v>4414</v>
      </c>
      <c r="H2729" s="9" t="s">
        <v>86</v>
      </c>
      <c r="I2729" s="11">
        <v>500000</v>
      </c>
      <c r="J2729" s="11">
        <v>2319401</v>
      </c>
      <c r="K2729" s="11">
        <v>10495901</v>
      </c>
      <c r="L2729" s="3">
        <v>254</v>
      </c>
      <c r="M2729" s="3">
        <v>2894</v>
      </c>
      <c r="N2729" s="3">
        <v>1678533</v>
      </c>
      <c r="O2729" s="2">
        <v>1.6E-2</v>
      </c>
      <c r="P2729" s="2">
        <v>0.54800000000000004</v>
      </c>
      <c r="Q2729" s="2">
        <v>0.34599999999999997</v>
      </c>
      <c r="R2729" s="11">
        <v>222915417</v>
      </c>
      <c r="S2729" s="11">
        <v>1507768</v>
      </c>
      <c r="T2729">
        <v>2015</v>
      </c>
      <c r="U2729">
        <v>6</v>
      </c>
      <c r="V2729">
        <f t="shared" si="252"/>
        <v>550000</v>
      </c>
      <c r="W2729">
        <f t="shared" si="253"/>
        <v>18429897</v>
      </c>
      <c r="X2729">
        <f t="shared" si="254"/>
        <v>17879897</v>
      </c>
      <c r="Y2729">
        <f t="shared" si="255"/>
        <v>-26269845.5</v>
      </c>
      <c r="Z2729">
        <f t="shared" si="256"/>
        <v>45249742.5</v>
      </c>
      <c r="AA2729" t="str">
        <f t="shared" si="257"/>
        <v>Normal</v>
      </c>
      <c r="AE2729" s="2"/>
      <c r="AF2729" s="2"/>
    </row>
    <row r="2730" spans="1:32" x14ac:dyDescent="0.35">
      <c r="A2730">
        <v>2729</v>
      </c>
      <c r="B2730" s="1">
        <v>42177</v>
      </c>
      <c r="C2730" s="9" t="s">
        <v>4415</v>
      </c>
      <c r="D2730" s="9" t="s">
        <v>5567</v>
      </c>
      <c r="E2730" s="9" t="s">
        <v>1111</v>
      </c>
      <c r="F2730" s="9" t="s">
        <v>4416</v>
      </c>
      <c r="G2730" s="9" t="s">
        <v>4417</v>
      </c>
      <c r="H2730" s="9" t="s">
        <v>86</v>
      </c>
      <c r="I2730" s="11">
        <v>18429897</v>
      </c>
      <c r="J2730" s="11">
        <v>4806036</v>
      </c>
      <c r="K2730" s="11">
        <v>17282331</v>
      </c>
      <c r="L2730" s="3">
        <v>173</v>
      </c>
      <c r="M2730" s="3">
        <v>2310</v>
      </c>
      <c r="N2730" s="3">
        <v>244388</v>
      </c>
      <c r="O2730" s="2">
        <v>9.9000000000000005E-2</v>
      </c>
      <c r="P2730" s="2">
        <v>0.68</v>
      </c>
      <c r="Q2730" s="2">
        <v>0.36749999999999999</v>
      </c>
      <c r="R2730" s="11">
        <v>89238620</v>
      </c>
      <c r="S2730" s="11">
        <v>1931680</v>
      </c>
      <c r="T2730">
        <v>2015</v>
      </c>
      <c r="U2730">
        <v>6</v>
      </c>
      <c r="V2730">
        <f t="shared" si="252"/>
        <v>587500</v>
      </c>
      <c r="W2730">
        <f t="shared" si="253"/>
        <v>18429897</v>
      </c>
      <c r="X2730">
        <f t="shared" si="254"/>
        <v>17842397</v>
      </c>
      <c r="Y2730">
        <f t="shared" si="255"/>
        <v>-26176095.5</v>
      </c>
      <c r="Z2730">
        <f t="shared" si="256"/>
        <v>45193492.5</v>
      </c>
      <c r="AA2730" t="str">
        <f t="shared" si="257"/>
        <v>Normal</v>
      </c>
      <c r="AE2730" s="2"/>
      <c r="AF2730" s="2"/>
    </row>
    <row r="2731" spans="1:32" x14ac:dyDescent="0.35">
      <c r="A2731">
        <v>2730</v>
      </c>
      <c r="B2731" s="1">
        <v>42178</v>
      </c>
      <c r="C2731" s="9" t="s">
        <v>4418</v>
      </c>
      <c r="D2731" s="9" t="s">
        <v>5568</v>
      </c>
      <c r="E2731" s="9" t="s">
        <v>1111</v>
      </c>
      <c r="F2731" s="9" t="s">
        <v>27</v>
      </c>
      <c r="G2731" s="9" t="s">
        <v>673</v>
      </c>
      <c r="H2731" s="9" t="s">
        <v>105</v>
      </c>
      <c r="I2731" s="11">
        <v>1600000</v>
      </c>
      <c r="J2731" s="11">
        <v>2620809</v>
      </c>
      <c r="K2731" s="11">
        <v>11022988</v>
      </c>
      <c r="L2731" s="3">
        <v>364</v>
      </c>
      <c r="M2731" s="3">
        <v>4632</v>
      </c>
      <c r="N2731" s="3">
        <v>491215</v>
      </c>
      <c r="O2731" s="2">
        <v>0.11599999999999999</v>
      </c>
      <c r="P2731" s="2">
        <v>1.0390000000000001</v>
      </c>
      <c r="Q2731" s="2">
        <v>-0.31</v>
      </c>
      <c r="R2731" s="11">
        <v>438480202</v>
      </c>
      <c r="S2731" s="11">
        <v>1161387</v>
      </c>
      <c r="T2731">
        <v>2015</v>
      </c>
      <c r="U2731">
        <v>6</v>
      </c>
      <c r="V2731">
        <f t="shared" si="252"/>
        <v>575000</v>
      </c>
      <c r="W2731">
        <f t="shared" si="253"/>
        <v>18429897</v>
      </c>
      <c r="X2731">
        <f t="shared" si="254"/>
        <v>17854897</v>
      </c>
      <c r="Y2731">
        <f t="shared" si="255"/>
        <v>-26207345.5</v>
      </c>
      <c r="Z2731">
        <f t="shared" si="256"/>
        <v>45212242.5</v>
      </c>
      <c r="AA2731" t="str">
        <f t="shared" si="257"/>
        <v>Normal</v>
      </c>
      <c r="AE2731" s="2"/>
      <c r="AF2731" s="2"/>
    </row>
    <row r="2732" spans="1:32" x14ac:dyDescent="0.35">
      <c r="A2732">
        <v>2731</v>
      </c>
      <c r="B2732" s="1">
        <v>42178</v>
      </c>
      <c r="C2732" s="9" t="s">
        <v>593</v>
      </c>
      <c r="D2732" s="9" t="s">
        <v>5569</v>
      </c>
      <c r="E2732" s="9" t="s">
        <v>1111</v>
      </c>
      <c r="F2732" s="9" t="s">
        <v>15</v>
      </c>
      <c r="G2732" s="9" t="s">
        <v>4419</v>
      </c>
      <c r="H2732" s="9" t="s">
        <v>105</v>
      </c>
      <c r="I2732" s="11">
        <v>6000000</v>
      </c>
      <c r="J2732" s="11">
        <v>4658813</v>
      </c>
      <c r="K2732" s="11">
        <v>15870206</v>
      </c>
      <c r="L2732" s="3">
        <v>146</v>
      </c>
      <c r="M2732" s="3">
        <v>3332</v>
      </c>
      <c r="N2732" s="3">
        <v>1821323</v>
      </c>
      <c r="O2732" s="2">
        <v>0.34799999999999998</v>
      </c>
      <c r="P2732" s="2">
        <v>0.50800000000000001</v>
      </c>
      <c r="Q2732" s="2">
        <v>-0.433</v>
      </c>
      <c r="R2732" s="11">
        <v>359392057</v>
      </c>
      <c r="S2732" s="11">
        <v>22387</v>
      </c>
      <c r="T2732">
        <v>2015</v>
      </c>
      <c r="U2732">
        <v>6</v>
      </c>
      <c r="V2732">
        <f t="shared" si="252"/>
        <v>562500</v>
      </c>
      <c r="W2732">
        <f t="shared" si="253"/>
        <v>18429897</v>
      </c>
      <c r="X2732">
        <f t="shared" si="254"/>
        <v>17867397</v>
      </c>
      <c r="Y2732">
        <f t="shared" si="255"/>
        <v>-26238595.5</v>
      </c>
      <c r="Z2732">
        <f t="shared" si="256"/>
        <v>45230992.5</v>
      </c>
      <c r="AA2732" t="str">
        <f t="shared" si="257"/>
        <v>Normal</v>
      </c>
      <c r="AE2732" s="2"/>
      <c r="AF2732" s="2"/>
    </row>
    <row r="2733" spans="1:32" x14ac:dyDescent="0.35">
      <c r="A2733">
        <v>2732</v>
      </c>
      <c r="B2733" s="1">
        <v>42178</v>
      </c>
      <c r="C2733" s="9" t="s">
        <v>4420</v>
      </c>
      <c r="D2733" s="9" t="s">
        <v>5559</v>
      </c>
      <c r="E2733" s="9" t="s">
        <v>1111</v>
      </c>
      <c r="F2733" s="9" t="s">
        <v>27</v>
      </c>
      <c r="G2733" s="9" t="s">
        <v>4421</v>
      </c>
      <c r="H2733" s="9" t="s">
        <v>105</v>
      </c>
      <c r="I2733" s="11">
        <v>1000000</v>
      </c>
      <c r="J2733" s="11">
        <v>1087345</v>
      </c>
      <c r="K2733" s="11">
        <v>4367488</v>
      </c>
      <c r="L2733" s="3">
        <v>325</v>
      </c>
      <c r="M2733" s="3">
        <v>4925</v>
      </c>
      <c r="N2733" s="3">
        <v>260659</v>
      </c>
      <c r="O2733" s="2">
        <v>0.19800000000000001</v>
      </c>
      <c r="P2733" s="2">
        <v>0.79900000000000004</v>
      </c>
      <c r="Q2733" s="2">
        <v>-0.13100000000000001</v>
      </c>
      <c r="R2733" s="11">
        <v>183011523</v>
      </c>
      <c r="S2733" s="11">
        <v>340882</v>
      </c>
      <c r="T2733">
        <v>2015</v>
      </c>
      <c r="U2733">
        <v>6</v>
      </c>
      <c r="V2733">
        <f t="shared" si="252"/>
        <v>550000</v>
      </c>
      <c r="W2733">
        <f t="shared" si="253"/>
        <v>18429897</v>
      </c>
      <c r="X2733">
        <f t="shared" si="254"/>
        <v>17879897</v>
      </c>
      <c r="Y2733">
        <f t="shared" si="255"/>
        <v>-26269845.5</v>
      </c>
      <c r="Z2733">
        <f t="shared" si="256"/>
        <v>45249742.5</v>
      </c>
      <c r="AA2733" t="str">
        <f t="shared" si="257"/>
        <v>Normal</v>
      </c>
      <c r="AE2733" s="2"/>
      <c r="AF2733" s="2"/>
    </row>
    <row r="2734" spans="1:32" x14ac:dyDescent="0.35">
      <c r="A2734">
        <v>2733</v>
      </c>
      <c r="B2734" s="1">
        <v>42178</v>
      </c>
      <c r="C2734" s="9" t="s">
        <v>52</v>
      </c>
      <c r="D2734" s="9" t="s">
        <v>5519</v>
      </c>
      <c r="E2734" s="9" t="s">
        <v>1111</v>
      </c>
      <c r="F2734" s="9" t="s">
        <v>124</v>
      </c>
      <c r="G2734" s="9" t="s">
        <v>1419</v>
      </c>
      <c r="H2734" s="9" t="s">
        <v>86</v>
      </c>
      <c r="I2734" s="11">
        <v>18429897</v>
      </c>
      <c r="J2734" s="11">
        <v>2247741</v>
      </c>
      <c r="K2734" s="11">
        <v>15538395</v>
      </c>
      <c r="L2734" s="3">
        <v>138</v>
      </c>
      <c r="M2734" s="3">
        <v>2505.5</v>
      </c>
      <c r="N2734" s="3">
        <v>1548316</v>
      </c>
      <c r="O2734" s="2">
        <v>0.159</v>
      </c>
      <c r="P2734" s="2">
        <v>0.58899999999999997</v>
      </c>
      <c r="Q2734" s="2">
        <v>9.1999999999999998E-2</v>
      </c>
      <c r="R2734" s="11">
        <v>183546275</v>
      </c>
      <c r="S2734" s="11">
        <v>566714</v>
      </c>
      <c r="T2734">
        <v>2015</v>
      </c>
      <c r="U2734">
        <v>6</v>
      </c>
      <c r="V2734">
        <f t="shared" si="252"/>
        <v>542000</v>
      </c>
      <c r="W2734">
        <f t="shared" si="253"/>
        <v>18429897</v>
      </c>
      <c r="X2734">
        <f t="shared" si="254"/>
        <v>17887897</v>
      </c>
      <c r="Y2734">
        <f t="shared" si="255"/>
        <v>-26289845.5</v>
      </c>
      <c r="Z2734">
        <f t="shared" si="256"/>
        <v>45261742.5</v>
      </c>
      <c r="AA2734" t="str">
        <f t="shared" si="257"/>
        <v>Normal</v>
      </c>
      <c r="AE2734" s="2"/>
      <c r="AF2734" s="2"/>
    </row>
    <row r="2735" spans="1:32" x14ac:dyDescent="0.35">
      <c r="A2735">
        <v>2734</v>
      </c>
      <c r="B2735" s="1">
        <v>42179</v>
      </c>
      <c r="C2735" s="9" t="s">
        <v>4422</v>
      </c>
      <c r="D2735" s="9" t="s">
        <v>5570</v>
      </c>
      <c r="E2735" s="9" t="s">
        <v>1111</v>
      </c>
      <c r="F2735" s="9" t="s">
        <v>15</v>
      </c>
      <c r="G2735" s="9" t="s">
        <v>791</v>
      </c>
      <c r="H2735" s="9" t="s">
        <v>86</v>
      </c>
      <c r="I2735" s="11">
        <v>18429897</v>
      </c>
      <c r="J2735" s="11">
        <v>715325</v>
      </c>
      <c r="K2735" s="11">
        <v>14675970</v>
      </c>
      <c r="L2735" s="3">
        <v>493</v>
      </c>
      <c r="M2735" s="3">
        <v>4991</v>
      </c>
      <c r="N2735" s="3">
        <v>1268661</v>
      </c>
      <c r="O2735" s="2">
        <v>0.17300000000000001</v>
      </c>
      <c r="P2735" s="2">
        <v>0.50800000000000001</v>
      </c>
      <c r="Q2735" s="2">
        <v>0.48499999999999999</v>
      </c>
      <c r="R2735" s="11">
        <v>331837992</v>
      </c>
      <c r="S2735" s="11">
        <v>1257365</v>
      </c>
      <c r="T2735">
        <v>2015</v>
      </c>
      <c r="U2735">
        <v>6</v>
      </c>
      <c r="V2735">
        <f t="shared" si="252"/>
        <v>534000</v>
      </c>
      <c r="W2735">
        <f t="shared" si="253"/>
        <v>18429897</v>
      </c>
      <c r="X2735">
        <f t="shared" si="254"/>
        <v>17895897</v>
      </c>
      <c r="Y2735">
        <f t="shared" si="255"/>
        <v>-26309845.5</v>
      </c>
      <c r="Z2735">
        <f t="shared" si="256"/>
        <v>45273742.5</v>
      </c>
      <c r="AA2735" t="str">
        <f t="shared" si="257"/>
        <v>Normal</v>
      </c>
      <c r="AE2735" s="2"/>
      <c r="AF2735" s="2"/>
    </row>
    <row r="2736" spans="1:32" x14ac:dyDescent="0.35">
      <c r="A2736">
        <v>2735</v>
      </c>
      <c r="B2736" s="1">
        <v>42179</v>
      </c>
      <c r="C2736" s="9" t="s">
        <v>2808</v>
      </c>
      <c r="D2736" s="9" t="s">
        <v>5510</v>
      </c>
      <c r="E2736" s="9" t="s">
        <v>1111</v>
      </c>
      <c r="F2736" s="9" t="s">
        <v>35</v>
      </c>
      <c r="G2736" s="9" t="s">
        <v>3332</v>
      </c>
      <c r="H2736" s="9" t="s">
        <v>86</v>
      </c>
      <c r="I2736" s="11">
        <v>18429897</v>
      </c>
      <c r="J2736" s="11">
        <v>2879661</v>
      </c>
      <c r="K2736" s="11">
        <v>17935987</v>
      </c>
      <c r="L2736" s="3">
        <v>326</v>
      </c>
      <c r="M2736" s="3">
        <v>2809</v>
      </c>
      <c r="N2736" s="3">
        <v>698121</v>
      </c>
      <c r="O2736" s="2">
        <v>-0.16600000000000001</v>
      </c>
      <c r="P2736" s="2">
        <v>0.71099999999999997</v>
      </c>
      <c r="Q2736" s="2">
        <v>-0.248</v>
      </c>
      <c r="R2736" s="11">
        <v>104341062</v>
      </c>
      <c r="S2736" s="11">
        <v>1631617</v>
      </c>
      <c r="T2736">
        <v>2015</v>
      </c>
      <c r="U2736">
        <v>6</v>
      </c>
      <c r="V2736">
        <f t="shared" si="252"/>
        <v>526000</v>
      </c>
      <c r="W2736">
        <f t="shared" si="253"/>
        <v>18429897</v>
      </c>
      <c r="X2736">
        <f t="shared" si="254"/>
        <v>17903897</v>
      </c>
      <c r="Y2736">
        <f t="shared" si="255"/>
        <v>-26329845.5</v>
      </c>
      <c r="Z2736">
        <f t="shared" si="256"/>
        <v>45285742.5</v>
      </c>
      <c r="AA2736" t="str">
        <f t="shared" si="257"/>
        <v>Normal</v>
      </c>
      <c r="AE2736" s="2"/>
      <c r="AF2736" s="2"/>
    </row>
    <row r="2737" spans="1:32" x14ac:dyDescent="0.35">
      <c r="A2737">
        <v>2736</v>
      </c>
      <c r="B2737" s="1">
        <v>42179</v>
      </c>
      <c r="C2737" s="9" t="s">
        <v>4423</v>
      </c>
      <c r="D2737" s="9" t="s">
        <v>5571</v>
      </c>
      <c r="E2737" s="9" t="s">
        <v>1111</v>
      </c>
      <c r="F2737" s="9" t="s">
        <v>63</v>
      </c>
      <c r="G2737" s="9" t="s">
        <v>3981</v>
      </c>
      <c r="H2737" s="9" t="s">
        <v>86</v>
      </c>
      <c r="I2737" s="11">
        <v>18429897</v>
      </c>
      <c r="J2737" s="11">
        <v>958602</v>
      </c>
      <c r="K2737" s="11">
        <v>7745381</v>
      </c>
      <c r="L2737" s="3">
        <v>280</v>
      </c>
      <c r="M2737" s="3">
        <v>1903</v>
      </c>
      <c r="N2737" s="3">
        <v>75979</v>
      </c>
      <c r="O2737" s="2">
        <v>0.19800000000000001</v>
      </c>
      <c r="P2737" s="2">
        <v>0.81299999999999994</v>
      </c>
      <c r="Q2737" s="2">
        <v>0.67700000000000005</v>
      </c>
      <c r="R2737" s="11">
        <v>250264963</v>
      </c>
      <c r="S2737" s="11">
        <v>478000</v>
      </c>
      <c r="T2737">
        <v>2015</v>
      </c>
      <c r="U2737">
        <v>6</v>
      </c>
      <c r="V2737">
        <f t="shared" si="252"/>
        <v>518000</v>
      </c>
      <c r="W2737">
        <f t="shared" si="253"/>
        <v>18429897</v>
      </c>
      <c r="X2737">
        <f t="shared" si="254"/>
        <v>17911897</v>
      </c>
      <c r="Y2737">
        <f t="shared" si="255"/>
        <v>-26349845.5</v>
      </c>
      <c r="Z2737">
        <f t="shared" si="256"/>
        <v>45297742.5</v>
      </c>
      <c r="AA2737" t="str">
        <f t="shared" si="257"/>
        <v>Normal</v>
      </c>
      <c r="AE2737" s="2"/>
      <c r="AF2737" s="2"/>
    </row>
    <row r="2738" spans="1:32" x14ac:dyDescent="0.35">
      <c r="A2738">
        <v>2737</v>
      </c>
      <c r="B2738" s="1">
        <v>42179</v>
      </c>
      <c r="C2738" s="9" t="s">
        <v>4424</v>
      </c>
      <c r="D2738" s="9" t="s">
        <v>5572</v>
      </c>
      <c r="E2738" s="9" t="s">
        <v>1111</v>
      </c>
      <c r="F2738" s="9" t="s">
        <v>15</v>
      </c>
      <c r="G2738" s="9" t="s">
        <v>4425</v>
      </c>
      <c r="H2738" s="9" t="s">
        <v>105</v>
      </c>
      <c r="I2738" s="11">
        <v>15000000</v>
      </c>
      <c r="J2738" s="11">
        <v>2471470</v>
      </c>
      <c r="K2738" s="11">
        <v>1865147</v>
      </c>
      <c r="L2738" s="3">
        <v>217</v>
      </c>
      <c r="M2738" s="3">
        <v>354</v>
      </c>
      <c r="N2738" s="3">
        <v>20462</v>
      </c>
      <c r="O2738" s="2">
        <v>-5.5E-2</v>
      </c>
      <c r="P2738" s="2">
        <v>0.52700000000000002</v>
      </c>
      <c r="Q2738" s="2">
        <v>0.36749999999999999</v>
      </c>
      <c r="R2738" s="11">
        <v>306029366</v>
      </c>
      <c r="S2738" s="11">
        <v>292040</v>
      </c>
      <c r="T2738">
        <v>2015</v>
      </c>
      <c r="U2738">
        <v>6</v>
      </c>
      <c r="V2738">
        <f t="shared" si="252"/>
        <v>513500</v>
      </c>
      <c r="W2738">
        <f t="shared" si="253"/>
        <v>18429897</v>
      </c>
      <c r="X2738">
        <f t="shared" si="254"/>
        <v>17916397</v>
      </c>
      <c r="Y2738">
        <f t="shared" si="255"/>
        <v>-26361095.5</v>
      </c>
      <c r="Z2738">
        <f t="shared" si="256"/>
        <v>45304492.5</v>
      </c>
      <c r="AA2738" t="str">
        <f t="shared" si="257"/>
        <v>Normal</v>
      </c>
      <c r="AE2738" s="2"/>
      <c r="AF2738" s="2"/>
    </row>
    <row r="2739" spans="1:32" x14ac:dyDescent="0.35">
      <c r="A2739">
        <v>2738</v>
      </c>
      <c r="B2739" s="1">
        <v>42179</v>
      </c>
      <c r="C2739" s="9" t="s">
        <v>4426</v>
      </c>
      <c r="D2739" s="9" t="s">
        <v>4987</v>
      </c>
      <c r="E2739" s="9" t="s">
        <v>1111</v>
      </c>
      <c r="F2739" s="9" t="s">
        <v>31</v>
      </c>
      <c r="G2739" s="9" t="s">
        <v>4427</v>
      </c>
      <c r="H2739" s="9" t="s">
        <v>105</v>
      </c>
      <c r="I2739" s="11">
        <v>5500000</v>
      </c>
      <c r="J2739" s="11">
        <v>1733822</v>
      </c>
      <c r="K2739" s="11">
        <v>8061093</v>
      </c>
      <c r="L2739" s="3">
        <v>379</v>
      </c>
      <c r="M2739" s="3">
        <v>2505.5</v>
      </c>
      <c r="N2739" s="3">
        <v>1784558</v>
      </c>
      <c r="O2739" s="2">
        <v>0.19899999999999998</v>
      </c>
      <c r="P2739" s="2">
        <v>0.52400000000000002</v>
      </c>
      <c r="Q2739" s="2">
        <v>0.218</v>
      </c>
      <c r="R2739" s="11">
        <v>446310652</v>
      </c>
      <c r="S2739" s="11">
        <v>364904</v>
      </c>
      <c r="T2739">
        <v>2015</v>
      </c>
      <c r="U2739">
        <v>6</v>
      </c>
      <c r="V2739">
        <f t="shared" si="252"/>
        <v>509000</v>
      </c>
      <c r="W2739">
        <f t="shared" si="253"/>
        <v>18429897</v>
      </c>
      <c r="X2739">
        <f t="shared" si="254"/>
        <v>17920897</v>
      </c>
      <c r="Y2739">
        <f t="shared" si="255"/>
        <v>-26372345.5</v>
      </c>
      <c r="Z2739">
        <f t="shared" si="256"/>
        <v>45311242.5</v>
      </c>
      <c r="AA2739" t="str">
        <f t="shared" si="257"/>
        <v>Normal</v>
      </c>
      <c r="AE2739" s="2"/>
      <c r="AF2739" s="2"/>
    </row>
    <row r="2740" spans="1:32" x14ac:dyDescent="0.35">
      <c r="A2740">
        <v>2739</v>
      </c>
      <c r="B2740" s="1">
        <v>42179</v>
      </c>
      <c r="C2740" s="9" t="s">
        <v>4428</v>
      </c>
      <c r="D2740" s="9" t="s">
        <v>5573</v>
      </c>
      <c r="E2740" s="9" t="s">
        <v>1111</v>
      </c>
      <c r="F2740" s="9" t="s">
        <v>15</v>
      </c>
      <c r="G2740" s="9" t="s">
        <v>4429</v>
      </c>
      <c r="H2740" s="9" t="s">
        <v>86</v>
      </c>
      <c r="I2740" s="11">
        <v>500000</v>
      </c>
      <c r="J2740" s="11">
        <v>944933</v>
      </c>
      <c r="K2740" s="11">
        <v>10153449</v>
      </c>
      <c r="L2740" s="3">
        <v>215</v>
      </c>
      <c r="M2740" s="3">
        <v>1365</v>
      </c>
      <c r="N2740" s="3">
        <v>210540</v>
      </c>
      <c r="O2740" s="2">
        <v>-2.7000000000000003E-2</v>
      </c>
      <c r="P2740" s="2">
        <v>1.0289999999999999E-2</v>
      </c>
      <c r="Q2740" s="2">
        <v>0.25600000000000001</v>
      </c>
      <c r="R2740" s="11">
        <v>446655470</v>
      </c>
      <c r="S2740" s="11">
        <v>1008193.5</v>
      </c>
      <c r="T2740">
        <v>2015</v>
      </c>
      <c r="U2740">
        <v>6</v>
      </c>
      <c r="V2740">
        <f t="shared" si="252"/>
        <v>504500</v>
      </c>
      <c r="W2740">
        <f t="shared" si="253"/>
        <v>18429897</v>
      </c>
      <c r="X2740">
        <f t="shared" si="254"/>
        <v>17925397</v>
      </c>
      <c r="Y2740">
        <f t="shared" si="255"/>
        <v>-26383595.5</v>
      </c>
      <c r="Z2740">
        <f t="shared" si="256"/>
        <v>45317992.5</v>
      </c>
      <c r="AA2740" t="str">
        <f t="shared" si="257"/>
        <v>Normal</v>
      </c>
      <c r="AE2740" s="2"/>
      <c r="AF2740" s="2"/>
    </row>
    <row r="2741" spans="1:32" x14ac:dyDescent="0.35">
      <c r="A2741">
        <v>2740</v>
      </c>
      <c r="B2741" s="1">
        <v>42180</v>
      </c>
      <c r="C2741" s="9" t="s">
        <v>4430</v>
      </c>
      <c r="D2741" s="9" t="s">
        <v>5574</v>
      </c>
      <c r="E2741" s="9" t="s">
        <v>1111</v>
      </c>
      <c r="F2741" s="9" t="s">
        <v>27</v>
      </c>
      <c r="G2741" s="9" t="s">
        <v>4431</v>
      </c>
      <c r="H2741" s="9" t="s">
        <v>105</v>
      </c>
      <c r="I2741" s="11">
        <v>8600000</v>
      </c>
      <c r="J2741" s="11">
        <v>502114</v>
      </c>
      <c r="K2741" s="11">
        <v>12837040</v>
      </c>
      <c r="L2741" s="3">
        <v>402</v>
      </c>
      <c r="M2741" s="3">
        <v>104</v>
      </c>
      <c r="N2741" s="3">
        <v>1489837</v>
      </c>
      <c r="O2741" s="2">
        <v>0.23800000000000002</v>
      </c>
      <c r="P2741" s="2">
        <v>0.86</v>
      </c>
      <c r="Q2741" s="2">
        <v>-0.27600000000000002</v>
      </c>
      <c r="R2741" s="11">
        <v>212291038</v>
      </c>
      <c r="S2741" s="11">
        <v>807183</v>
      </c>
      <c r="T2741">
        <v>2015</v>
      </c>
      <c r="U2741">
        <v>6</v>
      </c>
      <c r="V2741">
        <f t="shared" si="252"/>
        <v>518000</v>
      </c>
      <c r="W2741">
        <f t="shared" si="253"/>
        <v>18429897</v>
      </c>
      <c r="X2741">
        <f t="shared" si="254"/>
        <v>17911897</v>
      </c>
      <c r="Y2741">
        <f t="shared" si="255"/>
        <v>-26349845.5</v>
      </c>
      <c r="Z2741">
        <f t="shared" si="256"/>
        <v>45297742.5</v>
      </c>
      <c r="AA2741" t="str">
        <f t="shared" si="257"/>
        <v>Normal</v>
      </c>
      <c r="AE2741" s="2"/>
      <c r="AF2741" s="2"/>
    </row>
    <row r="2742" spans="1:32" x14ac:dyDescent="0.35">
      <c r="A2742">
        <v>2741</v>
      </c>
      <c r="B2742" s="1">
        <v>42180</v>
      </c>
      <c r="C2742" s="9" t="s">
        <v>4432</v>
      </c>
      <c r="D2742" s="9" t="s">
        <v>5575</v>
      </c>
      <c r="E2742" s="9" t="s">
        <v>1111</v>
      </c>
      <c r="F2742" s="9" t="s">
        <v>15</v>
      </c>
      <c r="G2742" s="9" t="s">
        <v>4433</v>
      </c>
      <c r="H2742" s="9" t="s">
        <v>105</v>
      </c>
      <c r="I2742" s="11">
        <v>6000000</v>
      </c>
      <c r="J2742" s="11">
        <v>2570018</v>
      </c>
      <c r="K2742" s="11">
        <v>15084592</v>
      </c>
      <c r="L2742" s="3">
        <v>83</v>
      </c>
      <c r="M2742" s="3">
        <v>4024</v>
      </c>
      <c r="N2742" s="3">
        <v>288876</v>
      </c>
      <c r="O2742" s="2">
        <v>8.900000000000001E-2</v>
      </c>
      <c r="P2742" s="2">
        <v>0.65</v>
      </c>
      <c r="Q2742" s="2">
        <v>-7.0999999999999994E-2</v>
      </c>
      <c r="R2742" s="11">
        <v>269574481</v>
      </c>
      <c r="S2742" s="11">
        <v>1537238</v>
      </c>
      <c r="T2742">
        <v>2015</v>
      </c>
      <c r="U2742">
        <v>6</v>
      </c>
      <c r="V2742">
        <f t="shared" si="252"/>
        <v>513500</v>
      </c>
      <c r="W2742">
        <f t="shared" si="253"/>
        <v>18429897</v>
      </c>
      <c r="X2742">
        <f t="shared" si="254"/>
        <v>17916397</v>
      </c>
      <c r="Y2742">
        <f t="shared" si="255"/>
        <v>-26361095.5</v>
      </c>
      <c r="Z2742">
        <f t="shared" si="256"/>
        <v>45304492.5</v>
      </c>
      <c r="AA2742" t="str">
        <f t="shared" si="257"/>
        <v>Normal</v>
      </c>
      <c r="AE2742" s="2"/>
      <c r="AF2742" s="2"/>
    </row>
    <row r="2743" spans="1:32" x14ac:dyDescent="0.35">
      <c r="A2743">
        <v>2742</v>
      </c>
      <c r="B2743" s="1">
        <v>42181</v>
      </c>
      <c r="C2743" s="9" t="s">
        <v>1689</v>
      </c>
      <c r="D2743" s="9" t="s">
        <v>5576</v>
      </c>
      <c r="E2743" s="9" t="s">
        <v>1111</v>
      </c>
      <c r="F2743" s="9" t="s">
        <v>35</v>
      </c>
      <c r="G2743" s="9" t="s">
        <v>4434</v>
      </c>
      <c r="H2743" s="9" t="s">
        <v>105</v>
      </c>
      <c r="I2743" s="11">
        <v>2500000</v>
      </c>
      <c r="J2743" s="11">
        <v>4737652</v>
      </c>
      <c r="K2743" s="11">
        <v>14782310</v>
      </c>
      <c r="L2743" s="3">
        <v>410</v>
      </c>
      <c r="M2743" s="3">
        <v>2149</v>
      </c>
      <c r="N2743" s="3">
        <v>793938</v>
      </c>
      <c r="O2743" s="2">
        <v>-0.109</v>
      </c>
      <c r="P2743" s="2">
        <v>0.75800000000000001</v>
      </c>
      <c r="Q2743" s="2">
        <v>-0.17899999999999999</v>
      </c>
      <c r="R2743" s="11">
        <v>105382728</v>
      </c>
      <c r="S2743" s="11">
        <v>805598</v>
      </c>
      <c r="T2743">
        <v>2015</v>
      </c>
      <c r="U2743">
        <v>6</v>
      </c>
      <c r="V2743">
        <f t="shared" si="252"/>
        <v>509000</v>
      </c>
      <c r="W2743">
        <f t="shared" si="253"/>
        <v>18429897</v>
      </c>
      <c r="X2743">
        <f t="shared" si="254"/>
        <v>17920897</v>
      </c>
      <c r="Y2743">
        <f t="shared" si="255"/>
        <v>-26372345.5</v>
      </c>
      <c r="Z2743">
        <f t="shared" si="256"/>
        <v>45311242.5</v>
      </c>
      <c r="AA2743" t="str">
        <f t="shared" si="257"/>
        <v>Normal</v>
      </c>
      <c r="AE2743" s="2"/>
      <c r="AF2743" s="2"/>
    </row>
    <row r="2744" spans="1:32" x14ac:dyDescent="0.35">
      <c r="A2744">
        <v>2743</v>
      </c>
      <c r="B2744" s="1">
        <v>42181</v>
      </c>
      <c r="C2744" s="9" t="s">
        <v>4435</v>
      </c>
      <c r="D2744" s="9" t="s">
        <v>5354</v>
      </c>
      <c r="E2744" s="9" t="s">
        <v>1111</v>
      </c>
      <c r="F2744" s="9" t="s">
        <v>31</v>
      </c>
      <c r="G2744" s="9" t="s">
        <v>856</v>
      </c>
      <c r="H2744" s="9" t="s">
        <v>86</v>
      </c>
      <c r="I2744" s="11">
        <v>250000</v>
      </c>
      <c r="J2744" s="11">
        <v>1009766</v>
      </c>
      <c r="K2744" s="11">
        <v>19845755</v>
      </c>
      <c r="L2744" s="3">
        <v>481</v>
      </c>
      <c r="M2744" s="3">
        <v>2786</v>
      </c>
      <c r="N2744" s="3">
        <v>207249</v>
      </c>
      <c r="O2744" s="2">
        <v>6.2E-2</v>
      </c>
      <c r="P2744" s="2">
        <v>0.70499999999999996</v>
      </c>
      <c r="Q2744" s="2">
        <v>0.36749999999999999</v>
      </c>
      <c r="R2744" s="11">
        <v>84405524</v>
      </c>
      <c r="S2744" s="11">
        <v>1593310</v>
      </c>
      <c r="T2744">
        <v>2015</v>
      </c>
      <c r="U2744">
        <v>6</v>
      </c>
      <c r="V2744">
        <f t="shared" si="252"/>
        <v>504500</v>
      </c>
      <c r="W2744">
        <f t="shared" si="253"/>
        <v>18429897</v>
      </c>
      <c r="X2744">
        <f t="shared" si="254"/>
        <v>17925397</v>
      </c>
      <c r="Y2744">
        <f t="shared" si="255"/>
        <v>-26383595.5</v>
      </c>
      <c r="Z2744">
        <f t="shared" si="256"/>
        <v>45317992.5</v>
      </c>
      <c r="AA2744" t="str">
        <f t="shared" si="257"/>
        <v>Normal</v>
      </c>
      <c r="AE2744" s="2"/>
      <c r="AF2744" s="2"/>
    </row>
    <row r="2745" spans="1:32" x14ac:dyDescent="0.35">
      <c r="A2745">
        <v>2744</v>
      </c>
      <c r="B2745" s="1">
        <v>42184</v>
      </c>
      <c r="C2745" s="9" t="s">
        <v>1466</v>
      </c>
      <c r="D2745" s="9" t="s">
        <v>5577</v>
      </c>
      <c r="E2745" s="9" t="s">
        <v>1111</v>
      </c>
      <c r="F2745" s="9" t="s">
        <v>27</v>
      </c>
      <c r="G2745" s="9" t="s">
        <v>4893</v>
      </c>
      <c r="H2745" s="9" t="s">
        <v>105</v>
      </c>
      <c r="I2745" s="11">
        <v>10000000</v>
      </c>
      <c r="J2745" s="11">
        <v>2036870</v>
      </c>
      <c r="K2745" s="11">
        <v>17606768</v>
      </c>
      <c r="L2745" s="3">
        <v>125</v>
      </c>
      <c r="M2745" s="3">
        <v>3930</v>
      </c>
      <c r="N2745" s="3">
        <v>1274032</v>
      </c>
      <c r="O2745" s="2">
        <v>0.56100000000000005</v>
      </c>
      <c r="P2745" s="2">
        <v>0.374</v>
      </c>
      <c r="Q2745" s="2">
        <v>-0.151</v>
      </c>
      <c r="R2745" s="11">
        <v>491903954</v>
      </c>
      <c r="S2745" s="11">
        <v>1020785</v>
      </c>
      <c r="T2745">
        <v>2015</v>
      </c>
      <c r="U2745">
        <v>6</v>
      </c>
      <c r="V2745">
        <f t="shared" si="252"/>
        <v>518000</v>
      </c>
      <c r="W2745">
        <f t="shared" si="253"/>
        <v>18429897</v>
      </c>
      <c r="X2745">
        <f t="shared" si="254"/>
        <v>17911897</v>
      </c>
      <c r="Y2745">
        <f t="shared" si="255"/>
        <v>-26349845.5</v>
      </c>
      <c r="Z2745">
        <f t="shared" si="256"/>
        <v>45297742.5</v>
      </c>
      <c r="AA2745" t="str">
        <f t="shared" si="257"/>
        <v>Normal</v>
      </c>
      <c r="AE2745" s="2"/>
      <c r="AF2745" s="2"/>
    </row>
    <row r="2746" spans="1:32" x14ac:dyDescent="0.35">
      <c r="A2746">
        <v>2745</v>
      </c>
      <c r="B2746" s="1">
        <v>42184</v>
      </c>
      <c r="C2746" s="9" t="s">
        <v>3763</v>
      </c>
      <c r="D2746" s="9" t="s">
        <v>5578</v>
      </c>
      <c r="E2746" s="9" t="s">
        <v>1111</v>
      </c>
      <c r="F2746" s="9" t="s">
        <v>15</v>
      </c>
      <c r="G2746" s="9" t="s">
        <v>4436</v>
      </c>
      <c r="H2746" s="9" t="s">
        <v>86</v>
      </c>
      <c r="I2746" s="11">
        <v>18429897</v>
      </c>
      <c r="J2746" s="11">
        <v>1138541</v>
      </c>
      <c r="K2746" s="11">
        <v>11766353</v>
      </c>
      <c r="L2746" s="3">
        <v>115</v>
      </c>
      <c r="M2746" s="3">
        <v>1678</v>
      </c>
      <c r="N2746" s="3">
        <v>205647</v>
      </c>
      <c r="O2746" s="2">
        <v>-0.33500000000000002</v>
      </c>
      <c r="P2746" s="2">
        <v>1.07</v>
      </c>
      <c r="Q2746" s="2">
        <v>2.1999999999999999E-2</v>
      </c>
      <c r="R2746" s="11">
        <v>17040116</v>
      </c>
      <c r="S2746" s="11">
        <v>1390148</v>
      </c>
      <c r="T2746">
        <v>2015</v>
      </c>
      <c r="U2746">
        <v>6</v>
      </c>
      <c r="V2746">
        <f t="shared" si="252"/>
        <v>513500</v>
      </c>
      <c r="W2746">
        <f t="shared" si="253"/>
        <v>18429897</v>
      </c>
      <c r="X2746">
        <f t="shared" si="254"/>
        <v>17916397</v>
      </c>
      <c r="Y2746">
        <f t="shared" si="255"/>
        <v>-26361095.5</v>
      </c>
      <c r="Z2746">
        <f t="shared" si="256"/>
        <v>45304492.5</v>
      </c>
      <c r="AA2746" t="str">
        <f t="shared" si="257"/>
        <v>Normal</v>
      </c>
      <c r="AE2746" s="2"/>
      <c r="AF2746" s="2"/>
    </row>
    <row r="2747" spans="1:32" x14ac:dyDescent="0.35">
      <c r="A2747">
        <v>2746</v>
      </c>
      <c r="B2747" s="1">
        <v>42184</v>
      </c>
      <c r="C2747" s="9" t="s">
        <v>4437</v>
      </c>
      <c r="D2747" s="9" t="s">
        <v>5579</v>
      </c>
      <c r="E2747" s="9" t="s">
        <v>1111</v>
      </c>
      <c r="F2747" s="9" t="s">
        <v>15</v>
      </c>
      <c r="G2747" s="9" t="s">
        <v>4438</v>
      </c>
      <c r="H2747" s="9" t="s">
        <v>86</v>
      </c>
      <c r="I2747" s="11">
        <v>1000000</v>
      </c>
      <c r="J2747" s="11">
        <v>4048668</v>
      </c>
      <c r="K2747" s="11">
        <v>10153449</v>
      </c>
      <c r="L2747" s="3">
        <v>477</v>
      </c>
      <c r="M2747" s="3">
        <v>4092</v>
      </c>
      <c r="N2747" s="3">
        <v>1252590</v>
      </c>
      <c r="O2747" s="2">
        <v>0.153</v>
      </c>
      <c r="P2747" s="2">
        <v>0.29099999999999998</v>
      </c>
      <c r="Q2747" s="2">
        <v>-9.0999999999999998E-2</v>
      </c>
      <c r="R2747" s="11">
        <v>150854664</v>
      </c>
      <c r="S2747" s="11">
        <v>776042</v>
      </c>
      <c r="T2747">
        <v>2015</v>
      </c>
      <c r="U2747">
        <v>6</v>
      </c>
      <c r="V2747">
        <f t="shared" si="252"/>
        <v>509000</v>
      </c>
      <c r="W2747">
        <f t="shared" si="253"/>
        <v>18429897</v>
      </c>
      <c r="X2747">
        <f t="shared" si="254"/>
        <v>17920897</v>
      </c>
      <c r="Y2747">
        <f t="shared" si="255"/>
        <v>-26372345.5</v>
      </c>
      <c r="Z2747">
        <f t="shared" si="256"/>
        <v>45311242.5</v>
      </c>
      <c r="AA2747" t="str">
        <f t="shared" si="257"/>
        <v>Normal</v>
      </c>
      <c r="AE2747" s="2"/>
      <c r="AF2747" s="2"/>
    </row>
    <row r="2748" spans="1:32" x14ac:dyDescent="0.35">
      <c r="A2748">
        <v>2747</v>
      </c>
      <c r="B2748" s="1">
        <v>42184</v>
      </c>
      <c r="C2748" s="9" t="s">
        <v>4315</v>
      </c>
      <c r="D2748" s="9" t="s">
        <v>5354</v>
      </c>
      <c r="E2748" s="9" t="s">
        <v>1111</v>
      </c>
      <c r="F2748" s="9" t="s">
        <v>31</v>
      </c>
      <c r="G2748" s="9" t="s">
        <v>4439</v>
      </c>
      <c r="H2748" s="9" t="s">
        <v>86</v>
      </c>
      <c r="I2748" s="11">
        <v>400000</v>
      </c>
      <c r="J2748" s="11">
        <v>2531926</v>
      </c>
      <c r="K2748" s="11">
        <v>1053413</v>
      </c>
      <c r="L2748" s="3">
        <v>206</v>
      </c>
      <c r="M2748" s="3">
        <v>2505.5</v>
      </c>
      <c r="N2748" s="3">
        <v>1920294</v>
      </c>
      <c r="O2748" s="2">
        <v>-8.199999999999999E-2</v>
      </c>
      <c r="P2748" s="2">
        <v>0.41299999999999998</v>
      </c>
      <c r="Q2748" s="2">
        <v>0.43200000000000005</v>
      </c>
      <c r="R2748" s="11">
        <v>314069588</v>
      </c>
      <c r="S2748" s="11">
        <v>1658573</v>
      </c>
      <c r="T2748">
        <v>2015</v>
      </c>
      <c r="U2748">
        <v>6</v>
      </c>
      <c r="V2748">
        <f t="shared" si="252"/>
        <v>504500</v>
      </c>
      <c r="W2748">
        <f t="shared" si="253"/>
        <v>18429897</v>
      </c>
      <c r="X2748">
        <f t="shared" si="254"/>
        <v>17925397</v>
      </c>
      <c r="Y2748">
        <f t="shared" si="255"/>
        <v>-26383595.5</v>
      </c>
      <c r="Z2748">
        <f t="shared" si="256"/>
        <v>45317992.5</v>
      </c>
      <c r="AA2748" t="str">
        <f t="shared" si="257"/>
        <v>Normal</v>
      </c>
      <c r="AE2748" s="2"/>
      <c r="AF2748" s="2"/>
    </row>
    <row r="2749" spans="1:32" x14ac:dyDescent="0.35">
      <c r="A2749">
        <v>2748</v>
      </c>
      <c r="B2749" s="1">
        <v>42185</v>
      </c>
      <c r="C2749" s="9" t="s">
        <v>2510</v>
      </c>
      <c r="D2749" s="9" t="s">
        <v>5580</v>
      </c>
      <c r="E2749" s="9" t="s">
        <v>1111</v>
      </c>
      <c r="F2749" s="9" t="s">
        <v>15</v>
      </c>
      <c r="G2749" s="9" t="s">
        <v>4440</v>
      </c>
      <c r="H2749" s="9" t="s">
        <v>86</v>
      </c>
      <c r="I2749" s="11">
        <v>18429897</v>
      </c>
      <c r="J2749" s="11">
        <v>4872597</v>
      </c>
      <c r="K2749" s="11">
        <v>14454658</v>
      </c>
      <c r="L2749" s="3">
        <v>349</v>
      </c>
      <c r="M2749" s="3">
        <v>2859</v>
      </c>
      <c r="N2749" s="3">
        <v>1483856</v>
      </c>
      <c r="O2749" s="2">
        <v>0.39500000000000002</v>
      </c>
      <c r="P2749" s="2">
        <v>0.76200000000000001</v>
      </c>
      <c r="Q2749" s="2">
        <v>-7.6999999999999999E-2</v>
      </c>
      <c r="R2749" s="11">
        <v>454449005</v>
      </c>
      <c r="S2749" s="11">
        <v>85652</v>
      </c>
      <c r="T2749">
        <v>2015</v>
      </c>
      <c r="U2749">
        <v>6</v>
      </c>
      <c r="V2749">
        <f t="shared" si="252"/>
        <v>518000</v>
      </c>
      <c r="W2749">
        <f t="shared" si="253"/>
        <v>18429897</v>
      </c>
      <c r="X2749">
        <f t="shared" si="254"/>
        <v>17911897</v>
      </c>
      <c r="Y2749">
        <f t="shared" si="255"/>
        <v>-26349845.5</v>
      </c>
      <c r="Z2749">
        <f t="shared" si="256"/>
        <v>45297742.5</v>
      </c>
      <c r="AA2749" t="str">
        <f t="shared" si="257"/>
        <v>Normal</v>
      </c>
      <c r="AE2749" s="2"/>
      <c r="AF2749" s="2"/>
    </row>
    <row r="2750" spans="1:32" x14ac:dyDescent="0.35">
      <c r="A2750">
        <v>2749</v>
      </c>
      <c r="B2750" s="1">
        <v>42185</v>
      </c>
      <c r="C2750" s="9" t="s">
        <v>650</v>
      </c>
      <c r="D2750" s="9" t="s">
        <v>5581</v>
      </c>
      <c r="E2750" s="9" t="s">
        <v>1111</v>
      </c>
      <c r="F2750" s="9" t="s">
        <v>15</v>
      </c>
      <c r="G2750" s="9" t="s">
        <v>4441</v>
      </c>
      <c r="H2750" s="9" t="s">
        <v>105</v>
      </c>
      <c r="I2750" s="11">
        <v>18429897</v>
      </c>
      <c r="J2750" s="11">
        <v>1240934</v>
      </c>
      <c r="K2750" s="11">
        <v>10488485</v>
      </c>
      <c r="L2750" s="3">
        <v>99</v>
      </c>
      <c r="M2750" s="3">
        <v>1379</v>
      </c>
      <c r="N2750" s="3">
        <v>1316954</v>
      </c>
      <c r="O2750" s="2">
        <v>0.28300000000000003</v>
      </c>
      <c r="P2750" s="2">
        <v>0.66100000000000003</v>
      </c>
      <c r="Q2750" s="2">
        <v>-0.2</v>
      </c>
      <c r="R2750" s="11">
        <v>374443695</v>
      </c>
      <c r="S2750" s="11">
        <v>765817</v>
      </c>
      <c r="T2750">
        <v>2015</v>
      </c>
      <c r="U2750">
        <v>6</v>
      </c>
      <c r="V2750">
        <f t="shared" si="252"/>
        <v>513500</v>
      </c>
      <c r="W2750">
        <f t="shared" si="253"/>
        <v>18429897</v>
      </c>
      <c r="X2750">
        <f t="shared" si="254"/>
        <v>17916397</v>
      </c>
      <c r="Y2750">
        <f t="shared" si="255"/>
        <v>-26361095.5</v>
      </c>
      <c r="Z2750">
        <f t="shared" si="256"/>
        <v>45304492.5</v>
      </c>
      <c r="AA2750" t="str">
        <f t="shared" si="257"/>
        <v>Normal</v>
      </c>
      <c r="AE2750" s="2"/>
      <c r="AF2750" s="2"/>
    </row>
    <row r="2751" spans="1:32" x14ac:dyDescent="0.35">
      <c r="A2751">
        <v>2750</v>
      </c>
      <c r="B2751" s="1">
        <v>42185</v>
      </c>
      <c r="C2751" s="9" t="s">
        <v>4442</v>
      </c>
      <c r="D2751" s="9" t="s">
        <v>5335</v>
      </c>
      <c r="E2751" s="9" t="s">
        <v>1111</v>
      </c>
      <c r="F2751" s="9" t="s">
        <v>19</v>
      </c>
      <c r="G2751" s="9" t="s">
        <v>4194</v>
      </c>
      <c r="H2751" s="9" t="s">
        <v>86</v>
      </c>
      <c r="I2751" s="11">
        <v>18429897</v>
      </c>
      <c r="J2751" s="11">
        <v>422061</v>
      </c>
      <c r="K2751" s="11">
        <v>19142166</v>
      </c>
      <c r="L2751" s="3">
        <v>216</v>
      </c>
      <c r="M2751" s="3">
        <v>3954</v>
      </c>
      <c r="N2751" s="3">
        <v>1812265</v>
      </c>
      <c r="O2751" s="2">
        <v>0.157</v>
      </c>
      <c r="P2751" s="2">
        <v>0.79500000000000004</v>
      </c>
      <c r="Q2751" s="2">
        <v>0.19500000000000001</v>
      </c>
      <c r="R2751" s="11">
        <v>419727399</v>
      </c>
      <c r="S2751" s="11">
        <v>968405</v>
      </c>
      <c r="T2751">
        <v>2015</v>
      </c>
      <c r="U2751">
        <v>6</v>
      </c>
      <c r="V2751">
        <f t="shared" si="252"/>
        <v>509000</v>
      </c>
      <c r="W2751">
        <f t="shared" si="253"/>
        <v>18429897</v>
      </c>
      <c r="X2751">
        <f t="shared" si="254"/>
        <v>17920897</v>
      </c>
      <c r="Y2751">
        <f t="shared" si="255"/>
        <v>-26372345.5</v>
      </c>
      <c r="Z2751">
        <f t="shared" si="256"/>
        <v>45311242.5</v>
      </c>
      <c r="AA2751" t="str">
        <f t="shared" si="257"/>
        <v>Normal</v>
      </c>
      <c r="AE2751" s="2"/>
      <c r="AF2751" s="2"/>
    </row>
    <row r="2752" spans="1:32" x14ac:dyDescent="0.35">
      <c r="A2752">
        <v>2751</v>
      </c>
      <c r="B2752" s="1">
        <v>42185</v>
      </c>
      <c r="C2752" s="9" t="s">
        <v>4443</v>
      </c>
      <c r="D2752" s="9" t="s">
        <v>5582</v>
      </c>
      <c r="E2752" s="9" t="s">
        <v>1111</v>
      </c>
      <c r="F2752" s="9" t="s">
        <v>15</v>
      </c>
      <c r="G2752" s="9" t="s">
        <v>4444</v>
      </c>
      <c r="H2752" s="9" t="s">
        <v>105</v>
      </c>
      <c r="I2752" s="11">
        <v>2500000</v>
      </c>
      <c r="J2752" s="11">
        <v>2920950</v>
      </c>
      <c r="K2752" s="11">
        <v>10124760</v>
      </c>
      <c r="L2752" s="3">
        <v>353</v>
      </c>
      <c r="M2752" s="3">
        <v>1243</v>
      </c>
      <c r="N2752" s="3">
        <v>1641295</v>
      </c>
      <c r="O2752" s="2">
        <v>0.30299999999999999</v>
      </c>
      <c r="P2752" s="2">
        <v>1.1200000000000001</v>
      </c>
      <c r="Q2752" s="2">
        <v>5.9000000000000004E-2</v>
      </c>
      <c r="R2752" s="11">
        <v>12434519</v>
      </c>
      <c r="S2752" s="11">
        <v>1616411</v>
      </c>
      <c r="T2752">
        <v>2015</v>
      </c>
      <c r="U2752">
        <v>6</v>
      </c>
      <c r="V2752">
        <f t="shared" si="252"/>
        <v>504500</v>
      </c>
      <c r="W2752">
        <f t="shared" si="253"/>
        <v>18429897</v>
      </c>
      <c r="X2752">
        <f t="shared" si="254"/>
        <v>17925397</v>
      </c>
      <c r="Y2752">
        <f t="shared" si="255"/>
        <v>-26383595.5</v>
      </c>
      <c r="Z2752">
        <f t="shared" si="256"/>
        <v>45317992.5</v>
      </c>
      <c r="AA2752" t="str">
        <f t="shared" si="257"/>
        <v>Normal</v>
      </c>
      <c r="AE2752" s="2"/>
      <c r="AF2752" s="2"/>
    </row>
    <row r="2753" spans="1:32" x14ac:dyDescent="0.35">
      <c r="A2753">
        <v>2752</v>
      </c>
      <c r="B2753" s="1">
        <v>42185</v>
      </c>
      <c r="C2753" s="9" t="s">
        <v>4445</v>
      </c>
      <c r="D2753" s="9" t="s">
        <v>5583</v>
      </c>
      <c r="E2753" s="9" t="s">
        <v>1111</v>
      </c>
      <c r="F2753" s="9" t="s">
        <v>31</v>
      </c>
      <c r="G2753" s="9" t="s">
        <v>4446</v>
      </c>
      <c r="H2753" s="9" t="s">
        <v>105</v>
      </c>
      <c r="I2753" s="11">
        <v>1500000</v>
      </c>
      <c r="J2753" s="11">
        <v>2531926</v>
      </c>
      <c r="K2753" s="11">
        <v>3654709</v>
      </c>
      <c r="L2753" s="3">
        <v>447</v>
      </c>
      <c r="M2753" s="3">
        <v>3114</v>
      </c>
      <c r="N2753" s="3">
        <v>1465967</v>
      </c>
      <c r="O2753" s="2">
        <v>0.16899999999999998</v>
      </c>
      <c r="P2753" s="2">
        <v>0.48599999999999999</v>
      </c>
      <c r="Q2753" s="2">
        <v>0.42599999999999999</v>
      </c>
      <c r="R2753" s="11">
        <v>269029945</v>
      </c>
      <c r="S2753" s="11">
        <v>608770</v>
      </c>
      <c r="T2753">
        <v>2015</v>
      </c>
      <c r="U2753">
        <v>6</v>
      </c>
      <c r="V2753">
        <f t="shared" si="252"/>
        <v>500000</v>
      </c>
      <c r="W2753">
        <f t="shared" si="253"/>
        <v>18429897</v>
      </c>
      <c r="X2753">
        <f t="shared" si="254"/>
        <v>17929897</v>
      </c>
      <c r="Y2753">
        <f t="shared" si="255"/>
        <v>-26394845.5</v>
      </c>
      <c r="Z2753">
        <f t="shared" si="256"/>
        <v>45324742.5</v>
      </c>
      <c r="AA2753" t="str">
        <f t="shared" si="257"/>
        <v>Normal</v>
      </c>
      <c r="AE2753" s="2"/>
      <c r="AF2753" s="2"/>
    </row>
    <row r="2754" spans="1:32" x14ac:dyDescent="0.35">
      <c r="A2754">
        <v>2753</v>
      </c>
      <c r="B2754" s="1">
        <v>42125</v>
      </c>
      <c r="C2754" s="9" t="s">
        <v>4447</v>
      </c>
      <c r="D2754" s="9" t="s">
        <v>5584</v>
      </c>
      <c r="E2754" s="9" t="s">
        <v>1111</v>
      </c>
      <c r="F2754" s="9" t="s">
        <v>19</v>
      </c>
      <c r="G2754" s="9" t="s">
        <v>4448</v>
      </c>
      <c r="H2754" s="9" t="s">
        <v>105</v>
      </c>
      <c r="I2754" s="11">
        <v>100000000</v>
      </c>
      <c r="J2754" s="11">
        <v>4953891</v>
      </c>
      <c r="K2754" s="11">
        <v>14509756</v>
      </c>
      <c r="L2754" s="3">
        <v>220</v>
      </c>
      <c r="M2754" s="3">
        <v>4150</v>
      </c>
      <c r="N2754" s="3">
        <v>1125671</v>
      </c>
      <c r="O2754" s="2">
        <v>0.121</v>
      </c>
      <c r="P2754" s="2">
        <v>0.35099999999999998</v>
      </c>
      <c r="Q2754" s="2">
        <v>0.152</v>
      </c>
      <c r="R2754" s="11">
        <v>193027173</v>
      </c>
      <c r="S2754" s="11">
        <v>422748</v>
      </c>
      <c r="T2754">
        <v>2015</v>
      </c>
      <c r="U2754">
        <v>5</v>
      </c>
      <c r="V2754">
        <f t="shared" ref="V2754:V2817" si="258">_xlfn.PERCENTILE.INC(I2754:I5797,0.25)</f>
        <v>500000</v>
      </c>
      <c r="W2754">
        <f t="shared" ref="W2754:W2817" si="259">_xlfn.PERCENTILE.INC(I2754:I5797,0.75)</f>
        <v>18429897</v>
      </c>
      <c r="X2754">
        <f t="shared" ref="X2754:X2817" si="260">W2754-V2754</f>
        <v>17929897</v>
      </c>
      <c r="Y2754">
        <f t="shared" ref="Y2754:Y2817" si="261">V2754-1.5*X2754</f>
        <v>-26394845.5</v>
      </c>
      <c r="Z2754">
        <f t="shared" ref="Z2754:Z2817" si="262">W2754+1.5*X2754</f>
        <v>45324742.5</v>
      </c>
      <c r="AA2754" t="str">
        <f t="shared" ref="AA2754:AA2817" si="263">IF(OR(I2754&lt;$Y$2, I2754&gt;$Z$2), "Outlier", "Normal")</f>
        <v>Outlier</v>
      </c>
      <c r="AE2754" s="2"/>
      <c r="AF2754" s="2"/>
    </row>
    <row r="2755" spans="1:32" x14ac:dyDescent="0.35">
      <c r="A2755">
        <v>2754</v>
      </c>
      <c r="B2755" s="1">
        <v>42125</v>
      </c>
      <c r="C2755" s="9" t="s">
        <v>4449</v>
      </c>
      <c r="D2755" s="9" t="s">
        <v>5585</v>
      </c>
      <c r="E2755" s="9" t="s">
        <v>1111</v>
      </c>
      <c r="F2755" s="9" t="s">
        <v>35</v>
      </c>
      <c r="G2755" s="9" t="s">
        <v>4450</v>
      </c>
      <c r="H2755" s="9" t="s">
        <v>86</v>
      </c>
      <c r="I2755" s="11">
        <v>100000</v>
      </c>
      <c r="J2755" s="11">
        <v>4359617</v>
      </c>
      <c r="K2755" s="11">
        <v>19011762</v>
      </c>
      <c r="L2755" s="3">
        <v>254</v>
      </c>
      <c r="M2755" s="3">
        <v>626</v>
      </c>
      <c r="N2755" s="3">
        <v>780136</v>
      </c>
      <c r="O2755" s="2">
        <v>0</v>
      </c>
      <c r="P2755" s="2">
        <v>0.32100000000000001</v>
      </c>
      <c r="Q2755" s="2">
        <v>0.14300000000000002</v>
      </c>
      <c r="R2755" s="11">
        <v>142690138</v>
      </c>
      <c r="S2755" s="11">
        <v>1186012</v>
      </c>
      <c r="T2755">
        <v>2015</v>
      </c>
      <c r="U2755">
        <v>5</v>
      </c>
      <c r="V2755">
        <f t="shared" si="258"/>
        <v>500000</v>
      </c>
      <c r="W2755">
        <f t="shared" si="259"/>
        <v>18429897</v>
      </c>
      <c r="X2755">
        <f t="shared" si="260"/>
        <v>17929897</v>
      </c>
      <c r="Y2755">
        <f t="shared" si="261"/>
        <v>-26394845.5</v>
      </c>
      <c r="Z2755">
        <f t="shared" si="262"/>
        <v>45324742.5</v>
      </c>
      <c r="AA2755" t="str">
        <f t="shared" si="263"/>
        <v>Normal</v>
      </c>
      <c r="AE2755" s="2"/>
      <c r="AF2755" s="2"/>
    </row>
    <row r="2756" spans="1:32" x14ac:dyDescent="0.35">
      <c r="A2756">
        <v>2755</v>
      </c>
      <c r="B2756" s="1">
        <v>42128</v>
      </c>
      <c r="C2756" s="9" t="s">
        <v>3500</v>
      </c>
      <c r="D2756" s="9" t="s">
        <v>5586</v>
      </c>
      <c r="E2756" s="9" t="s">
        <v>1111</v>
      </c>
      <c r="F2756" s="9" t="s">
        <v>15</v>
      </c>
      <c r="G2756" s="9" t="s">
        <v>4451</v>
      </c>
      <c r="H2756" s="9" t="s">
        <v>86</v>
      </c>
      <c r="I2756" s="11">
        <v>550000</v>
      </c>
      <c r="J2756" s="11">
        <v>4423166</v>
      </c>
      <c r="K2756" s="11">
        <v>421913</v>
      </c>
      <c r="L2756" s="3">
        <v>209</v>
      </c>
      <c r="M2756" s="3">
        <v>2030</v>
      </c>
      <c r="N2756" s="3">
        <v>1239007</v>
      </c>
      <c r="O2756" s="2">
        <v>4.8000000000000001E-2</v>
      </c>
      <c r="P2756" s="2">
        <v>0.25900000000000001</v>
      </c>
      <c r="Q2756" s="2">
        <v>0.29499999999999998</v>
      </c>
      <c r="R2756" s="11">
        <v>280796032</v>
      </c>
      <c r="S2756" s="11">
        <v>1061865</v>
      </c>
      <c r="T2756">
        <v>2015</v>
      </c>
      <c r="U2756">
        <v>5</v>
      </c>
      <c r="V2756">
        <f t="shared" si="258"/>
        <v>504500</v>
      </c>
      <c r="W2756">
        <f t="shared" si="259"/>
        <v>18429897</v>
      </c>
      <c r="X2756">
        <f t="shared" si="260"/>
        <v>17925397</v>
      </c>
      <c r="Y2756">
        <f t="shared" si="261"/>
        <v>-26383595.5</v>
      </c>
      <c r="Z2756">
        <f t="shared" si="262"/>
        <v>45317992.5</v>
      </c>
      <c r="AA2756" t="str">
        <f t="shared" si="263"/>
        <v>Normal</v>
      </c>
      <c r="AE2756" s="2"/>
      <c r="AF2756" s="2"/>
    </row>
    <row r="2757" spans="1:32" x14ac:dyDescent="0.35">
      <c r="A2757">
        <v>2756</v>
      </c>
      <c r="B2757" s="1">
        <v>42128</v>
      </c>
      <c r="C2757" s="9" t="s">
        <v>2231</v>
      </c>
      <c r="D2757" s="9" t="s">
        <v>5587</v>
      </c>
      <c r="E2757" s="9" t="s">
        <v>1111</v>
      </c>
      <c r="F2757" s="9" t="s">
        <v>19</v>
      </c>
      <c r="G2757" s="9" t="s">
        <v>4452</v>
      </c>
      <c r="H2757" s="9" t="s">
        <v>86</v>
      </c>
      <c r="I2757" s="11">
        <v>200000</v>
      </c>
      <c r="J2757" s="11">
        <v>3178487</v>
      </c>
      <c r="K2757" s="11">
        <v>1377410</v>
      </c>
      <c r="L2757" s="3">
        <v>254</v>
      </c>
      <c r="M2757" s="3">
        <v>3404</v>
      </c>
      <c r="N2757" s="3">
        <v>213254</v>
      </c>
      <c r="O2757" s="2">
        <v>2.7000000000000003E-2</v>
      </c>
      <c r="P2757" s="2">
        <v>0.50800000000000001</v>
      </c>
      <c r="Q2757" s="2">
        <v>0.19</v>
      </c>
      <c r="R2757" s="11">
        <v>35183467</v>
      </c>
      <c r="S2757" s="11">
        <v>844044</v>
      </c>
      <c r="T2757">
        <v>2015</v>
      </c>
      <c r="U2757">
        <v>5</v>
      </c>
      <c r="V2757">
        <f t="shared" si="258"/>
        <v>500000</v>
      </c>
      <c r="W2757">
        <f t="shared" si="259"/>
        <v>18429897</v>
      </c>
      <c r="X2757">
        <f t="shared" si="260"/>
        <v>17929897</v>
      </c>
      <c r="Y2757">
        <f t="shared" si="261"/>
        <v>-26394845.5</v>
      </c>
      <c r="Z2757">
        <f t="shared" si="262"/>
        <v>45324742.5</v>
      </c>
      <c r="AA2757" t="str">
        <f t="shared" si="263"/>
        <v>Normal</v>
      </c>
      <c r="AE2757" s="2"/>
      <c r="AF2757" s="2"/>
    </row>
    <row r="2758" spans="1:32" x14ac:dyDescent="0.35">
      <c r="A2758">
        <v>2757</v>
      </c>
      <c r="B2758" s="1">
        <v>42128</v>
      </c>
      <c r="C2758" s="9" t="s">
        <v>4453</v>
      </c>
      <c r="D2758" s="9" t="s">
        <v>5584</v>
      </c>
      <c r="E2758" s="9" t="s">
        <v>1111</v>
      </c>
      <c r="F2758" s="9" t="s">
        <v>15</v>
      </c>
      <c r="G2758" s="9" t="s">
        <v>120</v>
      </c>
      <c r="H2758" s="9" t="s">
        <v>86</v>
      </c>
      <c r="I2758" s="11">
        <v>1000000</v>
      </c>
      <c r="J2758" s="11">
        <v>1811878</v>
      </c>
      <c r="K2758" s="11">
        <v>13259606</v>
      </c>
      <c r="L2758" s="3">
        <v>438</v>
      </c>
      <c r="M2758" s="3">
        <v>1406</v>
      </c>
      <c r="N2758" s="3">
        <v>1762008</v>
      </c>
      <c r="O2758" s="2">
        <v>0.122</v>
      </c>
      <c r="P2758" s="2">
        <v>0.65700000000000003</v>
      </c>
      <c r="Q2758" s="2">
        <v>0.27300000000000002</v>
      </c>
      <c r="R2758" s="11">
        <v>145324724</v>
      </c>
      <c r="S2758" s="11">
        <v>1127919</v>
      </c>
      <c r="T2758">
        <v>2015</v>
      </c>
      <c r="U2758">
        <v>5</v>
      </c>
      <c r="V2758">
        <f t="shared" si="258"/>
        <v>513500</v>
      </c>
      <c r="W2758">
        <f t="shared" si="259"/>
        <v>18429897</v>
      </c>
      <c r="X2758">
        <f t="shared" si="260"/>
        <v>17916397</v>
      </c>
      <c r="Y2758">
        <f t="shared" si="261"/>
        <v>-26361095.5</v>
      </c>
      <c r="Z2758">
        <f t="shared" si="262"/>
        <v>45304492.5</v>
      </c>
      <c r="AA2758" t="str">
        <f t="shared" si="263"/>
        <v>Normal</v>
      </c>
      <c r="AE2758" s="2"/>
      <c r="AF2758" s="2"/>
    </row>
    <row r="2759" spans="1:32" x14ac:dyDescent="0.35">
      <c r="A2759">
        <v>2758</v>
      </c>
      <c r="B2759" s="1">
        <v>42129</v>
      </c>
      <c r="C2759" s="9" t="s">
        <v>4454</v>
      </c>
      <c r="D2759" s="9" t="s">
        <v>5588</v>
      </c>
      <c r="E2759" s="9" t="s">
        <v>1111</v>
      </c>
      <c r="F2759" s="9" t="s">
        <v>124</v>
      </c>
      <c r="G2759" s="9" t="s">
        <v>3947</v>
      </c>
      <c r="H2759" s="9" t="s">
        <v>86</v>
      </c>
      <c r="I2759" s="11">
        <v>650000</v>
      </c>
      <c r="J2759" s="11">
        <v>2156550</v>
      </c>
      <c r="K2759" s="11">
        <v>11156875</v>
      </c>
      <c r="L2759" s="3">
        <v>417</v>
      </c>
      <c r="M2759" s="3">
        <v>188</v>
      </c>
      <c r="N2759" s="3">
        <v>1770188</v>
      </c>
      <c r="O2759" s="2">
        <v>-0.25800000000000001</v>
      </c>
      <c r="P2759" s="2">
        <v>0.45600000000000002</v>
      </c>
      <c r="Q2759" s="2">
        <v>0.36749999999999999</v>
      </c>
      <c r="R2759" s="11">
        <v>126961301</v>
      </c>
      <c r="S2759" s="11">
        <v>1008193.5</v>
      </c>
      <c r="T2759">
        <v>2015</v>
      </c>
      <c r="U2759">
        <v>5</v>
      </c>
      <c r="V2759">
        <f t="shared" si="258"/>
        <v>509000</v>
      </c>
      <c r="W2759">
        <f t="shared" si="259"/>
        <v>18429897</v>
      </c>
      <c r="X2759">
        <f t="shared" si="260"/>
        <v>17920897</v>
      </c>
      <c r="Y2759">
        <f t="shared" si="261"/>
        <v>-26372345.5</v>
      </c>
      <c r="Z2759">
        <f t="shared" si="262"/>
        <v>45311242.5</v>
      </c>
      <c r="AA2759" t="str">
        <f t="shared" si="263"/>
        <v>Normal</v>
      </c>
      <c r="AE2759" s="2"/>
      <c r="AF2759" s="2"/>
    </row>
    <row r="2760" spans="1:32" x14ac:dyDescent="0.35">
      <c r="A2760">
        <v>2759</v>
      </c>
      <c r="B2760" s="1">
        <v>42129</v>
      </c>
      <c r="C2760" s="9" t="s">
        <v>4455</v>
      </c>
      <c r="D2760" s="9" t="s">
        <v>5589</v>
      </c>
      <c r="E2760" s="9" t="s">
        <v>1111</v>
      </c>
      <c r="F2760" s="9" t="s">
        <v>124</v>
      </c>
      <c r="G2760" s="9" t="s">
        <v>3947</v>
      </c>
      <c r="H2760" s="9" t="s">
        <v>86</v>
      </c>
      <c r="I2760" s="11">
        <v>250000</v>
      </c>
      <c r="J2760" s="11">
        <v>686049</v>
      </c>
      <c r="K2760" s="11">
        <v>11017209</v>
      </c>
      <c r="L2760" s="3">
        <v>380</v>
      </c>
      <c r="M2760" s="3">
        <v>2075</v>
      </c>
      <c r="N2760" s="3">
        <v>524012</v>
      </c>
      <c r="O2760" s="2">
        <v>0.32600000000000001</v>
      </c>
      <c r="P2760" s="2">
        <v>0.87400000000000011</v>
      </c>
      <c r="Q2760" s="2">
        <v>-7.0000000000000001E-3</v>
      </c>
      <c r="R2760" s="11">
        <v>173236260</v>
      </c>
      <c r="S2760" s="11">
        <v>276575</v>
      </c>
      <c r="T2760">
        <v>2015</v>
      </c>
      <c r="U2760">
        <v>5</v>
      </c>
      <c r="V2760">
        <f t="shared" si="258"/>
        <v>504500</v>
      </c>
      <c r="W2760">
        <f t="shared" si="259"/>
        <v>18429897</v>
      </c>
      <c r="X2760">
        <f t="shared" si="260"/>
        <v>17925397</v>
      </c>
      <c r="Y2760">
        <f t="shared" si="261"/>
        <v>-26383595.5</v>
      </c>
      <c r="Z2760">
        <f t="shared" si="262"/>
        <v>45317992.5</v>
      </c>
      <c r="AA2760" t="str">
        <f t="shared" si="263"/>
        <v>Normal</v>
      </c>
      <c r="AE2760" s="2"/>
      <c r="AF2760" s="2"/>
    </row>
    <row r="2761" spans="1:32" x14ac:dyDescent="0.35">
      <c r="A2761">
        <v>2760</v>
      </c>
      <c r="B2761" s="1">
        <v>42129</v>
      </c>
      <c r="C2761" s="9" t="s">
        <v>1904</v>
      </c>
      <c r="D2761" s="9" t="s">
        <v>5590</v>
      </c>
      <c r="E2761" s="9" t="s">
        <v>1111</v>
      </c>
      <c r="F2761" s="9" t="s">
        <v>19</v>
      </c>
      <c r="G2761" s="9" t="s">
        <v>856</v>
      </c>
      <c r="H2761" s="9" t="s">
        <v>105</v>
      </c>
      <c r="I2761" s="11">
        <v>6000000</v>
      </c>
      <c r="J2761" s="11">
        <v>2166760</v>
      </c>
      <c r="K2761" s="11">
        <v>1894919</v>
      </c>
      <c r="L2761" s="3">
        <v>86</v>
      </c>
      <c r="M2761" s="3">
        <v>2508</v>
      </c>
      <c r="N2761" s="3">
        <v>1018455</v>
      </c>
      <c r="O2761" s="2">
        <v>0.50900000000000001</v>
      </c>
      <c r="P2761" s="2">
        <v>0.97699999999999998</v>
      </c>
      <c r="Q2761" s="2">
        <v>-0.22500000000000001</v>
      </c>
      <c r="R2761" s="11">
        <v>250264963</v>
      </c>
      <c r="S2761" s="11">
        <v>1008193.5</v>
      </c>
      <c r="T2761">
        <v>2015</v>
      </c>
      <c r="U2761">
        <v>5</v>
      </c>
      <c r="V2761">
        <f t="shared" si="258"/>
        <v>518000</v>
      </c>
      <c r="W2761">
        <f t="shared" si="259"/>
        <v>18429897</v>
      </c>
      <c r="X2761">
        <f t="shared" si="260"/>
        <v>17911897</v>
      </c>
      <c r="Y2761">
        <f t="shared" si="261"/>
        <v>-26349845.5</v>
      </c>
      <c r="Z2761">
        <f t="shared" si="262"/>
        <v>45297742.5</v>
      </c>
      <c r="AA2761" t="str">
        <f t="shared" si="263"/>
        <v>Normal</v>
      </c>
      <c r="AE2761" s="2"/>
      <c r="AF2761" s="2"/>
    </row>
    <row r="2762" spans="1:32" x14ac:dyDescent="0.35">
      <c r="A2762">
        <v>2761</v>
      </c>
      <c r="B2762" s="1">
        <v>42129</v>
      </c>
      <c r="C2762" s="9" t="s">
        <v>4456</v>
      </c>
      <c r="D2762" s="9" t="s">
        <v>5591</v>
      </c>
      <c r="E2762" s="9" t="s">
        <v>1111</v>
      </c>
      <c r="F2762" s="9" t="s">
        <v>15</v>
      </c>
      <c r="G2762" s="9" t="s">
        <v>4457</v>
      </c>
      <c r="H2762" s="9" t="s">
        <v>105</v>
      </c>
      <c r="I2762" s="11">
        <v>15000000</v>
      </c>
      <c r="J2762" s="11">
        <v>1834904</v>
      </c>
      <c r="K2762" s="11">
        <v>11484852</v>
      </c>
      <c r="L2762" s="3">
        <v>262</v>
      </c>
      <c r="M2762" s="3">
        <v>4607</v>
      </c>
      <c r="N2762" s="3">
        <v>1389079</v>
      </c>
      <c r="O2762" s="2">
        <v>3.4000000000000002E-2</v>
      </c>
      <c r="P2762" s="2">
        <v>1.137</v>
      </c>
      <c r="Q2762" s="2">
        <v>0.36749999999999999</v>
      </c>
      <c r="R2762" s="11">
        <v>314409003</v>
      </c>
      <c r="S2762" s="11">
        <v>338749</v>
      </c>
      <c r="T2762">
        <v>2015</v>
      </c>
      <c r="U2762">
        <v>5</v>
      </c>
      <c r="V2762">
        <f t="shared" si="258"/>
        <v>513500</v>
      </c>
      <c r="W2762">
        <f t="shared" si="259"/>
        <v>18429897</v>
      </c>
      <c r="X2762">
        <f t="shared" si="260"/>
        <v>17916397</v>
      </c>
      <c r="Y2762">
        <f t="shared" si="261"/>
        <v>-26361095.5</v>
      </c>
      <c r="Z2762">
        <f t="shared" si="262"/>
        <v>45304492.5</v>
      </c>
      <c r="AA2762" t="str">
        <f t="shared" si="263"/>
        <v>Normal</v>
      </c>
      <c r="AE2762" s="2"/>
      <c r="AF2762" s="2"/>
    </row>
    <row r="2763" spans="1:32" x14ac:dyDescent="0.35">
      <c r="A2763">
        <v>2762</v>
      </c>
      <c r="B2763" s="1">
        <v>42129</v>
      </c>
      <c r="C2763" s="9" t="s">
        <v>4458</v>
      </c>
      <c r="D2763" s="9" t="s">
        <v>5592</v>
      </c>
      <c r="E2763" s="9" t="s">
        <v>1111</v>
      </c>
      <c r="F2763" s="9" t="s">
        <v>31</v>
      </c>
      <c r="G2763" s="9" t="s">
        <v>4459</v>
      </c>
      <c r="H2763" s="9" t="s">
        <v>86</v>
      </c>
      <c r="I2763" s="11">
        <v>18429897</v>
      </c>
      <c r="J2763" s="11">
        <v>198776</v>
      </c>
      <c r="K2763" s="11">
        <v>11403219</v>
      </c>
      <c r="L2763" s="3">
        <v>290</v>
      </c>
      <c r="M2763" s="3">
        <v>4045</v>
      </c>
      <c r="N2763" s="3">
        <v>1707874</v>
      </c>
      <c r="O2763" s="2">
        <v>0.35499999999999998</v>
      </c>
      <c r="P2763" s="2">
        <v>0.59899999999999998</v>
      </c>
      <c r="Q2763" s="2">
        <v>-0.42700000000000005</v>
      </c>
      <c r="R2763" s="11">
        <v>429867638</v>
      </c>
      <c r="S2763" s="11">
        <v>1008193.5</v>
      </c>
      <c r="T2763">
        <v>2015</v>
      </c>
      <c r="U2763">
        <v>5</v>
      </c>
      <c r="V2763">
        <f t="shared" si="258"/>
        <v>509000</v>
      </c>
      <c r="W2763">
        <f t="shared" si="259"/>
        <v>18429897</v>
      </c>
      <c r="X2763">
        <f t="shared" si="260"/>
        <v>17920897</v>
      </c>
      <c r="Y2763">
        <f t="shared" si="261"/>
        <v>-26372345.5</v>
      </c>
      <c r="Z2763">
        <f t="shared" si="262"/>
        <v>45311242.5</v>
      </c>
      <c r="AA2763" t="str">
        <f t="shared" si="263"/>
        <v>Normal</v>
      </c>
      <c r="AE2763" s="2"/>
      <c r="AF2763" s="2"/>
    </row>
    <row r="2764" spans="1:32" x14ac:dyDescent="0.35">
      <c r="A2764">
        <v>2763</v>
      </c>
      <c r="B2764" s="1">
        <v>42130</v>
      </c>
      <c r="C2764" s="9" t="s">
        <v>1544</v>
      </c>
      <c r="D2764" s="9" t="s">
        <v>5593</v>
      </c>
      <c r="E2764" s="9" t="s">
        <v>1111</v>
      </c>
      <c r="F2764" s="9" t="s">
        <v>19</v>
      </c>
      <c r="G2764" s="9" t="s">
        <v>4460</v>
      </c>
      <c r="H2764" s="9" t="s">
        <v>105</v>
      </c>
      <c r="I2764" s="11">
        <v>85000000</v>
      </c>
      <c r="J2764" s="11">
        <v>2531926</v>
      </c>
      <c r="K2764" s="11">
        <v>17000659</v>
      </c>
      <c r="L2764" s="3">
        <v>236</v>
      </c>
      <c r="M2764" s="3">
        <v>944</v>
      </c>
      <c r="N2764" s="3">
        <v>1798628</v>
      </c>
      <c r="O2764" s="2">
        <v>9.2999999999999999E-2</v>
      </c>
      <c r="P2764" s="2">
        <v>0.88900000000000001</v>
      </c>
      <c r="Q2764" s="2">
        <v>-0.109</v>
      </c>
      <c r="R2764" s="11">
        <v>117023471</v>
      </c>
      <c r="S2764" s="11">
        <v>403788</v>
      </c>
      <c r="T2764">
        <v>2015</v>
      </c>
      <c r="U2764">
        <v>5</v>
      </c>
      <c r="V2764">
        <f t="shared" si="258"/>
        <v>504500</v>
      </c>
      <c r="W2764">
        <f t="shared" si="259"/>
        <v>18429897</v>
      </c>
      <c r="X2764">
        <f t="shared" si="260"/>
        <v>17925397</v>
      </c>
      <c r="Y2764">
        <f t="shared" si="261"/>
        <v>-26383595.5</v>
      </c>
      <c r="Z2764">
        <f t="shared" si="262"/>
        <v>45317992.5</v>
      </c>
      <c r="AA2764" t="str">
        <f t="shared" si="263"/>
        <v>Outlier</v>
      </c>
      <c r="AE2764" s="2"/>
      <c r="AF2764" s="2"/>
    </row>
    <row r="2765" spans="1:32" x14ac:dyDescent="0.35">
      <c r="A2765">
        <v>2764</v>
      </c>
      <c r="B2765" s="1">
        <v>42130</v>
      </c>
      <c r="C2765" s="9" t="s">
        <v>729</v>
      </c>
      <c r="D2765" s="9" t="s">
        <v>5584</v>
      </c>
      <c r="E2765" s="9" t="s">
        <v>1111</v>
      </c>
      <c r="F2765" s="9" t="s">
        <v>15</v>
      </c>
      <c r="G2765" s="9" t="s">
        <v>1385</v>
      </c>
      <c r="H2765" s="9" t="s">
        <v>105</v>
      </c>
      <c r="I2765" s="11">
        <v>15000000</v>
      </c>
      <c r="J2765" s="11">
        <v>2682311</v>
      </c>
      <c r="K2765" s="11">
        <v>7863183</v>
      </c>
      <c r="L2765" s="3">
        <v>461</v>
      </c>
      <c r="M2765" s="3">
        <v>1421</v>
      </c>
      <c r="N2765" s="3">
        <v>1487306</v>
      </c>
      <c r="O2765" s="2">
        <v>0</v>
      </c>
      <c r="P2765" s="2">
        <v>0.47100000000000003</v>
      </c>
      <c r="Q2765" s="2">
        <v>-2.4E-2</v>
      </c>
      <c r="R2765" s="11">
        <v>477966703</v>
      </c>
      <c r="S2765" s="11">
        <v>1585641</v>
      </c>
      <c r="T2765">
        <v>2015</v>
      </c>
      <c r="U2765">
        <v>5</v>
      </c>
      <c r="V2765">
        <f t="shared" si="258"/>
        <v>500000</v>
      </c>
      <c r="W2765">
        <f t="shared" si="259"/>
        <v>18429897</v>
      </c>
      <c r="X2765">
        <f t="shared" si="260"/>
        <v>17929897</v>
      </c>
      <c r="Y2765">
        <f t="shared" si="261"/>
        <v>-26394845.5</v>
      </c>
      <c r="Z2765">
        <f t="shared" si="262"/>
        <v>45324742.5</v>
      </c>
      <c r="AA2765" t="str">
        <f t="shared" si="263"/>
        <v>Normal</v>
      </c>
      <c r="AE2765" s="2"/>
      <c r="AF2765" s="2"/>
    </row>
    <row r="2766" spans="1:32" x14ac:dyDescent="0.35">
      <c r="A2766">
        <v>2765</v>
      </c>
      <c r="B2766" s="1">
        <v>42131</v>
      </c>
      <c r="C2766" s="9" t="s">
        <v>153</v>
      </c>
      <c r="D2766" s="9" t="s">
        <v>5594</v>
      </c>
      <c r="E2766" s="9" t="s">
        <v>1111</v>
      </c>
      <c r="F2766" s="9" t="s">
        <v>35</v>
      </c>
      <c r="G2766" s="9" t="s">
        <v>4461</v>
      </c>
      <c r="H2766" s="9" t="s">
        <v>105</v>
      </c>
      <c r="I2766" s="11">
        <v>18429897</v>
      </c>
      <c r="J2766" s="11">
        <v>1859328</v>
      </c>
      <c r="K2766" s="11">
        <v>7023292</v>
      </c>
      <c r="L2766" s="3">
        <v>480</v>
      </c>
      <c r="M2766" s="3">
        <v>966</v>
      </c>
      <c r="N2766" s="3">
        <v>1872590</v>
      </c>
      <c r="O2766" s="2">
        <v>4.4000000000000004E-2</v>
      </c>
      <c r="P2766" s="2">
        <v>1.0649999999999999</v>
      </c>
      <c r="Q2766" s="2">
        <v>0.4</v>
      </c>
      <c r="R2766" s="11">
        <v>28974287</v>
      </c>
      <c r="S2766" s="11">
        <v>435032</v>
      </c>
      <c r="T2766">
        <v>2015</v>
      </c>
      <c r="U2766">
        <v>5</v>
      </c>
      <c r="V2766">
        <f t="shared" si="258"/>
        <v>500000</v>
      </c>
      <c r="W2766">
        <f t="shared" si="259"/>
        <v>18429897</v>
      </c>
      <c r="X2766">
        <f t="shared" si="260"/>
        <v>17929897</v>
      </c>
      <c r="Y2766">
        <f t="shared" si="261"/>
        <v>-26394845.5</v>
      </c>
      <c r="Z2766">
        <f t="shared" si="262"/>
        <v>45324742.5</v>
      </c>
      <c r="AA2766" t="str">
        <f t="shared" si="263"/>
        <v>Normal</v>
      </c>
      <c r="AE2766" s="2"/>
      <c r="AF2766" s="2"/>
    </row>
    <row r="2767" spans="1:32" x14ac:dyDescent="0.35">
      <c r="A2767">
        <v>2766</v>
      </c>
      <c r="B2767" s="1">
        <v>42131</v>
      </c>
      <c r="C2767" s="9" t="s">
        <v>1551</v>
      </c>
      <c r="D2767" s="9" t="s">
        <v>5584</v>
      </c>
      <c r="E2767" s="9" t="s">
        <v>1111</v>
      </c>
      <c r="F2767" s="9" t="s">
        <v>31</v>
      </c>
      <c r="G2767" s="9" t="s">
        <v>2825</v>
      </c>
      <c r="H2767" s="9" t="s">
        <v>105</v>
      </c>
      <c r="I2767" s="11">
        <v>3500000</v>
      </c>
      <c r="J2767" s="11">
        <v>4967844</v>
      </c>
      <c r="K2767" s="11">
        <v>1724027</v>
      </c>
      <c r="L2767" s="3">
        <v>109</v>
      </c>
      <c r="M2767" s="3">
        <v>4558</v>
      </c>
      <c r="N2767" s="3">
        <v>650281</v>
      </c>
      <c r="O2767" s="2">
        <v>0.13699999999999998</v>
      </c>
      <c r="P2767" s="2">
        <v>1.109</v>
      </c>
      <c r="Q2767" s="2">
        <v>3.6999999999999998E-2</v>
      </c>
      <c r="R2767" s="11">
        <v>450736289</v>
      </c>
      <c r="S2767" s="11">
        <v>1272367</v>
      </c>
      <c r="T2767">
        <v>2015</v>
      </c>
      <c r="U2767">
        <v>5</v>
      </c>
      <c r="V2767">
        <f t="shared" si="258"/>
        <v>500000</v>
      </c>
      <c r="W2767">
        <f t="shared" si="259"/>
        <v>18429897</v>
      </c>
      <c r="X2767">
        <f t="shared" si="260"/>
        <v>17929897</v>
      </c>
      <c r="Y2767">
        <f t="shared" si="261"/>
        <v>-26394845.5</v>
      </c>
      <c r="Z2767">
        <f t="shared" si="262"/>
        <v>45324742.5</v>
      </c>
      <c r="AA2767" t="str">
        <f t="shared" si="263"/>
        <v>Normal</v>
      </c>
      <c r="AE2767" s="2"/>
      <c r="AF2767" s="2"/>
    </row>
    <row r="2768" spans="1:32" x14ac:dyDescent="0.35">
      <c r="A2768">
        <v>2767</v>
      </c>
      <c r="B2768" s="1">
        <v>42131</v>
      </c>
      <c r="C2768" s="9" t="s">
        <v>268</v>
      </c>
      <c r="D2768" s="9" t="s">
        <v>5571</v>
      </c>
      <c r="E2768" s="9" t="s">
        <v>1111</v>
      </c>
      <c r="F2768" s="9" t="s">
        <v>31</v>
      </c>
      <c r="G2768" s="9" t="s">
        <v>4894</v>
      </c>
      <c r="H2768" s="9" t="s">
        <v>105</v>
      </c>
      <c r="I2768" s="11">
        <v>10000000</v>
      </c>
      <c r="J2768" s="11">
        <v>2403068</v>
      </c>
      <c r="K2768" s="11">
        <v>11381265</v>
      </c>
      <c r="L2768" s="3">
        <v>478</v>
      </c>
      <c r="M2768" s="3">
        <v>1801</v>
      </c>
      <c r="N2768" s="3">
        <v>888152</v>
      </c>
      <c r="O2768" s="2">
        <v>1.6E-2</v>
      </c>
      <c r="P2768" s="2">
        <v>0.83</v>
      </c>
      <c r="Q2768" s="2">
        <v>0.51400000000000001</v>
      </c>
      <c r="R2768" s="11">
        <v>258988028</v>
      </c>
      <c r="S2768" s="11">
        <v>1936597</v>
      </c>
      <c r="T2768">
        <v>2015</v>
      </c>
      <c r="U2768">
        <v>5</v>
      </c>
      <c r="V2768">
        <f t="shared" si="258"/>
        <v>500000</v>
      </c>
      <c r="W2768">
        <f t="shared" si="259"/>
        <v>18429897</v>
      </c>
      <c r="X2768">
        <f t="shared" si="260"/>
        <v>17929897</v>
      </c>
      <c r="Y2768">
        <f t="shared" si="261"/>
        <v>-26394845.5</v>
      </c>
      <c r="Z2768">
        <f t="shared" si="262"/>
        <v>45324742.5</v>
      </c>
      <c r="AA2768" t="str">
        <f t="shared" si="263"/>
        <v>Normal</v>
      </c>
      <c r="AE2768" s="2"/>
      <c r="AF2768" s="2"/>
    </row>
    <row r="2769" spans="1:32" x14ac:dyDescent="0.35">
      <c r="A2769">
        <v>2768</v>
      </c>
      <c r="B2769" s="1">
        <v>42131</v>
      </c>
      <c r="C2769" s="9" t="s">
        <v>609</v>
      </c>
      <c r="D2769" s="9" t="s">
        <v>5571</v>
      </c>
      <c r="E2769" s="9" t="s">
        <v>1111</v>
      </c>
      <c r="F2769" s="9" t="s">
        <v>15</v>
      </c>
      <c r="G2769" s="9" t="s">
        <v>4462</v>
      </c>
      <c r="H2769" s="9" t="s">
        <v>105</v>
      </c>
      <c r="I2769" s="11">
        <v>5000000</v>
      </c>
      <c r="J2769" s="11">
        <v>4794363</v>
      </c>
      <c r="K2769" s="11">
        <v>12997524</v>
      </c>
      <c r="L2769" s="3">
        <v>424</v>
      </c>
      <c r="M2769" s="3">
        <v>2505.5</v>
      </c>
      <c r="N2769" s="3">
        <v>1018455</v>
      </c>
      <c r="O2769" s="2">
        <v>0.24100000000000002</v>
      </c>
      <c r="P2769" s="2">
        <v>0.85899999999999999</v>
      </c>
      <c r="Q2769" s="2">
        <v>0.193</v>
      </c>
      <c r="R2769" s="11">
        <v>119816174</v>
      </c>
      <c r="S2769" s="11">
        <v>1008193.5</v>
      </c>
      <c r="T2769">
        <v>2015</v>
      </c>
      <c r="U2769">
        <v>5</v>
      </c>
      <c r="V2769">
        <f t="shared" si="258"/>
        <v>500000</v>
      </c>
      <c r="W2769">
        <f t="shared" si="259"/>
        <v>18429897</v>
      </c>
      <c r="X2769">
        <f t="shared" si="260"/>
        <v>17929897</v>
      </c>
      <c r="Y2769">
        <f t="shared" si="261"/>
        <v>-26394845.5</v>
      </c>
      <c r="Z2769">
        <f t="shared" si="262"/>
        <v>45324742.5</v>
      </c>
      <c r="AA2769" t="str">
        <f t="shared" si="263"/>
        <v>Normal</v>
      </c>
      <c r="AE2769" s="2"/>
      <c r="AF2769" s="2"/>
    </row>
    <row r="2770" spans="1:32" x14ac:dyDescent="0.35">
      <c r="A2770">
        <v>2769</v>
      </c>
      <c r="B2770" s="1">
        <v>42132</v>
      </c>
      <c r="C2770" s="9" t="s">
        <v>4463</v>
      </c>
      <c r="D2770" s="9" t="s">
        <v>5595</v>
      </c>
      <c r="E2770" s="9" t="s">
        <v>1111</v>
      </c>
      <c r="F2770" s="9" t="s">
        <v>15</v>
      </c>
      <c r="G2770" s="9" t="s">
        <v>4464</v>
      </c>
      <c r="H2770" s="9" t="s">
        <v>86</v>
      </c>
      <c r="I2770" s="11">
        <v>1000000</v>
      </c>
      <c r="J2770" s="11">
        <v>3310341</v>
      </c>
      <c r="K2770" s="11">
        <v>5686447</v>
      </c>
      <c r="L2770" s="3">
        <v>353</v>
      </c>
      <c r="M2770" s="3">
        <v>2505.5</v>
      </c>
      <c r="N2770" s="3">
        <v>1713438</v>
      </c>
      <c r="O2770" s="2">
        <v>1.6E-2</v>
      </c>
      <c r="P2770" s="2">
        <v>0.86</v>
      </c>
      <c r="Q2770" s="2">
        <v>-0.33200000000000002</v>
      </c>
      <c r="R2770" s="11">
        <v>272634914</v>
      </c>
      <c r="S2770" s="11">
        <v>443001</v>
      </c>
      <c r="T2770">
        <v>2015</v>
      </c>
      <c r="U2770">
        <v>5</v>
      </c>
      <c r="V2770">
        <f t="shared" si="258"/>
        <v>500000</v>
      </c>
      <c r="W2770">
        <f t="shared" si="259"/>
        <v>18429897</v>
      </c>
      <c r="X2770">
        <f t="shared" si="260"/>
        <v>17929897</v>
      </c>
      <c r="Y2770">
        <f t="shared" si="261"/>
        <v>-26394845.5</v>
      </c>
      <c r="Z2770">
        <f t="shared" si="262"/>
        <v>45324742.5</v>
      </c>
      <c r="AA2770" t="str">
        <f t="shared" si="263"/>
        <v>Normal</v>
      </c>
      <c r="AE2770" s="2"/>
      <c r="AF2770" s="2"/>
    </row>
    <row r="2771" spans="1:32" x14ac:dyDescent="0.35">
      <c r="A2771">
        <v>2770</v>
      </c>
      <c r="B2771" s="1">
        <v>42132</v>
      </c>
      <c r="C2771" s="9" t="s">
        <v>4465</v>
      </c>
      <c r="D2771" s="9" t="s">
        <v>5571</v>
      </c>
      <c r="E2771" s="9" t="s">
        <v>1111</v>
      </c>
      <c r="F2771" s="9" t="s">
        <v>27</v>
      </c>
      <c r="G2771" s="9" t="s">
        <v>3835</v>
      </c>
      <c r="H2771" s="9" t="s">
        <v>86</v>
      </c>
      <c r="I2771" s="11">
        <v>18429897</v>
      </c>
      <c r="J2771" s="11">
        <v>221188</v>
      </c>
      <c r="K2771" s="11">
        <v>14650840</v>
      </c>
      <c r="L2771" s="3">
        <v>193</v>
      </c>
      <c r="M2771" s="3">
        <v>2816</v>
      </c>
      <c r="N2771" s="3">
        <v>554921</v>
      </c>
      <c r="O2771" s="2">
        <v>-9.5000000000000001E-2</v>
      </c>
      <c r="P2771" s="2">
        <v>0.79200000000000004</v>
      </c>
      <c r="Q2771" s="2">
        <v>0.36199999999999999</v>
      </c>
      <c r="R2771" s="11">
        <v>250264963</v>
      </c>
      <c r="S2771" s="11">
        <v>1266745</v>
      </c>
      <c r="T2771">
        <v>2015</v>
      </c>
      <c r="U2771">
        <v>5</v>
      </c>
      <c r="V2771">
        <f t="shared" si="258"/>
        <v>500000</v>
      </c>
      <c r="W2771">
        <f t="shared" si="259"/>
        <v>18429897</v>
      </c>
      <c r="X2771">
        <f t="shared" si="260"/>
        <v>17929897</v>
      </c>
      <c r="Y2771">
        <f t="shared" si="261"/>
        <v>-26394845.5</v>
      </c>
      <c r="Z2771">
        <f t="shared" si="262"/>
        <v>45324742.5</v>
      </c>
      <c r="AA2771" t="str">
        <f t="shared" si="263"/>
        <v>Normal</v>
      </c>
      <c r="AE2771" s="2"/>
      <c r="AF2771" s="2"/>
    </row>
    <row r="2772" spans="1:32" x14ac:dyDescent="0.35">
      <c r="A2772">
        <v>2771</v>
      </c>
      <c r="B2772" s="1">
        <v>42132</v>
      </c>
      <c r="C2772" s="9" t="s">
        <v>4466</v>
      </c>
      <c r="D2772" s="9" t="s">
        <v>5596</v>
      </c>
      <c r="E2772" s="9" t="s">
        <v>1111</v>
      </c>
      <c r="F2772" s="9" t="s">
        <v>41</v>
      </c>
      <c r="G2772" s="9" t="s">
        <v>4467</v>
      </c>
      <c r="H2772" s="9" t="s">
        <v>105</v>
      </c>
      <c r="I2772" s="11">
        <v>2000000</v>
      </c>
      <c r="J2772" s="11">
        <v>1033156</v>
      </c>
      <c r="K2772" s="11">
        <v>18767254</v>
      </c>
      <c r="L2772" s="3">
        <v>381</v>
      </c>
      <c r="M2772" s="3">
        <v>2505.5</v>
      </c>
      <c r="N2772" s="3">
        <v>1007768</v>
      </c>
      <c r="O2772" s="2">
        <v>0.11599999999999999</v>
      </c>
      <c r="P2772" s="2">
        <v>0.63900000000000001</v>
      </c>
      <c r="Q2772" s="2">
        <v>0.33600000000000002</v>
      </c>
      <c r="R2772" s="11">
        <v>344069605</v>
      </c>
      <c r="S2772" s="11">
        <v>645666</v>
      </c>
      <c r="T2772">
        <v>2015</v>
      </c>
      <c r="U2772">
        <v>5</v>
      </c>
      <c r="V2772">
        <f t="shared" si="258"/>
        <v>500000</v>
      </c>
      <c r="W2772">
        <f t="shared" si="259"/>
        <v>18429897</v>
      </c>
      <c r="X2772">
        <f t="shared" si="260"/>
        <v>17929897</v>
      </c>
      <c r="Y2772">
        <f t="shared" si="261"/>
        <v>-26394845.5</v>
      </c>
      <c r="Z2772">
        <f t="shared" si="262"/>
        <v>45324742.5</v>
      </c>
      <c r="AA2772" t="str">
        <f t="shared" si="263"/>
        <v>Normal</v>
      </c>
      <c r="AE2772" s="2"/>
      <c r="AF2772" s="2"/>
    </row>
    <row r="2773" spans="1:32" x14ac:dyDescent="0.35">
      <c r="A2773">
        <v>2772</v>
      </c>
      <c r="B2773" s="1">
        <v>42132</v>
      </c>
      <c r="C2773" s="9" t="s">
        <v>4468</v>
      </c>
      <c r="D2773" s="9" t="s">
        <v>5597</v>
      </c>
      <c r="E2773" s="9" t="s">
        <v>1111</v>
      </c>
      <c r="F2773" s="9" t="s">
        <v>27</v>
      </c>
      <c r="G2773" s="9" t="s">
        <v>4469</v>
      </c>
      <c r="H2773" s="9" t="s">
        <v>86</v>
      </c>
      <c r="I2773" s="11">
        <v>150000</v>
      </c>
      <c r="J2773" s="11">
        <v>3534869</v>
      </c>
      <c r="K2773" s="11">
        <v>3566289</v>
      </c>
      <c r="L2773" s="3">
        <v>295</v>
      </c>
      <c r="M2773" s="3">
        <v>2795</v>
      </c>
      <c r="N2773" s="3">
        <v>325590</v>
      </c>
      <c r="O2773" s="2">
        <v>-1.9E-2</v>
      </c>
      <c r="P2773" s="2">
        <v>0.94</v>
      </c>
      <c r="Q2773" s="2">
        <v>-0.34399999999999997</v>
      </c>
      <c r="R2773" s="11">
        <v>493596886</v>
      </c>
      <c r="S2773" s="11">
        <v>67382</v>
      </c>
      <c r="T2773">
        <v>2015</v>
      </c>
      <c r="U2773">
        <v>5</v>
      </c>
      <c r="V2773">
        <f t="shared" si="258"/>
        <v>500000</v>
      </c>
      <c r="W2773">
        <f t="shared" si="259"/>
        <v>18429897</v>
      </c>
      <c r="X2773">
        <f t="shared" si="260"/>
        <v>17929897</v>
      </c>
      <c r="Y2773">
        <f t="shared" si="261"/>
        <v>-26394845.5</v>
      </c>
      <c r="Z2773">
        <f t="shared" si="262"/>
        <v>45324742.5</v>
      </c>
      <c r="AA2773" t="str">
        <f t="shared" si="263"/>
        <v>Normal</v>
      </c>
      <c r="AE2773" s="2"/>
      <c r="AF2773" s="2"/>
    </row>
    <row r="2774" spans="1:32" x14ac:dyDescent="0.35">
      <c r="A2774">
        <v>2773</v>
      </c>
      <c r="B2774" s="1">
        <v>42132</v>
      </c>
      <c r="C2774" s="9" t="s">
        <v>332</v>
      </c>
      <c r="D2774" s="9" t="s">
        <v>5558</v>
      </c>
      <c r="E2774" s="9" t="s">
        <v>1111</v>
      </c>
      <c r="F2774" s="9" t="s">
        <v>15</v>
      </c>
      <c r="G2774" s="9" t="s">
        <v>3811</v>
      </c>
      <c r="H2774" s="9" t="s">
        <v>105</v>
      </c>
      <c r="I2774" s="11">
        <v>18429897</v>
      </c>
      <c r="J2774" s="11">
        <v>2734685</v>
      </c>
      <c r="K2774" s="11">
        <v>11496624</v>
      </c>
      <c r="L2774" s="3">
        <v>450</v>
      </c>
      <c r="M2774" s="3">
        <v>2505.5</v>
      </c>
      <c r="N2774" s="3">
        <v>515846</v>
      </c>
      <c r="O2774" s="2">
        <v>5.5E-2</v>
      </c>
      <c r="P2774" s="2">
        <v>1.1770000000000001E-2</v>
      </c>
      <c r="Q2774" s="2">
        <v>0.25700000000000001</v>
      </c>
      <c r="R2774" s="11">
        <v>433660734</v>
      </c>
      <c r="S2774" s="11">
        <v>1932304</v>
      </c>
      <c r="T2774">
        <v>2015</v>
      </c>
      <c r="U2774">
        <v>5</v>
      </c>
      <c r="V2774">
        <f t="shared" si="258"/>
        <v>500000</v>
      </c>
      <c r="W2774">
        <f t="shared" si="259"/>
        <v>18429897</v>
      </c>
      <c r="X2774">
        <f t="shared" si="260"/>
        <v>17929897</v>
      </c>
      <c r="Y2774">
        <f t="shared" si="261"/>
        <v>-26394845.5</v>
      </c>
      <c r="Z2774">
        <f t="shared" si="262"/>
        <v>45324742.5</v>
      </c>
      <c r="AA2774" t="str">
        <f t="shared" si="263"/>
        <v>Normal</v>
      </c>
      <c r="AE2774" s="2"/>
      <c r="AF2774" s="2"/>
    </row>
    <row r="2775" spans="1:32" x14ac:dyDescent="0.35">
      <c r="A2775">
        <v>2774</v>
      </c>
      <c r="B2775" s="1">
        <v>42136</v>
      </c>
      <c r="C2775" s="9" t="s">
        <v>4470</v>
      </c>
      <c r="D2775" s="9" t="s">
        <v>5598</v>
      </c>
      <c r="E2775" s="9" t="s">
        <v>1111</v>
      </c>
      <c r="F2775" s="9" t="s">
        <v>15</v>
      </c>
      <c r="G2775" s="9" t="s">
        <v>4471</v>
      </c>
      <c r="H2775" s="9" t="s">
        <v>105</v>
      </c>
      <c r="I2775" s="11">
        <v>2000000</v>
      </c>
      <c r="J2775" s="11">
        <v>1522789</v>
      </c>
      <c r="K2775" s="11">
        <v>13919290</v>
      </c>
      <c r="L2775" s="3">
        <v>357</v>
      </c>
      <c r="M2775" s="3">
        <v>823</v>
      </c>
      <c r="N2775" s="3">
        <v>1350116</v>
      </c>
      <c r="O2775" s="2">
        <v>0.109</v>
      </c>
      <c r="P2775" s="2">
        <v>0.94599999999999995</v>
      </c>
      <c r="Q2775" s="2">
        <v>0.437</v>
      </c>
      <c r="R2775" s="11">
        <v>133691833</v>
      </c>
      <c r="S2775" s="11">
        <v>1010068</v>
      </c>
      <c r="T2775">
        <v>2015</v>
      </c>
      <c r="U2775">
        <v>5</v>
      </c>
      <c r="V2775">
        <f t="shared" si="258"/>
        <v>500000</v>
      </c>
      <c r="W2775">
        <f t="shared" si="259"/>
        <v>18429897</v>
      </c>
      <c r="X2775">
        <f t="shared" si="260"/>
        <v>17929897</v>
      </c>
      <c r="Y2775">
        <f t="shared" si="261"/>
        <v>-26394845.5</v>
      </c>
      <c r="Z2775">
        <f t="shared" si="262"/>
        <v>45324742.5</v>
      </c>
      <c r="AA2775" t="str">
        <f t="shared" si="263"/>
        <v>Normal</v>
      </c>
      <c r="AE2775" s="2"/>
      <c r="AF2775" s="2"/>
    </row>
    <row r="2776" spans="1:32" x14ac:dyDescent="0.35">
      <c r="A2776">
        <v>2775</v>
      </c>
      <c r="B2776" s="1">
        <v>42136</v>
      </c>
      <c r="C2776" s="9" t="s">
        <v>1820</v>
      </c>
      <c r="D2776" s="9" t="s">
        <v>5599</v>
      </c>
      <c r="E2776" s="9" t="s">
        <v>1111</v>
      </c>
      <c r="F2776" s="9" t="s">
        <v>35</v>
      </c>
      <c r="G2776" s="9" t="s">
        <v>4472</v>
      </c>
      <c r="H2776" s="9" t="s">
        <v>105</v>
      </c>
      <c r="I2776" s="11">
        <v>2000000</v>
      </c>
      <c r="J2776" s="11">
        <v>2619981</v>
      </c>
      <c r="K2776" s="11">
        <v>467465</v>
      </c>
      <c r="L2776" s="3">
        <v>482</v>
      </c>
      <c r="M2776" s="3">
        <v>773</v>
      </c>
      <c r="N2776" s="3">
        <v>501993</v>
      </c>
      <c r="O2776" s="2">
        <v>-0.14800000000000002</v>
      </c>
      <c r="P2776" s="2">
        <v>0.50800000000000001</v>
      </c>
      <c r="Q2776" s="2">
        <v>-0.46</v>
      </c>
      <c r="R2776" s="11">
        <v>52957612</v>
      </c>
      <c r="S2776" s="11">
        <v>880348</v>
      </c>
      <c r="T2776">
        <v>2015</v>
      </c>
      <c r="U2776">
        <v>5</v>
      </c>
      <c r="V2776">
        <f t="shared" si="258"/>
        <v>500000</v>
      </c>
      <c r="W2776">
        <f t="shared" si="259"/>
        <v>18429897</v>
      </c>
      <c r="X2776">
        <f t="shared" si="260"/>
        <v>17929897</v>
      </c>
      <c r="Y2776">
        <f t="shared" si="261"/>
        <v>-26394845.5</v>
      </c>
      <c r="Z2776">
        <f t="shared" si="262"/>
        <v>45324742.5</v>
      </c>
      <c r="AA2776" t="str">
        <f t="shared" si="263"/>
        <v>Normal</v>
      </c>
      <c r="AE2776" s="2"/>
      <c r="AF2776" s="2"/>
    </row>
    <row r="2777" spans="1:32" x14ac:dyDescent="0.35">
      <c r="A2777">
        <v>2776</v>
      </c>
      <c r="B2777" s="1">
        <v>42343</v>
      </c>
      <c r="C2777" s="9" t="s">
        <v>1012</v>
      </c>
      <c r="D2777" s="9" t="s">
        <v>5081</v>
      </c>
      <c r="E2777" s="9" t="s">
        <v>1111</v>
      </c>
      <c r="F2777" s="9" t="s">
        <v>866</v>
      </c>
      <c r="G2777" s="9" t="s">
        <v>4473</v>
      </c>
      <c r="H2777" s="9" t="s">
        <v>86</v>
      </c>
      <c r="I2777" s="11">
        <v>18429897</v>
      </c>
      <c r="J2777" s="11">
        <v>4516885</v>
      </c>
      <c r="K2777" s="11">
        <v>3663046</v>
      </c>
      <c r="L2777" s="3">
        <v>212</v>
      </c>
      <c r="M2777" s="3">
        <v>3559</v>
      </c>
      <c r="N2777" s="3">
        <v>1031085</v>
      </c>
      <c r="O2777" s="2">
        <v>0.41199999999999998</v>
      </c>
      <c r="P2777" s="2">
        <v>0.7</v>
      </c>
      <c r="Q2777" s="2">
        <v>-0.19399999999999998</v>
      </c>
      <c r="R2777" s="11">
        <v>348354521</v>
      </c>
      <c r="S2777" s="11">
        <v>1153349</v>
      </c>
      <c r="T2777">
        <v>2015</v>
      </c>
      <c r="U2777">
        <v>12</v>
      </c>
      <c r="V2777">
        <f t="shared" si="258"/>
        <v>500000</v>
      </c>
      <c r="W2777">
        <f t="shared" si="259"/>
        <v>18429897</v>
      </c>
      <c r="X2777">
        <f t="shared" si="260"/>
        <v>17929897</v>
      </c>
      <c r="Y2777">
        <f t="shared" si="261"/>
        <v>-26394845.5</v>
      </c>
      <c r="Z2777">
        <f t="shared" si="262"/>
        <v>45324742.5</v>
      </c>
      <c r="AA2777" t="str">
        <f t="shared" si="263"/>
        <v>Normal</v>
      </c>
      <c r="AE2777" s="2"/>
      <c r="AF2777" s="2"/>
    </row>
    <row r="2778" spans="1:32" x14ac:dyDescent="0.35">
      <c r="A2778">
        <v>2777</v>
      </c>
      <c r="B2778" s="1">
        <v>42343</v>
      </c>
      <c r="C2778" s="9" t="s">
        <v>4474</v>
      </c>
      <c r="D2778" s="9" t="s">
        <v>5571</v>
      </c>
      <c r="E2778" s="9" t="s">
        <v>1111</v>
      </c>
      <c r="F2778" s="9" t="s">
        <v>31</v>
      </c>
      <c r="G2778" s="9" t="s">
        <v>4895</v>
      </c>
      <c r="H2778" s="9" t="s">
        <v>86</v>
      </c>
      <c r="I2778" s="11">
        <v>2000000</v>
      </c>
      <c r="J2778" s="11">
        <v>1955766</v>
      </c>
      <c r="K2778" s="11">
        <v>7973128</v>
      </c>
      <c r="L2778" s="3">
        <v>45</v>
      </c>
      <c r="M2778" s="3">
        <v>3219</v>
      </c>
      <c r="N2778" s="3">
        <v>903587</v>
      </c>
      <c r="O2778" s="2">
        <v>0.28300000000000003</v>
      </c>
      <c r="P2778" s="2">
        <v>0.79700000000000004</v>
      </c>
      <c r="Q2778" s="2">
        <v>0.313</v>
      </c>
      <c r="R2778" s="11">
        <v>186692763</v>
      </c>
      <c r="S2778" s="11">
        <v>346939</v>
      </c>
      <c r="T2778">
        <v>2015</v>
      </c>
      <c r="U2778">
        <v>12</v>
      </c>
      <c r="V2778">
        <f t="shared" si="258"/>
        <v>500000</v>
      </c>
      <c r="W2778">
        <f t="shared" si="259"/>
        <v>18429897</v>
      </c>
      <c r="X2778">
        <f t="shared" si="260"/>
        <v>17929897</v>
      </c>
      <c r="Y2778">
        <f t="shared" si="261"/>
        <v>-26394845.5</v>
      </c>
      <c r="Z2778">
        <f t="shared" si="262"/>
        <v>45324742.5</v>
      </c>
      <c r="AA2778" t="str">
        <f t="shared" si="263"/>
        <v>Normal</v>
      </c>
      <c r="AE2778" s="2"/>
      <c r="AF2778" s="2"/>
    </row>
    <row r="2779" spans="1:32" x14ac:dyDescent="0.35">
      <c r="A2779">
        <v>2778</v>
      </c>
      <c r="B2779" s="1">
        <v>42136</v>
      </c>
      <c r="C2779" s="9" t="s">
        <v>4475</v>
      </c>
      <c r="D2779" s="9" t="s">
        <v>5600</v>
      </c>
      <c r="E2779" s="9" t="s">
        <v>1111</v>
      </c>
      <c r="F2779" s="9" t="s">
        <v>31</v>
      </c>
      <c r="G2779" s="9" t="s">
        <v>856</v>
      </c>
      <c r="H2779" s="9" t="s">
        <v>86</v>
      </c>
      <c r="I2779" s="11">
        <v>18429897</v>
      </c>
      <c r="J2779" s="11">
        <v>244671</v>
      </c>
      <c r="K2779" s="11">
        <v>2834189</v>
      </c>
      <c r="L2779" s="3">
        <v>248</v>
      </c>
      <c r="M2779" s="3">
        <v>2813</v>
      </c>
      <c r="N2779" s="3">
        <v>1229555</v>
      </c>
      <c r="O2779" s="2">
        <v>-0.6</v>
      </c>
      <c r="P2779" s="2">
        <v>0.28199999999999997</v>
      </c>
      <c r="Q2779" s="2">
        <v>3.2000000000000001E-2</v>
      </c>
      <c r="R2779" s="11">
        <v>282718797</v>
      </c>
      <c r="S2779" s="11">
        <v>1783633</v>
      </c>
      <c r="T2779">
        <v>2015</v>
      </c>
      <c r="U2779">
        <v>5</v>
      </c>
      <c r="V2779">
        <f t="shared" si="258"/>
        <v>500000</v>
      </c>
      <c r="W2779">
        <f t="shared" si="259"/>
        <v>18429897</v>
      </c>
      <c r="X2779">
        <f t="shared" si="260"/>
        <v>17929897</v>
      </c>
      <c r="Y2779">
        <f t="shared" si="261"/>
        <v>-26394845.5</v>
      </c>
      <c r="Z2779">
        <f t="shared" si="262"/>
        <v>45324742.5</v>
      </c>
      <c r="AA2779" t="str">
        <f t="shared" si="263"/>
        <v>Normal</v>
      </c>
      <c r="AE2779" s="2"/>
      <c r="AF2779" s="2"/>
    </row>
    <row r="2780" spans="1:32" x14ac:dyDescent="0.35">
      <c r="A2780">
        <v>2779</v>
      </c>
      <c r="B2780" s="1">
        <v>42137</v>
      </c>
      <c r="C2780" s="9" t="s">
        <v>2505</v>
      </c>
      <c r="D2780" s="9" t="s">
        <v>5601</v>
      </c>
      <c r="E2780" s="9" t="s">
        <v>1111</v>
      </c>
      <c r="F2780" s="9" t="s">
        <v>63</v>
      </c>
      <c r="G2780" s="9" t="s">
        <v>4476</v>
      </c>
      <c r="H2780" s="9" t="s">
        <v>86</v>
      </c>
      <c r="I2780" s="11">
        <v>18429897</v>
      </c>
      <c r="J2780" s="11">
        <v>1568576</v>
      </c>
      <c r="K2780" s="11">
        <v>10153449</v>
      </c>
      <c r="L2780" s="3">
        <v>498</v>
      </c>
      <c r="M2780" s="3">
        <v>1022</v>
      </c>
      <c r="N2780" s="3">
        <v>515851</v>
      </c>
      <c r="O2780" s="2">
        <v>1.6E-2</v>
      </c>
      <c r="P2780" s="2">
        <v>0.50800000000000001</v>
      </c>
      <c r="Q2780" s="2">
        <v>0.44700000000000001</v>
      </c>
      <c r="R2780" s="11">
        <v>307800193</v>
      </c>
      <c r="S2780" s="11">
        <v>859271</v>
      </c>
      <c r="T2780">
        <v>2015</v>
      </c>
      <c r="U2780">
        <v>5</v>
      </c>
      <c r="V2780">
        <f t="shared" si="258"/>
        <v>500000</v>
      </c>
      <c r="W2780">
        <f t="shared" si="259"/>
        <v>18429897</v>
      </c>
      <c r="X2780">
        <f t="shared" si="260"/>
        <v>17929897</v>
      </c>
      <c r="Y2780">
        <f t="shared" si="261"/>
        <v>-26394845.5</v>
      </c>
      <c r="Z2780">
        <f t="shared" si="262"/>
        <v>45324742.5</v>
      </c>
      <c r="AA2780" t="str">
        <f t="shared" si="263"/>
        <v>Normal</v>
      </c>
      <c r="AE2780" s="2"/>
      <c r="AF2780" s="2"/>
    </row>
    <row r="2781" spans="1:32" x14ac:dyDescent="0.35">
      <c r="A2781">
        <v>2780</v>
      </c>
      <c r="B2781" s="1">
        <v>42137</v>
      </c>
      <c r="C2781" s="9" t="s">
        <v>4477</v>
      </c>
      <c r="D2781" s="9" t="s">
        <v>5602</v>
      </c>
      <c r="E2781" s="9" t="s">
        <v>1111</v>
      </c>
      <c r="F2781" s="9" t="s">
        <v>31</v>
      </c>
      <c r="G2781" s="9" t="s">
        <v>3310</v>
      </c>
      <c r="H2781" s="9" t="s">
        <v>86</v>
      </c>
      <c r="I2781" s="11">
        <v>18429897</v>
      </c>
      <c r="J2781" s="11">
        <v>4680653</v>
      </c>
      <c r="K2781" s="11">
        <v>17942738</v>
      </c>
      <c r="L2781" s="3">
        <v>329</v>
      </c>
      <c r="M2781" s="3">
        <v>1365</v>
      </c>
      <c r="N2781" s="3">
        <v>969622</v>
      </c>
      <c r="O2781" s="2">
        <v>0.247</v>
      </c>
      <c r="P2781" s="2">
        <v>0.30199999999999999</v>
      </c>
      <c r="Q2781" s="2">
        <v>0.314</v>
      </c>
      <c r="R2781" s="11">
        <v>44518994</v>
      </c>
      <c r="S2781" s="11">
        <v>1036420</v>
      </c>
      <c r="T2781">
        <v>2015</v>
      </c>
      <c r="U2781">
        <v>5</v>
      </c>
      <c r="V2781">
        <f t="shared" si="258"/>
        <v>500000</v>
      </c>
      <c r="W2781">
        <f t="shared" si="259"/>
        <v>18429897</v>
      </c>
      <c r="X2781">
        <f t="shared" si="260"/>
        <v>17929897</v>
      </c>
      <c r="Y2781">
        <f t="shared" si="261"/>
        <v>-26394845.5</v>
      </c>
      <c r="Z2781">
        <f t="shared" si="262"/>
        <v>45324742.5</v>
      </c>
      <c r="AA2781" t="str">
        <f t="shared" si="263"/>
        <v>Normal</v>
      </c>
      <c r="AE2781" s="2"/>
      <c r="AF2781" s="2"/>
    </row>
    <row r="2782" spans="1:32" x14ac:dyDescent="0.35">
      <c r="A2782">
        <v>2781</v>
      </c>
      <c r="B2782" s="1">
        <v>42138</v>
      </c>
      <c r="C2782" s="9" t="s">
        <v>4478</v>
      </c>
      <c r="D2782" s="9" t="s">
        <v>5603</v>
      </c>
      <c r="E2782" s="9" t="s">
        <v>1111</v>
      </c>
      <c r="F2782" s="9" t="s">
        <v>19</v>
      </c>
      <c r="G2782" s="9" t="s">
        <v>4479</v>
      </c>
      <c r="H2782" s="9" t="s">
        <v>105</v>
      </c>
      <c r="I2782" s="11">
        <v>5000000</v>
      </c>
      <c r="J2782" s="11">
        <v>3813651</v>
      </c>
      <c r="K2782" s="11">
        <v>12021661</v>
      </c>
      <c r="L2782" s="3">
        <v>352</v>
      </c>
      <c r="M2782" s="3">
        <v>1920</v>
      </c>
      <c r="N2782" s="3">
        <v>60054</v>
      </c>
      <c r="O2782" s="2">
        <v>0.16200000000000001</v>
      </c>
      <c r="P2782" s="2">
        <v>0.71099999999999997</v>
      </c>
      <c r="Q2782" s="2">
        <v>0.28600000000000003</v>
      </c>
      <c r="R2782" s="11">
        <v>95983789</v>
      </c>
      <c r="S2782" s="11">
        <v>1883290</v>
      </c>
      <c r="T2782">
        <v>2015</v>
      </c>
      <c r="U2782">
        <v>5</v>
      </c>
      <c r="V2782">
        <f t="shared" si="258"/>
        <v>500000</v>
      </c>
      <c r="W2782">
        <f t="shared" si="259"/>
        <v>18429897</v>
      </c>
      <c r="X2782">
        <f t="shared" si="260"/>
        <v>17929897</v>
      </c>
      <c r="Y2782">
        <f t="shared" si="261"/>
        <v>-26394845.5</v>
      </c>
      <c r="Z2782">
        <f t="shared" si="262"/>
        <v>45324742.5</v>
      </c>
      <c r="AA2782" t="str">
        <f t="shared" si="263"/>
        <v>Normal</v>
      </c>
      <c r="AE2782" s="2"/>
      <c r="AF2782" s="2"/>
    </row>
    <row r="2783" spans="1:32" x14ac:dyDescent="0.35">
      <c r="A2783">
        <v>2782</v>
      </c>
      <c r="B2783" s="1">
        <v>42138</v>
      </c>
      <c r="C2783" s="9" t="s">
        <v>4480</v>
      </c>
      <c r="D2783" s="9" t="s">
        <v>5604</v>
      </c>
      <c r="E2783" s="9" t="s">
        <v>1111</v>
      </c>
      <c r="F2783" s="9" t="s">
        <v>31</v>
      </c>
      <c r="G2783" s="9" t="s">
        <v>856</v>
      </c>
      <c r="H2783" s="9" t="s">
        <v>86</v>
      </c>
      <c r="I2783" s="11">
        <v>250000</v>
      </c>
      <c r="J2783" s="11">
        <v>4190629</v>
      </c>
      <c r="K2783" s="11">
        <v>6650518</v>
      </c>
      <c r="L2783" s="3">
        <v>314</v>
      </c>
      <c r="M2783" s="3">
        <v>4895</v>
      </c>
      <c r="N2783" s="3">
        <v>1036606</v>
      </c>
      <c r="O2783" s="2">
        <v>0.496</v>
      </c>
      <c r="P2783" s="2">
        <v>0.28699999999999998</v>
      </c>
      <c r="Q2783" s="2">
        <v>0.371</v>
      </c>
      <c r="R2783" s="11">
        <v>422081508</v>
      </c>
      <c r="S2783" s="11">
        <v>480334</v>
      </c>
      <c r="T2783">
        <v>2015</v>
      </c>
      <c r="U2783">
        <v>5</v>
      </c>
      <c r="V2783">
        <f t="shared" si="258"/>
        <v>500000</v>
      </c>
      <c r="W2783">
        <f t="shared" si="259"/>
        <v>18429897</v>
      </c>
      <c r="X2783">
        <f t="shared" si="260"/>
        <v>17929897</v>
      </c>
      <c r="Y2783">
        <f t="shared" si="261"/>
        <v>-26394845.5</v>
      </c>
      <c r="Z2783">
        <f t="shared" si="262"/>
        <v>45324742.5</v>
      </c>
      <c r="AA2783" t="str">
        <f t="shared" si="263"/>
        <v>Normal</v>
      </c>
      <c r="AE2783" s="2"/>
      <c r="AF2783" s="2"/>
    </row>
    <row r="2784" spans="1:32" x14ac:dyDescent="0.35">
      <c r="A2784">
        <v>2783</v>
      </c>
      <c r="B2784" s="1">
        <v>42139</v>
      </c>
      <c r="C2784" s="9" t="s">
        <v>4481</v>
      </c>
      <c r="D2784" s="9" t="s">
        <v>5605</v>
      </c>
      <c r="E2784" s="9" t="s">
        <v>1111</v>
      </c>
      <c r="F2784" s="9" t="s">
        <v>15</v>
      </c>
      <c r="G2784" s="9" t="s">
        <v>4482</v>
      </c>
      <c r="H2784" s="9" t="s">
        <v>86</v>
      </c>
      <c r="I2784" s="11">
        <v>270000</v>
      </c>
      <c r="J2784" s="11">
        <v>4559801</v>
      </c>
      <c r="K2784" s="11">
        <v>15597937</v>
      </c>
      <c r="L2784" s="3">
        <v>298</v>
      </c>
      <c r="M2784" s="3">
        <v>3542</v>
      </c>
      <c r="N2784" s="3">
        <v>211183</v>
      </c>
      <c r="O2784" s="2">
        <v>7.1999999999999995E-2</v>
      </c>
      <c r="P2784" s="2">
        <v>0.56100000000000005</v>
      </c>
      <c r="Q2784" s="2">
        <v>-0.126</v>
      </c>
      <c r="R2784" s="11">
        <v>250264963</v>
      </c>
      <c r="S2784" s="11">
        <v>1765009</v>
      </c>
      <c r="T2784">
        <v>2015</v>
      </c>
      <c r="U2784">
        <v>5</v>
      </c>
      <c r="V2784">
        <f t="shared" si="258"/>
        <v>500000</v>
      </c>
      <c r="W2784">
        <f t="shared" si="259"/>
        <v>18429897</v>
      </c>
      <c r="X2784">
        <f t="shared" si="260"/>
        <v>17929897</v>
      </c>
      <c r="Y2784">
        <f t="shared" si="261"/>
        <v>-26394845.5</v>
      </c>
      <c r="Z2784">
        <f t="shared" si="262"/>
        <v>45324742.5</v>
      </c>
      <c r="AA2784" t="str">
        <f t="shared" si="263"/>
        <v>Normal</v>
      </c>
      <c r="AE2784" s="2"/>
      <c r="AF2784" s="2"/>
    </row>
    <row r="2785" spans="1:32" x14ac:dyDescent="0.35">
      <c r="A2785">
        <v>2784</v>
      </c>
      <c r="B2785" s="1">
        <v>42142</v>
      </c>
      <c r="C2785" s="9" t="s">
        <v>4483</v>
      </c>
      <c r="D2785" s="9" t="s">
        <v>5606</v>
      </c>
      <c r="E2785" s="9" t="s">
        <v>1111</v>
      </c>
      <c r="F2785" s="9" t="s">
        <v>15</v>
      </c>
      <c r="G2785" s="9" t="s">
        <v>4484</v>
      </c>
      <c r="H2785" s="9" t="s">
        <v>86</v>
      </c>
      <c r="I2785" s="11">
        <v>18429897</v>
      </c>
      <c r="J2785" s="11">
        <v>605171</v>
      </c>
      <c r="K2785" s="11">
        <v>466490</v>
      </c>
      <c r="L2785" s="3">
        <v>35</v>
      </c>
      <c r="M2785" s="3">
        <v>206</v>
      </c>
      <c r="N2785" s="3">
        <v>1456717</v>
      </c>
      <c r="O2785" s="2">
        <v>0.35799999999999998</v>
      </c>
      <c r="P2785" s="2">
        <v>1.1540000000000001</v>
      </c>
      <c r="Q2785" s="2">
        <v>2E-3</v>
      </c>
      <c r="R2785" s="11">
        <v>397710369</v>
      </c>
      <c r="S2785" s="11">
        <v>906346</v>
      </c>
      <c r="T2785">
        <v>2015</v>
      </c>
      <c r="U2785">
        <v>5</v>
      </c>
      <c r="V2785">
        <f t="shared" si="258"/>
        <v>500000</v>
      </c>
      <c r="W2785">
        <f t="shared" si="259"/>
        <v>18429897</v>
      </c>
      <c r="X2785">
        <f t="shared" si="260"/>
        <v>17929897</v>
      </c>
      <c r="Y2785">
        <f t="shared" si="261"/>
        <v>-26394845.5</v>
      </c>
      <c r="Z2785">
        <f t="shared" si="262"/>
        <v>45324742.5</v>
      </c>
      <c r="AA2785" t="str">
        <f t="shared" si="263"/>
        <v>Normal</v>
      </c>
      <c r="AE2785" s="2"/>
      <c r="AF2785" s="2"/>
    </row>
    <row r="2786" spans="1:32" x14ac:dyDescent="0.35">
      <c r="A2786">
        <v>2785</v>
      </c>
      <c r="B2786" s="1">
        <v>42142</v>
      </c>
      <c r="C2786" s="9" t="s">
        <v>748</v>
      </c>
      <c r="D2786" s="9" t="s">
        <v>5607</v>
      </c>
      <c r="E2786" s="9" t="s">
        <v>1111</v>
      </c>
      <c r="F2786" s="9" t="s">
        <v>408</v>
      </c>
      <c r="G2786" s="9" t="s">
        <v>4485</v>
      </c>
      <c r="H2786" s="9" t="s">
        <v>86</v>
      </c>
      <c r="I2786" s="11">
        <v>18429897</v>
      </c>
      <c r="J2786" s="11">
        <v>1427709</v>
      </c>
      <c r="K2786" s="11">
        <v>11978184</v>
      </c>
      <c r="L2786" s="3">
        <v>209</v>
      </c>
      <c r="M2786" s="3">
        <v>207</v>
      </c>
      <c r="N2786" s="3">
        <v>1698455</v>
      </c>
      <c r="O2786" s="2">
        <v>-0.14699999999999999</v>
      </c>
      <c r="P2786" s="2">
        <v>0.20699999999999999</v>
      </c>
      <c r="Q2786" s="2">
        <v>0.56599999999999995</v>
      </c>
      <c r="R2786" s="11">
        <v>114953849</v>
      </c>
      <c r="S2786" s="11">
        <v>219713</v>
      </c>
      <c r="T2786">
        <v>2015</v>
      </c>
      <c r="U2786">
        <v>5</v>
      </c>
      <c r="V2786">
        <f t="shared" si="258"/>
        <v>500000</v>
      </c>
      <c r="W2786">
        <f t="shared" si="259"/>
        <v>18429897</v>
      </c>
      <c r="X2786">
        <f t="shared" si="260"/>
        <v>17929897</v>
      </c>
      <c r="Y2786">
        <f t="shared" si="261"/>
        <v>-26394845.5</v>
      </c>
      <c r="Z2786">
        <f t="shared" si="262"/>
        <v>45324742.5</v>
      </c>
      <c r="AA2786" t="str">
        <f t="shared" si="263"/>
        <v>Normal</v>
      </c>
      <c r="AE2786" s="2"/>
      <c r="AF2786" s="2"/>
    </row>
    <row r="2787" spans="1:32" x14ac:dyDescent="0.35">
      <c r="A2787">
        <v>2786</v>
      </c>
      <c r="B2787" s="1">
        <v>42143</v>
      </c>
      <c r="C2787" s="9" t="s">
        <v>1064</v>
      </c>
      <c r="D2787" s="9" t="s">
        <v>5608</v>
      </c>
      <c r="E2787" s="9" t="s">
        <v>1111</v>
      </c>
      <c r="F2787" s="9" t="s">
        <v>27</v>
      </c>
      <c r="G2787" s="9" t="s">
        <v>16</v>
      </c>
      <c r="H2787" s="9" t="s">
        <v>105</v>
      </c>
      <c r="I2787" s="11">
        <v>1000000</v>
      </c>
      <c r="J2787" s="11">
        <v>317925</v>
      </c>
      <c r="K2787" s="11">
        <v>13700520</v>
      </c>
      <c r="L2787" s="3">
        <v>47</v>
      </c>
      <c r="M2787" s="3">
        <v>1771</v>
      </c>
      <c r="N2787" s="3">
        <v>803130</v>
      </c>
      <c r="O2787" s="2">
        <v>-0.11599999999999999</v>
      </c>
      <c r="P2787" s="2">
        <v>0.50800000000000001</v>
      </c>
      <c r="Q2787" s="2">
        <v>-8.0000000000000002E-3</v>
      </c>
      <c r="R2787" s="11">
        <v>17659351</v>
      </c>
      <c r="S2787" s="11">
        <v>851343</v>
      </c>
      <c r="T2787">
        <v>2015</v>
      </c>
      <c r="U2787">
        <v>5</v>
      </c>
      <c r="V2787">
        <f t="shared" si="258"/>
        <v>500000</v>
      </c>
      <c r="W2787">
        <f t="shared" si="259"/>
        <v>18429897</v>
      </c>
      <c r="X2787">
        <f t="shared" si="260"/>
        <v>17929897</v>
      </c>
      <c r="Y2787">
        <f t="shared" si="261"/>
        <v>-26394845.5</v>
      </c>
      <c r="Z2787">
        <f t="shared" si="262"/>
        <v>45324742.5</v>
      </c>
      <c r="AA2787" t="str">
        <f t="shared" si="263"/>
        <v>Normal</v>
      </c>
      <c r="AE2787" s="2"/>
      <c r="AF2787" s="2"/>
    </row>
    <row r="2788" spans="1:32" x14ac:dyDescent="0.35">
      <c r="A2788">
        <v>2787</v>
      </c>
      <c r="B2788" s="1">
        <v>42143</v>
      </c>
      <c r="C2788" s="9" t="s">
        <v>4486</v>
      </c>
      <c r="D2788" s="9" t="s">
        <v>5609</v>
      </c>
      <c r="E2788" s="9" t="s">
        <v>1111</v>
      </c>
      <c r="F2788" s="9" t="s">
        <v>27</v>
      </c>
      <c r="G2788" s="9" t="s">
        <v>673</v>
      </c>
      <c r="H2788" s="9" t="s">
        <v>105</v>
      </c>
      <c r="I2788" s="11">
        <v>16000000</v>
      </c>
      <c r="J2788" s="11">
        <v>43583</v>
      </c>
      <c r="K2788" s="11">
        <v>16206093</v>
      </c>
      <c r="L2788" s="3">
        <v>171</v>
      </c>
      <c r="M2788" s="3">
        <v>1084</v>
      </c>
      <c r="N2788" s="3">
        <v>1765029</v>
      </c>
      <c r="O2788" s="2">
        <v>0.45700000000000002</v>
      </c>
      <c r="P2788" s="2">
        <v>0.57200000000000006</v>
      </c>
      <c r="Q2788" s="2">
        <v>0.35299999999999998</v>
      </c>
      <c r="R2788" s="11">
        <v>245574421</v>
      </c>
      <c r="S2788" s="11">
        <v>935442</v>
      </c>
      <c r="T2788">
        <v>2015</v>
      </c>
      <c r="U2788">
        <v>5</v>
      </c>
      <c r="V2788">
        <f t="shared" si="258"/>
        <v>500000</v>
      </c>
      <c r="W2788">
        <f t="shared" si="259"/>
        <v>18429897</v>
      </c>
      <c r="X2788">
        <f t="shared" si="260"/>
        <v>17929897</v>
      </c>
      <c r="Y2788">
        <f t="shared" si="261"/>
        <v>-26394845.5</v>
      </c>
      <c r="Z2788">
        <f t="shared" si="262"/>
        <v>45324742.5</v>
      </c>
      <c r="AA2788" t="str">
        <f t="shared" si="263"/>
        <v>Normal</v>
      </c>
      <c r="AE2788" s="2"/>
      <c r="AF2788" s="2"/>
    </row>
    <row r="2789" spans="1:32" x14ac:dyDescent="0.35">
      <c r="A2789">
        <v>2788</v>
      </c>
      <c r="B2789" s="1">
        <v>42143</v>
      </c>
      <c r="C2789" s="9" t="s">
        <v>4487</v>
      </c>
      <c r="D2789" s="9" t="s">
        <v>5610</v>
      </c>
      <c r="E2789" s="9" t="s">
        <v>1111</v>
      </c>
      <c r="F2789" s="9" t="s">
        <v>15</v>
      </c>
      <c r="G2789" s="9" t="s">
        <v>4488</v>
      </c>
      <c r="H2789" s="9" t="s">
        <v>86</v>
      </c>
      <c r="I2789" s="11">
        <v>470000</v>
      </c>
      <c r="J2789" s="11">
        <v>4176844</v>
      </c>
      <c r="K2789" s="11">
        <v>4523245</v>
      </c>
      <c r="L2789" s="3">
        <v>254</v>
      </c>
      <c r="M2789" s="3">
        <v>2064</v>
      </c>
      <c r="N2789" s="3">
        <v>784838</v>
      </c>
      <c r="O2789" s="2">
        <v>1.6E-2</v>
      </c>
      <c r="P2789" s="2">
        <v>0.79</v>
      </c>
      <c r="Q2789" s="2">
        <v>0.03</v>
      </c>
      <c r="R2789" s="11">
        <v>446754524</v>
      </c>
      <c r="S2789" s="11">
        <v>1118165</v>
      </c>
      <c r="T2789">
        <v>2015</v>
      </c>
      <c r="U2789">
        <v>5</v>
      </c>
      <c r="V2789">
        <f t="shared" si="258"/>
        <v>500000</v>
      </c>
      <c r="W2789">
        <f t="shared" si="259"/>
        <v>18429897</v>
      </c>
      <c r="X2789">
        <f t="shared" si="260"/>
        <v>17929897</v>
      </c>
      <c r="Y2789">
        <f t="shared" si="261"/>
        <v>-26394845.5</v>
      </c>
      <c r="Z2789">
        <f t="shared" si="262"/>
        <v>45324742.5</v>
      </c>
      <c r="AA2789" t="str">
        <f t="shared" si="263"/>
        <v>Normal</v>
      </c>
      <c r="AE2789" s="2"/>
      <c r="AF2789" s="2"/>
    </row>
    <row r="2790" spans="1:32" x14ac:dyDescent="0.35">
      <c r="A2790">
        <v>2789</v>
      </c>
      <c r="B2790" s="1">
        <v>42143</v>
      </c>
      <c r="C2790" s="9" t="s">
        <v>4489</v>
      </c>
      <c r="D2790" s="9" t="s">
        <v>5611</v>
      </c>
      <c r="E2790" s="9" t="s">
        <v>1111</v>
      </c>
      <c r="F2790" s="9" t="s">
        <v>63</v>
      </c>
      <c r="G2790" s="9" t="s">
        <v>4490</v>
      </c>
      <c r="H2790" s="9" t="s">
        <v>86</v>
      </c>
      <c r="I2790" s="11">
        <v>1000000</v>
      </c>
      <c r="J2790" s="11">
        <v>4685996</v>
      </c>
      <c r="K2790" s="11">
        <v>11870399</v>
      </c>
      <c r="L2790" s="3">
        <v>403</v>
      </c>
      <c r="M2790" s="3">
        <v>2505.5</v>
      </c>
      <c r="N2790" s="3">
        <v>1746100</v>
      </c>
      <c r="O2790" s="2">
        <v>-0.113</v>
      </c>
      <c r="P2790" s="2">
        <v>1.165</v>
      </c>
      <c r="Q2790" s="2">
        <v>-0.11199999999999999</v>
      </c>
      <c r="R2790" s="11">
        <v>267998974</v>
      </c>
      <c r="S2790" s="11">
        <v>1128671</v>
      </c>
      <c r="T2790">
        <v>2015</v>
      </c>
      <c r="U2790">
        <v>5</v>
      </c>
      <c r="V2790">
        <f t="shared" si="258"/>
        <v>500000</v>
      </c>
      <c r="W2790">
        <f t="shared" si="259"/>
        <v>18429897</v>
      </c>
      <c r="X2790">
        <f t="shared" si="260"/>
        <v>17929897</v>
      </c>
      <c r="Y2790">
        <f t="shared" si="261"/>
        <v>-26394845.5</v>
      </c>
      <c r="Z2790">
        <f t="shared" si="262"/>
        <v>45324742.5</v>
      </c>
      <c r="AA2790" t="str">
        <f t="shared" si="263"/>
        <v>Normal</v>
      </c>
      <c r="AE2790" s="2"/>
      <c r="AF2790" s="2"/>
    </row>
    <row r="2791" spans="1:32" x14ac:dyDescent="0.35">
      <c r="A2791">
        <v>2790</v>
      </c>
      <c r="B2791" s="1">
        <v>42143</v>
      </c>
      <c r="C2791" s="9" t="s">
        <v>4491</v>
      </c>
      <c r="D2791" s="9" t="s">
        <v>5612</v>
      </c>
      <c r="E2791" s="9" t="s">
        <v>1111</v>
      </c>
      <c r="F2791" s="9" t="s">
        <v>15</v>
      </c>
      <c r="G2791" s="9" t="s">
        <v>4492</v>
      </c>
      <c r="H2791" s="9" t="s">
        <v>105</v>
      </c>
      <c r="I2791" s="11">
        <v>18429897</v>
      </c>
      <c r="J2791" s="11">
        <v>795673</v>
      </c>
      <c r="K2791" s="11">
        <v>15376787</v>
      </c>
      <c r="L2791" s="3">
        <v>115</v>
      </c>
      <c r="M2791" s="3">
        <v>1018</v>
      </c>
      <c r="N2791" s="3">
        <v>1039595</v>
      </c>
      <c r="O2791" s="2">
        <v>0.11</v>
      </c>
      <c r="P2791" s="2">
        <v>0.84</v>
      </c>
      <c r="Q2791" s="2">
        <v>-0.16699999999999998</v>
      </c>
      <c r="R2791" s="11">
        <v>392354859</v>
      </c>
      <c r="S2791" s="11">
        <v>536948</v>
      </c>
      <c r="T2791">
        <v>2015</v>
      </c>
      <c r="U2791">
        <v>5</v>
      </c>
      <c r="V2791">
        <f t="shared" si="258"/>
        <v>500000</v>
      </c>
      <c r="W2791">
        <f t="shared" si="259"/>
        <v>18429897</v>
      </c>
      <c r="X2791">
        <f t="shared" si="260"/>
        <v>17929897</v>
      </c>
      <c r="Y2791">
        <f t="shared" si="261"/>
        <v>-26394845.5</v>
      </c>
      <c r="Z2791">
        <f t="shared" si="262"/>
        <v>45324742.5</v>
      </c>
      <c r="AA2791" t="str">
        <f t="shared" si="263"/>
        <v>Normal</v>
      </c>
      <c r="AE2791" s="2"/>
      <c r="AF2791" s="2"/>
    </row>
    <row r="2792" spans="1:32" x14ac:dyDescent="0.35">
      <c r="A2792">
        <v>2791</v>
      </c>
      <c r="B2792" s="1">
        <v>42143</v>
      </c>
      <c r="C2792" s="9" t="s">
        <v>4493</v>
      </c>
      <c r="D2792" s="9" t="s">
        <v>5613</v>
      </c>
      <c r="E2792" s="9" t="s">
        <v>1111</v>
      </c>
      <c r="F2792" s="9" t="s">
        <v>19</v>
      </c>
      <c r="G2792" s="9" t="s">
        <v>4272</v>
      </c>
      <c r="H2792" s="9" t="s">
        <v>105</v>
      </c>
      <c r="I2792" s="11">
        <v>5500000</v>
      </c>
      <c r="J2792" s="11">
        <v>3616401</v>
      </c>
      <c r="K2792" s="11">
        <v>10153449</v>
      </c>
      <c r="L2792" s="3">
        <v>328</v>
      </c>
      <c r="M2792" s="3">
        <v>3004</v>
      </c>
      <c r="N2792" s="3">
        <v>1018455</v>
      </c>
      <c r="O2792" s="2">
        <v>0.373</v>
      </c>
      <c r="P2792" s="2">
        <v>1.094E-2</v>
      </c>
      <c r="Q2792" s="2">
        <v>0.218</v>
      </c>
      <c r="R2792" s="11">
        <v>275845857</v>
      </c>
      <c r="S2792" s="11">
        <v>1795487</v>
      </c>
      <c r="T2792">
        <v>2015</v>
      </c>
      <c r="U2792">
        <v>5</v>
      </c>
      <c r="V2792">
        <f t="shared" si="258"/>
        <v>500000</v>
      </c>
      <c r="W2792">
        <f t="shared" si="259"/>
        <v>18429897</v>
      </c>
      <c r="X2792">
        <f t="shared" si="260"/>
        <v>17929897</v>
      </c>
      <c r="Y2792">
        <f t="shared" si="261"/>
        <v>-26394845.5</v>
      </c>
      <c r="Z2792">
        <f t="shared" si="262"/>
        <v>45324742.5</v>
      </c>
      <c r="AA2792" t="str">
        <f t="shared" si="263"/>
        <v>Normal</v>
      </c>
      <c r="AE2792" s="2"/>
      <c r="AF2792" s="2"/>
    </row>
    <row r="2793" spans="1:32" x14ac:dyDescent="0.35">
      <c r="A2793">
        <v>2792</v>
      </c>
      <c r="B2793" s="1">
        <v>42143</v>
      </c>
      <c r="C2793" s="9" t="s">
        <v>4494</v>
      </c>
      <c r="D2793" s="9" t="s">
        <v>5614</v>
      </c>
      <c r="E2793" s="9" t="s">
        <v>1111</v>
      </c>
      <c r="F2793" s="9" t="s">
        <v>19</v>
      </c>
      <c r="G2793" s="9" t="s">
        <v>4495</v>
      </c>
      <c r="H2793" s="9" t="s">
        <v>105</v>
      </c>
      <c r="I2793" s="11">
        <v>10000000</v>
      </c>
      <c r="J2793" s="11">
        <v>2683792</v>
      </c>
      <c r="K2793" s="11">
        <v>3595422</v>
      </c>
      <c r="L2793" s="3">
        <v>117</v>
      </c>
      <c r="M2793" s="3">
        <v>2438</v>
      </c>
      <c r="N2793" s="3">
        <v>817238</v>
      </c>
      <c r="O2793" s="2">
        <v>-3.3000000000000002E-2</v>
      </c>
      <c r="P2793" s="2">
        <v>0.36299999999999999</v>
      </c>
      <c r="Q2793" s="2">
        <v>0.40500000000000003</v>
      </c>
      <c r="R2793" s="11">
        <v>435192856</v>
      </c>
      <c r="S2793" s="11">
        <v>666589</v>
      </c>
      <c r="T2793">
        <v>2015</v>
      </c>
      <c r="U2793">
        <v>5</v>
      </c>
      <c r="V2793">
        <f t="shared" si="258"/>
        <v>500000</v>
      </c>
      <c r="W2793">
        <f t="shared" si="259"/>
        <v>18429897</v>
      </c>
      <c r="X2793">
        <f t="shared" si="260"/>
        <v>17929897</v>
      </c>
      <c r="Y2793">
        <f t="shared" si="261"/>
        <v>-26394845.5</v>
      </c>
      <c r="Z2793">
        <f t="shared" si="262"/>
        <v>45324742.5</v>
      </c>
      <c r="AA2793" t="str">
        <f t="shared" si="263"/>
        <v>Normal</v>
      </c>
      <c r="AE2793" s="2"/>
      <c r="AF2793" s="2"/>
    </row>
    <row r="2794" spans="1:32" x14ac:dyDescent="0.35">
      <c r="A2794">
        <v>2793</v>
      </c>
      <c r="B2794" s="1">
        <v>42144</v>
      </c>
      <c r="C2794" s="9" t="s">
        <v>3841</v>
      </c>
      <c r="D2794" s="9" t="s">
        <v>5615</v>
      </c>
      <c r="E2794" s="9" t="s">
        <v>1111</v>
      </c>
      <c r="F2794" s="9" t="s">
        <v>15</v>
      </c>
      <c r="G2794" s="9" t="s">
        <v>4496</v>
      </c>
      <c r="H2794" s="9" t="s">
        <v>105</v>
      </c>
      <c r="I2794" s="11">
        <v>3000000</v>
      </c>
      <c r="J2794" s="11">
        <v>364743</v>
      </c>
      <c r="K2794" s="11">
        <v>19532797</v>
      </c>
      <c r="L2794" s="3">
        <v>104</v>
      </c>
      <c r="M2794" s="3">
        <v>3316</v>
      </c>
      <c r="N2794" s="3">
        <v>1870441</v>
      </c>
      <c r="O2794" s="2">
        <v>0.11199999999999999</v>
      </c>
      <c r="P2794" s="2">
        <v>0.48899999999999999</v>
      </c>
      <c r="Q2794" s="2">
        <v>0.20200000000000001</v>
      </c>
      <c r="R2794" s="11">
        <v>173788820</v>
      </c>
      <c r="S2794" s="11">
        <v>1343908</v>
      </c>
      <c r="T2794">
        <v>2015</v>
      </c>
      <c r="U2794">
        <v>5</v>
      </c>
      <c r="V2794">
        <f t="shared" si="258"/>
        <v>500000</v>
      </c>
      <c r="W2794">
        <f t="shared" si="259"/>
        <v>18429897</v>
      </c>
      <c r="X2794">
        <f t="shared" si="260"/>
        <v>17929897</v>
      </c>
      <c r="Y2794">
        <f t="shared" si="261"/>
        <v>-26394845.5</v>
      </c>
      <c r="Z2794">
        <f t="shared" si="262"/>
        <v>45324742.5</v>
      </c>
      <c r="AA2794" t="str">
        <f t="shared" si="263"/>
        <v>Normal</v>
      </c>
      <c r="AE2794" s="2"/>
      <c r="AF2794" s="2"/>
    </row>
    <row r="2795" spans="1:32" x14ac:dyDescent="0.35">
      <c r="A2795">
        <v>2794</v>
      </c>
      <c r="B2795" s="1">
        <v>42145</v>
      </c>
      <c r="C2795" s="9" t="s">
        <v>4497</v>
      </c>
      <c r="D2795" s="9" t="s">
        <v>5616</v>
      </c>
      <c r="E2795" s="9" t="s">
        <v>1111</v>
      </c>
      <c r="F2795" s="9" t="s">
        <v>27</v>
      </c>
      <c r="G2795" s="9" t="s">
        <v>4498</v>
      </c>
      <c r="H2795" s="9" t="s">
        <v>105</v>
      </c>
      <c r="I2795" s="11">
        <v>18429897</v>
      </c>
      <c r="J2795" s="11">
        <v>4580409</v>
      </c>
      <c r="K2795" s="11">
        <v>5551903</v>
      </c>
      <c r="L2795" s="3">
        <v>480</v>
      </c>
      <c r="M2795" s="3">
        <v>2756</v>
      </c>
      <c r="N2795" s="3">
        <v>1412711</v>
      </c>
      <c r="O2795" s="2">
        <v>-0.251</v>
      </c>
      <c r="P2795" s="2">
        <v>1.087</v>
      </c>
      <c r="Q2795" s="2">
        <v>0.36749999999999999</v>
      </c>
      <c r="R2795" s="11">
        <v>126691000</v>
      </c>
      <c r="S2795" s="11">
        <v>1922159</v>
      </c>
      <c r="T2795">
        <v>2015</v>
      </c>
      <c r="U2795">
        <v>5</v>
      </c>
      <c r="V2795">
        <f t="shared" si="258"/>
        <v>500000</v>
      </c>
      <c r="W2795">
        <f t="shared" si="259"/>
        <v>18429897</v>
      </c>
      <c r="X2795">
        <f t="shared" si="260"/>
        <v>17929897</v>
      </c>
      <c r="Y2795">
        <f t="shared" si="261"/>
        <v>-26394845.5</v>
      </c>
      <c r="Z2795">
        <f t="shared" si="262"/>
        <v>45324742.5</v>
      </c>
      <c r="AA2795" t="str">
        <f t="shared" si="263"/>
        <v>Normal</v>
      </c>
      <c r="AE2795" s="2"/>
      <c r="AF2795" s="2"/>
    </row>
    <row r="2796" spans="1:32" x14ac:dyDescent="0.35">
      <c r="A2796">
        <v>2795</v>
      </c>
      <c r="B2796" s="1">
        <v>42146</v>
      </c>
      <c r="C2796" s="9" t="s">
        <v>4896</v>
      </c>
      <c r="D2796" s="9" t="s">
        <v>5592</v>
      </c>
      <c r="E2796" s="9" t="s">
        <v>1111</v>
      </c>
      <c r="F2796" s="9" t="s">
        <v>15</v>
      </c>
      <c r="G2796" s="9" t="s">
        <v>4499</v>
      </c>
      <c r="H2796" s="9" t="s">
        <v>86</v>
      </c>
      <c r="I2796" s="11">
        <v>625000</v>
      </c>
      <c r="J2796" s="11">
        <v>4358768</v>
      </c>
      <c r="K2796" s="11">
        <v>7880100</v>
      </c>
      <c r="L2796" s="3">
        <v>306</v>
      </c>
      <c r="M2796" s="3">
        <v>2604</v>
      </c>
      <c r="N2796" s="3">
        <v>998235</v>
      </c>
      <c r="O2796" s="2">
        <v>2.6000000000000002E-2</v>
      </c>
      <c r="P2796" s="2">
        <v>0.20499999999999999</v>
      </c>
      <c r="Q2796" s="2">
        <v>-0.20800000000000002</v>
      </c>
      <c r="R2796" s="11">
        <v>122066665</v>
      </c>
      <c r="S2796" s="11">
        <v>284515</v>
      </c>
      <c r="T2796">
        <v>2015</v>
      </c>
      <c r="U2796">
        <v>5</v>
      </c>
      <c r="V2796">
        <f t="shared" si="258"/>
        <v>500000</v>
      </c>
      <c r="W2796">
        <f t="shared" si="259"/>
        <v>18429897</v>
      </c>
      <c r="X2796">
        <f t="shared" si="260"/>
        <v>17929897</v>
      </c>
      <c r="Y2796">
        <f t="shared" si="261"/>
        <v>-26394845.5</v>
      </c>
      <c r="Z2796">
        <f t="shared" si="262"/>
        <v>45324742.5</v>
      </c>
      <c r="AA2796" t="str">
        <f t="shared" si="263"/>
        <v>Normal</v>
      </c>
      <c r="AE2796" s="2"/>
      <c r="AF2796" s="2"/>
    </row>
    <row r="2797" spans="1:32" x14ac:dyDescent="0.35">
      <c r="A2797">
        <v>2796</v>
      </c>
      <c r="B2797" s="1">
        <v>42146</v>
      </c>
      <c r="C2797" s="9" t="s">
        <v>43</v>
      </c>
      <c r="D2797" s="9" t="s">
        <v>5617</v>
      </c>
      <c r="E2797" s="9" t="s">
        <v>1111</v>
      </c>
      <c r="F2797" s="9" t="s">
        <v>294</v>
      </c>
      <c r="G2797" s="9" t="s">
        <v>4500</v>
      </c>
      <c r="H2797" s="9" t="s">
        <v>105</v>
      </c>
      <c r="I2797" s="11">
        <v>18429897</v>
      </c>
      <c r="J2797" s="11">
        <v>2845891</v>
      </c>
      <c r="K2797" s="11">
        <v>3921969</v>
      </c>
      <c r="L2797" s="3">
        <v>102</v>
      </c>
      <c r="M2797" s="3">
        <v>1416</v>
      </c>
      <c r="N2797" s="3">
        <v>1591305</v>
      </c>
      <c r="O2797" s="2">
        <v>0.31900000000000001</v>
      </c>
      <c r="P2797" s="2">
        <v>0.65400000000000003</v>
      </c>
      <c r="Q2797" s="2">
        <v>0.08</v>
      </c>
      <c r="R2797" s="11">
        <v>126348307</v>
      </c>
      <c r="S2797" s="11">
        <v>981792</v>
      </c>
      <c r="T2797">
        <v>2015</v>
      </c>
      <c r="U2797">
        <v>5</v>
      </c>
      <c r="V2797">
        <f t="shared" si="258"/>
        <v>500000</v>
      </c>
      <c r="W2797">
        <f t="shared" si="259"/>
        <v>18429897</v>
      </c>
      <c r="X2797">
        <f t="shared" si="260"/>
        <v>17929897</v>
      </c>
      <c r="Y2797">
        <f t="shared" si="261"/>
        <v>-26394845.5</v>
      </c>
      <c r="Z2797">
        <f t="shared" si="262"/>
        <v>45324742.5</v>
      </c>
      <c r="AA2797" t="str">
        <f t="shared" si="263"/>
        <v>Normal</v>
      </c>
      <c r="AE2797" s="2"/>
      <c r="AF2797" s="2"/>
    </row>
    <row r="2798" spans="1:32" x14ac:dyDescent="0.35">
      <c r="A2798">
        <v>2797</v>
      </c>
      <c r="B2798" s="1">
        <v>42146</v>
      </c>
      <c r="C2798" s="9" t="s">
        <v>4501</v>
      </c>
      <c r="D2798" s="9" t="s">
        <v>5618</v>
      </c>
      <c r="E2798" s="9" t="s">
        <v>1111</v>
      </c>
      <c r="F2798" s="9" t="s">
        <v>15</v>
      </c>
      <c r="G2798" s="9" t="s">
        <v>4502</v>
      </c>
      <c r="H2798" s="9" t="s">
        <v>86</v>
      </c>
      <c r="I2798" s="11">
        <v>500000</v>
      </c>
      <c r="J2798" s="11">
        <v>3545284</v>
      </c>
      <c r="K2798" s="11">
        <v>3083849</v>
      </c>
      <c r="L2798" s="3">
        <v>74</v>
      </c>
      <c r="M2798" s="3">
        <v>4831</v>
      </c>
      <c r="N2798" s="3">
        <v>925143</v>
      </c>
      <c r="O2798" s="2">
        <v>-3.6999999999999998E-2</v>
      </c>
      <c r="P2798" s="2">
        <v>0.65300000000000002</v>
      </c>
      <c r="Q2798" s="2">
        <v>0.125</v>
      </c>
      <c r="R2798" s="11">
        <v>4190853</v>
      </c>
      <c r="S2798" s="11">
        <v>1008193.5</v>
      </c>
      <c r="T2798">
        <v>2015</v>
      </c>
      <c r="U2798">
        <v>5</v>
      </c>
      <c r="V2798">
        <f t="shared" si="258"/>
        <v>500000</v>
      </c>
      <c r="W2798">
        <f t="shared" si="259"/>
        <v>18429897</v>
      </c>
      <c r="X2798">
        <f t="shared" si="260"/>
        <v>17929897</v>
      </c>
      <c r="Y2798">
        <f t="shared" si="261"/>
        <v>-26394845.5</v>
      </c>
      <c r="Z2798">
        <f t="shared" si="262"/>
        <v>45324742.5</v>
      </c>
      <c r="AA2798" t="str">
        <f t="shared" si="263"/>
        <v>Normal</v>
      </c>
      <c r="AE2798" s="2"/>
      <c r="AF2798" s="2"/>
    </row>
    <row r="2799" spans="1:32" x14ac:dyDescent="0.35">
      <c r="A2799">
        <v>2798</v>
      </c>
      <c r="B2799" s="1">
        <v>42149</v>
      </c>
      <c r="C2799" s="9" t="s">
        <v>814</v>
      </c>
      <c r="D2799" s="9" t="s">
        <v>5244</v>
      </c>
      <c r="E2799" s="9" t="s">
        <v>1111</v>
      </c>
      <c r="F2799" s="9" t="s">
        <v>15</v>
      </c>
      <c r="G2799" s="9" t="s">
        <v>2295</v>
      </c>
      <c r="H2799" s="9" t="s">
        <v>86</v>
      </c>
      <c r="I2799" s="11">
        <v>18429897</v>
      </c>
      <c r="J2799" s="11">
        <v>1998221</v>
      </c>
      <c r="K2799" s="11">
        <v>5183725</v>
      </c>
      <c r="L2799" s="3">
        <v>29</v>
      </c>
      <c r="M2799" s="3">
        <v>1373</v>
      </c>
      <c r="N2799" s="3">
        <v>1752691</v>
      </c>
      <c r="O2799" s="2">
        <v>-0.13400000000000001</v>
      </c>
      <c r="P2799" s="2">
        <v>1.1459999999999999</v>
      </c>
      <c r="Q2799" s="2">
        <v>-0.14000000000000001</v>
      </c>
      <c r="R2799" s="11">
        <v>434857597</v>
      </c>
      <c r="S2799" s="11">
        <v>1697873</v>
      </c>
      <c r="T2799">
        <v>2015</v>
      </c>
      <c r="U2799">
        <v>5</v>
      </c>
      <c r="V2799">
        <f t="shared" si="258"/>
        <v>500000</v>
      </c>
      <c r="W2799">
        <f t="shared" si="259"/>
        <v>18429897</v>
      </c>
      <c r="X2799">
        <f t="shared" si="260"/>
        <v>17929897</v>
      </c>
      <c r="Y2799">
        <f t="shared" si="261"/>
        <v>-26394845.5</v>
      </c>
      <c r="Z2799">
        <f t="shared" si="262"/>
        <v>45324742.5</v>
      </c>
      <c r="AA2799" t="str">
        <f t="shared" si="263"/>
        <v>Normal</v>
      </c>
      <c r="AE2799" s="2"/>
      <c r="AF2799" s="2"/>
    </row>
    <row r="2800" spans="1:32" x14ac:dyDescent="0.35">
      <c r="A2800">
        <v>2799</v>
      </c>
      <c r="B2800" s="1">
        <v>42149</v>
      </c>
      <c r="C2800" s="9" t="s">
        <v>4503</v>
      </c>
      <c r="D2800" s="9" t="s">
        <v>5619</v>
      </c>
      <c r="E2800" s="9" t="s">
        <v>1111</v>
      </c>
      <c r="F2800" s="9" t="s">
        <v>15</v>
      </c>
      <c r="G2800" s="9" t="s">
        <v>4504</v>
      </c>
      <c r="H2800" s="9" t="s">
        <v>86</v>
      </c>
      <c r="I2800" s="11">
        <v>500000</v>
      </c>
      <c r="J2800" s="11">
        <v>3968338</v>
      </c>
      <c r="K2800" s="11">
        <v>2794396</v>
      </c>
      <c r="L2800" s="3">
        <v>250</v>
      </c>
      <c r="M2800" s="3">
        <v>764</v>
      </c>
      <c r="N2800" s="3">
        <v>948816</v>
      </c>
      <c r="O2800" s="2">
        <v>-3.5000000000000003E-2</v>
      </c>
      <c r="P2800" s="2">
        <v>0.64900000000000002</v>
      </c>
      <c r="Q2800" s="2">
        <v>0.188</v>
      </c>
      <c r="R2800" s="11">
        <v>353451800</v>
      </c>
      <c r="S2800" s="11">
        <v>1648849</v>
      </c>
      <c r="T2800">
        <v>2015</v>
      </c>
      <c r="U2800">
        <v>5</v>
      </c>
      <c r="V2800">
        <f t="shared" si="258"/>
        <v>500000</v>
      </c>
      <c r="W2800">
        <f t="shared" si="259"/>
        <v>18429897</v>
      </c>
      <c r="X2800">
        <f t="shared" si="260"/>
        <v>17929897</v>
      </c>
      <c r="Y2800">
        <f t="shared" si="261"/>
        <v>-26394845.5</v>
      </c>
      <c r="Z2800">
        <f t="shared" si="262"/>
        <v>45324742.5</v>
      </c>
      <c r="AA2800" t="str">
        <f t="shared" si="263"/>
        <v>Normal</v>
      </c>
      <c r="AE2800" s="2"/>
      <c r="AF2800" s="2"/>
    </row>
    <row r="2801" spans="1:32" x14ac:dyDescent="0.35">
      <c r="A2801">
        <v>2800</v>
      </c>
      <c r="B2801" s="1">
        <v>42149</v>
      </c>
      <c r="C2801" s="9" t="s">
        <v>4505</v>
      </c>
      <c r="D2801" s="9" t="s">
        <v>5620</v>
      </c>
      <c r="E2801" s="9" t="s">
        <v>1111</v>
      </c>
      <c r="F2801" s="9" t="s">
        <v>27</v>
      </c>
      <c r="G2801" s="9" t="s">
        <v>4506</v>
      </c>
      <c r="H2801" s="9" t="s">
        <v>86</v>
      </c>
      <c r="I2801" s="11">
        <v>18429897</v>
      </c>
      <c r="J2801" s="11">
        <v>2236179</v>
      </c>
      <c r="K2801" s="11">
        <v>14682079</v>
      </c>
      <c r="L2801" s="3">
        <v>55</v>
      </c>
      <c r="M2801" s="3">
        <v>525</v>
      </c>
      <c r="N2801" s="3">
        <v>1619990</v>
      </c>
      <c r="O2801" s="2">
        <v>-0.2</v>
      </c>
      <c r="P2801" s="2">
        <v>1.1059999999999999</v>
      </c>
      <c r="Q2801" s="2">
        <v>-9.3000000000000013E-2</v>
      </c>
      <c r="R2801" s="11">
        <v>34515369</v>
      </c>
      <c r="S2801" s="11">
        <v>1923425</v>
      </c>
      <c r="T2801">
        <v>2015</v>
      </c>
      <c r="U2801">
        <v>5</v>
      </c>
      <c r="V2801">
        <f t="shared" si="258"/>
        <v>500000</v>
      </c>
      <c r="W2801">
        <f t="shared" si="259"/>
        <v>18429897</v>
      </c>
      <c r="X2801">
        <f t="shared" si="260"/>
        <v>17929897</v>
      </c>
      <c r="Y2801">
        <f t="shared" si="261"/>
        <v>-26394845.5</v>
      </c>
      <c r="Z2801">
        <f t="shared" si="262"/>
        <v>45324742.5</v>
      </c>
      <c r="AA2801" t="str">
        <f t="shared" si="263"/>
        <v>Normal</v>
      </c>
      <c r="AE2801" s="2"/>
      <c r="AF2801" s="2"/>
    </row>
    <row r="2802" spans="1:32" x14ac:dyDescent="0.35">
      <c r="A2802">
        <v>2801</v>
      </c>
      <c r="B2802" s="1">
        <v>42150</v>
      </c>
      <c r="C2802" s="9" t="s">
        <v>4507</v>
      </c>
      <c r="D2802" s="9" t="s">
        <v>5621</v>
      </c>
      <c r="E2802" s="9" t="s">
        <v>1111</v>
      </c>
      <c r="F2802" s="9" t="s">
        <v>15</v>
      </c>
      <c r="G2802" s="9" t="s">
        <v>4508</v>
      </c>
      <c r="H2802" s="9" t="s">
        <v>105</v>
      </c>
      <c r="I2802" s="11">
        <v>2000000</v>
      </c>
      <c r="J2802" s="11">
        <v>4946094</v>
      </c>
      <c r="K2802" s="11">
        <v>11989804</v>
      </c>
      <c r="L2802" s="3">
        <v>293</v>
      </c>
      <c r="M2802" s="3">
        <v>383</v>
      </c>
      <c r="N2802" s="3">
        <v>508298</v>
      </c>
      <c r="O2802" s="2">
        <v>0.27300000000000002</v>
      </c>
      <c r="P2802" s="2">
        <v>0.78500000000000003</v>
      </c>
      <c r="Q2802" s="2">
        <v>-1.9E-2</v>
      </c>
      <c r="R2802" s="11">
        <v>397926555</v>
      </c>
      <c r="S2802" s="11">
        <v>1817986</v>
      </c>
      <c r="T2802">
        <v>2015</v>
      </c>
      <c r="U2802">
        <v>5</v>
      </c>
      <c r="V2802">
        <f t="shared" si="258"/>
        <v>500000</v>
      </c>
      <c r="W2802">
        <f t="shared" si="259"/>
        <v>18429897</v>
      </c>
      <c r="X2802">
        <f t="shared" si="260"/>
        <v>17929897</v>
      </c>
      <c r="Y2802">
        <f t="shared" si="261"/>
        <v>-26394845.5</v>
      </c>
      <c r="Z2802">
        <f t="shared" si="262"/>
        <v>45324742.5</v>
      </c>
      <c r="AA2802" t="str">
        <f t="shared" si="263"/>
        <v>Normal</v>
      </c>
      <c r="AE2802" s="2"/>
      <c r="AF2802" s="2"/>
    </row>
    <row r="2803" spans="1:32" x14ac:dyDescent="0.35">
      <c r="A2803">
        <v>2802</v>
      </c>
      <c r="B2803" s="1">
        <v>42150</v>
      </c>
      <c r="C2803" s="9" t="s">
        <v>1413</v>
      </c>
      <c r="D2803" s="9" t="s">
        <v>5622</v>
      </c>
      <c r="E2803" s="9" t="s">
        <v>1111</v>
      </c>
      <c r="F2803" s="9" t="s">
        <v>15</v>
      </c>
      <c r="G2803" s="9" t="s">
        <v>4509</v>
      </c>
      <c r="H2803" s="9" t="s">
        <v>86</v>
      </c>
      <c r="I2803" s="11">
        <v>200000</v>
      </c>
      <c r="J2803" s="11">
        <v>334323</v>
      </c>
      <c r="K2803" s="11">
        <v>7861563</v>
      </c>
      <c r="L2803" s="3">
        <v>219</v>
      </c>
      <c r="M2803" s="3">
        <v>1797</v>
      </c>
      <c r="N2803" s="3">
        <v>1132757</v>
      </c>
      <c r="O2803" s="2">
        <v>0.19600000000000001</v>
      </c>
      <c r="P2803" s="2">
        <v>0.5</v>
      </c>
      <c r="Q2803" s="2">
        <v>0.27300000000000002</v>
      </c>
      <c r="R2803" s="11">
        <v>395892038</v>
      </c>
      <c r="S2803" s="11">
        <v>1621873</v>
      </c>
      <c r="T2803">
        <v>2015</v>
      </c>
      <c r="U2803">
        <v>5</v>
      </c>
      <c r="V2803">
        <f t="shared" si="258"/>
        <v>500000</v>
      </c>
      <c r="W2803">
        <f t="shared" si="259"/>
        <v>18429897</v>
      </c>
      <c r="X2803">
        <f t="shared" si="260"/>
        <v>17929897</v>
      </c>
      <c r="Y2803">
        <f t="shared" si="261"/>
        <v>-26394845.5</v>
      </c>
      <c r="Z2803">
        <f t="shared" si="262"/>
        <v>45324742.5</v>
      </c>
      <c r="AA2803" t="str">
        <f t="shared" si="263"/>
        <v>Normal</v>
      </c>
      <c r="AE2803" s="2"/>
      <c r="AF2803" s="2"/>
    </row>
    <row r="2804" spans="1:32" x14ac:dyDescent="0.35">
      <c r="A2804">
        <v>2803</v>
      </c>
      <c r="B2804" s="1">
        <v>42150</v>
      </c>
      <c r="C2804" s="9" t="s">
        <v>4510</v>
      </c>
      <c r="D2804" s="9" t="s">
        <v>5623</v>
      </c>
      <c r="E2804" s="9" t="s">
        <v>1111</v>
      </c>
      <c r="F2804" s="9" t="s">
        <v>124</v>
      </c>
      <c r="G2804" s="9" t="s">
        <v>4511</v>
      </c>
      <c r="H2804" s="9" t="s">
        <v>105</v>
      </c>
      <c r="I2804" s="11">
        <v>1000000</v>
      </c>
      <c r="J2804" s="11">
        <v>877304</v>
      </c>
      <c r="K2804" s="11">
        <v>10987351</v>
      </c>
      <c r="L2804" s="3">
        <v>319</v>
      </c>
      <c r="M2804" s="3">
        <v>4090</v>
      </c>
      <c r="N2804" s="3">
        <v>1227045</v>
      </c>
      <c r="O2804" s="2">
        <v>0.23499999999999999</v>
      </c>
      <c r="P2804" s="2">
        <v>0.34799999999999998</v>
      </c>
      <c r="Q2804" s="2">
        <v>0.47899999999999998</v>
      </c>
      <c r="R2804" s="11">
        <v>92090637</v>
      </c>
      <c r="S2804" s="11">
        <v>701865</v>
      </c>
      <c r="T2804">
        <v>2015</v>
      </c>
      <c r="U2804">
        <v>5</v>
      </c>
      <c r="V2804">
        <f t="shared" si="258"/>
        <v>500000</v>
      </c>
      <c r="W2804">
        <f t="shared" si="259"/>
        <v>18429897</v>
      </c>
      <c r="X2804">
        <f t="shared" si="260"/>
        <v>17929897</v>
      </c>
      <c r="Y2804">
        <f t="shared" si="261"/>
        <v>-26394845.5</v>
      </c>
      <c r="Z2804">
        <f t="shared" si="262"/>
        <v>45324742.5</v>
      </c>
      <c r="AA2804" t="str">
        <f t="shared" si="263"/>
        <v>Normal</v>
      </c>
      <c r="AE2804" s="2"/>
      <c r="AF2804" s="2"/>
    </row>
    <row r="2805" spans="1:32" x14ac:dyDescent="0.35">
      <c r="A2805">
        <v>2804</v>
      </c>
      <c r="B2805" s="1">
        <v>42151</v>
      </c>
      <c r="C2805" s="9" t="s">
        <v>2288</v>
      </c>
      <c r="D2805" s="9" t="s">
        <v>5624</v>
      </c>
      <c r="E2805" s="9" t="s">
        <v>1111</v>
      </c>
      <c r="F2805" s="9" t="s">
        <v>15</v>
      </c>
      <c r="G2805" s="9" t="s">
        <v>227</v>
      </c>
      <c r="H2805" s="9" t="s">
        <v>86</v>
      </c>
      <c r="I2805" s="11">
        <v>1000000</v>
      </c>
      <c r="J2805" s="11">
        <v>4844386</v>
      </c>
      <c r="K2805" s="11">
        <v>12123633</v>
      </c>
      <c r="L2805" s="3">
        <v>107</v>
      </c>
      <c r="M2805" s="3">
        <v>815</v>
      </c>
      <c r="N2805" s="3">
        <v>1054820</v>
      </c>
      <c r="O2805" s="2">
        <v>0.126</v>
      </c>
      <c r="P2805" s="2">
        <v>0.69</v>
      </c>
      <c r="Q2805" s="2">
        <v>0.45799999999999996</v>
      </c>
      <c r="R2805" s="11">
        <v>136868308</v>
      </c>
      <c r="S2805" s="11">
        <v>796923</v>
      </c>
      <c r="T2805">
        <v>2015</v>
      </c>
      <c r="U2805">
        <v>5</v>
      </c>
      <c r="V2805">
        <f t="shared" si="258"/>
        <v>500000</v>
      </c>
      <c r="W2805">
        <f t="shared" si="259"/>
        <v>18429897</v>
      </c>
      <c r="X2805">
        <f t="shared" si="260"/>
        <v>17929897</v>
      </c>
      <c r="Y2805">
        <f t="shared" si="261"/>
        <v>-26394845.5</v>
      </c>
      <c r="Z2805">
        <f t="shared" si="262"/>
        <v>45324742.5</v>
      </c>
      <c r="AA2805" t="str">
        <f t="shared" si="263"/>
        <v>Normal</v>
      </c>
      <c r="AE2805" s="2"/>
      <c r="AF2805" s="2"/>
    </row>
    <row r="2806" spans="1:32" x14ac:dyDescent="0.35">
      <c r="A2806">
        <v>2805</v>
      </c>
      <c r="B2806" s="1">
        <v>42151</v>
      </c>
      <c r="C2806" s="9" t="s">
        <v>4512</v>
      </c>
      <c r="D2806" s="9" t="s">
        <v>5625</v>
      </c>
      <c r="E2806" s="9" t="s">
        <v>1111</v>
      </c>
      <c r="F2806" s="9" t="s">
        <v>27</v>
      </c>
      <c r="G2806" s="9" t="s">
        <v>4513</v>
      </c>
      <c r="H2806" s="9" t="s">
        <v>105</v>
      </c>
      <c r="I2806" s="11">
        <v>5000000</v>
      </c>
      <c r="J2806" s="11">
        <v>1458132</v>
      </c>
      <c r="K2806" s="11">
        <v>3766284</v>
      </c>
      <c r="L2806" s="3">
        <v>76</v>
      </c>
      <c r="M2806" s="3">
        <v>70</v>
      </c>
      <c r="N2806" s="3">
        <v>897957</v>
      </c>
      <c r="O2806" s="2">
        <v>-0.4</v>
      </c>
      <c r="P2806" s="2">
        <v>0.50800000000000001</v>
      </c>
      <c r="Q2806" s="2">
        <v>4.3999999999999997E-2</v>
      </c>
      <c r="R2806" s="11">
        <v>199524913</v>
      </c>
      <c r="S2806" s="11">
        <v>107992</v>
      </c>
      <c r="T2806">
        <v>2015</v>
      </c>
      <c r="U2806">
        <v>5</v>
      </c>
      <c r="V2806">
        <f t="shared" si="258"/>
        <v>500000</v>
      </c>
      <c r="W2806">
        <f t="shared" si="259"/>
        <v>18429897</v>
      </c>
      <c r="X2806">
        <f t="shared" si="260"/>
        <v>17929897</v>
      </c>
      <c r="Y2806">
        <f t="shared" si="261"/>
        <v>-26394845.5</v>
      </c>
      <c r="Z2806">
        <f t="shared" si="262"/>
        <v>45324742.5</v>
      </c>
      <c r="AA2806" t="str">
        <f t="shared" si="263"/>
        <v>Normal</v>
      </c>
      <c r="AE2806" s="2"/>
      <c r="AF2806" s="2"/>
    </row>
    <row r="2807" spans="1:32" x14ac:dyDescent="0.35">
      <c r="A2807">
        <v>2806</v>
      </c>
      <c r="B2807" s="1">
        <v>42151</v>
      </c>
      <c r="C2807" s="9" t="s">
        <v>4514</v>
      </c>
      <c r="D2807" s="9" t="s">
        <v>5626</v>
      </c>
      <c r="E2807" s="9" t="s">
        <v>1111</v>
      </c>
      <c r="F2807" s="9" t="s">
        <v>866</v>
      </c>
      <c r="G2807" s="9" t="s">
        <v>4515</v>
      </c>
      <c r="H2807" s="9" t="s">
        <v>86</v>
      </c>
      <c r="I2807" s="11">
        <v>180000</v>
      </c>
      <c r="J2807" s="11">
        <v>1567057</v>
      </c>
      <c r="K2807" s="11">
        <v>6009475</v>
      </c>
      <c r="L2807" s="3">
        <v>54</v>
      </c>
      <c r="M2807" s="3">
        <v>2673</v>
      </c>
      <c r="N2807" s="3">
        <v>2758</v>
      </c>
      <c r="O2807" s="2">
        <v>-3.5000000000000003E-2</v>
      </c>
      <c r="P2807" s="2">
        <v>0.53500000000000003</v>
      </c>
      <c r="Q2807" s="2">
        <v>0.217</v>
      </c>
      <c r="R2807" s="11">
        <v>227453221</v>
      </c>
      <c r="S2807" s="11">
        <v>404588</v>
      </c>
      <c r="T2807">
        <v>2015</v>
      </c>
      <c r="U2807">
        <v>5</v>
      </c>
      <c r="V2807">
        <f t="shared" si="258"/>
        <v>500000</v>
      </c>
      <c r="W2807">
        <f t="shared" si="259"/>
        <v>18429897</v>
      </c>
      <c r="X2807">
        <f t="shared" si="260"/>
        <v>17929897</v>
      </c>
      <c r="Y2807">
        <f t="shared" si="261"/>
        <v>-26394845.5</v>
      </c>
      <c r="Z2807">
        <f t="shared" si="262"/>
        <v>45324742.5</v>
      </c>
      <c r="AA2807" t="str">
        <f t="shared" si="263"/>
        <v>Normal</v>
      </c>
      <c r="AE2807" s="2"/>
      <c r="AF2807" s="2"/>
    </row>
    <row r="2808" spans="1:32" x14ac:dyDescent="0.35">
      <c r="A2808">
        <v>2807</v>
      </c>
      <c r="B2808" s="1">
        <v>42152</v>
      </c>
      <c r="C2808" s="9" t="s">
        <v>4516</v>
      </c>
      <c r="D2808" s="9" t="s">
        <v>5627</v>
      </c>
      <c r="E2808" s="9" t="s">
        <v>1111</v>
      </c>
      <c r="F2808" s="9" t="s">
        <v>15</v>
      </c>
      <c r="G2808" s="9" t="s">
        <v>4517</v>
      </c>
      <c r="H2808" s="9" t="s">
        <v>86</v>
      </c>
      <c r="I2808" s="11">
        <v>240000</v>
      </c>
      <c r="J2808" s="11">
        <v>3960552</v>
      </c>
      <c r="K2808" s="11">
        <v>17653888</v>
      </c>
      <c r="L2808" s="3">
        <v>52</v>
      </c>
      <c r="M2808" s="3">
        <v>2829</v>
      </c>
      <c r="N2808" s="3">
        <v>1949317</v>
      </c>
      <c r="O2808" s="2">
        <v>0.20599999999999999</v>
      </c>
      <c r="P2808" s="2">
        <v>0.72299999999999998</v>
      </c>
      <c r="Q2808" s="2">
        <v>0.23899999999999999</v>
      </c>
      <c r="R2808" s="11">
        <v>129164227</v>
      </c>
      <c r="S2808" s="11">
        <v>903669</v>
      </c>
      <c r="T2808">
        <v>2015</v>
      </c>
      <c r="U2808">
        <v>5</v>
      </c>
      <c r="V2808">
        <f t="shared" si="258"/>
        <v>500000</v>
      </c>
      <c r="W2808">
        <f t="shared" si="259"/>
        <v>18429897</v>
      </c>
      <c r="X2808">
        <f t="shared" si="260"/>
        <v>17929897</v>
      </c>
      <c r="Y2808">
        <f t="shared" si="261"/>
        <v>-26394845.5</v>
      </c>
      <c r="Z2808">
        <f t="shared" si="262"/>
        <v>45324742.5</v>
      </c>
      <c r="AA2808" t="str">
        <f t="shared" si="263"/>
        <v>Normal</v>
      </c>
      <c r="AE2808" s="2"/>
      <c r="AF2808" s="2"/>
    </row>
    <row r="2809" spans="1:32" x14ac:dyDescent="0.35">
      <c r="A2809">
        <v>2808</v>
      </c>
      <c r="B2809" s="1">
        <v>42152</v>
      </c>
      <c r="C2809" s="9" t="s">
        <v>2073</v>
      </c>
      <c r="D2809" s="9" t="s">
        <v>5628</v>
      </c>
      <c r="E2809" s="9" t="s">
        <v>1111</v>
      </c>
      <c r="F2809" s="9" t="s">
        <v>15</v>
      </c>
      <c r="G2809" s="9" t="s">
        <v>673</v>
      </c>
      <c r="H2809" s="9" t="s">
        <v>105</v>
      </c>
      <c r="I2809" s="11">
        <v>5000000</v>
      </c>
      <c r="J2809" s="11">
        <v>963030</v>
      </c>
      <c r="K2809" s="11">
        <v>340738</v>
      </c>
      <c r="L2809" s="3">
        <v>40</v>
      </c>
      <c r="M2809" s="3">
        <v>2838</v>
      </c>
      <c r="N2809" s="3">
        <v>431786</v>
      </c>
      <c r="O2809" s="2">
        <v>0.438</v>
      </c>
      <c r="P2809" s="2">
        <v>0.75800000000000001</v>
      </c>
      <c r="Q2809" s="2">
        <v>0.23699999999999999</v>
      </c>
      <c r="R2809" s="11">
        <v>45130415</v>
      </c>
      <c r="S2809" s="11">
        <v>1610453</v>
      </c>
      <c r="T2809">
        <v>2015</v>
      </c>
      <c r="U2809">
        <v>5</v>
      </c>
      <c r="V2809">
        <f t="shared" si="258"/>
        <v>500000</v>
      </c>
      <c r="W2809">
        <f t="shared" si="259"/>
        <v>18429897</v>
      </c>
      <c r="X2809">
        <f t="shared" si="260"/>
        <v>17929897</v>
      </c>
      <c r="Y2809">
        <f t="shared" si="261"/>
        <v>-26394845.5</v>
      </c>
      <c r="Z2809">
        <f t="shared" si="262"/>
        <v>45324742.5</v>
      </c>
      <c r="AA2809" t="str">
        <f t="shared" si="263"/>
        <v>Normal</v>
      </c>
      <c r="AE2809" s="2"/>
      <c r="AF2809" s="2"/>
    </row>
    <row r="2810" spans="1:32" x14ac:dyDescent="0.35">
      <c r="A2810">
        <v>2809</v>
      </c>
      <c r="B2810" s="1">
        <v>42152</v>
      </c>
      <c r="C2810" s="9" t="s">
        <v>4518</v>
      </c>
      <c r="D2810" s="9" t="s">
        <v>5629</v>
      </c>
      <c r="E2810" s="9" t="s">
        <v>1111</v>
      </c>
      <c r="F2810" s="9" t="s">
        <v>124</v>
      </c>
      <c r="G2810" s="9" t="s">
        <v>2031</v>
      </c>
      <c r="H2810" s="9" t="s">
        <v>105</v>
      </c>
      <c r="I2810" s="11">
        <v>18429897</v>
      </c>
      <c r="J2810" s="11">
        <v>2531926</v>
      </c>
      <c r="K2810" s="11">
        <v>19139292</v>
      </c>
      <c r="L2810" s="3">
        <v>133</v>
      </c>
      <c r="M2810" s="3">
        <v>56</v>
      </c>
      <c r="N2810" s="3">
        <v>344045</v>
      </c>
      <c r="O2810" s="2">
        <v>-6.8000000000000005E-2</v>
      </c>
      <c r="P2810" s="2">
        <v>0.64400000000000002</v>
      </c>
      <c r="Q2810" s="2">
        <v>0.112</v>
      </c>
      <c r="R2810" s="11">
        <v>470870118</v>
      </c>
      <c r="S2810" s="11">
        <v>1744092</v>
      </c>
      <c r="T2810">
        <v>2015</v>
      </c>
      <c r="U2810">
        <v>5</v>
      </c>
      <c r="V2810">
        <f t="shared" si="258"/>
        <v>500000</v>
      </c>
      <c r="W2810">
        <f t="shared" si="259"/>
        <v>18429897</v>
      </c>
      <c r="X2810">
        <f t="shared" si="260"/>
        <v>17929897</v>
      </c>
      <c r="Y2810">
        <f t="shared" si="261"/>
        <v>-26394845.5</v>
      </c>
      <c r="Z2810">
        <f t="shared" si="262"/>
        <v>45324742.5</v>
      </c>
      <c r="AA2810" t="str">
        <f t="shared" si="263"/>
        <v>Normal</v>
      </c>
      <c r="AE2810" s="2"/>
      <c r="AF2810" s="2"/>
    </row>
    <row r="2811" spans="1:32" x14ac:dyDescent="0.35">
      <c r="A2811">
        <v>2810</v>
      </c>
      <c r="B2811" s="1">
        <v>42154</v>
      </c>
      <c r="C2811" s="9" t="s">
        <v>248</v>
      </c>
      <c r="D2811" s="9" t="s">
        <v>5449</v>
      </c>
      <c r="E2811" s="9" t="s">
        <v>1111</v>
      </c>
      <c r="F2811" s="9" t="s">
        <v>15</v>
      </c>
      <c r="G2811" s="9" t="s">
        <v>322</v>
      </c>
      <c r="H2811" s="9" t="s">
        <v>105</v>
      </c>
      <c r="I2811" s="11">
        <v>12000000</v>
      </c>
      <c r="J2811" s="11">
        <v>1444515</v>
      </c>
      <c r="K2811" s="11">
        <v>10153449</v>
      </c>
      <c r="L2811" s="3">
        <v>254</v>
      </c>
      <c r="M2811" s="3">
        <v>1055</v>
      </c>
      <c r="N2811" s="3">
        <v>1622438</v>
      </c>
      <c r="O2811" s="2">
        <v>1.6E-2</v>
      </c>
      <c r="P2811" s="2">
        <v>1.1640000000000001</v>
      </c>
      <c r="Q2811" s="2">
        <v>0.40500000000000003</v>
      </c>
      <c r="R2811" s="11">
        <v>145341420</v>
      </c>
      <c r="S2811" s="11">
        <v>1235280</v>
      </c>
      <c r="T2811">
        <v>2015</v>
      </c>
      <c r="U2811">
        <v>5</v>
      </c>
      <c r="V2811">
        <f t="shared" si="258"/>
        <v>500000</v>
      </c>
      <c r="W2811">
        <f t="shared" si="259"/>
        <v>18429897</v>
      </c>
      <c r="X2811">
        <f t="shared" si="260"/>
        <v>17929897</v>
      </c>
      <c r="Y2811">
        <f t="shared" si="261"/>
        <v>-26394845.5</v>
      </c>
      <c r="Z2811">
        <f t="shared" si="262"/>
        <v>45324742.5</v>
      </c>
      <c r="AA2811" t="str">
        <f t="shared" si="263"/>
        <v>Normal</v>
      </c>
      <c r="AE2811" s="2"/>
      <c r="AF2811" s="2"/>
    </row>
    <row r="2812" spans="1:32" x14ac:dyDescent="0.35">
      <c r="A2812">
        <v>2811</v>
      </c>
      <c r="B2812" s="1">
        <v>42097</v>
      </c>
      <c r="C2812" s="9" t="s">
        <v>729</v>
      </c>
      <c r="D2812" s="9" t="s">
        <v>5584</v>
      </c>
      <c r="E2812" s="9" t="s">
        <v>1111</v>
      </c>
      <c r="F2812" s="9" t="s">
        <v>15</v>
      </c>
      <c r="G2812" s="9" t="s">
        <v>4519</v>
      </c>
      <c r="H2812" s="9" t="s">
        <v>105</v>
      </c>
      <c r="I2812" s="11">
        <v>2000000</v>
      </c>
      <c r="J2812" s="11">
        <v>1005722</v>
      </c>
      <c r="K2812" s="11">
        <v>5138991</v>
      </c>
      <c r="L2812" s="3">
        <v>305</v>
      </c>
      <c r="M2812" s="3">
        <v>1773</v>
      </c>
      <c r="N2812" s="3">
        <v>153500</v>
      </c>
      <c r="O2812" s="2">
        <v>-0.107</v>
      </c>
      <c r="P2812" s="2">
        <v>0.34799999999999998</v>
      </c>
      <c r="Q2812" s="2">
        <v>-7.2999999999999995E-2</v>
      </c>
      <c r="R2812" s="11">
        <v>145123410</v>
      </c>
      <c r="S2812" s="11">
        <v>379231</v>
      </c>
      <c r="T2812">
        <v>2015</v>
      </c>
      <c r="U2812">
        <v>4</v>
      </c>
      <c r="V2812">
        <f t="shared" si="258"/>
        <v>500000</v>
      </c>
      <c r="W2812">
        <f t="shared" si="259"/>
        <v>18429897</v>
      </c>
      <c r="X2812">
        <f t="shared" si="260"/>
        <v>17929897</v>
      </c>
      <c r="Y2812">
        <f t="shared" si="261"/>
        <v>-26394845.5</v>
      </c>
      <c r="Z2812">
        <f t="shared" si="262"/>
        <v>45324742.5</v>
      </c>
      <c r="AA2812" t="str">
        <f t="shared" si="263"/>
        <v>Normal</v>
      </c>
      <c r="AE2812" s="2"/>
      <c r="AF2812" s="2"/>
    </row>
    <row r="2813" spans="1:32" x14ac:dyDescent="0.35">
      <c r="A2813">
        <v>2812</v>
      </c>
      <c r="B2813" s="1">
        <v>42098</v>
      </c>
      <c r="C2813" s="9" t="s">
        <v>4173</v>
      </c>
      <c r="D2813" s="9" t="s">
        <v>5630</v>
      </c>
      <c r="E2813" s="9" t="s">
        <v>1111</v>
      </c>
      <c r="F2813" s="9" t="s">
        <v>19</v>
      </c>
      <c r="G2813" s="9" t="s">
        <v>4520</v>
      </c>
      <c r="H2813" s="9" t="s">
        <v>86</v>
      </c>
      <c r="I2813" s="11">
        <v>200000</v>
      </c>
      <c r="J2813" s="11">
        <v>4822578</v>
      </c>
      <c r="K2813" s="11">
        <v>6482151</v>
      </c>
      <c r="L2813" s="3">
        <v>128</v>
      </c>
      <c r="M2813" s="3">
        <v>3711</v>
      </c>
      <c r="N2813" s="3">
        <v>1526834</v>
      </c>
      <c r="O2813" s="2">
        <v>0.28599999999999998</v>
      </c>
      <c r="P2813" s="2">
        <v>1.1970000000000001</v>
      </c>
      <c r="Q2813" s="2">
        <v>-0.20399999999999999</v>
      </c>
      <c r="R2813" s="11">
        <v>428544158</v>
      </c>
      <c r="S2813" s="11">
        <v>643019</v>
      </c>
      <c r="T2813">
        <v>2015</v>
      </c>
      <c r="U2813">
        <v>4</v>
      </c>
      <c r="V2813">
        <f t="shared" si="258"/>
        <v>500000</v>
      </c>
      <c r="W2813">
        <f t="shared" si="259"/>
        <v>18429897</v>
      </c>
      <c r="X2813">
        <f t="shared" si="260"/>
        <v>17929897</v>
      </c>
      <c r="Y2813">
        <f t="shared" si="261"/>
        <v>-26394845.5</v>
      </c>
      <c r="Z2813">
        <f t="shared" si="262"/>
        <v>45324742.5</v>
      </c>
      <c r="AA2813" t="str">
        <f t="shared" si="263"/>
        <v>Normal</v>
      </c>
      <c r="AE2813" s="2"/>
      <c r="AF2813" s="2"/>
    </row>
    <row r="2814" spans="1:32" x14ac:dyDescent="0.35">
      <c r="A2814">
        <v>2813</v>
      </c>
      <c r="B2814" s="1">
        <v>42098</v>
      </c>
      <c r="C2814" s="9" t="s">
        <v>4521</v>
      </c>
      <c r="D2814" s="9" t="s">
        <v>5631</v>
      </c>
      <c r="E2814" s="9" t="s">
        <v>1111</v>
      </c>
      <c r="F2814" s="9" t="s">
        <v>4522</v>
      </c>
      <c r="G2814" s="9" t="s">
        <v>58</v>
      </c>
      <c r="H2814" s="9" t="s">
        <v>86</v>
      </c>
      <c r="I2814" s="11">
        <v>1000000</v>
      </c>
      <c r="J2814" s="11">
        <v>1015487</v>
      </c>
      <c r="K2814" s="11">
        <v>4216970</v>
      </c>
      <c r="L2814" s="3">
        <v>466</v>
      </c>
      <c r="M2814" s="3">
        <v>3271</v>
      </c>
      <c r="N2814" s="3">
        <v>702344</v>
      </c>
      <c r="O2814" s="2">
        <v>0.11199999999999999</v>
      </c>
      <c r="P2814" s="2">
        <v>0.8909999999999999</v>
      </c>
      <c r="Q2814" s="2">
        <v>0.16900000000000001</v>
      </c>
      <c r="R2814" s="11">
        <v>111871355</v>
      </c>
      <c r="S2814" s="11">
        <v>408075</v>
      </c>
      <c r="T2814">
        <v>2015</v>
      </c>
      <c r="U2814">
        <v>4</v>
      </c>
      <c r="V2814">
        <f t="shared" si="258"/>
        <v>500000</v>
      </c>
      <c r="W2814">
        <f t="shared" si="259"/>
        <v>18429897</v>
      </c>
      <c r="X2814">
        <f t="shared" si="260"/>
        <v>17929897</v>
      </c>
      <c r="Y2814">
        <f t="shared" si="261"/>
        <v>-26394845.5</v>
      </c>
      <c r="Z2814">
        <f t="shared" si="262"/>
        <v>45324742.5</v>
      </c>
      <c r="AA2814" t="str">
        <f t="shared" si="263"/>
        <v>Normal</v>
      </c>
      <c r="AE2814" s="2"/>
      <c r="AF2814" s="2"/>
    </row>
    <row r="2815" spans="1:32" x14ac:dyDescent="0.35">
      <c r="A2815">
        <v>2814</v>
      </c>
      <c r="B2815" s="1">
        <v>42100</v>
      </c>
      <c r="C2815" s="9" t="s">
        <v>4281</v>
      </c>
      <c r="D2815" s="9" t="s">
        <v>5632</v>
      </c>
      <c r="E2815" s="9" t="s">
        <v>1111</v>
      </c>
      <c r="F2815" s="9" t="s">
        <v>27</v>
      </c>
      <c r="G2815" s="9" t="s">
        <v>4523</v>
      </c>
      <c r="H2815" s="9" t="s">
        <v>86</v>
      </c>
      <c r="I2815" s="11">
        <v>120000</v>
      </c>
      <c r="J2815" s="11">
        <v>489544</v>
      </c>
      <c r="K2815" s="11">
        <v>10153449</v>
      </c>
      <c r="L2815" s="3">
        <v>381</v>
      </c>
      <c r="M2815" s="3">
        <v>4082</v>
      </c>
      <c r="N2815" s="3">
        <v>1440379</v>
      </c>
      <c r="O2815" s="2">
        <v>0.23100000000000001</v>
      </c>
      <c r="P2815" s="2">
        <v>0.50800000000000001</v>
      </c>
      <c r="Q2815" s="2">
        <v>0.3</v>
      </c>
      <c r="R2815" s="11">
        <v>53548535</v>
      </c>
      <c r="S2815" s="11">
        <v>1619265</v>
      </c>
      <c r="T2815">
        <v>2015</v>
      </c>
      <c r="U2815">
        <v>4</v>
      </c>
      <c r="V2815">
        <f t="shared" si="258"/>
        <v>500000</v>
      </c>
      <c r="W2815">
        <f t="shared" si="259"/>
        <v>18429897</v>
      </c>
      <c r="X2815">
        <f t="shared" si="260"/>
        <v>17929897</v>
      </c>
      <c r="Y2815">
        <f t="shared" si="261"/>
        <v>-26394845.5</v>
      </c>
      <c r="Z2815">
        <f t="shared" si="262"/>
        <v>45324742.5</v>
      </c>
      <c r="AA2815" t="str">
        <f t="shared" si="263"/>
        <v>Normal</v>
      </c>
      <c r="AE2815" s="2"/>
      <c r="AF2815" s="2"/>
    </row>
    <row r="2816" spans="1:32" x14ac:dyDescent="0.35">
      <c r="A2816">
        <v>2815</v>
      </c>
      <c r="B2816" s="1">
        <v>42101</v>
      </c>
      <c r="C2816" s="9" t="s">
        <v>4524</v>
      </c>
      <c r="D2816" s="9" t="s">
        <v>5633</v>
      </c>
      <c r="E2816" s="9" t="s">
        <v>1111</v>
      </c>
      <c r="F2816" s="9" t="s">
        <v>124</v>
      </c>
      <c r="G2816" s="9" t="s">
        <v>4525</v>
      </c>
      <c r="H2816" s="9" t="s">
        <v>86</v>
      </c>
      <c r="I2816" s="11">
        <v>165000</v>
      </c>
      <c r="J2816" s="11">
        <v>3376209</v>
      </c>
      <c r="K2816" s="11">
        <v>4357044</v>
      </c>
      <c r="L2816" s="3">
        <v>390</v>
      </c>
      <c r="M2816" s="3">
        <v>2759</v>
      </c>
      <c r="N2816" s="3">
        <v>431178</v>
      </c>
      <c r="O2816" s="2">
        <v>1.8000000000000002E-2</v>
      </c>
      <c r="P2816" s="2">
        <v>0.83400000000000007</v>
      </c>
      <c r="Q2816" s="2">
        <v>0.56000000000000005</v>
      </c>
      <c r="R2816" s="11">
        <v>368931049</v>
      </c>
      <c r="S2816" s="11">
        <v>1704944</v>
      </c>
      <c r="T2816">
        <v>2015</v>
      </c>
      <c r="U2816">
        <v>4</v>
      </c>
      <c r="V2816">
        <f t="shared" si="258"/>
        <v>500000</v>
      </c>
      <c r="W2816">
        <f t="shared" si="259"/>
        <v>18429897</v>
      </c>
      <c r="X2816">
        <f t="shared" si="260"/>
        <v>17929897</v>
      </c>
      <c r="Y2816">
        <f t="shared" si="261"/>
        <v>-26394845.5</v>
      </c>
      <c r="Z2816">
        <f t="shared" si="262"/>
        <v>45324742.5</v>
      </c>
      <c r="AA2816" t="str">
        <f t="shared" si="263"/>
        <v>Normal</v>
      </c>
      <c r="AE2816" s="2"/>
      <c r="AF2816" s="2"/>
    </row>
    <row r="2817" spans="1:32" x14ac:dyDescent="0.35">
      <c r="A2817">
        <v>2816</v>
      </c>
      <c r="B2817" s="1">
        <v>42101</v>
      </c>
      <c r="C2817" s="9" t="s">
        <v>2532</v>
      </c>
      <c r="D2817" s="9" t="s">
        <v>5634</v>
      </c>
      <c r="E2817" s="9" t="s">
        <v>1111</v>
      </c>
      <c r="F2817" s="9" t="s">
        <v>31</v>
      </c>
      <c r="G2817" s="9" t="s">
        <v>4526</v>
      </c>
      <c r="H2817" s="9" t="s">
        <v>105</v>
      </c>
      <c r="I2817" s="11">
        <v>150000000</v>
      </c>
      <c r="J2817" s="11">
        <v>4339169</v>
      </c>
      <c r="K2817" s="11">
        <v>15834573</v>
      </c>
      <c r="L2817" s="3">
        <v>449</v>
      </c>
      <c r="M2817" s="3">
        <v>2047</v>
      </c>
      <c r="N2817" s="3">
        <v>1405640</v>
      </c>
      <c r="O2817" s="2">
        <v>0.24399999999999999</v>
      </c>
      <c r="P2817" s="2">
        <v>0.41499999999999998</v>
      </c>
      <c r="Q2817" s="2">
        <v>-3.5000000000000003E-2</v>
      </c>
      <c r="R2817" s="11">
        <v>118673161</v>
      </c>
      <c r="S2817" s="11">
        <v>1155488</v>
      </c>
      <c r="T2817">
        <v>2015</v>
      </c>
      <c r="U2817">
        <v>4</v>
      </c>
      <c r="V2817">
        <f t="shared" si="258"/>
        <v>500000</v>
      </c>
      <c r="W2817">
        <f t="shared" si="259"/>
        <v>18429897</v>
      </c>
      <c r="X2817">
        <f t="shared" si="260"/>
        <v>17929897</v>
      </c>
      <c r="Y2817">
        <f t="shared" si="261"/>
        <v>-26394845.5</v>
      </c>
      <c r="Z2817">
        <f t="shared" si="262"/>
        <v>45324742.5</v>
      </c>
      <c r="AA2817" t="str">
        <f t="shared" si="263"/>
        <v>Outlier</v>
      </c>
      <c r="AE2817" s="2"/>
      <c r="AF2817" s="2"/>
    </row>
    <row r="2818" spans="1:32" x14ac:dyDescent="0.35">
      <c r="A2818">
        <v>2817</v>
      </c>
      <c r="B2818" s="1">
        <v>42101</v>
      </c>
      <c r="C2818" s="9" t="s">
        <v>4527</v>
      </c>
      <c r="D2818" s="9" t="s">
        <v>5635</v>
      </c>
      <c r="E2818" s="9" t="s">
        <v>1111</v>
      </c>
      <c r="F2818" s="9" t="s">
        <v>27</v>
      </c>
      <c r="G2818" s="9" t="s">
        <v>4528</v>
      </c>
      <c r="H2818" s="9" t="s">
        <v>86</v>
      </c>
      <c r="I2818" s="11">
        <v>2200000</v>
      </c>
      <c r="J2818" s="11">
        <v>654929</v>
      </c>
      <c r="K2818" s="11">
        <v>7809688</v>
      </c>
      <c r="L2818" s="3">
        <v>374</v>
      </c>
      <c r="M2818" s="3">
        <v>2821</v>
      </c>
      <c r="N2818" s="3">
        <v>1983809</v>
      </c>
      <c r="O2818" s="2">
        <v>6.2E-2</v>
      </c>
      <c r="P2818" s="2">
        <v>0.95099999999999996</v>
      </c>
      <c r="Q2818" s="2">
        <v>0.34</v>
      </c>
      <c r="R2818" s="11">
        <v>298074479</v>
      </c>
      <c r="S2818" s="11">
        <v>745985</v>
      </c>
      <c r="T2818">
        <v>2015</v>
      </c>
      <c r="U2818">
        <v>4</v>
      </c>
      <c r="V2818">
        <f t="shared" ref="V2818:V2881" si="264">_xlfn.PERCENTILE.INC(I2818:I5861,0.25)</f>
        <v>500000</v>
      </c>
      <c r="W2818">
        <f t="shared" ref="W2818:W2881" si="265">_xlfn.PERCENTILE.INC(I2818:I5861,0.75)</f>
        <v>18429897</v>
      </c>
      <c r="X2818">
        <f t="shared" ref="X2818:X2881" si="266">W2818-V2818</f>
        <v>17929897</v>
      </c>
      <c r="Y2818">
        <f t="shared" ref="Y2818:Y2881" si="267">V2818-1.5*X2818</f>
        <v>-26394845.5</v>
      </c>
      <c r="Z2818">
        <f t="shared" ref="Z2818:Z2881" si="268">W2818+1.5*X2818</f>
        <v>45324742.5</v>
      </c>
      <c r="AA2818" t="str">
        <f t="shared" ref="AA2818:AA2881" si="269">IF(OR(I2818&lt;$Y$2, I2818&gt;$Z$2), "Outlier", "Normal")</f>
        <v>Normal</v>
      </c>
      <c r="AE2818" s="2"/>
      <c r="AF2818" s="2"/>
    </row>
    <row r="2819" spans="1:32" x14ac:dyDescent="0.35">
      <c r="A2819">
        <v>2818</v>
      </c>
      <c r="B2819" s="1">
        <v>42101</v>
      </c>
      <c r="C2819" s="9" t="s">
        <v>4015</v>
      </c>
      <c r="D2819" s="9" t="s">
        <v>4987</v>
      </c>
      <c r="E2819" s="9" t="s">
        <v>1111</v>
      </c>
      <c r="F2819" s="9" t="s">
        <v>31</v>
      </c>
      <c r="G2819" s="9" t="s">
        <v>4529</v>
      </c>
      <c r="H2819" s="9" t="s">
        <v>86</v>
      </c>
      <c r="I2819" s="11">
        <v>18429897</v>
      </c>
      <c r="J2819" s="11">
        <v>3545062</v>
      </c>
      <c r="K2819" s="11">
        <v>19351932</v>
      </c>
      <c r="L2819" s="3">
        <v>478</v>
      </c>
      <c r="M2819" s="3">
        <v>1955</v>
      </c>
      <c r="N2819" s="3">
        <v>1008647</v>
      </c>
      <c r="O2819" s="2">
        <v>-0.18899999999999997</v>
      </c>
      <c r="P2819" s="2">
        <v>1.048</v>
      </c>
      <c r="Q2819" s="2">
        <v>0.2</v>
      </c>
      <c r="R2819" s="11">
        <v>227368743</v>
      </c>
      <c r="S2819" s="11">
        <v>1563979</v>
      </c>
      <c r="T2819">
        <v>2015</v>
      </c>
      <c r="U2819">
        <v>4</v>
      </c>
      <c r="V2819">
        <f t="shared" si="264"/>
        <v>500000</v>
      </c>
      <c r="W2819">
        <f t="shared" si="265"/>
        <v>18429897</v>
      </c>
      <c r="X2819">
        <f t="shared" si="266"/>
        <v>17929897</v>
      </c>
      <c r="Y2819">
        <f t="shared" si="267"/>
        <v>-26394845.5</v>
      </c>
      <c r="Z2819">
        <f t="shared" si="268"/>
        <v>45324742.5</v>
      </c>
      <c r="AA2819" t="str">
        <f t="shared" si="269"/>
        <v>Normal</v>
      </c>
      <c r="AE2819" s="2"/>
      <c r="AF2819" s="2"/>
    </row>
    <row r="2820" spans="1:32" x14ac:dyDescent="0.35">
      <c r="A2820">
        <v>2819</v>
      </c>
      <c r="B2820" s="1">
        <v>42102</v>
      </c>
      <c r="C2820" s="9" t="s">
        <v>3473</v>
      </c>
      <c r="D2820" s="9" t="s">
        <v>4925</v>
      </c>
      <c r="E2820" s="9" t="s">
        <v>1111</v>
      </c>
      <c r="F2820" s="9" t="s">
        <v>41</v>
      </c>
      <c r="G2820" s="9" t="s">
        <v>4897</v>
      </c>
      <c r="H2820" s="9" t="s">
        <v>105</v>
      </c>
      <c r="I2820" s="11">
        <v>10000000</v>
      </c>
      <c r="J2820" s="11">
        <v>2713138</v>
      </c>
      <c r="K2820" s="11">
        <v>17079220</v>
      </c>
      <c r="L2820" s="3">
        <v>168</v>
      </c>
      <c r="M2820" s="3">
        <v>828</v>
      </c>
      <c r="N2820" s="3">
        <v>1117200</v>
      </c>
      <c r="O2820" s="2">
        <v>0.30499999999999999</v>
      </c>
      <c r="P2820" s="2">
        <v>0.95200000000000007</v>
      </c>
      <c r="Q2820" s="2">
        <v>-0.26899999999999996</v>
      </c>
      <c r="R2820" s="11">
        <v>245657780</v>
      </c>
      <c r="S2820" s="11">
        <v>1638582</v>
      </c>
      <c r="T2820">
        <v>2015</v>
      </c>
      <c r="U2820">
        <v>4</v>
      </c>
      <c r="V2820">
        <f t="shared" si="264"/>
        <v>500000</v>
      </c>
      <c r="W2820">
        <f t="shared" si="265"/>
        <v>18429897</v>
      </c>
      <c r="X2820">
        <f t="shared" si="266"/>
        <v>17929897</v>
      </c>
      <c r="Y2820">
        <f t="shared" si="267"/>
        <v>-26394845.5</v>
      </c>
      <c r="Z2820">
        <f t="shared" si="268"/>
        <v>45324742.5</v>
      </c>
      <c r="AA2820" t="str">
        <f t="shared" si="269"/>
        <v>Normal</v>
      </c>
      <c r="AE2820" s="2"/>
      <c r="AF2820" s="2"/>
    </row>
    <row r="2821" spans="1:32" x14ac:dyDescent="0.35">
      <c r="A2821">
        <v>2820</v>
      </c>
      <c r="B2821" s="1">
        <v>42102</v>
      </c>
      <c r="C2821" s="9" t="s">
        <v>2574</v>
      </c>
      <c r="D2821" s="9" t="s">
        <v>5636</v>
      </c>
      <c r="E2821" s="9" t="s">
        <v>1111</v>
      </c>
      <c r="F2821" s="9" t="s">
        <v>19</v>
      </c>
      <c r="G2821" s="9" t="s">
        <v>4530</v>
      </c>
      <c r="H2821" s="9" t="s">
        <v>105</v>
      </c>
      <c r="I2821" s="11">
        <v>25000000</v>
      </c>
      <c r="J2821" s="11">
        <v>4153495</v>
      </c>
      <c r="K2821" s="11">
        <v>8086153</v>
      </c>
      <c r="L2821" s="3">
        <v>428</v>
      </c>
      <c r="M2821" s="3">
        <v>2900</v>
      </c>
      <c r="N2821" s="3">
        <v>1018455</v>
      </c>
      <c r="O2821" s="2">
        <v>0.113</v>
      </c>
      <c r="P2821" s="2">
        <v>1.0740000000000001E-2</v>
      </c>
      <c r="Q2821" s="2">
        <v>0.23</v>
      </c>
      <c r="R2821" s="11">
        <v>42744304</v>
      </c>
      <c r="S2821" s="11">
        <v>1019230</v>
      </c>
      <c r="T2821">
        <v>2015</v>
      </c>
      <c r="U2821">
        <v>4</v>
      </c>
      <c r="V2821">
        <f t="shared" si="264"/>
        <v>500000</v>
      </c>
      <c r="W2821">
        <f t="shared" si="265"/>
        <v>18429897</v>
      </c>
      <c r="X2821">
        <f t="shared" si="266"/>
        <v>17929897</v>
      </c>
      <c r="Y2821">
        <f t="shared" si="267"/>
        <v>-26394845.5</v>
      </c>
      <c r="Z2821">
        <f t="shared" si="268"/>
        <v>45324742.5</v>
      </c>
      <c r="AA2821" t="str">
        <f t="shared" si="269"/>
        <v>Normal</v>
      </c>
      <c r="AE2821" s="2"/>
      <c r="AF2821" s="2"/>
    </row>
    <row r="2822" spans="1:32" x14ac:dyDescent="0.35">
      <c r="A2822">
        <v>2821</v>
      </c>
      <c r="B2822" s="1">
        <v>42102</v>
      </c>
      <c r="C2822" s="9" t="s">
        <v>4531</v>
      </c>
      <c r="D2822" s="9" t="s">
        <v>5637</v>
      </c>
      <c r="E2822" s="9" t="s">
        <v>1111</v>
      </c>
      <c r="F2822" s="9" t="s">
        <v>15</v>
      </c>
      <c r="G2822" s="9" t="s">
        <v>4532</v>
      </c>
      <c r="H2822" s="9" t="s">
        <v>105</v>
      </c>
      <c r="I2822" s="11">
        <v>200000000</v>
      </c>
      <c r="J2822" s="11">
        <v>652233</v>
      </c>
      <c r="K2822" s="11">
        <v>11959616</v>
      </c>
      <c r="L2822" s="3">
        <v>60</v>
      </c>
      <c r="M2822" s="3">
        <v>2505.5</v>
      </c>
      <c r="N2822" s="3">
        <v>719499</v>
      </c>
      <c r="O2822" s="2">
        <v>5.7999999999999996E-2</v>
      </c>
      <c r="P2822" s="2">
        <v>0.26400000000000001</v>
      </c>
      <c r="Q2822" s="2">
        <v>-8.199999999999999E-2</v>
      </c>
      <c r="R2822" s="11">
        <v>101582030</v>
      </c>
      <c r="S2822" s="11">
        <v>1549343</v>
      </c>
      <c r="T2822">
        <v>2015</v>
      </c>
      <c r="U2822">
        <v>4</v>
      </c>
      <c r="V2822">
        <f t="shared" si="264"/>
        <v>500000</v>
      </c>
      <c r="W2822">
        <f t="shared" si="265"/>
        <v>18429897</v>
      </c>
      <c r="X2822">
        <f t="shared" si="266"/>
        <v>17929897</v>
      </c>
      <c r="Y2822">
        <f t="shared" si="267"/>
        <v>-26394845.5</v>
      </c>
      <c r="Z2822">
        <f t="shared" si="268"/>
        <v>45324742.5</v>
      </c>
      <c r="AA2822" t="str">
        <f t="shared" si="269"/>
        <v>Outlier</v>
      </c>
      <c r="AE2822" s="2"/>
      <c r="AF2822" s="2"/>
    </row>
    <row r="2823" spans="1:32" x14ac:dyDescent="0.35">
      <c r="A2823">
        <v>2822</v>
      </c>
      <c r="B2823" s="1">
        <v>42103</v>
      </c>
      <c r="C2823" s="9" t="s">
        <v>2424</v>
      </c>
      <c r="D2823" s="9" t="s">
        <v>5638</v>
      </c>
      <c r="E2823" s="9" t="s">
        <v>1111</v>
      </c>
      <c r="F2823" s="9" t="s">
        <v>27</v>
      </c>
      <c r="G2823" s="9" t="s">
        <v>4898</v>
      </c>
      <c r="H2823" s="9" t="s">
        <v>86</v>
      </c>
      <c r="I2823" s="11">
        <v>200000</v>
      </c>
      <c r="J2823" s="11">
        <v>4879969</v>
      </c>
      <c r="K2823" s="11">
        <v>585280</v>
      </c>
      <c r="L2823" s="3">
        <v>153</v>
      </c>
      <c r="M2823" s="3">
        <v>1358</v>
      </c>
      <c r="N2823" s="3">
        <v>1101912</v>
      </c>
      <c r="O2823" s="2">
        <v>0.17599999999999999</v>
      </c>
      <c r="P2823" s="2">
        <v>1.1619999999999998E-2</v>
      </c>
      <c r="Q2823" s="2">
        <v>0.68200000000000005</v>
      </c>
      <c r="R2823" s="11">
        <v>290409750</v>
      </c>
      <c r="S2823" s="11">
        <v>1228900</v>
      </c>
      <c r="T2823">
        <v>2015</v>
      </c>
      <c r="U2823">
        <v>4</v>
      </c>
      <c r="V2823">
        <f t="shared" si="264"/>
        <v>500000</v>
      </c>
      <c r="W2823">
        <f t="shared" si="265"/>
        <v>18429897</v>
      </c>
      <c r="X2823">
        <f t="shared" si="266"/>
        <v>17929897</v>
      </c>
      <c r="Y2823">
        <f t="shared" si="267"/>
        <v>-26394845.5</v>
      </c>
      <c r="Z2823">
        <f t="shared" si="268"/>
        <v>45324742.5</v>
      </c>
      <c r="AA2823" t="str">
        <f t="shared" si="269"/>
        <v>Normal</v>
      </c>
      <c r="AE2823" s="2"/>
      <c r="AF2823" s="2"/>
    </row>
    <row r="2824" spans="1:32" x14ac:dyDescent="0.35">
      <c r="A2824">
        <v>2823</v>
      </c>
      <c r="B2824" s="1">
        <v>42103</v>
      </c>
      <c r="C2824" s="9" t="s">
        <v>2761</v>
      </c>
      <c r="D2824" s="9" t="s">
        <v>5639</v>
      </c>
      <c r="E2824" s="9" t="s">
        <v>1111</v>
      </c>
      <c r="F2824" s="9" t="s">
        <v>27</v>
      </c>
      <c r="G2824" s="9" t="s">
        <v>4533</v>
      </c>
      <c r="H2824" s="9" t="s">
        <v>86</v>
      </c>
      <c r="I2824" s="11">
        <v>2000000</v>
      </c>
      <c r="J2824" s="11">
        <v>3103171</v>
      </c>
      <c r="K2824" s="11">
        <v>1444313</v>
      </c>
      <c r="L2824" s="3">
        <v>446</v>
      </c>
      <c r="M2824" s="3">
        <v>3564</v>
      </c>
      <c r="N2824" s="3">
        <v>1285517</v>
      </c>
      <c r="O2824" s="2">
        <v>-0.16900000000000001</v>
      </c>
      <c r="P2824" s="2">
        <v>1.139</v>
      </c>
      <c r="Q2824" s="2">
        <v>-0.11599999999999999</v>
      </c>
      <c r="R2824" s="11">
        <v>477424249</v>
      </c>
      <c r="S2824" s="11">
        <v>1008193.5</v>
      </c>
      <c r="T2824">
        <v>2015</v>
      </c>
      <c r="U2824">
        <v>4</v>
      </c>
      <c r="V2824">
        <f t="shared" si="264"/>
        <v>500000</v>
      </c>
      <c r="W2824">
        <f t="shared" si="265"/>
        <v>18429897</v>
      </c>
      <c r="X2824">
        <f t="shared" si="266"/>
        <v>17929897</v>
      </c>
      <c r="Y2824">
        <f t="shared" si="267"/>
        <v>-26394845.5</v>
      </c>
      <c r="Z2824">
        <f t="shared" si="268"/>
        <v>45324742.5</v>
      </c>
      <c r="AA2824" t="str">
        <f t="shared" si="269"/>
        <v>Normal</v>
      </c>
      <c r="AE2824" s="2"/>
      <c r="AF2824" s="2"/>
    </row>
    <row r="2825" spans="1:32" x14ac:dyDescent="0.35">
      <c r="A2825">
        <v>2824</v>
      </c>
      <c r="B2825" s="1">
        <v>42103</v>
      </c>
      <c r="C2825" s="9" t="s">
        <v>4534</v>
      </c>
      <c r="D2825" s="9" t="s">
        <v>5636</v>
      </c>
      <c r="E2825" s="9" t="s">
        <v>1111</v>
      </c>
      <c r="F2825" s="9" t="s">
        <v>554</v>
      </c>
      <c r="G2825" s="9" t="s">
        <v>4535</v>
      </c>
      <c r="H2825" s="9" t="s">
        <v>86</v>
      </c>
      <c r="I2825" s="11">
        <v>165000</v>
      </c>
      <c r="J2825" s="11">
        <v>2531926</v>
      </c>
      <c r="K2825" s="11">
        <v>10169946</v>
      </c>
      <c r="L2825" s="3">
        <v>254</v>
      </c>
      <c r="M2825" s="3">
        <v>377</v>
      </c>
      <c r="N2825" s="3">
        <v>49471</v>
      </c>
      <c r="O2825" s="2">
        <v>0.20600000000000002</v>
      </c>
      <c r="P2825" s="2">
        <v>0.50800000000000001</v>
      </c>
      <c r="Q2825" s="2">
        <v>-0.14899999999999999</v>
      </c>
      <c r="R2825" s="11">
        <v>131082026</v>
      </c>
      <c r="S2825" s="11">
        <v>736508</v>
      </c>
      <c r="T2825">
        <v>2015</v>
      </c>
      <c r="U2825">
        <v>4</v>
      </c>
      <c r="V2825">
        <f t="shared" si="264"/>
        <v>500000</v>
      </c>
      <c r="W2825">
        <f t="shared" si="265"/>
        <v>18429897</v>
      </c>
      <c r="X2825">
        <f t="shared" si="266"/>
        <v>17929897</v>
      </c>
      <c r="Y2825">
        <f t="shared" si="267"/>
        <v>-26394845.5</v>
      </c>
      <c r="Z2825">
        <f t="shared" si="268"/>
        <v>45324742.5</v>
      </c>
      <c r="AA2825" t="str">
        <f t="shared" si="269"/>
        <v>Normal</v>
      </c>
      <c r="AE2825" s="2"/>
      <c r="AF2825" s="2"/>
    </row>
    <row r="2826" spans="1:32" x14ac:dyDescent="0.35">
      <c r="A2826">
        <v>2825</v>
      </c>
      <c r="B2826" s="1">
        <v>42103</v>
      </c>
      <c r="C2826" s="9" t="s">
        <v>663</v>
      </c>
      <c r="D2826" s="9" t="s">
        <v>5640</v>
      </c>
      <c r="E2826" s="9" t="s">
        <v>1111</v>
      </c>
      <c r="F2826" s="9" t="s">
        <v>15</v>
      </c>
      <c r="G2826" s="9" t="s">
        <v>4536</v>
      </c>
      <c r="H2826" s="9" t="s">
        <v>105</v>
      </c>
      <c r="I2826" s="11">
        <v>50000000</v>
      </c>
      <c r="J2826" s="11">
        <v>2531926</v>
      </c>
      <c r="K2826" s="11">
        <v>9512283</v>
      </c>
      <c r="L2826" s="3">
        <v>252</v>
      </c>
      <c r="M2826" s="3">
        <v>165</v>
      </c>
      <c r="N2826" s="3">
        <v>906277</v>
      </c>
      <c r="O2826" s="2">
        <v>1E-3</v>
      </c>
      <c r="P2826" s="2">
        <v>0.83699999999999997</v>
      </c>
      <c r="Q2826" s="2">
        <v>-0.46399999999999997</v>
      </c>
      <c r="R2826" s="11">
        <v>434296032</v>
      </c>
      <c r="S2826" s="11">
        <v>368113</v>
      </c>
      <c r="T2826">
        <v>2015</v>
      </c>
      <c r="U2826">
        <v>4</v>
      </c>
      <c r="V2826">
        <f t="shared" si="264"/>
        <v>500000</v>
      </c>
      <c r="W2826">
        <f t="shared" si="265"/>
        <v>18429897</v>
      </c>
      <c r="X2826">
        <f t="shared" si="266"/>
        <v>17929897</v>
      </c>
      <c r="Y2826">
        <f t="shared" si="267"/>
        <v>-26394845.5</v>
      </c>
      <c r="Z2826">
        <f t="shared" si="268"/>
        <v>45324742.5</v>
      </c>
      <c r="AA2826" t="str">
        <f t="shared" si="269"/>
        <v>Outlier</v>
      </c>
      <c r="AE2826" s="2"/>
      <c r="AF2826" s="2"/>
    </row>
    <row r="2827" spans="1:32" x14ac:dyDescent="0.35">
      <c r="A2827">
        <v>2826</v>
      </c>
      <c r="B2827" s="1">
        <v>42103</v>
      </c>
      <c r="C2827" s="9" t="s">
        <v>4537</v>
      </c>
      <c r="D2827" s="9" t="s">
        <v>4955</v>
      </c>
      <c r="E2827" s="9" t="s">
        <v>1111</v>
      </c>
      <c r="F2827" s="9" t="s">
        <v>31</v>
      </c>
      <c r="G2827" s="9" t="s">
        <v>4538</v>
      </c>
      <c r="H2827" s="9" t="s">
        <v>105</v>
      </c>
      <c r="I2827" s="11">
        <v>18429897</v>
      </c>
      <c r="J2827" s="11">
        <v>4718044</v>
      </c>
      <c r="K2827" s="11">
        <v>8026096</v>
      </c>
      <c r="L2827" s="3">
        <v>173</v>
      </c>
      <c r="M2827" s="3">
        <v>2505.5</v>
      </c>
      <c r="N2827" s="3">
        <v>1054013</v>
      </c>
      <c r="O2827" s="2">
        <v>8.900000000000001E-2</v>
      </c>
      <c r="P2827" s="2">
        <v>1.0469999999999999</v>
      </c>
      <c r="Q2827" s="2">
        <v>-0.11</v>
      </c>
      <c r="R2827" s="11">
        <v>289071090</v>
      </c>
      <c r="S2827" s="11">
        <v>698343</v>
      </c>
      <c r="T2827">
        <v>2015</v>
      </c>
      <c r="U2827">
        <v>4</v>
      </c>
      <c r="V2827">
        <f t="shared" si="264"/>
        <v>500000</v>
      </c>
      <c r="W2827">
        <f t="shared" si="265"/>
        <v>18429897</v>
      </c>
      <c r="X2827">
        <f t="shared" si="266"/>
        <v>17929897</v>
      </c>
      <c r="Y2827">
        <f t="shared" si="267"/>
        <v>-26394845.5</v>
      </c>
      <c r="Z2827">
        <f t="shared" si="268"/>
        <v>45324742.5</v>
      </c>
      <c r="AA2827" t="str">
        <f t="shared" si="269"/>
        <v>Normal</v>
      </c>
      <c r="AE2827" s="2"/>
      <c r="AF2827" s="2"/>
    </row>
    <row r="2828" spans="1:32" x14ac:dyDescent="0.35">
      <c r="A2828">
        <v>2827</v>
      </c>
      <c r="B2828" s="1">
        <v>42104</v>
      </c>
      <c r="C2828" s="9" t="s">
        <v>1580</v>
      </c>
      <c r="D2828" s="9" t="s">
        <v>5641</v>
      </c>
      <c r="E2828" s="9" t="s">
        <v>1111</v>
      </c>
      <c r="F2828" s="9" t="s">
        <v>15</v>
      </c>
      <c r="G2828" s="9" t="s">
        <v>4539</v>
      </c>
      <c r="H2828" s="9" t="s">
        <v>86</v>
      </c>
      <c r="I2828" s="11">
        <v>900000</v>
      </c>
      <c r="J2828" s="11">
        <v>3139286</v>
      </c>
      <c r="K2828" s="11">
        <v>1897600</v>
      </c>
      <c r="L2828" s="3">
        <v>54</v>
      </c>
      <c r="M2828" s="3">
        <v>2996</v>
      </c>
      <c r="N2828" s="3">
        <v>417729</v>
      </c>
      <c r="O2828" s="2">
        <v>0.34799999999999998</v>
      </c>
      <c r="P2828" s="2">
        <v>0.80500000000000005</v>
      </c>
      <c r="Q2828" s="2">
        <v>0.26300000000000001</v>
      </c>
      <c r="R2828" s="11">
        <v>64334169</v>
      </c>
      <c r="S2828" s="11">
        <v>426733</v>
      </c>
      <c r="T2828">
        <v>2015</v>
      </c>
      <c r="U2828">
        <v>4</v>
      </c>
      <c r="V2828">
        <f t="shared" si="264"/>
        <v>500000</v>
      </c>
      <c r="W2828">
        <f t="shared" si="265"/>
        <v>18429897</v>
      </c>
      <c r="X2828">
        <f t="shared" si="266"/>
        <v>17929897</v>
      </c>
      <c r="Y2828">
        <f t="shared" si="267"/>
        <v>-26394845.5</v>
      </c>
      <c r="Z2828">
        <f t="shared" si="268"/>
        <v>45324742.5</v>
      </c>
      <c r="AA2828" t="str">
        <f t="shared" si="269"/>
        <v>Normal</v>
      </c>
      <c r="AE2828" s="2"/>
      <c r="AF2828" s="2"/>
    </row>
    <row r="2829" spans="1:32" x14ac:dyDescent="0.35">
      <c r="A2829">
        <v>2828</v>
      </c>
      <c r="B2829" s="1">
        <v>42104</v>
      </c>
      <c r="C2829" s="9" t="s">
        <v>4540</v>
      </c>
      <c r="D2829" s="9" t="s">
        <v>5642</v>
      </c>
      <c r="E2829" s="9" t="s">
        <v>1111</v>
      </c>
      <c r="F2829" s="9" t="s">
        <v>35</v>
      </c>
      <c r="G2829" s="9" t="s">
        <v>791</v>
      </c>
      <c r="H2829" s="9" t="s">
        <v>86</v>
      </c>
      <c r="I2829" s="11">
        <v>18429897</v>
      </c>
      <c r="J2829" s="11">
        <v>652137</v>
      </c>
      <c r="K2829" s="11">
        <v>16813334</v>
      </c>
      <c r="L2829" s="3">
        <v>121</v>
      </c>
      <c r="M2829" s="3">
        <v>4207</v>
      </c>
      <c r="N2829" s="3">
        <v>941642</v>
      </c>
      <c r="O2829" s="2">
        <v>0.248</v>
      </c>
      <c r="P2829" s="2">
        <v>0.69200000000000006</v>
      </c>
      <c r="Q2829" s="2">
        <v>-0.17599999999999999</v>
      </c>
      <c r="R2829" s="11">
        <v>310412269</v>
      </c>
      <c r="S2829" s="11">
        <v>1444129</v>
      </c>
      <c r="T2829">
        <v>2015</v>
      </c>
      <c r="U2829">
        <v>4</v>
      </c>
      <c r="V2829">
        <f t="shared" si="264"/>
        <v>500000</v>
      </c>
      <c r="W2829">
        <f t="shared" si="265"/>
        <v>18429897</v>
      </c>
      <c r="X2829">
        <f t="shared" si="266"/>
        <v>17929897</v>
      </c>
      <c r="Y2829">
        <f t="shared" si="267"/>
        <v>-26394845.5</v>
      </c>
      <c r="Z2829">
        <f t="shared" si="268"/>
        <v>45324742.5</v>
      </c>
      <c r="AA2829" t="str">
        <f t="shared" si="269"/>
        <v>Normal</v>
      </c>
      <c r="AE2829" s="2"/>
      <c r="AF2829" s="2"/>
    </row>
    <row r="2830" spans="1:32" x14ac:dyDescent="0.35">
      <c r="A2830">
        <v>2829</v>
      </c>
      <c r="B2830" s="1">
        <v>42105</v>
      </c>
      <c r="C2830" s="9" t="s">
        <v>38</v>
      </c>
      <c r="D2830" s="9" t="s">
        <v>5643</v>
      </c>
      <c r="E2830" s="9" t="s">
        <v>1111</v>
      </c>
      <c r="F2830" s="9" t="s">
        <v>19</v>
      </c>
      <c r="G2830" s="9" t="s">
        <v>2012</v>
      </c>
      <c r="H2830" s="9" t="s">
        <v>105</v>
      </c>
      <c r="I2830" s="11">
        <v>25000000</v>
      </c>
      <c r="J2830" s="11">
        <v>4616049</v>
      </c>
      <c r="K2830" s="11">
        <v>8183660</v>
      </c>
      <c r="L2830" s="3">
        <v>269</v>
      </c>
      <c r="M2830" s="3">
        <v>2609</v>
      </c>
      <c r="N2830" s="3">
        <v>789099</v>
      </c>
      <c r="O2830" s="2">
        <v>8.5000000000000006E-2</v>
      </c>
      <c r="P2830" s="2">
        <v>1.131</v>
      </c>
      <c r="Q2830" s="2">
        <v>0.21</v>
      </c>
      <c r="R2830" s="11">
        <v>136324571</v>
      </c>
      <c r="S2830" s="11">
        <v>332367</v>
      </c>
      <c r="T2830">
        <v>2015</v>
      </c>
      <c r="U2830">
        <v>4</v>
      </c>
      <c r="V2830">
        <f t="shared" si="264"/>
        <v>500000</v>
      </c>
      <c r="W2830">
        <f t="shared" si="265"/>
        <v>18429897</v>
      </c>
      <c r="X2830">
        <f t="shared" si="266"/>
        <v>17929897</v>
      </c>
      <c r="Y2830">
        <f t="shared" si="267"/>
        <v>-26394845.5</v>
      </c>
      <c r="Z2830">
        <f t="shared" si="268"/>
        <v>45324742.5</v>
      </c>
      <c r="AA2830" t="str">
        <f t="shared" si="269"/>
        <v>Normal</v>
      </c>
      <c r="AE2830" s="2"/>
      <c r="AF2830" s="2"/>
    </row>
    <row r="2831" spans="1:32" x14ac:dyDescent="0.35">
      <c r="A2831">
        <v>2830</v>
      </c>
      <c r="B2831" s="1">
        <v>42107</v>
      </c>
      <c r="C2831" s="9" t="s">
        <v>4541</v>
      </c>
      <c r="D2831" s="9" t="s">
        <v>5644</v>
      </c>
      <c r="E2831" s="9" t="s">
        <v>1111</v>
      </c>
      <c r="F2831" s="9" t="s">
        <v>15</v>
      </c>
      <c r="G2831" s="9" t="s">
        <v>4542</v>
      </c>
      <c r="H2831" s="9" t="s">
        <v>105</v>
      </c>
      <c r="I2831" s="11">
        <v>10000000</v>
      </c>
      <c r="J2831" s="11">
        <v>3983027</v>
      </c>
      <c r="K2831" s="11">
        <v>9453252</v>
      </c>
      <c r="L2831" s="3">
        <v>317</v>
      </c>
      <c r="M2831" s="3">
        <v>1330</v>
      </c>
      <c r="N2831" s="3">
        <v>1108319</v>
      </c>
      <c r="O2831" s="2">
        <v>0.1</v>
      </c>
      <c r="P2831" s="2">
        <v>0.40799999999999997</v>
      </c>
      <c r="Q2831" s="2">
        <v>0.14599999999999999</v>
      </c>
      <c r="R2831" s="11">
        <v>254811265</v>
      </c>
      <c r="S2831" s="11">
        <v>771207</v>
      </c>
      <c r="T2831">
        <v>2015</v>
      </c>
      <c r="U2831">
        <v>4</v>
      </c>
      <c r="V2831">
        <f t="shared" si="264"/>
        <v>500000</v>
      </c>
      <c r="W2831">
        <f t="shared" si="265"/>
        <v>18429897</v>
      </c>
      <c r="X2831">
        <f t="shared" si="266"/>
        <v>17929897</v>
      </c>
      <c r="Y2831">
        <f t="shared" si="267"/>
        <v>-26394845.5</v>
      </c>
      <c r="Z2831">
        <f t="shared" si="268"/>
        <v>45324742.5</v>
      </c>
      <c r="AA2831" t="str">
        <f t="shared" si="269"/>
        <v>Normal</v>
      </c>
      <c r="AE2831" s="2"/>
      <c r="AF2831" s="2"/>
    </row>
    <row r="2832" spans="1:32" x14ac:dyDescent="0.35">
      <c r="A2832">
        <v>2831</v>
      </c>
      <c r="B2832" s="1">
        <v>42107</v>
      </c>
      <c r="C2832" s="9" t="s">
        <v>4543</v>
      </c>
      <c r="D2832" s="9" t="s">
        <v>4955</v>
      </c>
      <c r="E2832" s="9" t="s">
        <v>1111</v>
      </c>
      <c r="F2832" s="9" t="s">
        <v>27</v>
      </c>
      <c r="G2832" s="9" t="s">
        <v>4544</v>
      </c>
      <c r="H2832" s="9" t="s">
        <v>86</v>
      </c>
      <c r="I2832" s="11">
        <v>300000</v>
      </c>
      <c r="J2832" s="11">
        <v>1515002</v>
      </c>
      <c r="K2832" s="11">
        <v>8130050</v>
      </c>
      <c r="L2832" s="3">
        <v>339</v>
      </c>
      <c r="M2832" s="3">
        <v>1752</v>
      </c>
      <c r="N2832" s="3">
        <v>572780</v>
      </c>
      <c r="O2832" s="2">
        <v>-0.39200000000000002</v>
      </c>
      <c r="P2832" s="2">
        <v>1.052</v>
      </c>
      <c r="Q2832" s="2">
        <v>-0.16200000000000001</v>
      </c>
      <c r="R2832" s="11">
        <v>435133921</v>
      </c>
      <c r="S2832" s="11">
        <v>10979</v>
      </c>
      <c r="T2832">
        <v>2015</v>
      </c>
      <c r="U2832">
        <v>4</v>
      </c>
      <c r="V2832">
        <f t="shared" si="264"/>
        <v>500000</v>
      </c>
      <c r="W2832">
        <f t="shared" si="265"/>
        <v>18429897</v>
      </c>
      <c r="X2832">
        <f t="shared" si="266"/>
        <v>17929897</v>
      </c>
      <c r="Y2832">
        <f t="shared" si="267"/>
        <v>-26394845.5</v>
      </c>
      <c r="Z2832">
        <f t="shared" si="268"/>
        <v>45324742.5</v>
      </c>
      <c r="AA2832" t="str">
        <f t="shared" si="269"/>
        <v>Normal</v>
      </c>
      <c r="AE2832" s="2"/>
      <c r="AF2832" s="2"/>
    </row>
    <row r="2833" spans="1:32" x14ac:dyDescent="0.35">
      <c r="A2833">
        <v>2832</v>
      </c>
      <c r="B2833" s="1">
        <v>42107</v>
      </c>
      <c r="C2833" s="9" t="s">
        <v>4426</v>
      </c>
      <c r="D2833" s="9" t="s">
        <v>4987</v>
      </c>
      <c r="E2833" s="9" t="s">
        <v>1111</v>
      </c>
      <c r="F2833" s="9" t="s">
        <v>31</v>
      </c>
      <c r="G2833" s="9" t="s">
        <v>1190</v>
      </c>
      <c r="H2833" s="9" t="s">
        <v>86</v>
      </c>
      <c r="I2833" s="11">
        <v>500000</v>
      </c>
      <c r="J2833" s="11">
        <v>2737464</v>
      </c>
      <c r="K2833" s="11">
        <v>9997244</v>
      </c>
      <c r="L2833" s="3">
        <v>254</v>
      </c>
      <c r="M2833" s="3">
        <v>1923</v>
      </c>
      <c r="N2833" s="3">
        <v>1796140</v>
      </c>
      <c r="O2833" s="2">
        <v>-4.4000000000000004E-2</v>
      </c>
      <c r="P2833" s="2">
        <v>0.6409999999999999</v>
      </c>
      <c r="Q2833" s="2">
        <v>5.2000000000000005E-2</v>
      </c>
      <c r="R2833" s="11">
        <v>421499636</v>
      </c>
      <c r="S2833" s="11">
        <v>817140</v>
      </c>
      <c r="T2833">
        <v>2015</v>
      </c>
      <c r="U2833">
        <v>4</v>
      </c>
      <c r="V2833">
        <f t="shared" si="264"/>
        <v>500000</v>
      </c>
      <c r="W2833">
        <f t="shared" si="265"/>
        <v>18429897</v>
      </c>
      <c r="X2833">
        <f t="shared" si="266"/>
        <v>17929897</v>
      </c>
      <c r="Y2833">
        <f t="shared" si="267"/>
        <v>-26394845.5</v>
      </c>
      <c r="Z2833">
        <f t="shared" si="268"/>
        <v>45324742.5</v>
      </c>
      <c r="AA2833" t="str">
        <f t="shared" si="269"/>
        <v>Normal</v>
      </c>
      <c r="AE2833" s="2"/>
      <c r="AF2833" s="2"/>
    </row>
    <row r="2834" spans="1:32" x14ac:dyDescent="0.35">
      <c r="A2834">
        <v>2833</v>
      </c>
      <c r="B2834" s="1">
        <v>42107</v>
      </c>
      <c r="C2834" s="9" t="s">
        <v>4545</v>
      </c>
      <c r="D2834" s="9" t="s">
        <v>5645</v>
      </c>
      <c r="E2834" s="9" t="s">
        <v>1111</v>
      </c>
      <c r="F2834" s="9" t="s">
        <v>63</v>
      </c>
      <c r="G2834" s="9" t="s">
        <v>1533</v>
      </c>
      <c r="H2834" s="9" t="s">
        <v>86</v>
      </c>
      <c r="I2834" s="11">
        <v>1000000</v>
      </c>
      <c r="J2834" s="11">
        <v>1952539</v>
      </c>
      <c r="K2834" s="11">
        <v>13002218</v>
      </c>
      <c r="L2834" s="3">
        <v>163</v>
      </c>
      <c r="M2834" s="3">
        <v>1707</v>
      </c>
      <c r="N2834" s="3">
        <v>1018455</v>
      </c>
      <c r="O2834" s="2">
        <v>0.153</v>
      </c>
      <c r="P2834" s="2">
        <v>0.49199999999999999</v>
      </c>
      <c r="Q2834" s="2">
        <v>0.36749999999999999</v>
      </c>
      <c r="R2834" s="11">
        <v>175819251</v>
      </c>
      <c r="S2834" s="11">
        <v>1405854</v>
      </c>
      <c r="T2834">
        <v>2015</v>
      </c>
      <c r="U2834">
        <v>4</v>
      </c>
      <c r="V2834">
        <f t="shared" si="264"/>
        <v>500000</v>
      </c>
      <c r="W2834">
        <f t="shared" si="265"/>
        <v>18429897</v>
      </c>
      <c r="X2834">
        <f t="shared" si="266"/>
        <v>17929897</v>
      </c>
      <c r="Y2834">
        <f t="shared" si="267"/>
        <v>-26394845.5</v>
      </c>
      <c r="Z2834">
        <f t="shared" si="268"/>
        <v>45324742.5</v>
      </c>
      <c r="AA2834" t="str">
        <f t="shared" si="269"/>
        <v>Normal</v>
      </c>
      <c r="AE2834" s="2"/>
      <c r="AF2834" s="2"/>
    </row>
    <row r="2835" spans="1:32" x14ac:dyDescent="0.35">
      <c r="A2835">
        <v>2834</v>
      </c>
      <c r="B2835" s="1">
        <v>42107</v>
      </c>
      <c r="C2835" s="9" t="s">
        <v>3590</v>
      </c>
      <c r="D2835" s="9" t="s">
        <v>5646</v>
      </c>
      <c r="E2835" s="9" t="s">
        <v>1111</v>
      </c>
      <c r="F2835" s="9" t="s">
        <v>15</v>
      </c>
      <c r="G2835" s="9" t="s">
        <v>2770</v>
      </c>
      <c r="H2835" s="9" t="s">
        <v>86</v>
      </c>
      <c r="I2835" s="11">
        <v>1250000</v>
      </c>
      <c r="J2835" s="11">
        <v>2726608</v>
      </c>
      <c r="K2835" s="11">
        <v>10153449</v>
      </c>
      <c r="L2835" s="3">
        <v>56</v>
      </c>
      <c r="M2835" s="3">
        <v>2505.5</v>
      </c>
      <c r="N2835" s="3">
        <v>1253633</v>
      </c>
      <c r="O2835" s="2">
        <v>-3.3000000000000002E-2</v>
      </c>
      <c r="P2835" s="2">
        <v>0.70599999999999996</v>
      </c>
      <c r="Q2835" s="2">
        <v>0.29600000000000004</v>
      </c>
      <c r="R2835" s="11">
        <v>142039586</v>
      </c>
      <c r="S2835" s="11">
        <v>603258</v>
      </c>
      <c r="T2835">
        <v>2015</v>
      </c>
      <c r="U2835">
        <v>4</v>
      </c>
      <c r="V2835">
        <f t="shared" si="264"/>
        <v>500000</v>
      </c>
      <c r="W2835">
        <f t="shared" si="265"/>
        <v>18429897</v>
      </c>
      <c r="X2835">
        <f t="shared" si="266"/>
        <v>17929897</v>
      </c>
      <c r="Y2835">
        <f t="shared" si="267"/>
        <v>-26394845.5</v>
      </c>
      <c r="Z2835">
        <f t="shared" si="268"/>
        <v>45324742.5</v>
      </c>
      <c r="AA2835" t="str">
        <f t="shared" si="269"/>
        <v>Normal</v>
      </c>
      <c r="AE2835" s="2"/>
      <c r="AF2835" s="2"/>
    </row>
    <row r="2836" spans="1:32" x14ac:dyDescent="0.35">
      <c r="A2836">
        <v>2835</v>
      </c>
      <c r="B2836" s="1">
        <v>42108</v>
      </c>
      <c r="C2836" s="9" t="s">
        <v>4546</v>
      </c>
      <c r="D2836" s="9" t="s">
        <v>5647</v>
      </c>
      <c r="E2836" s="9" t="s">
        <v>1111</v>
      </c>
      <c r="F2836" s="9" t="s">
        <v>31</v>
      </c>
      <c r="G2836" s="9" t="s">
        <v>4547</v>
      </c>
      <c r="H2836" s="9" t="s">
        <v>105</v>
      </c>
      <c r="I2836" s="11">
        <v>5000000</v>
      </c>
      <c r="J2836" s="11">
        <v>4827563</v>
      </c>
      <c r="K2836" s="11">
        <v>11034133</v>
      </c>
      <c r="L2836" s="3">
        <v>9</v>
      </c>
      <c r="M2836" s="3">
        <v>4004</v>
      </c>
      <c r="N2836" s="3">
        <v>1633155</v>
      </c>
      <c r="O2836" s="2">
        <v>-0.14499999999999999</v>
      </c>
      <c r="P2836" s="2">
        <v>0.83700000000000008</v>
      </c>
      <c r="Q2836" s="2">
        <v>-0.374</v>
      </c>
      <c r="R2836" s="11">
        <v>221160534</v>
      </c>
      <c r="S2836" s="11">
        <v>1699055</v>
      </c>
      <c r="T2836">
        <v>2015</v>
      </c>
      <c r="U2836">
        <v>4</v>
      </c>
      <c r="V2836">
        <f t="shared" si="264"/>
        <v>500000</v>
      </c>
      <c r="W2836">
        <f t="shared" si="265"/>
        <v>18429897</v>
      </c>
      <c r="X2836">
        <f t="shared" si="266"/>
        <v>17929897</v>
      </c>
      <c r="Y2836">
        <f t="shared" si="267"/>
        <v>-26394845.5</v>
      </c>
      <c r="Z2836">
        <f t="shared" si="268"/>
        <v>45324742.5</v>
      </c>
      <c r="AA2836" t="str">
        <f t="shared" si="269"/>
        <v>Normal</v>
      </c>
      <c r="AE2836" s="2"/>
      <c r="AF2836" s="2"/>
    </row>
    <row r="2837" spans="1:32" x14ac:dyDescent="0.35">
      <c r="A2837">
        <v>2836</v>
      </c>
      <c r="B2837" s="1">
        <v>42109</v>
      </c>
      <c r="C2837" s="9" t="s">
        <v>171</v>
      </c>
      <c r="D2837" s="9" t="s">
        <v>5648</v>
      </c>
      <c r="E2837" s="9" t="s">
        <v>1111</v>
      </c>
      <c r="F2837" s="9" t="s">
        <v>19</v>
      </c>
      <c r="G2837" s="9" t="s">
        <v>4548</v>
      </c>
      <c r="H2837" s="9" t="s">
        <v>105</v>
      </c>
      <c r="I2837" s="11">
        <v>35000000</v>
      </c>
      <c r="J2837" s="11">
        <v>4496629</v>
      </c>
      <c r="K2837" s="11">
        <v>3402859</v>
      </c>
      <c r="L2837" s="3">
        <v>198</v>
      </c>
      <c r="M2837" s="3">
        <v>3558</v>
      </c>
      <c r="N2837" s="3">
        <v>42659</v>
      </c>
      <c r="O2837" s="2">
        <v>0.21600000000000003</v>
      </c>
      <c r="P2837" s="2">
        <v>0.38300000000000001</v>
      </c>
      <c r="Q2837" s="2">
        <v>0.26600000000000001</v>
      </c>
      <c r="R2837" s="11">
        <v>305901014</v>
      </c>
      <c r="S2837" s="11">
        <v>1595303</v>
      </c>
      <c r="T2837">
        <v>2015</v>
      </c>
      <c r="U2837">
        <v>4</v>
      </c>
      <c r="V2837">
        <f t="shared" si="264"/>
        <v>500000</v>
      </c>
      <c r="W2837">
        <f t="shared" si="265"/>
        <v>18429897</v>
      </c>
      <c r="X2837">
        <f t="shared" si="266"/>
        <v>17929897</v>
      </c>
      <c r="Y2837">
        <f t="shared" si="267"/>
        <v>-26394845.5</v>
      </c>
      <c r="Z2837">
        <f t="shared" si="268"/>
        <v>45324742.5</v>
      </c>
      <c r="AA2837" t="str">
        <f t="shared" si="269"/>
        <v>Normal</v>
      </c>
      <c r="AE2837" s="2"/>
      <c r="AF2837" s="2"/>
    </row>
    <row r="2838" spans="1:32" x14ac:dyDescent="0.35">
      <c r="A2838">
        <v>2837</v>
      </c>
      <c r="B2838" s="1">
        <v>42109</v>
      </c>
      <c r="C2838" s="9" t="s">
        <v>3625</v>
      </c>
      <c r="D2838" s="9" t="s">
        <v>5648</v>
      </c>
      <c r="E2838" s="9" t="s">
        <v>1111</v>
      </c>
      <c r="F2838" s="9" t="s">
        <v>19</v>
      </c>
      <c r="G2838" s="9" t="s">
        <v>4549</v>
      </c>
      <c r="H2838" s="9" t="s">
        <v>105</v>
      </c>
      <c r="I2838" s="11">
        <v>10000000</v>
      </c>
      <c r="J2838" s="11">
        <v>1093389</v>
      </c>
      <c r="K2838" s="11">
        <v>17507620</v>
      </c>
      <c r="L2838" s="3">
        <v>312</v>
      </c>
      <c r="M2838" s="3">
        <v>1940</v>
      </c>
      <c r="N2838" s="3">
        <v>525227</v>
      </c>
      <c r="O2838" s="2">
        <v>0.38100000000000001</v>
      </c>
      <c r="P2838" s="2">
        <v>0.95099999999999996</v>
      </c>
      <c r="Q2838" s="2">
        <v>-9.9000000000000005E-2</v>
      </c>
      <c r="R2838" s="11">
        <v>448205852</v>
      </c>
      <c r="S2838" s="11">
        <v>191239</v>
      </c>
      <c r="T2838">
        <v>2015</v>
      </c>
      <c r="U2838">
        <v>4</v>
      </c>
      <c r="V2838">
        <f t="shared" si="264"/>
        <v>500000</v>
      </c>
      <c r="W2838">
        <f t="shared" si="265"/>
        <v>18429897</v>
      </c>
      <c r="X2838">
        <f t="shared" si="266"/>
        <v>17929897</v>
      </c>
      <c r="Y2838">
        <f t="shared" si="267"/>
        <v>-26394845.5</v>
      </c>
      <c r="Z2838">
        <f t="shared" si="268"/>
        <v>45324742.5</v>
      </c>
      <c r="AA2838" t="str">
        <f t="shared" si="269"/>
        <v>Normal</v>
      </c>
      <c r="AE2838" s="2"/>
      <c r="AF2838" s="2"/>
    </row>
    <row r="2839" spans="1:32" x14ac:dyDescent="0.35">
      <c r="A2839">
        <v>2838</v>
      </c>
      <c r="B2839" s="1">
        <v>42109</v>
      </c>
      <c r="C2839" s="9" t="s">
        <v>433</v>
      </c>
      <c r="D2839" s="9" t="s">
        <v>5649</v>
      </c>
      <c r="E2839" s="9" t="s">
        <v>1111</v>
      </c>
      <c r="F2839" s="9" t="s">
        <v>19</v>
      </c>
      <c r="G2839" s="9" t="s">
        <v>4550</v>
      </c>
      <c r="H2839" s="9" t="s">
        <v>105</v>
      </c>
      <c r="I2839" s="11">
        <v>40000000</v>
      </c>
      <c r="J2839" s="11">
        <v>4859583</v>
      </c>
      <c r="K2839" s="11">
        <v>5764141</v>
      </c>
      <c r="L2839" s="3">
        <v>188</v>
      </c>
      <c r="M2839" s="3">
        <v>1473</v>
      </c>
      <c r="N2839" s="3">
        <v>361629</v>
      </c>
      <c r="O2839" s="2">
        <v>-2.4E-2</v>
      </c>
      <c r="P2839" s="2">
        <v>0.50800000000000001</v>
      </c>
      <c r="Q2839" s="2">
        <v>0.36749999999999999</v>
      </c>
      <c r="R2839" s="11">
        <v>73020038</v>
      </c>
      <c r="S2839" s="11">
        <v>1657568</v>
      </c>
      <c r="T2839">
        <v>2015</v>
      </c>
      <c r="U2839">
        <v>4</v>
      </c>
      <c r="V2839">
        <f t="shared" si="264"/>
        <v>500000</v>
      </c>
      <c r="W2839">
        <f t="shared" si="265"/>
        <v>18429897</v>
      </c>
      <c r="X2839">
        <f t="shared" si="266"/>
        <v>17929897</v>
      </c>
      <c r="Y2839">
        <f t="shared" si="267"/>
        <v>-26394845.5</v>
      </c>
      <c r="Z2839">
        <f t="shared" si="268"/>
        <v>45324742.5</v>
      </c>
      <c r="AA2839" t="str">
        <f t="shared" si="269"/>
        <v>Normal</v>
      </c>
      <c r="AE2839" s="2"/>
      <c r="AF2839" s="2"/>
    </row>
    <row r="2840" spans="1:32" x14ac:dyDescent="0.35">
      <c r="A2840">
        <v>2839</v>
      </c>
      <c r="B2840" s="1">
        <v>42110</v>
      </c>
      <c r="C2840" s="9" t="s">
        <v>1466</v>
      </c>
      <c r="D2840" s="9" t="s">
        <v>5650</v>
      </c>
      <c r="E2840" s="9" t="s">
        <v>1111</v>
      </c>
      <c r="F2840" s="9" t="s">
        <v>27</v>
      </c>
      <c r="G2840" s="9" t="s">
        <v>4551</v>
      </c>
      <c r="H2840" s="9" t="s">
        <v>86</v>
      </c>
      <c r="I2840" s="11">
        <v>1600000</v>
      </c>
      <c r="J2840" s="11">
        <v>2200968</v>
      </c>
      <c r="K2840" s="11">
        <v>423876</v>
      </c>
      <c r="L2840" s="3">
        <v>24</v>
      </c>
      <c r="M2840" s="3">
        <v>445</v>
      </c>
      <c r="N2840" s="3">
        <v>1242691</v>
      </c>
      <c r="O2840" s="2">
        <v>0.29499999999999998</v>
      </c>
      <c r="P2840" s="2">
        <v>0.90400000000000003</v>
      </c>
      <c r="Q2840" s="2">
        <v>0.36749999999999999</v>
      </c>
      <c r="R2840" s="11">
        <v>309675497</v>
      </c>
      <c r="S2840" s="11">
        <v>884977</v>
      </c>
      <c r="T2840">
        <v>2015</v>
      </c>
      <c r="U2840">
        <v>4</v>
      </c>
      <c r="V2840">
        <f t="shared" si="264"/>
        <v>500000</v>
      </c>
      <c r="W2840">
        <f t="shared" si="265"/>
        <v>18429897</v>
      </c>
      <c r="X2840">
        <f t="shared" si="266"/>
        <v>17929897</v>
      </c>
      <c r="Y2840">
        <f t="shared" si="267"/>
        <v>-26394845.5</v>
      </c>
      <c r="Z2840">
        <f t="shared" si="268"/>
        <v>45324742.5</v>
      </c>
      <c r="AA2840" t="str">
        <f t="shared" si="269"/>
        <v>Normal</v>
      </c>
      <c r="AE2840" s="2"/>
      <c r="AF2840" s="2"/>
    </row>
    <row r="2841" spans="1:32" x14ac:dyDescent="0.35">
      <c r="A2841">
        <v>2840</v>
      </c>
      <c r="B2841" s="1">
        <v>42110</v>
      </c>
      <c r="C2841" s="9" t="s">
        <v>3346</v>
      </c>
      <c r="D2841" s="9" t="s">
        <v>5651</v>
      </c>
      <c r="E2841" s="9" t="s">
        <v>1111</v>
      </c>
      <c r="F2841" s="9" t="s">
        <v>31</v>
      </c>
      <c r="G2841" s="9" t="s">
        <v>4552</v>
      </c>
      <c r="H2841" s="9" t="s">
        <v>86</v>
      </c>
      <c r="I2841" s="11">
        <v>1200000</v>
      </c>
      <c r="J2841" s="11">
        <v>3530094</v>
      </c>
      <c r="K2841" s="11">
        <v>876899</v>
      </c>
      <c r="L2841" s="3">
        <v>254</v>
      </c>
      <c r="M2841" s="3">
        <v>3999</v>
      </c>
      <c r="N2841" s="3">
        <v>684568</v>
      </c>
      <c r="O2841" s="2">
        <v>0.26500000000000001</v>
      </c>
      <c r="P2841" s="2">
        <v>0.35700000000000004</v>
      </c>
      <c r="Q2841" s="2">
        <v>0.11700000000000001</v>
      </c>
      <c r="R2841" s="11">
        <v>262113833</v>
      </c>
      <c r="S2841" s="11">
        <v>322918</v>
      </c>
      <c r="T2841">
        <v>2015</v>
      </c>
      <c r="U2841">
        <v>4</v>
      </c>
      <c r="V2841">
        <f t="shared" si="264"/>
        <v>500000</v>
      </c>
      <c r="W2841">
        <f t="shared" si="265"/>
        <v>18429897</v>
      </c>
      <c r="X2841">
        <f t="shared" si="266"/>
        <v>17929897</v>
      </c>
      <c r="Y2841">
        <f t="shared" si="267"/>
        <v>-26394845.5</v>
      </c>
      <c r="Z2841">
        <f t="shared" si="268"/>
        <v>45324742.5</v>
      </c>
      <c r="AA2841" t="str">
        <f t="shared" si="269"/>
        <v>Normal</v>
      </c>
      <c r="AE2841" s="2"/>
      <c r="AF2841" s="2"/>
    </row>
    <row r="2842" spans="1:32" x14ac:dyDescent="0.35">
      <c r="A2842">
        <v>2841</v>
      </c>
      <c r="B2842" s="1">
        <v>42111</v>
      </c>
      <c r="C2842" s="9" t="s">
        <v>4553</v>
      </c>
      <c r="D2842" s="9" t="s">
        <v>5652</v>
      </c>
      <c r="E2842" s="9" t="s">
        <v>1111</v>
      </c>
      <c r="F2842" s="9" t="s">
        <v>1979</v>
      </c>
      <c r="G2842" s="9" t="s">
        <v>4554</v>
      </c>
      <c r="H2842" s="9" t="s">
        <v>105</v>
      </c>
      <c r="I2842" s="11">
        <v>12000000</v>
      </c>
      <c r="J2842" s="11">
        <v>3825831</v>
      </c>
      <c r="K2842" s="11">
        <v>15502576</v>
      </c>
      <c r="L2842" s="3">
        <v>219</v>
      </c>
      <c r="M2842" s="3">
        <v>4812</v>
      </c>
      <c r="N2842" s="3">
        <v>1416988</v>
      </c>
      <c r="O2842" s="2">
        <v>-7.4999999999999997E-2</v>
      </c>
      <c r="P2842" s="2">
        <v>0.25600000000000001</v>
      </c>
      <c r="Q2842" s="2">
        <v>0.59699999999999998</v>
      </c>
      <c r="R2842" s="11">
        <v>116327478</v>
      </c>
      <c r="S2842" s="11">
        <v>1456496</v>
      </c>
      <c r="T2842">
        <v>2015</v>
      </c>
      <c r="U2842">
        <v>4</v>
      </c>
      <c r="V2842">
        <f t="shared" si="264"/>
        <v>500000</v>
      </c>
      <c r="W2842">
        <f t="shared" si="265"/>
        <v>18429897</v>
      </c>
      <c r="X2842">
        <f t="shared" si="266"/>
        <v>17929897</v>
      </c>
      <c r="Y2842">
        <f t="shared" si="267"/>
        <v>-26394845.5</v>
      </c>
      <c r="Z2842">
        <f t="shared" si="268"/>
        <v>45324742.5</v>
      </c>
      <c r="AA2842" t="str">
        <f t="shared" si="269"/>
        <v>Normal</v>
      </c>
      <c r="AE2842" s="2"/>
      <c r="AF2842" s="2"/>
    </row>
    <row r="2843" spans="1:32" x14ac:dyDescent="0.35">
      <c r="A2843">
        <v>2842</v>
      </c>
      <c r="B2843" s="1">
        <v>42112</v>
      </c>
      <c r="C2843" s="9" t="s">
        <v>4076</v>
      </c>
      <c r="D2843" s="9" t="s">
        <v>5653</v>
      </c>
      <c r="E2843" s="9" t="s">
        <v>1111</v>
      </c>
      <c r="F2843" s="9" t="s">
        <v>31</v>
      </c>
      <c r="G2843" s="9" t="s">
        <v>4555</v>
      </c>
      <c r="H2843" s="9" t="s">
        <v>86</v>
      </c>
      <c r="I2843" s="11">
        <v>18429897</v>
      </c>
      <c r="J2843" s="11">
        <v>2425033</v>
      </c>
      <c r="K2843" s="11">
        <v>7800463</v>
      </c>
      <c r="L2843" s="3">
        <v>181</v>
      </c>
      <c r="M2843" s="3">
        <v>321</v>
      </c>
      <c r="N2843" s="3">
        <v>1884307</v>
      </c>
      <c r="O2843" s="2">
        <v>-2.6000000000000002E-2</v>
      </c>
      <c r="P2843" s="2">
        <v>0.36199999999999999</v>
      </c>
      <c r="Q2843" s="2">
        <v>0.36749999999999999</v>
      </c>
      <c r="R2843" s="11">
        <v>459408893</v>
      </c>
      <c r="S2843" s="11">
        <v>1375716</v>
      </c>
      <c r="T2843">
        <v>2015</v>
      </c>
      <c r="U2843">
        <v>4</v>
      </c>
      <c r="V2843">
        <f t="shared" si="264"/>
        <v>500000</v>
      </c>
      <c r="W2843">
        <f t="shared" si="265"/>
        <v>18429897</v>
      </c>
      <c r="X2843">
        <f t="shared" si="266"/>
        <v>17929897</v>
      </c>
      <c r="Y2843">
        <f t="shared" si="267"/>
        <v>-26394845.5</v>
      </c>
      <c r="Z2843">
        <f t="shared" si="268"/>
        <v>45324742.5</v>
      </c>
      <c r="AA2843" t="str">
        <f t="shared" si="269"/>
        <v>Normal</v>
      </c>
      <c r="AE2843" s="2"/>
      <c r="AF2843" s="2"/>
    </row>
    <row r="2844" spans="1:32" x14ac:dyDescent="0.35">
      <c r="A2844">
        <v>2843</v>
      </c>
      <c r="B2844" s="1">
        <v>42114</v>
      </c>
      <c r="C2844" s="9" t="s">
        <v>3032</v>
      </c>
      <c r="D2844" s="9" t="s">
        <v>5654</v>
      </c>
      <c r="E2844" s="9" t="s">
        <v>1111</v>
      </c>
      <c r="F2844" s="9" t="s">
        <v>19</v>
      </c>
      <c r="G2844" s="9" t="s">
        <v>1419</v>
      </c>
      <c r="H2844" s="9" t="s">
        <v>86</v>
      </c>
      <c r="I2844" s="11">
        <v>18429897</v>
      </c>
      <c r="J2844" s="11">
        <v>2294153</v>
      </c>
      <c r="K2844" s="11">
        <v>550900</v>
      </c>
      <c r="L2844" s="3">
        <v>413</v>
      </c>
      <c r="M2844" s="3">
        <v>695</v>
      </c>
      <c r="N2844" s="3">
        <v>740084</v>
      </c>
      <c r="O2844" s="2">
        <v>0.48099999999999998</v>
      </c>
      <c r="P2844" s="2">
        <v>0.38100000000000001</v>
      </c>
      <c r="Q2844" s="2">
        <v>-0.26100000000000001</v>
      </c>
      <c r="R2844" s="11">
        <v>298288712</v>
      </c>
      <c r="S2844" s="11">
        <v>335924</v>
      </c>
      <c r="T2844">
        <v>2015</v>
      </c>
      <c r="U2844">
        <v>4</v>
      </c>
      <c r="V2844">
        <f t="shared" si="264"/>
        <v>500000</v>
      </c>
      <c r="W2844">
        <f t="shared" si="265"/>
        <v>18429897</v>
      </c>
      <c r="X2844">
        <f t="shared" si="266"/>
        <v>17929897</v>
      </c>
      <c r="Y2844">
        <f t="shared" si="267"/>
        <v>-26394845.5</v>
      </c>
      <c r="Z2844">
        <f t="shared" si="268"/>
        <v>45324742.5</v>
      </c>
      <c r="AA2844" t="str">
        <f t="shared" si="269"/>
        <v>Normal</v>
      </c>
      <c r="AE2844" s="2"/>
      <c r="AF2844" s="2"/>
    </row>
    <row r="2845" spans="1:32" x14ac:dyDescent="0.35">
      <c r="A2845">
        <v>2844</v>
      </c>
      <c r="B2845" s="1">
        <v>42114</v>
      </c>
      <c r="C2845" s="9" t="s">
        <v>4556</v>
      </c>
      <c r="D2845" s="9" t="s">
        <v>5655</v>
      </c>
      <c r="E2845" s="9" t="s">
        <v>1111</v>
      </c>
      <c r="F2845" s="9" t="s">
        <v>1255</v>
      </c>
      <c r="G2845" s="9" t="s">
        <v>3552</v>
      </c>
      <c r="H2845" s="9" t="s">
        <v>105</v>
      </c>
      <c r="I2845" s="11">
        <v>4000000</v>
      </c>
      <c r="J2845" s="11">
        <v>2292891</v>
      </c>
      <c r="K2845" s="11">
        <v>16247690</v>
      </c>
      <c r="L2845" s="3">
        <v>301</v>
      </c>
      <c r="M2845" s="3">
        <v>1111</v>
      </c>
      <c r="N2845" s="3">
        <v>661285</v>
      </c>
      <c r="O2845" s="2">
        <v>-0.10300000000000001</v>
      </c>
      <c r="P2845" s="2">
        <v>0.96200000000000008</v>
      </c>
      <c r="Q2845" s="2">
        <v>0.625</v>
      </c>
      <c r="R2845" s="11">
        <v>144919697</v>
      </c>
      <c r="S2845" s="11">
        <v>498737</v>
      </c>
      <c r="T2845">
        <v>2015</v>
      </c>
      <c r="U2845">
        <v>4</v>
      </c>
      <c r="V2845">
        <f t="shared" si="264"/>
        <v>500000</v>
      </c>
      <c r="W2845">
        <f t="shared" si="265"/>
        <v>18429897</v>
      </c>
      <c r="X2845">
        <f t="shared" si="266"/>
        <v>17929897</v>
      </c>
      <c r="Y2845">
        <f t="shared" si="267"/>
        <v>-26394845.5</v>
      </c>
      <c r="Z2845">
        <f t="shared" si="268"/>
        <v>45324742.5</v>
      </c>
      <c r="AA2845" t="str">
        <f t="shared" si="269"/>
        <v>Normal</v>
      </c>
      <c r="AE2845" s="2"/>
      <c r="AF2845" s="2"/>
    </row>
    <row r="2846" spans="1:32" x14ac:dyDescent="0.35">
      <c r="A2846">
        <v>2845</v>
      </c>
      <c r="B2846" s="1">
        <v>42114</v>
      </c>
      <c r="C2846" s="9" t="s">
        <v>4557</v>
      </c>
      <c r="D2846" s="9" t="s">
        <v>5656</v>
      </c>
      <c r="E2846" s="9" t="s">
        <v>1111</v>
      </c>
      <c r="F2846" s="9" t="s">
        <v>19</v>
      </c>
      <c r="G2846" s="9" t="s">
        <v>4558</v>
      </c>
      <c r="H2846" s="9" t="s">
        <v>105</v>
      </c>
      <c r="I2846" s="11">
        <v>6000000</v>
      </c>
      <c r="J2846" s="11">
        <v>4315495</v>
      </c>
      <c r="K2846" s="11">
        <v>6155367</v>
      </c>
      <c r="L2846" s="3">
        <v>499</v>
      </c>
      <c r="M2846" s="3">
        <v>3997</v>
      </c>
      <c r="N2846" s="3">
        <v>975122</v>
      </c>
      <c r="O2846" s="2">
        <v>-2E-3</v>
      </c>
      <c r="P2846" s="2">
        <v>0.69299999999999995</v>
      </c>
      <c r="Q2846" s="2">
        <v>0.17399999999999999</v>
      </c>
      <c r="R2846" s="11">
        <v>410755335</v>
      </c>
      <c r="S2846" s="11">
        <v>933630</v>
      </c>
      <c r="T2846">
        <v>2015</v>
      </c>
      <c r="U2846">
        <v>4</v>
      </c>
      <c r="V2846">
        <f t="shared" si="264"/>
        <v>500000</v>
      </c>
      <c r="W2846">
        <f t="shared" si="265"/>
        <v>18429897</v>
      </c>
      <c r="X2846">
        <f t="shared" si="266"/>
        <v>17929897</v>
      </c>
      <c r="Y2846">
        <f t="shared" si="267"/>
        <v>-26394845.5</v>
      </c>
      <c r="Z2846">
        <f t="shared" si="268"/>
        <v>45324742.5</v>
      </c>
      <c r="AA2846" t="str">
        <f t="shared" si="269"/>
        <v>Normal</v>
      </c>
      <c r="AE2846" s="2"/>
      <c r="AF2846" s="2"/>
    </row>
    <row r="2847" spans="1:32" x14ac:dyDescent="0.35">
      <c r="A2847">
        <v>2846</v>
      </c>
      <c r="B2847" s="1">
        <v>42114</v>
      </c>
      <c r="C2847" s="9" t="s">
        <v>2109</v>
      </c>
      <c r="D2847" s="9" t="s">
        <v>5657</v>
      </c>
      <c r="E2847" s="9" t="s">
        <v>1111</v>
      </c>
      <c r="F2847" s="9" t="s">
        <v>35</v>
      </c>
      <c r="G2847" s="9" t="s">
        <v>4559</v>
      </c>
      <c r="H2847" s="9" t="s">
        <v>105</v>
      </c>
      <c r="I2847" s="11">
        <v>50000000</v>
      </c>
      <c r="J2847" s="11">
        <v>1943980</v>
      </c>
      <c r="K2847" s="11">
        <v>19561290</v>
      </c>
      <c r="L2847" s="3">
        <v>91</v>
      </c>
      <c r="M2847" s="3">
        <v>1120</v>
      </c>
      <c r="N2847" s="3">
        <v>978415</v>
      </c>
      <c r="O2847" s="2">
        <v>0.51300000000000001</v>
      </c>
      <c r="P2847" s="2">
        <v>0.96399999999999997</v>
      </c>
      <c r="Q2847" s="2">
        <v>0.12</v>
      </c>
      <c r="R2847" s="11">
        <v>434764148</v>
      </c>
      <c r="S2847" s="11">
        <v>495093</v>
      </c>
      <c r="T2847">
        <v>2015</v>
      </c>
      <c r="U2847">
        <v>4</v>
      </c>
      <c r="V2847">
        <f t="shared" si="264"/>
        <v>500000</v>
      </c>
      <c r="W2847">
        <f t="shared" si="265"/>
        <v>18429897</v>
      </c>
      <c r="X2847">
        <f t="shared" si="266"/>
        <v>17929897</v>
      </c>
      <c r="Y2847">
        <f t="shared" si="267"/>
        <v>-26394845.5</v>
      </c>
      <c r="Z2847">
        <f t="shared" si="268"/>
        <v>45324742.5</v>
      </c>
      <c r="AA2847" t="str">
        <f t="shared" si="269"/>
        <v>Outlier</v>
      </c>
      <c r="AE2847" s="2"/>
      <c r="AF2847" s="2"/>
    </row>
    <row r="2848" spans="1:32" x14ac:dyDescent="0.35">
      <c r="A2848">
        <v>2847</v>
      </c>
      <c r="B2848" s="1">
        <v>42114</v>
      </c>
      <c r="C2848" s="9" t="s">
        <v>4560</v>
      </c>
      <c r="D2848" s="9" t="s">
        <v>5658</v>
      </c>
      <c r="E2848" s="9" t="s">
        <v>1111</v>
      </c>
      <c r="F2848" s="9" t="s">
        <v>35</v>
      </c>
      <c r="G2848" s="9" t="s">
        <v>4561</v>
      </c>
      <c r="H2848" s="9" t="s">
        <v>105</v>
      </c>
      <c r="I2848" s="11">
        <v>28000000</v>
      </c>
      <c r="J2848" s="11">
        <v>2531926</v>
      </c>
      <c r="K2848" s="11">
        <v>17605296</v>
      </c>
      <c r="L2848" s="3">
        <v>188</v>
      </c>
      <c r="M2848" s="3">
        <v>119</v>
      </c>
      <c r="N2848" s="3">
        <v>717697</v>
      </c>
      <c r="O2848" s="2">
        <v>0.6</v>
      </c>
      <c r="P2848" s="2">
        <v>0.94700000000000006</v>
      </c>
      <c r="Q2848" s="2">
        <v>0.64200000000000002</v>
      </c>
      <c r="R2848" s="11">
        <v>473219331</v>
      </c>
      <c r="S2848" s="11">
        <v>1113236</v>
      </c>
      <c r="T2848">
        <v>2015</v>
      </c>
      <c r="U2848">
        <v>4</v>
      </c>
      <c r="V2848">
        <f t="shared" si="264"/>
        <v>500000</v>
      </c>
      <c r="W2848">
        <f t="shared" si="265"/>
        <v>18429897</v>
      </c>
      <c r="X2848">
        <f t="shared" si="266"/>
        <v>17929897</v>
      </c>
      <c r="Y2848">
        <f t="shared" si="267"/>
        <v>-26394845.5</v>
      </c>
      <c r="Z2848">
        <f t="shared" si="268"/>
        <v>45324742.5</v>
      </c>
      <c r="AA2848" t="str">
        <f t="shared" si="269"/>
        <v>Normal</v>
      </c>
      <c r="AE2848" s="2"/>
      <c r="AF2848" s="2"/>
    </row>
    <row r="2849" spans="1:32" x14ac:dyDescent="0.35">
      <c r="A2849">
        <v>2848</v>
      </c>
      <c r="B2849" s="1">
        <v>42116</v>
      </c>
      <c r="C2849" s="9" t="s">
        <v>3654</v>
      </c>
      <c r="D2849" s="9" t="s">
        <v>5577</v>
      </c>
      <c r="E2849" s="9" t="s">
        <v>1111</v>
      </c>
      <c r="F2849" s="9" t="s">
        <v>27</v>
      </c>
      <c r="G2849" s="9" t="s">
        <v>4562</v>
      </c>
      <c r="H2849" s="9" t="s">
        <v>105</v>
      </c>
      <c r="I2849" s="11">
        <v>18429897</v>
      </c>
      <c r="J2849" s="11">
        <v>1820763</v>
      </c>
      <c r="K2849" s="11">
        <v>1058528</v>
      </c>
      <c r="L2849" s="3">
        <v>48</v>
      </c>
      <c r="M2849" s="3">
        <v>1712</v>
      </c>
      <c r="N2849" s="3">
        <v>692284</v>
      </c>
      <c r="O2849" s="2">
        <v>0.39100000000000001</v>
      </c>
      <c r="P2849" s="2">
        <v>0.44500000000000001</v>
      </c>
      <c r="Q2849" s="2">
        <v>-0.245</v>
      </c>
      <c r="R2849" s="11">
        <v>183933203</v>
      </c>
      <c r="S2849" s="11">
        <v>389130</v>
      </c>
      <c r="T2849">
        <v>2015</v>
      </c>
      <c r="U2849">
        <v>4</v>
      </c>
      <c r="V2849">
        <f t="shared" si="264"/>
        <v>500000</v>
      </c>
      <c r="W2849">
        <f t="shared" si="265"/>
        <v>18429897</v>
      </c>
      <c r="X2849">
        <f t="shared" si="266"/>
        <v>17929897</v>
      </c>
      <c r="Y2849">
        <f t="shared" si="267"/>
        <v>-26394845.5</v>
      </c>
      <c r="Z2849">
        <f t="shared" si="268"/>
        <v>45324742.5</v>
      </c>
      <c r="AA2849" t="str">
        <f t="shared" si="269"/>
        <v>Normal</v>
      </c>
      <c r="AE2849" s="2"/>
      <c r="AF2849" s="2"/>
    </row>
    <row r="2850" spans="1:32" x14ac:dyDescent="0.35">
      <c r="A2850">
        <v>2849</v>
      </c>
      <c r="B2850" s="1">
        <v>42116</v>
      </c>
      <c r="C2850" s="9" t="s">
        <v>4563</v>
      </c>
      <c r="D2850" s="9" t="s">
        <v>5659</v>
      </c>
      <c r="E2850" s="9" t="s">
        <v>1111</v>
      </c>
      <c r="F2850" s="9" t="s">
        <v>15</v>
      </c>
      <c r="G2850" s="9" t="s">
        <v>856</v>
      </c>
      <c r="H2850" s="9" t="s">
        <v>105</v>
      </c>
      <c r="I2850" s="11">
        <v>3500000</v>
      </c>
      <c r="J2850" s="11">
        <v>990516</v>
      </c>
      <c r="K2850" s="11">
        <v>13839242</v>
      </c>
      <c r="L2850" s="3">
        <v>14</v>
      </c>
      <c r="M2850" s="3">
        <v>1853</v>
      </c>
      <c r="N2850" s="3">
        <v>745872</v>
      </c>
      <c r="O2850" s="2">
        <v>-8.4000000000000005E-2</v>
      </c>
      <c r="P2850" s="2">
        <v>1.111</v>
      </c>
      <c r="Q2850" s="2">
        <v>6.2E-2</v>
      </c>
      <c r="R2850" s="11">
        <v>29427330</v>
      </c>
      <c r="S2850" s="11">
        <v>1507063</v>
      </c>
      <c r="T2850">
        <v>2015</v>
      </c>
      <c r="U2850">
        <v>4</v>
      </c>
      <c r="V2850">
        <f t="shared" si="264"/>
        <v>500000</v>
      </c>
      <c r="W2850">
        <f t="shared" si="265"/>
        <v>18429897</v>
      </c>
      <c r="X2850">
        <f t="shared" si="266"/>
        <v>17929897</v>
      </c>
      <c r="Y2850">
        <f t="shared" si="267"/>
        <v>-26394845.5</v>
      </c>
      <c r="Z2850">
        <f t="shared" si="268"/>
        <v>45324742.5</v>
      </c>
      <c r="AA2850" t="str">
        <f t="shared" si="269"/>
        <v>Normal</v>
      </c>
      <c r="AE2850" s="2"/>
      <c r="AF2850" s="2"/>
    </row>
    <row r="2851" spans="1:32" x14ac:dyDescent="0.35">
      <c r="A2851">
        <v>2850</v>
      </c>
      <c r="B2851" s="1">
        <v>42116</v>
      </c>
      <c r="C2851" s="9" t="s">
        <v>3316</v>
      </c>
      <c r="D2851" s="9" t="s">
        <v>5660</v>
      </c>
      <c r="E2851" s="9" t="s">
        <v>1111</v>
      </c>
      <c r="F2851" s="9" t="s">
        <v>27</v>
      </c>
      <c r="G2851" s="9" t="s">
        <v>4564</v>
      </c>
      <c r="H2851" s="9" t="s">
        <v>105</v>
      </c>
      <c r="I2851" s="11">
        <v>1500000</v>
      </c>
      <c r="J2851" s="11">
        <v>1969704</v>
      </c>
      <c r="K2851" s="11">
        <v>12104006</v>
      </c>
      <c r="L2851" s="3">
        <v>462</v>
      </c>
      <c r="M2851" s="3">
        <v>2006</v>
      </c>
      <c r="N2851" s="3">
        <v>974830</v>
      </c>
      <c r="O2851" s="2">
        <v>0.14800000000000002</v>
      </c>
      <c r="P2851" s="2">
        <v>0.96899999999999997</v>
      </c>
      <c r="Q2851" s="2">
        <v>-0.188</v>
      </c>
      <c r="R2851" s="11">
        <v>471077561</v>
      </c>
      <c r="S2851" s="11">
        <v>1008193.5</v>
      </c>
      <c r="T2851">
        <v>2015</v>
      </c>
      <c r="U2851">
        <v>4</v>
      </c>
      <c r="V2851">
        <f t="shared" si="264"/>
        <v>500000</v>
      </c>
      <c r="W2851">
        <f t="shared" si="265"/>
        <v>18429897</v>
      </c>
      <c r="X2851">
        <f t="shared" si="266"/>
        <v>17929897</v>
      </c>
      <c r="Y2851">
        <f t="shared" si="267"/>
        <v>-26394845.5</v>
      </c>
      <c r="Z2851">
        <f t="shared" si="268"/>
        <v>45324742.5</v>
      </c>
      <c r="AA2851" t="str">
        <f t="shared" si="269"/>
        <v>Normal</v>
      </c>
      <c r="AE2851" s="2"/>
      <c r="AF2851" s="2"/>
    </row>
    <row r="2852" spans="1:32" x14ac:dyDescent="0.35">
      <c r="A2852">
        <v>2851</v>
      </c>
      <c r="B2852" s="1">
        <v>42117</v>
      </c>
      <c r="C2852" s="9" t="s">
        <v>2368</v>
      </c>
      <c r="D2852" s="9" t="s">
        <v>5661</v>
      </c>
      <c r="E2852" s="9" t="s">
        <v>1111</v>
      </c>
      <c r="F2852" s="9" t="s">
        <v>15</v>
      </c>
      <c r="G2852" s="9" t="s">
        <v>4565</v>
      </c>
      <c r="H2852" s="9" t="s">
        <v>105</v>
      </c>
      <c r="I2852" s="11">
        <v>15000000</v>
      </c>
      <c r="J2852" s="11">
        <v>588110</v>
      </c>
      <c r="K2852" s="11">
        <v>3522733</v>
      </c>
      <c r="L2852" s="3">
        <v>248</v>
      </c>
      <c r="M2852" s="3">
        <v>2600</v>
      </c>
      <c r="N2852" s="3">
        <v>892488</v>
      </c>
      <c r="O2852" s="2">
        <v>0.33700000000000002</v>
      </c>
      <c r="P2852" s="2">
        <v>0.28499999999999998</v>
      </c>
      <c r="Q2852" s="2">
        <v>5.5999999999999994E-2</v>
      </c>
      <c r="R2852" s="11">
        <v>348421108</v>
      </c>
      <c r="S2852" s="11">
        <v>154945</v>
      </c>
      <c r="T2852">
        <v>2015</v>
      </c>
      <c r="U2852">
        <v>4</v>
      </c>
      <c r="V2852">
        <f t="shared" si="264"/>
        <v>500000</v>
      </c>
      <c r="W2852">
        <f t="shared" si="265"/>
        <v>18429897</v>
      </c>
      <c r="X2852">
        <f t="shared" si="266"/>
        <v>17929897</v>
      </c>
      <c r="Y2852">
        <f t="shared" si="267"/>
        <v>-26394845.5</v>
      </c>
      <c r="Z2852">
        <f t="shared" si="268"/>
        <v>45324742.5</v>
      </c>
      <c r="AA2852" t="str">
        <f t="shared" si="269"/>
        <v>Normal</v>
      </c>
      <c r="AE2852" s="2"/>
      <c r="AF2852" s="2"/>
    </row>
    <row r="2853" spans="1:32" x14ac:dyDescent="0.35">
      <c r="A2853">
        <v>2852</v>
      </c>
      <c r="B2853" s="1">
        <v>42117</v>
      </c>
      <c r="C2853" s="9" t="s">
        <v>4566</v>
      </c>
      <c r="D2853" s="9" t="s">
        <v>5662</v>
      </c>
      <c r="E2853" s="9" t="s">
        <v>1111</v>
      </c>
      <c r="F2853" s="9" t="s">
        <v>31</v>
      </c>
      <c r="G2853" s="9" t="s">
        <v>4567</v>
      </c>
      <c r="H2853" s="9" t="s">
        <v>105</v>
      </c>
      <c r="I2853" s="11">
        <v>18000000</v>
      </c>
      <c r="J2853" s="11">
        <v>466971</v>
      </c>
      <c r="K2853" s="11">
        <v>6926986</v>
      </c>
      <c r="L2853" s="3">
        <v>331</v>
      </c>
      <c r="M2853" s="3">
        <v>1247</v>
      </c>
      <c r="N2853" s="3">
        <v>1018455</v>
      </c>
      <c r="O2853" s="2">
        <v>2.7000000000000003E-2</v>
      </c>
      <c r="P2853" s="2">
        <v>0.77200000000000002</v>
      </c>
      <c r="Q2853" s="2">
        <v>-0.27400000000000002</v>
      </c>
      <c r="R2853" s="11">
        <v>498430450</v>
      </c>
      <c r="S2853" s="11">
        <v>797265</v>
      </c>
      <c r="T2853">
        <v>2015</v>
      </c>
      <c r="U2853">
        <v>4</v>
      </c>
      <c r="V2853">
        <f t="shared" si="264"/>
        <v>500000</v>
      </c>
      <c r="W2853">
        <f t="shared" si="265"/>
        <v>18429897</v>
      </c>
      <c r="X2853">
        <f t="shared" si="266"/>
        <v>17929897</v>
      </c>
      <c r="Y2853">
        <f t="shared" si="267"/>
        <v>-26394845.5</v>
      </c>
      <c r="Z2853">
        <f t="shared" si="268"/>
        <v>45324742.5</v>
      </c>
      <c r="AA2853" t="str">
        <f t="shared" si="269"/>
        <v>Normal</v>
      </c>
      <c r="AE2853" s="2"/>
      <c r="AF2853" s="2"/>
    </row>
    <row r="2854" spans="1:32" x14ac:dyDescent="0.35">
      <c r="A2854">
        <v>2853</v>
      </c>
      <c r="B2854" s="1">
        <v>42117</v>
      </c>
      <c r="C2854" s="9" t="s">
        <v>4568</v>
      </c>
      <c r="D2854" s="9" t="s">
        <v>5663</v>
      </c>
      <c r="E2854" s="9" t="s">
        <v>1111</v>
      </c>
      <c r="F2854" s="9" t="s">
        <v>4911</v>
      </c>
      <c r="G2854" s="9" t="s">
        <v>4569</v>
      </c>
      <c r="H2854" s="9" t="s">
        <v>86</v>
      </c>
      <c r="I2854" s="11">
        <v>1800000</v>
      </c>
      <c r="J2854" s="11">
        <v>3624774</v>
      </c>
      <c r="K2854" s="11">
        <v>9866612</v>
      </c>
      <c r="L2854" s="3">
        <v>141</v>
      </c>
      <c r="M2854" s="3">
        <v>197</v>
      </c>
      <c r="N2854" s="3">
        <v>590916</v>
      </c>
      <c r="O2854" s="2">
        <v>0.14000000000000001</v>
      </c>
      <c r="P2854" s="2">
        <v>0.61299999999999999</v>
      </c>
      <c r="Q2854" s="2">
        <v>0.106</v>
      </c>
      <c r="R2854" s="11">
        <v>250264963</v>
      </c>
      <c r="S2854" s="11">
        <v>1008193.5</v>
      </c>
      <c r="T2854">
        <v>2015</v>
      </c>
      <c r="U2854">
        <v>4</v>
      </c>
      <c r="V2854">
        <f t="shared" si="264"/>
        <v>475000</v>
      </c>
      <c r="W2854">
        <f t="shared" si="265"/>
        <v>18429897</v>
      </c>
      <c r="X2854">
        <f t="shared" si="266"/>
        <v>17954897</v>
      </c>
      <c r="Y2854">
        <f t="shared" si="267"/>
        <v>-26457345.5</v>
      </c>
      <c r="Z2854">
        <f t="shared" si="268"/>
        <v>45362242.5</v>
      </c>
      <c r="AA2854" t="str">
        <f t="shared" si="269"/>
        <v>Normal</v>
      </c>
      <c r="AE2854" s="2"/>
      <c r="AF2854" s="2"/>
    </row>
    <row r="2855" spans="1:32" x14ac:dyDescent="0.35">
      <c r="A2855">
        <v>2854</v>
      </c>
      <c r="B2855" s="1">
        <v>42117</v>
      </c>
      <c r="C2855" s="9" t="s">
        <v>764</v>
      </c>
      <c r="D2855" s="9" t="s">
        <v>4570</v>
      </c>
      <c r="E2855" s="9" t="s">
        <v>1111</v>
      </c>
      <c r="F2855" s="9" t="s">
        <v>15</v>
      </c>
      <c r="G2855" s="9" t="s">
        <v>4414</v>
      </c>
      <c r="H2855" s="9" t="s">
        <v>86</v>
      </c>
      <c r="I2855" s="11">
        <v>500000</v>
      </c>
      <c r="J2855" s="11">
        <v>405631</v>
      </c>
      <c r="K2855" s="11">
        <v>10153449</v>
      </c>
      <c r="L2855" s="3">
        <v>254</v>
      </c>
      <c r="M2855" s="3">
        <v>581</v>
      </c>
      <c r="N2855" s="3">
        <v>1267423</v>
      </c>
      <c r="O2855" s="2">
        <v>0.26900000000000002</v>
      </c>
      <c r="P2855" s="2">
        <v>0.65900000000000003</v>
      </c>
      <c r="Q2855" s="2">
        <v>8.8000000000000009E-2</v>
      </c>
      <c r="R2855" s="11">
        <v>162970110</v>
      </c>
      <c r="S2855" s="11">
        <v>592809</v>
      </c>
      <c r="T2855">
        <v>2015</v>
      </c>
      <c r="U2855">
        <v>4</v>
      </c>
      <c r="V2855">
        <f t="shared" si="264"/>
        <v>450000</v>
      </c>
      <c r="W2855">
        <f t="shared" si="265"/>
        <v>18429897</v>
      </c>
      <c r="X2855">
        <f t="shared" si="266"/>
        <v>17979897</v>
      </c>
      <c r="Y2855">
        <f t="shared" si="267"/>
        <v>-26519845.5</v>
      </c>
      <c r="Z2855">
        <f t="shared" si="268"/>
        <v>45399742.5</v>
      </c>
      <c r="AA2855" t="str">
        <f t="shared" si="269"/>
        <v>Normal</v>
      </c>
      <c r="AE2855" s="2"/>
      <c r="AF2855" s="2"/>
    </row>
    <row r="2856" spans="1:32" x14ac:dyDescent="0.35">
      <c r="A2856">
        <v>2855</v>
      </c>
      <c r="B2856" s="1">
        <v>42117</v>
      </c>
      <c r="C2856" s="9" t="s">
        <v>3045</v>
      </c>
      <c r="D2856" s="9" t="s">
        <v>5664</v>
      </c>
      <c r="E2856" s="9" t="s">
        <v>1111</v>
      </c>
      <c r="F2856" s="9" t="s">
        <v>526</v>
      </c>
      <c r="G2856" s="9" t="s">
        <v>4571</v>
      </c>
      <c r="H2856" s="9" t="s">
        <v>86</v>
      </c>
      <c r="I2856" s="11">
        <v>1000000</v>
      </c>
      <c r="J2856" s="11">
        <v>2849661</v>
      </c>
      <c r="K2856" s="11">
        <v>14465893</v>
      </c>
      <c r="L2856" s="3">
        <v>446</v>
      </c>
      <c r="M2856" s="3">
        <v>3683</v>
      </c>
      <c r="N2856" s="3">
        <v>976711</v>
      </c>
      <c r="O2856" s="2">
        <v>-0.06</v>
      </c>
      <c r="P2856" s="2">
        <v>0.56700000000000006</v>
      </c>
      <c r="Q2856" s="2">
        <v>7.5999999999999998E-2</v>
      </c>
      <c r="R2856" s="11">
        <v>344047358</v>
      </c>
      <c r="S2856" s="11">
        <v>828957</v>
      </c>
      <c r="T2856">
        <v>2015</v>
      </c>
      <c r="U2856">
        <v>4</v>
      </c>
      <c r="V2856">
        <f t="shared" si="264"/>
        <v>425000</v>
      </c>
      <c r="W2856">
        <f t="shared" si="265"/>
        <v>18429897</v>
      </c>
      <c r="X2856">
        <f t="shared" si="266"/>
        <v>18004897</v>
      </c>
      <c r="Y2856">
        <f t="shared" si="267"/>
        <v>-26582345.5</v>
      </c>
      <c r="Z2856">
        <f t="shared" si="268"/>
        <v>45437242.5</v>
      </c>
      <c r="AA2856" t="str">
        <f t="shared" si="269"/>
        <v>Normal</v>
      </c>
      <c r="AE2856" s="2"/>
      <c r="AF2856" s="2"/>
    </row>
    <row r="2857" spans="1:32" x14ac:dyDescent="0.35">
      <c r="A2857">
        <v>2856</v>
      </c>
      <c r="B2857" s="1">
        <v>42117</v>
      </c>
      <c r="C2857" s="9" t="s">
        <v>409</v>
      </c>
      <c r="D2857" s="9" t="s">
        <v>5665</v>
      </c>
      <c r="E2857" s="9" t="s">
        <v>1111</v>
      </c>
      <c r="F2857" s="9" t="s">
        <v>27</v>
      </c>
      <c r="G2857" s="9" t="s">
        <v>4572</v>
      </c>
      <c r="H2857" s="9" t="s">
        <v>86</v>
      </c>
      <c r="I2857" s="11">
        <v>18429897</v>
      </c>
      <c r="J2857" s="11">
        <v>3903751</v>
      </c>
      <c r="K2857" s="11">
        <v>5618223</v>
      </c>
      <c r="L2857" s="3">
        <v>330</v>
      </c>
      <c r="M2857" s="3">
        <v>3315</v>
      </c>
      <c r="N2857" s="3">
        <v>458506</v>
      </c>
      <c r="O2857" s="2">
        <v>0.56799999999999995</v>
      </c>
      <c r="P2857" s="2">
        <v>0.69599999999999995</v>
      </c>
      <c r="Q2857" s="2">
        <v>-0.48299999999999998</v>
      </c>
      <c r="R2857" s="11">
        <v>494389762</v>
      </c>
      <c r="S2857" s="11">
        <v>420839</v>
      </c>
      <c r="T2857">
        <v>2015</v>
      </c>
      <c r="U2857">
        <v>4</v>
      </c>
      <c r="V2857">
        <f t="shared" si="264"/>
        <v>400000</v>
      </c>
      <c r="W2857">
        <f t="shared" si="265"/>
        <v>18429897</v>
      </c>
      <c r="X2857">
        <f t="shared" si="266"/>
        <v>18029897</v>
      </c>
      <c r="Y2857">
        <f t="shared" si="267"/>
        <v>-26644845.5</v>
      </c>
      <c r="Z2857">
        <f t="shared" si="268"/>
        <v>45474742.5</v>
      </c>
      <c r="AA2857" t="str">
        <f t="shared" si="269"/>
        <v>Normal</v>
      </c>
      <c r="AE2857" s="2"/>
      <c r="AF2857" s="2"/>
    </row>
    <row r="2858" spans="1:32" x14ac:dyDescent="0.35">
      <c r="A2858">
        <v>2857</v>
      </c>
      <c r="B2858" s="1">
        <v>42117</v>
      </c>
      <c r="C2858" s="9" t="s">
        <v>4573</v>
      </c>
      <c r="D2858" s="9" t="s">
        <v>5666</v>
      </c>
      <c r="E2858" s="9" t="s">
        <v>1111</v>
      </c>
      <c r="F2858" s="9" t="s">
        <v>27</v>
      </c>
      <c r="G2858" s="9" t="s">
        <v>4574</v>
      </c>
      <c r="H2858" s="9" t="s">
        <v>86</v>
      </c>
      <c r="I2858" s="11">
        <v>18429897</v>
      </c>
      <c r="J2858" s="11">
        <v>3627918</v>
      </c>
      <c r="K2858" s="11">
        <v>18753132</v>
      </c>
      <c r="L2858" s="3">
        <v>357</v>
      </c>
      <c r="M2858" s="3">
        <v>1339</v>
      </c>
      <c r="N2858" s="3">
        <v>1504515</v>
      </c>
      <c r="O2858" s="2">
        <v>1.6E-2</v>
      </c>
      <c r="P2858" s="2">
        <v>0.55600000000000005</v>
      </c>
      <c r="Q2858" s="2">
        <v>0.27700000000000002</v>
      </c>
      <c r="R2858" s="11">
        <v>222954578</v>
      </c>
      <c r="S2858" s="11">
        <v>1008193.5</v>
      </c>
      <c r="T2858">
        <v>2015</v>
      </c>
      <c r="U2858">
        <v>4</v>
      </c>
      <c r="V2858">
        <f t="shared" si="264"/>
        <v>400000</v>
      </c>
      <c r="W2858">
        <f t="shared" si="265"/>
        <v>18429897</v>
      </c>
      <c r="X2858">
        <f t="shared" si="266"/>
        <v>18029897</v>
      </c>
      <c r="Y2858">
        <f t="shared" si="267"/>
        <v>-26644845.5</v>
      </c>
      <c r="Z2858">
        <f t="shared" si="268"/>
        <v>45474742.5</v>
      </c>
      <c r="AA2858" t="str">
        <f t="shared" si="269"/>
        <v>Normal</v>
      </c>
      <c r="AE2858" s="2"/>
      <c r="AF2858" s="2"/>
    </row>
    <row r="2859" spans="1:32" x14ac:dyDescent="0.35">
      <c r="A2859">
        <v>2858</v>
      </c>
      <c r="B2859" s="1">
        <v>42118</v>
      </c>
      <c r="C2859" s="9" t="s">
        <v>631</v>
      </c>
      <c r="D2859" s="9" t="s">
        <v>5667</v>
      </c>
      <c r="E2859" s="9" t="s">
        <v>1111</v>
      </c>
      <c r="F2859" s="9" t="s">
        <v>31</v>
      </c>
      <c r="G2859" s="9" t="s">
        <v>4575</v>
      </c>
      <c r="H2859" s="9" t="s">
        <v>105</v>
      </c>
      <c r="I2859" s="11">
        <v>12000000</v>
      </c>
      <c r="J2859" s="11">
        <v>2241443</v>
      </c>
      <c r="K2859" s="11">
        <v>16053554</v>
      </c>
      <c r="L2859" s="3">
        <v>269</v>
      </c>
      <c r="M2859" s="3">
        <v>4706</v>
      </c>
      <c r="N2859" s="3">
        <v>1761321</v>
      </c>
      <c r="O2859" s="2">
        <v>4.9000000000000002E-2</v>
      </c>
      <c r="P2859" s="2">
        <v>0.66300000000000003</v>
      </c>
      <c r="Q2859" s="2">
        <v>2.7000000000000003E-2</v>
      </c>
      <c r="R2859" s="11">
        <v>492059992</v>
      </c>
      <c r="S2859" s="11">
        <v>1259595</v>
      </c>
      <c r="T2859">
        <v>2015</v>
      </c>
      <c r="U2859">
        <v>4</v>
      </c>
      <c r="V2859">
        <f t="shared" si="264"/>
        <v>400000</v>
      </c>
      <c r="W2859">
        <f t="shared" si="265"/>
        <v>18429897</v>
      </c>
      <c r="X2859">
        <f t="shared" si="266"/>
        <v>18029897</v>
      </c>
      <c r="Y2859">
        <f t="shared" si="267"/>
        <v>-26644845.5</v>
      </c>
      <c r="Z2859">
        <f t="shared" si="268"/>
        <v>45474742.5</v>
      </c>
      <c r="AA2859" t="str">
        <f t="shared" si="269"/>
        <v>Normal</v>
      </c>
      <c r="AE2859" s="2"/>
      <c r="AF2859" s="2"/>
    </row>
    <row r="2860" spans="1:32" x14ac:dyDescent="0.35">
      <c r="A2860">
        <v>2859</v>
      </c>
      <c r="B2860" s="1">
        <v>42121</v>
      </c>
      <c r="C2860" s="9" t="s">
        <v>4576</v>
      </c>
      <c r="D2860" s="9" t="s">
        <v>5668</v>
      </c>
      <c r="E2860" s="9" t="s">
        <v>1111</v>
      </c>
      <c r="F2860" s="9" t="s">
        <v>41</v>
      </c>
      <c r="G2860" s="9" t="s">
        <v>4577</v>
      </c>
      <c r="H2860" s="9" t="s">
        <v>86</v>
      </c>
      <c r="I2860" s="11">
        <v>350000</v>
      </c>
      <c r="J2860" s="11">
        <v>984287</v>
      </c>
      <c r="K2860" s="11">
        <v>12722991</v>
      </c>
      <c r="L2860" s="3">
        <v>205</v>
      </c>
      <c r="M2860" s="3">
        <v>2728</v>
      </c>
      <c r="N2860" s="3">
        <v>788656</v>
      </c>
      <c r="O2860" s="2">
        <v>7.2999999999999995E-2</v>
      </c>
      <c r="P2860" s="2">
        <v>0.745</v>
      </c>
      <c r="Q2860" s="2">
        <v>0.74199999999999999</v>
      </c>
      <c r="R2860" s="11">
        <v>183422166</v>
      </c>
      <c r="S2860" s="11">
        <v>1299613</v>
      </c>
      <c r="T2860">
        <v>2015</v>
      </c>
      <c r="U2860">
        <v>4</v>
      </c>
      <c r="V2860">
        <f t="shared" si="264"/>
        <v>400000</v>
      </c>
      <c r="W2860">
        <f t="shared" si="265"/>
        <v>18429897</v>
      </c>
      <c r="X2860">
        <f t="shared" si="266"/>
        <v>18029897</v>
      </c>
      <c r="Y2860">
        <f t="shared" si="267"/>
        <v>-26644845.5</v>
      </c>
      <c r="Z2860">
        <f t="shared" si="268"/>
        <v>45474742.5</v>
      </c>
      <c r="AA2860" t="str">
        <f t="shared" si="269"/>
        <v>Normal</v>
      </c>
      <c r="AE2860" s="2"/>
      <c r="AF2860" s="2"/>
    </row>
    <row r="2861" spans="1:32" x14ac:dyDescent="0.35">
      <c r="A2861">
        <v>2860</v>
      </c>
      <c r="B2861" s="1">
        <v>42121</v>
      </c>
      <c r="C2861" s="9" t="s">
        <v>2610</v>
      </c>
      <c r="D2861" s="9" t="s">
        <v>5669</v>
      </c>
      <c r="E2861" s="9" t="s">
        <v>1111</v>
      </c>
      <c r="F2861" s="9" t="s">
        <v>31</v>
      </c>
      <c r="G2861" s="9" t="s">
        <v>4578</v>
      </c>
      <c r="H2861" s="9" t="s">
        <v>86</v>
      </c>
      <c r="I2861" s="11">
        <v>1000000</v>
      </c>
      <c r="J2861" s="11">
        <v>4654808</v>
      </c>
      <c r="K2861" s="11">
        <v>2483373</v>
      </c>
      <c r="L2861" s="3">
        <v>214</v>
      </c>
      <c r="M2861" s="3">
        <v>3994</v>
      </c>
      <c r="N2861" s="3">
        <v>1045167</v>
      </c>
      <c r="O2861" s="2">
        <v>0.502</v>
      </c>
      <c r="P2861" s="2">
        <v>0.93099999999999994</v>
      </c>
      <c r="Q2861" s="2">
        <v>-3.2000000000000001E-2</v>
      </c>
      <c r="R2861" s="11">
        <v>159743417</v>
      </c>
      <c r="S2861" s="11">
        <v>1591814</v>
      </c>
      <c r="T2861">
        <v>2015</v>
      </c>
      <c r="U2861">
        <v>4</v>
      </c>
      <c r="V2861">
        <f t="shared" si="264"/>
        <v>400000</v>
      </c>
      <c r="W2861">
        <f t="shared" si="265"/>
        <v>18429897</v>
      </c>
      <c r="X2861">
        <f t="shared" si="266"/>
        <v>18029897</v>
      </c>
      <c r="Y2861">
        <f t="shared" si="267"/>
        <v>-26644845.5</v>
      </c>
      <c r="Z2861">
        <f t="shared" si="268"/>
        <v>45474742.5</v>
      </c>
      <c r="AA2861" t="str">
        <f t="shared" si="269"/>
        <v>Normal</v>
      </c>
      <c r="AE2861" s="2"/>
      <c r="AF2861" s="2"/>
    </row>
    <row r="2862" spans="1:32" x14ac:dyDescent="0.35">
      <c r="A2862">
        <v>2861</v>
      </c>
      <c r="B2862" s="1">
        <v>42121</v>
      </c>
      <c r="C2862" s="9" t="s">
        <v>4579</v>
      </c>
      <c r="D2862" s="9" t="s">
        <v>5670</v>
      </c>
      <c r="E2862" s="9" t="s">
        <v>1111</v>
      </c>
      <c r="F2862" s="9" t="s">
        <v>294</v>
      </c>
      <c r="G2862" s="9" t="s">
        <v>4899</v>
      </c>
      <c r="H2862" s="9" t="s">
        <v>86</v>
      </c>
      <c r="I2862" s="11">
        <v>400000</v>
      </c>
      <c r="J2862" s="11">
        <v>4179101</v>
      </c>
      <c r="K2862" s="11">
        <v>591040</v>
      </c>
      <c r="L2862" s="3">
        <v>382</v>
      </c>
      <c r="M2862" s="3">
        <v>3972</v>
      </c>
      <c r="N2862" s="3">
        <v>1890881</v>
      </c>
      <c r="O2862" s="2">
        <v>4.9000000000000002E-2</v>
      </c>
      <c r="P2862" s="2">
        <v>0.35100000000000003</v>
      </c>
      <c r="Q2862" s="2">
        <v>-7.2999999999999995E-2</v>
      </c>
      <c r="R2862" s="11">
        <v>192924867</v>
      </c>
      <c r="S2862" s="11">
        <v>1059128</v>
      </c>
      <c r="T2862">
        <v>2015</v>
      </c>
      <c r="U2862">
        <v>4</v>
      </c>
      <c r="V2862">
        <f t="shared" si="264"/>
        <v>400000</v>
      </c>
      <c r="W2862">
        <f t="shared" si="265"/>
        <v>18429897</v>
      </c>
      <c r="X2862">
        <f t="shared" si="266"/>
        <v>18029897</v>
      </c>
      <c r="Y2862">
        <f t="shared" si="267"/>
        <v>-26644845.5</v>
      </c>
      <c r="Z2862">
        <f t="shared" si="268"/>
        <v>45474742.5</v>
      </c>
      <c r="AA2862" t="str">
        <f t="shared" si="269"/>
        <v>Normal</v>
      </c>
      <c r="AE2862" s="2"/>
      <c r="AF2862" s="2"/>
    </row>
    <row r="2863" spans="1:32" x14ac:dyDescent="0.35">
      <c r="A2863">
        <v>2862</v>
      </c>
      <c r="B2863" s="1">
        <v>42121</v>
      </c>
      <c r="C2863" s="9" t="s">
        <v>4580</v>
      </c>
      <c r="D2863" s="9" t="s">
        <v>5671</v>
      </c>
      <c r="E2863" s="9" t="s">
        <v>1111</v>
      </c>
      <c r="F2863" s="9" t="s">
        <v>27</v>
      </c>
      <c r="G2863" s="9" t="s">
        <v>4581</v>
      </c>
      <c r="H2863" s="9" t="s">
        <v>105</v>
      </c>
      <c r="I2863" s="11">
        <v>18429897</v>
      </c>
      <c r="J2863" s="11">
        <v>3068860</v>
      </c>
      <c r="K2863" s="11">
        <v>3003777</v>
      </c>
      <c r="L2863" s="3">
        <v>117</v>
      </c>
      <c r="M2863" s="3">
        <v>1535</v>
      </c>
      <c r="N2863" s="3">
        <v>631561</v>
      </c>
      <c r="O2863" s="2">
        <v>2.6000000000000002E-2</v>
      </c>
      <c r="P2863" s="2">
        <v>0.33399999999999996</v>
      </c>
      <c r="Q2863" s="2">
        <v>0.126</v>
      </c>
      <c r="R2863" s="11">
        <v>228140276</v>
      </c>
      <c r="S2863" s="11">
        <v>871468</v>
      </c>
      <c r="T2863">
        <v>2015</v>
      </c>
      <c r="U2863">
        <v>4</v>
      </c>
      <c r="V2863">
        <f t="shared" si="264"/>
        <v>450000</v>
      </c>
      <c r="W2863">
        <f t="shared" si="265"/>
        <v>18429897</v>
      </c>
      <c r="X2863">
        <f t="shared" si="266"/>
        <v>17979897</v>
      </c>
      <c r="Y2863">
        <f t="shared" si="267"/>
        <v>-26519845.5</v>
      </c>
      <c r="Z2863">
        <f t="shared" si="268"/>
        <v>45399742.5</v>
      </c>
      <c r="AA2863" t="str">
        <f t="shared" si="269"/>
        <v>Normal</v>
      </c>
      <c r="AE2863" s="2"/>
      <c r="AF2863" s="2"/>
    </row>
    <row r="2864" spans="1:32" x14ac:dyDescent="0.35">
      <c r="A2864">
        <v>2863</v>
      </c>
      <c r="B2864" s="1">
        <v>42122</v>
      </c>
      <c r="C2864" s="9" t="s">
        <v>4582</v>
      </c>
      <c r="D2864" s="9" t="s">
        <v>5672</v>
      </c>
      <c r="E2864" s="9" t="s">
        <v>1111</v>
      </c>
      <c r="F2864" s="9" t="s">
        <v>15</v>
      </c>
      <c r="G2864" s="9" t="s">
        <v>4583</v>
      </c>
      <c r="H2864" s="9" t="s">
        <v>105</v>
      </c>
      <c r="I2864" s="11">
        <v>10000000</v>
      </c>
      <c r="J2864" s="11">
        <v>452072</v>
      </c>
      <c r="K2864" s="11">
        <v>10044067</v>
      </c>
      <c r="L2864" s="3">
        <v>173</v>
      </c>
      <c r="M2864" s="3">
        <v>2976</v>
      </c>
      <c r="N2864" s="3">
        <v>436069</v>
      </c>
      <c r="O2864" s="2">
        <v>0.34899999999999998</v>
      </c>
      <c r="P2864" s="2">
        <v>0.69799999999999995</v>
      </c>
      <c r="Q2864" s="2">
        <v>-0.223</v>
      </c>
      <c r="R2864" s="11">
        <v>466893708</v>
      </c>
      <c r="S2864" s="11">
        <v>263634</v>
      </c>
      <c r="T2864">
        <v>2015</v>
      </c>
      <c r="U2864">
        <v>4</v>
      </c>
      <c r="V2864">
        <f t="shared" si="264"/>
        <v>425000</v>
      </c>
      <c r="W2864">
        <f t="shared" si="265"/>
        <v>18429897</v>
      </c>
      <c r="X2864">
        <f t="shared" si="266"/>
        <v>18004897</v>
      </c>
      <c r="Y2864">
        <f t="shared" si="267"/>
        <v>-26582345.5</v>
      </c>
      <c r="Z2864">
        <f t="shared" si="268"/>
        <v>45437242.5</v>
      </c>
      <c r="AA2864" t="str">
        <f t="shared" si="269"/>
        <v>Normal</v>
      </c>
      <c r="AE2864" s="2"/>
      <c r="AF2864" s="2"/>
    </row>
    <row r="2865" spans="1:32" x14ac:dyDescent="0.35">
      <c r="A2865">
        <v>2864</v>
      </c>
      <c r="B2865" s="1">
        <v>42122</v>
      </c>
      <c r="C2865" s="9" t="s">
        <v>663</v>
      </c>
      <c r="D2865" s="9" t="s">
        <v>5673</v>
      </c>
      <c r="E2865" s="9" t="s">
        <v>1111</v>
      </c>
      <c r="F2865" s="9" t="s">
        <v>15</v>
      </c>
      <c r="G2865" s="9" t="s">
        <v>4584</v>
      </c>
      <c r="H2865" s="9" t="s">
        <v>105</v>
      </c>
      <c r="I2865" s="11">
        <v>18429897</v>
      </c>
      <c r="J2865" s="11">
        <v>195176</v>
      </c>
      <c r="K2865" s="11">
        <v>15647032</v>
      </c>
      <c r="L2865" s="3">
        <v>157</v>
      </c>
      <c r="M2865" s="3">
        <v>2985</v>
      </c>
      <c r="N2865" s="3">
        <v>692378</v>
      </c>
      <c r="O2865" s="2">
        <v>-0.16</v>
      </c>
      <c r="P2865" s="2">
        <v>0.67500000000000004</v>
      </c>
      <c r="Q2865" s="2">
        <v>0.39200000000000002</v>
      </c>
      <c r="R2865" s="11">
        <v>20926138</v>
      </c>
      <c r="S2865" s="11">
        <v>25388</v>
      </c>
      <c r="T2865">
        <v>2015</v>
      </c>
      <c r="U2865">
        <v>4</v>
      </c>
      <c r="V2865">
        <f t="shared" si="264"/>
        <v>400000</v>
      </c>
      <c r="W2865">
        <f t="shared" si="265"/>
        <v>18429897</v>
      </c>
      <c r="X2865">
        <f t="shared" si="266"/>
        <v>18029897</v>
      </c>
      <c r="Y2865">
        <f t="shared" si="267"/>
        <v>-26644845.5</v>
      </c>
      <c r="Z2865">
        <f t="shared" si="268"/>
        <v>45474742.5</v>
      </c>
      <c r="AA2865" t="str">
        <f t="shared" si="269"/>
        <v>Normal</v>
      </c>
      <c r="AE2865" s="2"/>
      <c r="AF2865" s="2"/>
    </row>
    <row r="2866" spans="1:32" x14ac:dyDescent="0.35">
      <c r="A2866">
        <v>2865</v>
      </c>
      <c r="B2866" s="1">
        <v>42122</v>
      </c>
      <c r="C2866" s="9" t="s">
        <v>4585</v>
      </c>
      <c r="D2866" s="9" t="s">
        <v>5674</v>
      </c>
      <c r="E2866" s="9" t="s">
        <v>1111</v>
      </c>
      <c r="F2866" s="9" t="s">
        <v>124</v>
      </c>
      <c r="G2866" s="9" t="s">
        <v>4586</v>
      </c>
      <c r="H2866" s="9" t="s">
        <v>86</v>
      </c>
      <c r="I2866" s="11">
        <v>250000</v>
      </c>
      <c r="J2866" s="11">
        <v>1589795</v>
      </c>
      <c r="K2866" s="11">
        <v>3143936</v>
      </c>
      <c r="L2866" s="3">
        <v>263</v>
      </c>
      <c r="M2866" s="3">
        <v>2305</v>
      </c>
      <c r="N2866" s="3">
        <v>899064</v>
      </c>
      <c r="O2866" s="2">
        <v>0.104</v>
      </c>
      <c r="P2866" s="2">
        <v>0.76400000000000001</v>
      </c>
      <c r="Q2866" s="2">
        <v>-0.14699999999999999</v>
      </c>
      <c r="R2866" s="11">
        <v>8515540</v>
      </c>
      <c r="S2866" s="11">
        <v>152219</v>
      </c>
      <c r="T2866">
        <v>2015</v>
      </c>
      <c r="U2866">
        <v>4</v>
      </c>
      <c r="V2866">
        <f t="shared" si="264"/>
        <v>395000</v>
      </c>
      <c r="W2866">
        <f t="shared" si="265"/>
        <v>18429897</v>
      </c>
      <c r="X2866">
        <f t="shared" si="266"/>
        <v>18034897</v>
      </c>
      <c r="Y2866">
        <f t="shared" si="267"/>
        <v>-26657345.5</v>
      </c>
      <c r="Z2866">
        <f t="shared" si="268"/>
        <v>45482242.5</v>
      </c>
      <c r="AA2866" t="str">
        <f t="shared" si="269"/>
        <v>Normal</v>
      </c>
      <c r="AE2866" s="2"/>
      <c r="AF2866" s="2"/>
    </row>
    <row r="2867" spans="1:32" x14ac:dyDescent="0.35">
      <c r="A2867">
        <v>2866</v>
      </c>
      <c r="B2867" s="1">
        <v>42122</v>
      </c>
      <c r="C2867" s="9" t="s">
        <v>3748</v>
      </c>
      <c r="D2867" s="9" t="s">
        <v>5675</v>
      </c>
      <c r="E2867" s="9" t="s">
        <v>1111</v>
      </c>
      <c r="F2867" s="9" t="s">
        <v>31</v>
      </c>
      <c r="G2867" s="9" t="s">
        <v>4587</v>
      </c>
      <c r="H2867" s="9" t="s">
        <v>105</v>
      </c>
      <c r="I2867" s="11">
        <v>21500000</v>
      </c>
      <c r="J2867" s="11">
        <v>804466</v>
      </c>
      <c r="K2867" s="11">
        <v>14176631</v>
      </c>
      <c r="L2867" s="3">
        <v>254</v>
      </c>
      <c r="M2867" s="3">
        <v>3194</v>
      </c>
      <c r="N2867" s="3">
        <v>887710</v>
      </c>
      <c r="O2867" s="2">
        <v>0.13699999999999998</v>
      </c>
      <c r="P2867" s="2">
        <v>0.81299999999999994</v>
      </c>
      <c r="Q2867" s="2">
        <v>-0.12</v>
      </c>
      <c r="R2867" s="11">
        <v>280297059</v>
      </c>
      <c r="S2867" s="11">
        <v>1201558</v>
      </c>
      <c r="T2867">
        <v>2015</v>
      </c>
      <c r="U2867">
        <v>4</v>
      </c>
      <c r="V2867">
        <f t="shared" si="264"/>
        <v>450000</v>
      </c>
      <c r="W2867">
        <f t="shared" si="265"/>
        <v>18429897</v>
      </c>
      <c r="X2867">
        <f t="shared" si="266"/>
        <v>17979897</v>
      </c>
      <c r="Y2867">
        <f t="shared" si="267"/>
        <v>-26519845.5</v>
      </c>
      <c r="Z2867">
        <f t="shared" si="268"/>
        <v>45399742.5</v>
      </c>
      <c r="AA2867" t="str">
        <f t="shared" si="269"/>
        <v>Normal</v>
      </c>
      <c r="AE2867" s="2"/>
      <c r="AF2867" s="2"/>
    </row>
    <row r="2868" spans="1:32" x14ac:dyDescent="0.35">
      <c r="A2868">
        <v>2867</v>
      </c>
      <c r="B2868" s="1">
        <v>42123</v>
      </c>
      <c r="C2868" s="9" t="s">
        <v>4588</v>
      </c>
      <c r="D2868" s="9" t="s">
        <v>5676</v>
      </c>
      <c r="E2868" s="9" t="s">
        <v>1111</v>
      </c>
      <c r="F2868" s="9" t="s">
        <v>19</v>
      </c>
      <c r="G2868" s="9" t="s">
        <v>4589</v>
      </c>
      <c r="H2868" s="9" t="s">
        <v>86</v>
      </c>
      <c r="I2868" s="11">
        <v>1000000</v>
      </c>
      <c r="J2868" s="11">
        <v>4304577</v>
      </c>
      <c r="K2868" s="11">
        <v>1050813</v>
      </c>
      <c r="L2868" s="3">
        <v>461</v>
      </c>
      <c r="M2868" s="3">
        <v>1713</v>
      </c>
      <c r="N2868" s="3">
        <v>1203409</v>
      </c>
      <c r="O2868" s="2">
        <v>-2.1000000000000001E-2</v>
      </c>
      <c r="P2868" s="2">
        <v>0.47399999999999998</v>
      </c>
      <c r="Q2868" s="2">
        <v>0.29699999999999999</v>
      </c>
      <c r="R2868" s="11">
        <v>79510035</v>
      </c>
      <c r="S2868" s="11">
        <v>948239</v>
      </c>
      <c r="T2868">
        <v>2015</v>
      </c>
      <c r="U2868">
        <v>4</v>
      </c>
      <c r="V2868">
        <f t="shared" si="264"/>
        <v>425000</v>
      </c>
      <c r="W2868">
        <f t="shared" si="265"/>
        <v>18429897</v>
      </c>
      <c r="X2868">
        <f t="shared" si="266"/>
        <v>18004897</v>
      </c>
      <c r="Y2868">
        <f t="shared" si="267"/>
        <v>-26582345.5</v>
      </c>
      <c r="Z2868">
        <f t="shared" si="268"/>
        <v>45437242.5</v>
      </c>
      <c r="AA2868" t="str">
        <f t="shared" si="269"/>
        <v>Normal</v>
      </c>
      <c r="AE2868" s="2"/>
      <c r="AF2868" s="2"/>
    </row>
    <row r="2869" spans="1:32" x14ac:dyDescent="0.35">
      <c r="A2869">
        <v>2868</v>
      </c>
      <c r="B2869" s="1">
        <v>42123</v>
      </c>
      <c r="C2869" s="9" t="s">
        <v>732</v>
      </c>
      <c r="D2869" s="9" t="s">
        <v>5677</v>
      </c>
      <c r="E2869" s="9" t="s">
        <v>1111</v>
      </c>
      <c r="F2869" s="9" t="s">
        <v>4917</v>
      </c>
      <c r="G2869" s="9" t="s">
        <v>4590</v>
      </c>
      <c r="H2869" s="9" t="s">
        <v>105</v>
      </c>
      <c r="I2869" s="11">
        <v>6000000</v>
      </c>
      <c r="J2869" s="11">
        <v>1044982</v>
      </c>
      <c r="K2869" s="11">
        <v>5385602</v>
      </c>
      <c r="L2869" s="3">
        <v>274</v>
      </c>
      <c r="M2869" s="3">
        <v>535</v>
      </c>
      <c r="N2869" s="3">
        <v>553050</v>
      </c>
      <c r="O2869" s="2">
        <v>-0.193</v>
      </c>
      <c r="P2869" s="2">
        <v>0.84799999999999998</v>
      </c>
      <c r="Q2869" s="2">
        <v>0.153</v>
      </c>
      <c r="R2869" s="11">
        <v>484800738</v>
      </c>
      <c r="S2869" s="11">
        <v>1659948</v>
      </c>
      <c r="T2869">
        <v>2015</v>
      </c>
      <c r="U2869">
        <v>4</v>
      </c>
      <c r="V2869">
        <f t="shared" si="264"/>
        <v>400000</v>
      </c>
      <c r="W2869">
        <f t="shared" si="265"/>
        <v>18429897</v>
      </c>
      <c r="X2869">
        <f t="shared" si="266"/>
        <v>18029897</v>
      </c>
      <c r="Y2869">
        <f t="shared" si="267"/>
        <v>-26644845.5</v>
      </c>
      <c r="Z2869">
        <f t="shared" si="268"/>
        <v>45474742.5</v>
      </c>
      <c r="AA2869" t="str">
        <f t="shared" si="269"/>
        <v>Normal</v>
      </c>
      <c r="AE2869" s="2"/>
      <c r="AF2869" s="2"/>
    </row>
    <row r="2870" spans="1:32" x14ac:dyDescent="0.35">
      <c r="A2870">
        <v>2869</v>
      </c>
      <c r="B2870" s="1">
        <v>42123</v>
      </c>
      <c r="C2870" s="9" t="s">
        <v>3324</v>
      </c>
      <c r="D2870" s="9" t="s">
        <v>5678</v>
      </c>
      <c r="E2870" s="9" t="s">
        <v>1111</v>
      </c>
      <c r="F2870" s="9" t="s">
        <v>15</v>
      </c>
      <c r="G2870" s="9" t="s">
        <v>120</v>
      </c>
      <c r="H2870" s="9" t="s">
        <v>105</v>
      </c>
      <c r="I2870" s="11">
        <v>3500000</v>
      </c>
      <c r="J2870" s="11">
        <v>1427601</v>
      </c>
      <c r="K2870" s="11">
        <v>12010361</v>
      </c>
      <c r="L2870" s="3">
        <v>104</v>
      </c>
      <c r="M2870" s="3">
        <v>273</v>
      </c>
      <c r="N2870" s="3">
        <v>1086574</v>
      </c>
      <c r="O2870" s="2">
        <v>0.13400000000000001</v>
      </c>
      <c r="P2870" s="2">
        <v>0.69599999999999995</v>
      </c>
      <c r="Q2870" s="2">
        <v>0.14800000000000002</v>
      </c>
      <c r="R2870" s="11">
        <v>134576888</v>
      </c>
      <c r="S2870" s="11">
        <v>1826804</v>
      </c>
      <c r="T2870">
        <v>2015</v>
      </c>
      <c r="U2870">
        <v>4</v>
      </c>
      <c r="V2870">
        <f t="shared" si="264"/>
        <v>395000</v>
      </c>
      <c r="W2870">
        <f t="shared" si="265"/>
        <v>18429897</v>
      </c>
      <c r="X2870">
        <f t="shared" si="266"/>
        <v>18034897</v>
      </c>
      <c r="Y2870">
        <f t="shared" si="267"/>
        <v>-26657345.5</v>
      </c>
      <c r="Z2870">
        <f t="shared" si="268"/>
        <v>45482242.5</v>
      </c>
      <c r="AA2870" t="str">
        <f t="shared" si="269"/>
        <v>Normal</v>
      </c>
      <c r="AE2870" s="2"/>
      <c r="AF2870" s="2"/>
    </row>
    <row r="2871" spans="1:32" x14ac:dyDescent="0.35">
      <c r="A2871">
        <v>2870</v>
      </c>
      <c r="B2871" s="1">
        <v>42123</v>
      </c>
      <c r="C2871" s="9" t="s">
        <v>4591</v>
      </c>
      <c r="D2871" s="9" t="s">
        <v>5679</v>
      </c>
      <c r="E2871" s="9" t="s">
        <v>1111</v>
      </c>
      <c r="F2871" s="9" t="s">
        <v>15</v>
      </c>
      <c r="G2871" s="9" t="s">
        <v>4592</v>
      </c>
      <c r="H2871" s="9" t="s">
        <v>86</v>
      </c>
      <c r="I2871" s="11">
        <v>18429897</v>
      </c>
      <c r="J2871" s="11">
        <v>4879165</v>
      </c>
      <c r="K2871" s="11">
        <v>16584636</v>
      </c>
      <c r="L2871" s="3">
        <v>470</v>
      </c>
      <c r="M2871" s="3">
        <v>2262</v>
      </c>
      <c r="N2871" s="3">
        <v>215236</v>
      </c>
      <c r="O2871" s="2">
        <v>0.25800000000000001</v>
      </c>
      <c r="P2871" s="2">
        <v>0.50800000000000001</v>
      </c>
      <c r="Q2871" s="2">
        <v>-0.24</v>
      </c>
      <c r="R2871" s="11">
        <v>189890842</v>
      </c>
      <c r="S2871" s="11">
        <v>1230803</v>
      </c>
      <c r="T2871">
        <v>2015</v>
      </c>
      <c r="U2871">
        <v>4</v>
      </c>
      <c r="V2871">
        <f t="shared" si="264"/>
        <v>390000</v>
      </c>
      <c r="W2871">
        <f t="shared" si="265"/>
        <v>18429897</v>
      </c>
      <c r="X2871">
        <f t="shared" si="266"/>
        <v>18039897</v>
      </c>
      <c r="Y2871">
        <f t="shared" si="267"/>
        <v>-26669845.5</v>
      </c>
      <c r="Z2871">
        <f t="shared" si="268"/>
        <v>45489742.5</v>
      </c>
      <c r="AA2871" t="str">
        <f t="shared" si="269"/>
        <v>Normal</v>
      </c>
      <c r="AE2871" s="2"/>
      <c r="AF2871" s="2"/>
    </row>
    <row r="2872" spans="1:32" x14ac:dyDescent="0.35">
      <c r="A2872">
        <v>2871</v>
      </c>
      <c r="B2872" s="1">
        <v>42123</v>
      </c>
      <c r="C2872" s="9" t="s">
        <v>4593</v>
      </c>
      <c r="D2872" s="9" t="s">
        <v>5680</v>
      </c>
      <c r="E2872" s="9" t="s">
        <v>1111</v>
      </c>
      <c r="F2872" s="9" t="s">
        <v>15</v>
      </c>
      <c r="G2872" s="9" t="s">
        <v>1487</v>
      </c>
      <c r="H2872" s="9" t="s">
        <v>86</v>
      </c>
      <c r="I2872" s="11">
        <v>400000</v>
      </c>
      <c r="J2872" s="11">
        <v>4094934</v>
      </c>
      <c r="K2872" s="11">
        <v>15560745</v>
      </c>
      <c r="L2872" s="3">
        <v>159</v>
      </c>
      <c r="M2872" s="3">
        <v>4569</v>
      </c>
      <c r="N2872" s="3">
        <v>1893886</v>
      </c>
      <c r="O2872" s="2">
        <v>-1.6E-2</v>
      </c>
      <c r="P2872" s="2">
        <v>0.79400000000000004</v>
      </c>
      <c r="Q2872" s="2">
        <v>0.34300000000000003</v>
      </c>
      <c r="R2872" s="11">
        <v>445919620</v>
      </c>
      <c r="S2872" s="11">
        <v>424224</v>
      </c>
      <c r="T2872">
        <v>2015</v>
      </c>
      <c r="U2872">
        <v>4</v>
      </c>
      <c r="V2872">
        <f t="shared" si="264"/>
        <v>385000</v>
      </c>
      <c r="W2872">
        <f t="shared" si="265"/>
        <v>18429897</v>
      </c>
      <c r="X2872">
        <f t="shared" si="266"/>
        <v>18044897</v>
      </c>
      <c r="Y2872">
        <f t="shared" si="267"/>
        <v>-26682345.5</v>
      </c>
      <c r="Z2872">
        <f t="shared" si="268"/>
        <v>45497242.5</v>
      </c>
      <c r="AA2872" t="str">
        <f t="shared" si="269"/>
        <v>Normal</v>
      </c>
      <c r="AE2872" s="2"/>
      <c r="AF2872" s="2"/>
    </row>
    <row r="2873" spans="1:32" x14ac:dyDescent="0.35">
      <c r="A2873">
        <v>2872</v>
      </c>
      <c r="B2873" s="1">
        <v>42123</v>
      </c>
      <c r="C2873" s="9" t="s">
        <v>4594</v>
      </c>
      <c r="D2873" s="9" t="s">
        <v>5681</v>
      </c>
      <c r="E2873" s="9" t="s">
        <v>1111</v>
      </c>
      <c r="F2873" s="9" t="s">
        <v>35</v>
      </c>
      <c r="G2873" s="9" t="s">
        <v>4595</v>
      </c>
      <c r="H2873" s="9" t="s">
        <v>86</v>
      </c>
      <c r="I2873" s="11">
        <v>500000</v>
      </c>
      <c r="J2873" s="11">
        <v>1109147</v>
      </c>
      <c r="K2873" s="11">
        <v>10699730</v>
      </c>
      <c r="L2873" s="3">
        <v>181</v>
      </c>
      <c r="M2873" s="3">
        <v>1111</v>
      </c>
      <c r="N2873" s="3">
        <v>589529</v>
      </c>
      <c r="O2873" s="2">
        <v>-0.11599999999999999</v>
      </c>
      <c r="P2873" s="2">
        <v>0.81200000000000006</v>
      </c>
      <c r="Q2873" s="2">
        <v>-0.158</v>
      </c>
      <c r="R2873" s="11">
        <v>164025799</v>
      </c>
      <c r="S2873" s="11">
        <v>1692271</v>
      </c>
      <c r="T2873">
        <v>2015</v>
      </c>
      <c r="U2873">
        <v>4</v>
      </c>
      <c r="V2873">
        <f t="shared" si="264"/>
        <v>380000</v>
      </c>
      <c r="W2873">
        <f t="shared" si="265"/>
        <v>18429897</v>
      </c>
      <c r="X2873">
        <f t="shared" si="266"/>
        <v>18049897</v>
      </c>
      <c r="Y2873">
        <f t="shared" si="267"/>
        <v>-26694845.5</v>
      </c>
      <c r="Z2873">
        <f t="shared" si="268"/>
        <v>45504742.5</v>
      </c>
      <c r="AA2873" t="str">
        <f t="shared" si="269"/>
        <v>Normal</v>
      </c>
      <c r="AE2873" s="2"/>
      <c r="AF2873" s="2"/>
    </row>
    <row r="2874" spans="1:32" x14ac:dyDescent="0.35">
      <c r="A2874">
        <v>2873</v>
      </c>
      <c r="B2874" s="1">
        <v>42123</v>
      </c>
      <c r="C2874" s="9" t="s">
        <v>1797</v>
      </c>
      <c r="D2874" s="9" t="s">
        <v>5682</v>
      </c>
      <c r="E2874" s="9" t="s">
        <v>1111</v>
      </c>
      <c r="F2874" s="9" t="s">
        <v>63</v>
      </c>
      <c r="G2874" s="9" t="s">
        <v>4596</v>
      </c>
      <c r="H2874" s="9" t="s">
        <v>105</v>
      </c>
      <c r="I2874" s="11">
        <v>8000000</v>
      </c>
      <c r="J2874" s="11">
        <v>1930044</v>
      </c>
      <c r="K2874" s="11">
        <v>817605</v>
      </c>
      <c r="L2874" s="3">
        <v>443</v>
      </c>
      <c r="M2874" s="3">
        <v>2980</v>
      </c>
      <c r="N2874" s="3">
        <v>648723</v>
      </c>
      <c r="O2874" s="2">
        <v>0.371</v>
      </c>
      <c r="P2874" s="2">
        <v>0.81699999999999995</v>
      </c>
      <c r="Q2874" s="2">
        <v>-0.33100000000000002</v>
      </c>
      <c r="R2874" s="11">
        <v>469249646</v>
      </c>
      <c r="S2874" s="11">
        <v>1692435</v>
      </c>
      <c r="T2874">
        <v>2015</v>
      </c>
      <c r="U2874">
        <v>4</v>
      </c>
      <c r="V2874">
        <f t="shared" si="264"/>
        <v>367500</v>
      </c>
      <c r="W2874">
        <f t="shared" si="265"/>
        <v>18429897</v>
      </c>
      <c r="X2874">
        <f t="shared" si="266"/>
        <v>18062397</v>
      </c>
      <c r="Y2874">
        <f t="shared" si="267"/>
        <v>-26726095.5</v>
      </c>
      <c r="Z2874">
        <f t="shared" si="268"/>
        <v>45523492.5</v>
      </c>
      <c r="AA2874" t="str">
        <f t="shared" si="269"/>
        <v>Normal</v>
      </c>
      <c r="AE2874" s="2"/>
      <c r="AF2874" s="2"/>
    </row>
    <row r="2875" spans="1:32" x14ac:dyDescent="0.35">
      <c r="A2875">
        <v>2874</v>
      </c>
      <c r="B2875" s="1">
        <v>42065</v>
      </c>
      <c r="C2875" s="9" t="s">
        <v>4597</v>
      </c>
      <c r="D2875" s="9" t="s">
        <v>4988</v>
      </c>
      <c r="E2875" s="9" t="s">
        <v>1111</v>
      </c>
      <c r="F2875" s="9" t="s">
        <v>15</v>
      </c>
      <c r="G2875" s="9" t="s">
        <v>4598</v>
      </c>
      <c r="H2875" s="9" t="s">
        <v>105</v>
      </c>
      <c r="I2875" s="11">
        <v>5500000</v>
      </c>
      <c r="J2875" s="11">
        <v>2588463</v>
      </c>
      <c r="K2875" s="11">
        <v>5938436</v>
      </c>
      <c r="L2875" s="3">
        <v>135</v>
      </c>
      <c r="M2875" s="3">
        <v>862</v>
      </c>
      <c r="N2875" s="3">
        <v>322531</v>
      </c>
      <c r="O2875" s="2">
        <v>0.22600000000000001</v>
      </c>
      <c r="P2875" s="2">
        <v>1.0309999999999999</v>
      </c>
      <c r="Q2875" s="2">
        <v>0.192</v>
      </c>
      <c r="R2875" s="11">
        <v>358658057</v>
      </c>
      <c r="S2875" s="11">
        <v>33061</v>
      </c>
      <c r="T2875">
        <v>2015</v>
      </c>
      <c r="U2875">
        <v>3</v>
      </c>
      <c r="V2875">
        <f t="shared" si="264"/>
        <v>355000</v>
      </c>
      <c r="W2875">
        <f t="shared" si="265"/>
        <v>18429897</v>
      </c>
      <c r="X2875">
        <f t="shared" si="266"/>
        <v>18074897</v>
      </c>
      <c r="Y2875">
        <f t="shared" si="267"/>
        <v>-26757345.5</v>
      </c>
      <c r="Z2875">
        <f t="shared" si="268"/>
        <v>45542242.5</v>
      </c>
      <c r="AA2875" t="str">
        <f t="shared" si="269"/>
        <v>Normal</v>
      </c>
      <c r="AE2875" s="2"/>
      <c r="AF2875" s="2"/>
    </row>
    <row r="2876" spans="1:32" x14ac:dyDescent="0.35">
      <c r="A2876">
        <v>2875</v>
      </c>
      <c r="B2876" s="1">
        <v>42065</v>
      </c>
      <c r="C2876" s="9" t="s">
        <v>4281</v>
      </c>
      <c r="D2876" s="9" t="s">
        <v>4988</v>
      </c>
      <c r="E2876" s="9" t="s">
        <v>1111</v>
      </c>
      <c r="F2876" s="9" t="s">
        <v>15</v>
      </c>
      <c r="G2876" s="9" t="s">
        <v>4171</v>
      </c>
      <c r="H2876" s="9" t="s">
        <v>86</v>
      </c>
      <c r="I2876" s="11">
        <v>120000</v>
      </c>
      <c r="J2876" s="11">
        <v>3328066</v>
      </c>
      <c r="K2876" s="11">
        <v>15693426</v>
      </c>
      <c r="L2876" s="3">
        <v>233</v>
      </c>
      <c r="M2876" s="3">
        <v>3176</v>
      </c>
      <c r="N2876" s="3">
        <v>755326</v>
      </c>
      <c r="O2876" s="2">
        <v>4.8000000000000001E-2</v>
      </c>
      <c r="P2876" s="2">
        <v>0.7</v>
      </c>
      <c r="Q2876" s="2">
        <v>4.5999999999999999E-2</v>
      </c>
      <c r="R2876" s="11">
        <v>12482106</v>
      </c>
      <c r="S2876" s="11">
        <v>1546760</v>
      </c>
      <c r="T2876">
        <v>2015</v>
      </c>
      <c r="U2876">
        <v>3</v>
      </c>
      <c r="V2876">
        <f t="shared" si="264"/>
        <v>342500</v>
      </c>
      <c r="W2876">
        <f t="shared" si="265"/>
        <v>18429897</v>
      </c>
      <c r="X2876">
        <f t="shared" si="266"/>
        <v>18087397</v>
      </c>
      <c r="Y2876">
        <f t="shared" si="267"/>
        <v>-26788595.5</v>
      </c>
      <c r="Z2876">
        <f t="shared" si="268"/>
        <v>45560992.5</v>
      </c>
      <c r="AA2876" t="str">
        <f t="shared" si="269"/>
        <v>Normal</v>
      </c>
      <c r="AE2876" s="2"/>
      <c r="AF2876" s="2"/>
    </row>
    <row r="2877" spans="1:32" x14ac:dyDescent="0.35">
      <c r="A2877">
        <v>2876</v>
      </c>
      <c r="B2877" s="1">
        <v>42066</v>
      </c>
      <c r="C2877" s="9" t="s">
        <v>4599</v>
      </c>
      <c r="D2877" s="9" t="s">
        <v>4988</v>
      </c>
      <c r="E2877" s="9" t="s">
        <v>1111</v>
      </c>
      <c r="F2877" s="9" t="s">
        <v>15</v>
      </c>
      <c r="G2877" s="9" t="s">
        <v>4600</v>
      </c>
      <c r="H2877" s="9" t="s">
        <v>105</v>
      </c>
      <c r="I2877" s="11">
        <v>15000000</v>
      </c>
      <c r="J2877" s="11">
        <v>4682161</v>
      </c>
      <c r="K2877" s="11">
        <v>1716054</v>
      </c>
      <c r="L2877" s="3">
        <v>458</v>
      </c>
      <c r="M2877" s="3">
        <v>961</v>
      </c>
      <c r="N2877" s="3">
        <v>1948808</v>
      </c>
      <c r="O2877" s="2">
        <v>0.30399999999999999</v>
      </c>
      <c r="P2877" s="2">
        <v>1.141E-2</v>
      </c>
      <c r="Q2877" s="2">
        <v>0.04</v>
      </c>
      <c r="R2877" s="11">
        <v>473388046</v>
      </c>
      <c r="S2877" s="11">
        <v>454799</v>
      </c>
      <c r="T2877">
        <v>2015</v>
      </c>
      <c r="U2877">
        <v>3</v>
      </c>
      <c r="V2877">
        <f t="shared" si="264"/>
        <v>380000</v>
      </c>
      <c r="W2877">
        <f t="shared" si="265"/>
        <v>18429897</v>
      </c>
      <c r="X2877">
        <f t="shared" si="266"/>
        <v>18049897</v>
      </c>
      <c r="Y2877">
        <f t="shared" si="267"/>
        <v>-26694845.5</v>
      </c>
      <c r="Z2877">
        <f t="shared" si="268"/>
        <v>45504742.5</v>
      </c>
      <c r="AA2877" t="str">
        <f t="shared" si="269"/>
        <v>Normal</v>
      </c>
      <c r="AE2877" s="2"/>
      <c r="AF2877" s="2"/>
    </row>
    <row r="2878" spans="1:32" x14ac:dyDescent="0.35">
      <c r="A2878">
        <v>2877</v>
      </c>
      <c r="B2878" s="1">
        <v>42066</v>
      </c>
      <c r="C2878" s="9" t="s">
        <v>4601</v>
      </c>
      <c r="D2878" s="9" t="s">
        <v>4988</v>
      </c>
      <c r="E2878" s="9" t="s">
        <v>1111</v>
      </c>
      <c r="F2878" s="9" t="s">
        <v>15</v>
      </c>
      <c r="G2878" s="9" t="s">
        <v>4602</v>
      </c>
      <c r="H2878" s="9" t="s">
        <v>86</v>
      </c>
      <c r="I2878" s="11">
        <v>18429897</v>
      </c>
      <c r="J2878" s="11">
        <v>4358206</v>
      </c>
      <c r="K2878" s="11">
        <v>14157118</v>
      </c>
      <c r="L2878" s="3">
        <v>162</v>
      </c>
      <c r="M2878" s="3">
        <v>2230</v>
      </c>
      <c r="N2878" s="3">
        <v>1191403</v>
      </c>
      <c r="O2878" s="2">
        <v>0.16800000000000001</v>
      </c>
      <c r="P2878" s="2">
        <v>1.146E-2</v>
      </c>
      <c r="Q2878" s="2">
        <v>0.26700000000000002</v>
      </c>
      <c r="R2878" s="11">
        <v>13683098</v>
      </c>
      <c r="S2878" s="11">
        <v>519924</v>
      </c>
      <c r="T2878">
        <v>2015</v>
      </c>
      <c r="U2878">
        <v>3</v>
      </c>
      <c r="V2878">
        <f t="shared" si="264"/>
        <v>367500</v>
      </c>
      <c r="W2878">
        <f t="shared" si="265"/>
        <v>18429897</v>
      </c>
      <c r="X2878">
        <f t="shared" si="266"/>
        <v>18062397</v>
      </c>
      <c r="Y2878">
        <f t="shared" si="267"/>
        <v>-26726095.5</v>
      </c>
      <c r="Z2878">
        <f t="shared" si="268"/>
        <v>45523492.5</v>
      </c>
      <c r="AA2878" t="str">
        <f t="shared" si="269"/>
        <v>Normal</v>
      </c>
      <c r="AE2878" s="2"/>
      <c r="AF2878" s="2"/>
    </row>
    <row r="2879" spans="1:32" x14ac:dyDescent="0.35">
      <c r="A2879">
        <v>2878</v>
      </c>
      <c r="B2879" s="1">
        <v>42068</v>
      </c>
      <c r="C2879" s="9" t="s">
        <v>4603</v>
      </c>
      <c r="D2879" s="9" t="s">
        <v>4988</v>
      </c>
      <c r="E2879" s="9" t="s">
        <v>1111</v>
      </c>
      <c r="F2879" s="9" t="s">
        <v>15</v>
      </c>
      <c r="G2879" s="9" t="s">
        <v>120</v>
      </c>
      <c r="H2879" s="9" t="s">
        <v>86</v>
      </c>
      <c r="I2879" s="11">
        <v>1000000</v>
      </c>
      <c r="J2879" s="11">
        <v>4886419</v>
      </c>
      <c r="K2879" s="11">
        <v>14108038</v>
      </c>
      <c r="L2879" s="3">
        <v>314</v>
      </c>
      <c r="M2879" s="3">
        <v>4050</v>
      </c>
      <c r="N2879" s="3">
        <v>1334268</v>
      </c>
      <c r="O2879" s="2">
        <v>0.47799999999999998</v>
      </c>
      <c r="P2879" s="2">
        <v>0.53500000000000003</v>
      </c>
      <c r="Q2879" s="2">
        <v>0.02</v>
      </c>
      <c r="R2879" s="11">
        <v>263387960</v>
      </c>
      <c r="S2879" s="11">
        <v>1306185</v>
      </c>
      <c r="T2879">
        <v>2015</v>
      </c>
      <c r="U2879">
        <v>3</v>
      </c>
      <c r="V2879">
        <f t="shared" si="264"/>
        <v>355000</v>
      </c>
      <c r="W2879">
        <f t="shared" si="265"/>
        <v>18429897</v>
      </c>
      <c r="X2879">
        <f t="shared" si="266"/>
        <v>18074897</v>
      </c>
      <c r="Y2879">
        <f t="shared" si="267"/>
        <v>-26757345.5</v>
      </c>
      <c r="Z2879">
        <f t="shared" si="268"/>
        <v>45542242.5</v>
      </c>
      <c r="AA2879" t="str">
        <f t="shared" si="269"/>
        <v>Normal</v>
      </c>
      <c r="AE2879" s="2"/>
      <c r="AF2879" s="2"/>
    </row>
    <row r="2880" spans="1:32" x14ac:dyDescent="0.35">
      <c r="A2880">
        <v>2879</v>
      </c>
      <c r="B2880" s="1">
        <v>42068</v>
      </c>
      <c r="C2880" s="9" t="s">
        <v>3551</v>
      </c>
      <c r="D2880" s="9" t="s">
        <v>4988</v>
      </c>
      <c r="E2880" s="9" t="s">
        <v>1111</v>
      </c>
      <c r="F2880" s="9" t="s">
        <v>15</v>
      </c>
      <c r="G2880" s="9" t="s">
        <v>4604</v>
      </c>
      <c r="H2880" s="9" t="s">
        <v>105</v>
      </c>
      <c r="I2880" s="11">
        <v>2500000</v>
      </c>
      <c r="J2880" s="11">
        <v>222414</v>
      </c>
      <c r="K2880" s="11">
        <v>15064539</v>
      </c>
      <c r="L2880" s="3">
        <v>23</v>
      </c>
      <c r="M2880" s="3">
        <v>2505.5</v>
      </c>
      <c r="N2880" s="3">
        <v>1192774</v>
      </c>
      <c r="O2880" s="2">
        <v>0.253</v>
      </c>
      <c r="P2880" s="2">
        <v>1.081</v>
      </c>
      <c r="Q2880" s="2">
        <v>-0.33700000000000002</v>
      </c>
      <c r="R2880" s="11">
        <v>52515148</v>
      </c>
      <c r="S2880" s="11">
        <v>881574</v>
      </c>
      <c r="T2880">
        <v>2015</v>
      </c>
      <c r="U2880">
        <v>3</v>
      </c>
      <c r="V2880">
        <f t="shared" si="264"/>
        <v>342500</v>
      </c>
      <c r="W2880">
        <f t="shared" si="265"/>
        <v>18429897</v>
      </c>
      <c r="X2880">
        <f t="shared" si="266"/>
        <v>18087397</v>
      </c>
      <c r="Y2880">
        <f t="shared" si="267"/>
        <v>-26788595.5</v>
      </c>
      <c r="Z2880">
        <f t="shared" si="268"/>
        <v>45560992.5</v>
      </c>
      <c r="AA2880" t="str">
        <f t="shared" si="269"/>
        <v>Normal</v>
      </c>
      <c r="AE2880" s="2"/>
      <c r="AF2880" s="2"/>
    </row>
    <row r="2881" spans="1:32" x14ac:dyDescent="0.35">
      <c r="A2881">
        <v>2880</v>
      </c>
      <c r="B2881" s="1">
        <v>42069</v>
      </c>
      <c r="C2881" s="9" t="s">
        <v>4605</v>
      </c>
      <c r="D2881" s="9" t="s">
        <v>4988</v>
      </c>
      <c r="E2881" s="9" t="s">
        <v>1111</v>
      </c>
      <c r="F2881" s="9" t="s">
        <v>15</v>
      </c>
      <c r="G2881" s="9" t="s">
        <v>4606</v>
      </c>
      <c r="H2881" s="9" t="s">
        <v>105</v>
      </c>
      <c r="I2881" s="11">
        <v>1200000</v>
      </c>
      <c r="J2881" s="11">
        <v>1197074</v>
      </c>
      <c r="K2881" s="11">
        <v>4422929</v>
      </c>
      <c r="L2881" s="3">
        <v>497</v>
      </c>
      <c r="M2881" s="3">
        <v>4674</v>
      </c>
      <c r="N2881" s="3">
        <v>668343</v>
      </c>
      <c r="O2881" s="2">
        <v>-0.158</v>
      </c>
      <c r="P2881" s="2">
        <v>0.621</v>
      </c>
      <c r="Q2881" s="2">
        <v>1.4999999999999999E-2</v>
      </c>
      <c r="R2881" s="11">
        <v>419768498</v>
      </c>
      <c r="S2881" s="11">
        <v>758241</v>
      </c>
      <c r="T2881">
        <v>2015</v>
      </c>
      <c r="U2881">
        <v>3</v>
      </c>
      <c r="V2881">
        <f t="shared" si="264"/>
        <v>330000</v>
      </c>
      <c r="W2881">
        <f t="shared" si="265"/>
        <v>18429897</v>
      </c>
      <c r="X2881">
        <f t="shared" si="266"/>
        <v>18099897</v>
      </c>
      <c r="Y2881">
        <f t="shared" si="267"/>
        <v>-26819845.5</v>
      </c>
      <c r="Z2881">
        <f t="shared" si="268"/>
        <v>45579742.5</v>
      </c>
      <c r="AA2881" t="str">
        <f t="shared" si="269"/>
        <v>Normal</v>
      </c>
      <c r="AE2881" s="2"/>
      <c r="AF2881" s="2"/>
    </row>
    <row r="2882" spans="1:32" x14ac:dyDescent="0.35">
      <c r="A2882">
        <v>2881</v>
      </c>
      <c r="B2882" s="1">
        <v>42072</v>
      </c>
      <c r="C2882" s="9" t="s">
        <v>4607</v>
      </c>
      <c r="D2882" s="9" t="s">
        <v>4988</v>
      </c>
      <c r="E2882" s="9" t="s">
        <v>1111</v>
      </c>
      <c r="F2882" s="9" t="s">
        <v>15</v>
      </c>
      <c r="G2882" s="9" t="s">
        <v>2031</v>
      </c>
      <c r="H2882" s="9" t="s">
        <v>105</v>
      </c>
      <c r="I2882" s="11">
        <v>2500000</v>
      </c>
      <c r="J2882" s="11">
        <v>2823746</v>
      </c>
      <c r="K2882" s="11">
        <v>4970094</v>
      </c>
      <c r="L2882" s="3">
        <v>212</v>
      </c>
      <c r="M2882" s="3">
        <v>2505.5</v>
      </c>
      <c r="N2882" s="3">
        <v>1018455</v>
      </c>
      <c r="O2882" s="2">
        <v>-1.2E-2</v>
      </c>
      <c r="P2882" s="2">
        <v>1.1739999999999999E-2</v>
      </c>
      <c r="Q2882" s="2">
        <v>0.17199999999999999</v>
      </c>
      <c r="R2882" s="11">
        <v>208136999</v>
      </c>
      <c r="S2882" s="11">
        <v>854941</v>
      </c>
      <c r="T2882">
        <v>2015</v>
      </c>
      <c r="U2882">
        <v>3</v>
      </c>
      <c r="V2882">
        <f t="shared" ref="V2882:V2945" si="270">_xlfn.PERCENTILE.INC(I2882:I5925,0.25)</f>
        <v>328750</v>
      </c>
      <c r="W2882">
        <f t="shared" ref="W2882:W2945" si="271">_xlfn.PERCENTILE.INC(I2882:I5925,0.75)</f>
        <v>18429897</v>
      </c>
      <c r="X2882">
        <f t="shared" ref="X2882:X2945" si="272">W2882-V2882</f>
        <v>18101147</v>
      </c>
      <c r="Y2882">
        <f t="shared" ref="Y2882:Y2945" si="273">V2882-1.5*X2882</f>
        <v>-26822970.5</v>
      </c>
      <c r="Z2882">
        <f t="shared" ref="Z2882:Z2945" si="274">W2882+1.5*X2882</f>
        <v>45581617.5</v>
      </c>
      <c r="AA2882" t="str">
        <f t="shared" ref="AA2882:AA2945" si="275">IF(OR(I2882&lt;$Y$2, I2882&gt;$Z$2), "Outlier", "Normal")</f>
        <v>Normal</v>
      </c>
      <c r="AE2882" s="2"/>
      <c r="AF2882" s="2"/>
    </row>
    <row r="2883" spans="1:32" x14ac:dyDescent="0.35">
      <c r="A2883">
        <v>2882</v>
      </c>
      <c r="B2883" s="1">
        <v>42072</v>
      </c>
      <c r="C2883" s="9" t="s">
        <v>4608</v>
      </c>
      <c r="D2883" s="9" t="s">
        <v>4988</v>
      </c>
      <c r="E2883" s="9" t="s">
        <v>1111</v>
      </c>
      <c r="F2883" s="9" t="s">
        <v>15</v>
      </c>
      <c r="G2883" s="9" t="s">
        <v>4609</v>
      </c>
      <c r="H2883" s="9" t="s">
        <v>86</v>
      </c>
      <c r="I2883" s="11">
        <v>500000</v>
      </c>
      <c r="J2883" s="11">
        <v>264605</v>
      </c>
      <c r="K2883" s="11">
        <v>4050189</v>
      </c>
      <c r="L2883" s="3">
        <v>336</v>
      </c>
      <c r="M2883" s="3">
        <v>465</v>
      </c>
      <c r="N2883" s="3">
        <v>685673</v>
      </c>
      <c r="O2883" s="2">
        <v>-0.2</v>
      </c>
      <c r="P2883" s="2">
        <v>1.127</v>
      </c>
      <c r="Q2883" s="2">
        <v>0.14499999999999999</v>
      </c>
      <c r="R2883" s="11">
        <v>166253266</v>
      </c>
      <c r="S2883" s="11">
        <v>403018</v>
      </c>
      <c r="T2883">
        <v>2015</v>
      </c>
      <c r="U2883">
        <v>3</v>
      </c>
      <c r="V2883">
        <f t="shared" si="270"/>
        <v>327500</v>
      </c>
      <c r="W2883">
        <f t="shared" si="271"/>
        <v>18429897</v>
      </c>
      <c r="X2883">
        <f t="shared" si="272"/>
        <v>18102397</v>
      </c>
      <c r="Y2883">
        <f t="shared" si="273"/>
        <v>-26826095.5</v>
      </c>
      <c r="Z2883">
        <f t="shared" si="274"/>
        <v>45583492.5</v>
      </c>
      <c r="AA2883" t="str">
        <f t="shared" si="275"/>
        <v>Normal</v>
      </c>
      <c r="AE2883" s="2"/>
      <c r="AF2883" s="2"/>
    </row>
    <row r="2884" spans="1:32" x14ac:dyDescent="0.35">
      <c r="A2884">
        <v>2883</v>
      </c>
      <c r="B2884" s="1">
        <v>42073</v>
      </c>
      <c r="C2884" s="9" t="s">
        <v>4610</v>
      </c>
      <c r="D2884" s="9" t="s">
        <v>4988</v>
      </c>
      <c r="E2884" s="9" t="s">
        <v>1111</v>
      </c>
      <c r="F2884" s="9" t="s">
        <v>15</v>
      </c>
      <c r="G2884" s="9" t="s">
        <v>4611</v>
      </c>
      <c r="H2884" s="9" t="s">
        <v>105</v>
      </c>
      <c r="I2884" s="11">
        <v>18429897</v>
      </c>
      <c r="J2884" s="11">
        <v>1789600</v>
      </c>
      <c r="K2884" s="11">
        <v>7932549</v>
      </c>
      <c r="L2884" s="3">
        <v>252</v>
      </c>
      <c r="M2884" s="3">
        <v>886</v>
      </c>
      <c r="N2884" s="3">
        <v>1589052</v>
      </c>
      <c r="O2884" s="2">
        <v>0.182</v>
      </c>
      <c r="P2884" s="2">
        <v>0.64</v>
      </c>
      <c r="Q2884" s="2">
        <v>5.5E-2</v>
      </c>
      <c r="R2884" s="11">
        <v>127977053</v>
      </c>
      <c r="S2884" s="11">
        <v>461396</v>
      </c>
      <c r="T2884">
        <v>2015</v>
      </c>
      <c r="U2884">
        <v>3</v>
      </c>
      <c r="V2884">
        <f t="shared" si="270"/>
        <v>326250</v>
      </c>
      <c r="W2884">
        <f t="shared" si="271"/>
        <v>18429897</v>
      </c>
      <c r="X2884">
        <f t="shared" si="272"/>
        <v>18103647</v>
      </c>
      <c r="Y2884">
        <f t="shared" si="273"/>
        <v>-26829220.5</v>
      </c>
      <c r="Z2884">
        <f t="shared" si="274"/>
        <v>45585367.5</v>
      </c>
      <c r="AA2884" t="str">
        <f t="shared" si="275"/>
        <v>Normal</v>
      </c>
      <c r="AE2884" s="2"/>
      <c r="AF2884" s="2"/>
    </row>
    <row r="2885" spans="1:32" x14ac:dyDescent="0.35">
      <c r="A2885">
        <v>2884</v>
      </c>
      <c r="B2885" s="1">
        <v>42074</v>
      </c>
      <c r="C2885" s="9" t="s">
        <v>4612</v>
      </c>
      <c r="D2885" s="9" t="s">
        <v>4988</v>
      </c>
      <c r="E2885" s="9" t="s">
        <v>1111</v>
      </c>
      <c r="F2885" s="9" t="s">
        <v>15</v>
      </c>
      <c r="G2885" s="9" t="s">
        <v>856</v>
      </c>
      <c r="H2885" s="9" t="s">
        <v>86</v>
      </c>
      <c r="I2885" s="11">
        <v>1000000</v>
      </c>
      <c r="J2885" s="11">
        <v>784937</v>
      </c>
      <c r="K2885" s="11">
        <v>10153449</v>
      </c>
      <c r="L2885" s="3">
        <v>219</v>
      </c>
      <c r="M2885" s="3">
        <v>1256</v>
      </c>
      <c r="N2885" s="3">
        <v>1971918</v>
      </c>
      <c r="O2885" s="2">
        <v>5.8999999999999997E-2</v>
      </c>
      <c r="P2885" s="2">
        <v>0.54899999999999993</v>
      </c>
      <c r="Q2885" s="2">
        <v>0.70299999999999996</v>
      </c>
      <c r="R2885" s="11">
        <v>463917053</v>
      </c>
      <c r="S2885" s="11">
        <v>1831112</v>
      </c>
      <c r="T2885">
        <v>2015</v>
      </c>
      <c r="U2885">
        <v>3</v>
      </c>
      <c r="V2885">
        <f t="shared" si="270"/>
        <v>325000</v>
      </c>
      <c r="W2885">
        <f t="shared" si="271"/>
        <v>18429897</v>
      </c>
      <c r="X2885">
        <f t="shared" si="272"/>
        <v>18104897</v>
      </c>
      <c r="Y2885">
        <f t="shared" si="273"/>
        <v>-26832345.5</v>
      </c>
      <c r="Z2885">
        <f t="shared" si="274"/>
        <v>45587242.5</v>
      </c>
      <c r="AA2885" t="str">
        <f t="shared" si="275"/>
        <v>Normal</v>
      </c>
      <c r="AE2885" s="2"/>
      <c r="AF2885" s="2"/>
    </row>
    <row r="2886" spans="1:32" x14ac:dyDescent="0.35">
      <c r="A2886">
        <v>2885</v>
      </c>
      <c r="B2886" s="1">
        <v>42074</v>
      </c>
      <c r="C2886" s="9" t="s">
        <v>1454</v>
      </c>
      <c r="D2886" s="9" t="s">
        <v>4988</v>
      </c>
      <c r="E2886" s="9" t="s">
        <v>1111</v>
      </c>
      <c r="F2886" s="9" t="s">
        <v>15</v>
      </c>
      <c r="G2886" s="9" t="s">
        <v>4613</v>
      </c>
      <c r="H2886" s="9" t="s">
        <v>86</v>
      </c>
      <c r="I2886" s="11">
        <v>150000</v>
      </c>
      <c r="J2886" s="11">
        <v>4665941</v>
      </c>
      <c r="K2886" s="11">
        <v>2483041</v>
      </c>
      <c r="L2886" s="3">
        <v>206</v>
      </c>
      <c r="M2886" s="3">
        <v>2156</v>
      </c>
      <c r="N2886" s="3">
        <v>21840</v>
      </c>
      <c r="O2886" s="2">
        <v>-0.105</v>
      </c>
      <c r="P2886" s="2">
        <v>0.8859999999999999</v>
      </c>
      <c r="Q2886" s="2">
        <v>0.51500000000000001</v>
      </c>
      <c r="R2886" s="11">
        <v>386310452</v>
      </c>
      <c r="S2886" s="11">
        <v>1764280</v>
      </c>
      <c r="T2886">
        <v>2015</v>
      </c>
      <c r="U2886">
        <v>3</v>
      </c>
      <c r="V2886">
        <f t="shared" si="270"/>
        <v>325000</v>
      </c>
      <c r="W2886">
        <f t="shared" si="271"/>
        <v>18429897</v>
      </c>
      <c r="X2886">
        <f t="shared" si="272"/>
        <v>18104897</v>
      </c>
      <c r="Y2886">
        <f t="shared" si="273"/>
        <v>-26832345.5</v>
      </c>
      <c r="Z2886">
        <f t="shared" si="274"/>
        <v>45587242.5</v>
      </c>
      <c r="AA2886" t="str">
        <f t="shared" si="275"/>
        <v>Normal</v>
      </c>
      <c r="AE2886" s="2"/>
      <c r="AF2886" s="2"/>
    </row>
    <row r="2887" spans="1:32" x14ac:dyDescent="0.35">
      <c r="A2887">
        <v>2886</v>
      </c>
      <c r="B2887" s="1">
        <v>42074</v>
      </c>
      <c r="C2887" s="9" t="s">
        <v>702</v>
      </c>
      <c r="D2887" s="9" t="s">
        <v>4988</v>
      </c>
      <c r="E2887" s="9" t="s">
        <v>1111</v>
      </c>
      <c r="F2887" s="9" t="s">
        <v>15</v>
      </c>
      <c r="G2887" s="9" t="s">
        <v>4614</v>
      </c>
      <c r="H2887" s="9" t="s">
        <v>105</v>
      </c>
      <c r="I2887" s="11">
        <v>5000000</v>
      </c>
      <c r="J2887" s="11">
        <v>335375</v>
      </c>
      <c r="K2887" s="11">
        <v>11391211</v>
      </c>
      <c r="L2887" s="3">
        <v>13</v>
      </c>
      <c r="M2887" s="3">
        <v>4573</v>
      </c>
      <c r="N2887" s="3">
        <v>334730</v>
      </c>
      <c r="O2887" s="2">
        <v>0.23800000000000002</v>
      </c>
      <c r="P2887" s="2">
        <v>0.56799999999999995</v>
      </c>
      <c r="Q2887" s="2">
        <v>-0.2</v>
      </c>
      <c r="R2887" s="11">
        <v>55756817</v>
      </c>
      <c r="S2887" s="11">
        <v>813113</v>
      </c>
      <c r="T2887">
        <v>2015</v>
      </c>
      <c r="U2887">
        <v>3</v>
      </c>
      <c r="V2887">
        <f t="shared" si="270"/>
        <v>327500</v>
      </c>
      <c r="W2887">
        <f t="shared" si="271"/>
        <v>18429897</v>
      </c>
      <c r="X2887">
        <f t="shared" si="272"/>
        <v>18102397</v>
      </c>
      <c r="Y2887">
        <f t="shared" si="273"/>
        <v>-26826095.5</v>
      </c>
      <c r="Z2887">
        <f t="shared" si="274"/>
        <v>45583492.5</v>
      </c>
      <c r="AA2887" t="str">
        <f t="shared" si="275"/>
        <v>Normal</v>
      </c>
      <c r="AE2887" s="2"/>
      <c r="AF2887" s="2"/>
    </row>
    <row r="2888" spans="1:32" x14ac:dyDescent="0.35">
      <c r="A2888">
        <v>2887</v>
      </c>
      <c r="B2888" s="1">
        <v>42074</v>
      </c>
      <c r="C2888" s="9" t="s">
        <v>4615</v>
      </c>
      <c r="D2888" s="9" t="s">
        <v>4988</v>
      </c>
      <c r="E2888" s="9" t="s">
        <v>1111</v>
      </c>
      <c r="F2888" s="9" t="s">
        <v>15</v>
      </c>
      <c r="G2888" s="9" t="s">
        <v>673</v>
      </c>
      <c r="H2888" s="9" t="s">
        <v>105</v>
      </c>
      <c r="I2888" s="11">
        <v>20000000</v>
      </c>
      <c r="J2888" s="11">
        <v>759053</v>
      </c>
      <c r="K2888" s="11">
        <v>4853929</v>
      </c>
      <c r="L2888" s="3">
        <v>142</v>
      </c>
      <c r="M2888" s="3">
        <v>1246</v>
      </c>
      <c r="N2888" s="3">
        <v>1528422</v>
      </c>
      <c r="O2888" s="2">
        <v>0.32</v>
      </c>
      <c r="P2888" s="2">
        <v>0.86</v>
      </c>
      <c r="Q2888" s="2">
        <v>-0.24199999999999999</v>
      </c>
      <c r="R2888" s="11">
        <v>321907112</v>
      </c>
      <c r="S2888" s="11">
        <v>1859204</v>
      </c>
      <c r="T2888">
        <v>2015</v>
      </c>
      <c r="U2888">
        <v>3</v>
      </c>
      <c r="V2888">
        <f t="shared" si="270"/>
        <v>326250</v>
      </c>
      <c r="W2888">
        <f t="shared" si="271"/>
        <v>18429897</v>
      </c>
      <c r="X2888">
        <f t="shared" si="272"/>
        <v>18103647</v>
      </c>
      <c r="Y2888">
        <f t="shared" si="273"/>
        <v>-26829220.5</v>
      </c>
      <c r="Z2888">
        <f t="shared" si="274"/>
        <v>45585367.5</v>
      </c>
      <c r="AA2888" t="str">
        <f t="shared" si="275"/>
        <v>Normal</v>
      </c>
      <c r="AE2888" s="2"/>
      <c r="AF2888" s="2"/>
    </row>
    <row r="2889" spans="1:32" x14ac:dyDescent="0.35">
      <c r="A2889">
        <v>2888</v>
      </c>
      <c r="B2889" s="1">
        <v>42075</v>
      </c>
      <c r="C2889" s="9" t="s">
        <v>2973</v>
      </c>
      <c r="D2889" s="9" t="s">
        <v>4988</v>
      </c>
      <c r="E2889" s="9" t="s">
        <v>1111</v>
      </c>
      <c r="F2889" s="9" t="s">
        <v>15</v>
      </c>
      <c r="G2889" s="9" t="s">
        <v>4616</v>
      </c>
      <c r="H2889" s="9" t="s">
        <v>86</v>
      </c>
      <c r="I2889" s="11">
        <v>18429897</v>
      </c>
      <c r="J2889" s="11">
        <v>991718</v>
      </c>
      <c r="K2889" s="11">
        <v>11286712</v>
      </c>
      <c r="L2889" s="3">
        <v>193</v>
      </c>
      <c r="M2889" s="3">
        <v>1816</v>
      </c>
      <c r="N2889" s="3">
        <v>242360</v>
      </c>
      <c r="O2889" s="2">
        <v>9.9000000000000005E-2</v>
      </c>
      <c r="P2889" s="2">
        <v>0.621</v>
      </c>
      <c r="Q2889" s="2">
        <v>0.43200000000000005</v>
      </c>
      <c r="R2889" s="11">
        <v>250264963</v>
      </c>
      <c r="S2889" s="11">
        <v>1689917</v>
      </c>
      <c r="T2889">
        <v>2015</v>
      </c>
      <c r="U2889">
        <v>3</v>
      </c>
      <c r="V2889">
        <f t="shared" si="270"/>
        <v>325000</v>
      </c>
      <c r="W2889">
        <f t="shared" si="271"/>
        <v>18429897</v>
      </c>
      <c r="X2889">
        <f t="shared" si="272"/>
        <v>18104897</v>
      </c>
      <c r="Y2889">
        <f t="shared" si="273"/>
        <v>-26832345.5</v>
      </c>
      <c r="Z2889">
        <f t="shared" si="274"/>
        <v>45587242.5</v>
      </c>
      <c r="AA2889" t="str">
        <f t="shared" si="275"/>
        <v>Normal</v>
      </c>
      <c r="AE2889" s="2"/>
      <c r="AF2889" s="2"/>
    </row>
    <row r="2890" spans="1:32" x14ac:dyDescent="0.35">
      <c r="A2890">
        <v>2889</v>
      </c>
      <c r="B2890" s="1">
        <v>42075</v>
      </c>
      <c r="C2890" s="9" t="s">
        <v>4617</v>
      </c>
      <c r="D2890" s="9" t="s">
        <v>4988</v>
      </c>
      <c r="E2890" s="9" t="s">
        <v>1111</v>
      </c>
      <c r="F2890" s="9" t="s">
        <v>15</v>
      </c>
      <c r="G2890" s="9" t="s">
        <v>4618</v>
      </c>
      <c r="H2890" s="9" t="s">
        <v>105</v>
      </c>
      <c r="I2890" s="11">
        <v>15000000</v>
      </c>
      <c r="J2890" s="11">
        <v>759998</v>
      </c>
      <c r="K2890" s="11">
        <v>6125514</v>
      </c>
      <c r="L2890" s="3">
        <v>187</v>
      </c>
      <c r="M2890" s="3">
        <v>269</v>
      </c>
      <c r="N2890" s="3">
        <v>1435765</v>
      </c>
      <c r="O2890" s="2">
        <v>0.16200000000000001</v>
      </c>
      <c r="P2890" s="2">
        <v>0.70200000000000007</v>
      </c>
      <c r="Q2890" s="2">
        <v>0.36599999999999999</v>
      </c>
      <c r="R2890" s="11">
        <v>330768628</v>
      </c>
      <c r="S2890" s="11">
        <v>1921535</v>
      </c>
      <c r="T2890">
        <v>2015</v>
      </c>
      <c r="U2890">
        <v>3</v>
      </c>
      <c r="V2890">
        <f t="shared" si="270"/>
        <v>325000</v>
      </c>
      <c r="W2890">
        <f t="shared" si="271"/>
        <v>18429897</v>
      </c>
      <c r="X2890">
        <f t="shared" si="272"/>
        <v>18104897</v>
      </c>
      <c r="Y2890">
        <f t="shared" si="273"/>
        <v>-26832345.5</v>
      </c>
      <c r="Z2890">
        <f t="shared" si="274"/>
        <v>45587242.5</v>
      </c>
      <c r="AA2890" t="str">
        <f t="shared" si="275"/>
        <v>Normal</v>
      </c>
      <c r="AE2890" s="2"/>
      <c r="AF2890" s="2"/>
    </row>
    <row r="2891" spans="1:32" x14ac:dyDescent="0.35">
      <c r="A2891">
        <v>2890</v>
      </c>
      <c r="B2891" s="1">
        <v>42076</v>
      </c>
      <c r="C2891" s="9" t="s">
        <v>4447</v>
      </c>
      <c r="D2891" s="9" t="s">
        <v>4988</v>
      </c>
      <c r="E2891" s="9" t="s">
        <v>1111</v>
      </c>
      <c r="F2891" s="9" t="s">
        <v>15</v>
      </c>
      <c r="G2891" s="9" t="s">
        <v>4619</v>
      </c>
      <c r="H2891" s="9" t="s">
        <v>105</v>
      </c>
      <c r="I2891" s="11">
        <v>110000000</v>
      </c>
      <c r="J2891" s="11">
        <v>2851477</v>
      </c>
      <c r="K2891" s="11">
        <v>19097277</v>
      </c>
      <c r="L2891" s="3">
        <v>140</v>
      </c>
      <c r="M2891" s="3">
        <v>3587</v>
      </c>
      <c r="N2891" s="3">
        <v>492362</v>
      </c>
      <c r="O2891" s="2">
        <v>-7.400000000000001E-2</v>
      </c>
      <c r="P2891" s="2">
        <v>0.57899999999999996</v>
      </c>
      <c r="Q2891" s="2">
        <v>0.47</v>
      </c>
      <c r="R2891" s="11">
        <v>165232671</v>
      </c>
      <c r="S2891" s="11">
        <v>1931748</v>
      </c>
      <c r="T2891">
        <v>2015</v>
      </c>
      <c r="U2891">
        <v>3</v>
      </c>
      <c r="V2891">
        <f t="shared" si="270"/>
        <v>325000</v>
      </c>
      <c r="W2891">
        <f t="shared" si="271"/>
        <v>18429897</v>
      </c>
      <c r="X2891">
        <f t="shared" si="272"/>
        <v>18104897</v>
      </c>
      <c r="Y2891">
        <f t="shared" si="273"/>
        <v>-26832345.5</v>
      </c>
      <c r="Z2891">
        <f t="shared" si="274"/>
        <v>45587242.5</v>
      </c>
      <c r="AA2891" t="str">
        <f t="shared" si="275"/>
        <v>Outlier</v>
      </c>
      <c r="AE2891" s="2"/>
      <c r="AF2891" s="2"/>
    </row>
    <row r="2892" spans="1:32" x14ac:dyDescent="0.35">
      <c r="A2892">
        <v>2891</v>
      </c>
      <c r="B2892" s="1">
        <v>42076</v>
      </c>
      <c r="C2892" s="9" t="s">
        <v>106</v>
      </c>
      <c r="D2892" s="9" t="s">
        <v>4988</v>
      </c>
      <c r="E2892" s="9" t="s">
        <v>1111</v>
      </c>
      <c r="F2892" s="9" t="s">
        <v>15</v>
      </c>
      <c r="G2892" s="9" t="s">
        <v>715</v>
      </c>
      <c r="H2892" s="9" t="s">
        <v>105</v>
      </c>
      <c r="I2892" s="11">
        <v>18429897</v>
      </c>
      <c r="J2892" s="11">
        <v>1834450</v>
      </c>
      <c r="K2892" s="11">
        <v>6456789</v>
      </c>
      <c r="L2892" s="3">
        <v>323</v>
      </c>
      <c r="M2892" s="3">
        <v>2752</v>
      </c>
      <c r="N2892" s="3">
        <v>1171581</v>
      </c>
      <c r="O2892" s="2">
        <v>1.4999999999999999E-2</v>
      </c>
      <c r="P2892" s="2">
        <v>0.997</v>
      </c>
      <c r="Q2892" s="2">
        <v>-1.1000000000000001E-2</v>
      </c>
      <c r="R2892" s="11">
        <v>438798887</v>
      </c>
      <c r="S2892" s="11">
        <v>1386537</v>
      </c>
      <c r="T2892">
        <v>2015</v>
      </c>
      <c r="U2892">
        <v>3</v>
      </c>
      <c r="V2892">
        <f t="shared" si="270"/>
        <v>325000</v>
      </c>
      <c r="W2892">
        <f t="shared" si="271"/>
        <v>18429897</v>
      </c>
      <c r="X2892">
        <f t="shared" si="272"/>
        <v>18104897</v>
      </c>
      <c r="Y2892">
        <f t="shared" si="273"/>
        <v>-26832345.5</v>
      </c>
      <c r="Z2892">
        <f t="shared" si="274"/>
        <v>45587242.5</v>
      </c>
      <c r="AA2892" t="str">
        <f t="shared" si="275"/>
        <v>Normal</v>
      </c>
      <c r="AE2892" s="2"/>
      <c r="AF2892" s="2"/>
    </row>
    <row r="2893" spans="1:32" x14ac:dyDescent="0.35">
      <c r="A2893">
        <v>2892</v>
      </c>
      <c r="B2893" s="1">
        <v>42076</v>
      </c>
      <c r="C2893" s="9" t="s">
        <v>4620</v>
      </c>
      <c r="D2893" s="9" t="s">
        <v>4988</v>
      </c>
      <c r="E2893" s="9" t="s">
        <v>1111</v>
      </c>
      <c r="F2893" s="9" t="s">
        <v>15</v>
      </c>
      <c r="G2893" s="9" t="s">
        <v>4900</v>
      </c>
      <c r="H2893" s="9" t="s">
        <v>105</v>
      </c>
      <c r="I2893" s="11">
        <v>5000000</v>
      </c>
      <c r="J2893" s="11">
        <v>4563995</v>
      </c>
      <c r="K2893" s="11">
        <v>17438999</v>
      </c>
      <c r="L2893" s="3">
        <v>415</v>
      </c>
      <c r="M2893" s="3">
        <v>273</v>
      </c>
      <c r="N2893" s="3">
        <v>1304587</v>
      </c>
      <c r="O2893" s="2">
        <v>1.6E-2</v>
      </c>
      <c r="P2893" s="2">
        <v>0.80099999999999993</v>
      </c>
      <c r="Q2893" s="2">
        <v>0.06</v>
      </c>
      <c r="R2893" s="11">
        <v>248455132</v>
      </c>
      <c r="S2893" s="11">
        <v>64007</v>
      </c>
      <c r="T2893">
        <v>2015</v>
      </c>
      <c r="U2893">
        <v>3</v>
      </c>
      <c r="V2893">
        <f t="shared" si="270"/>
        <v>325000</v>
      </c>
      <c r="W2893">
        <f t="shared" si="271"/>
        <v>18429897</v>
      </c>
      <c r="X2893">
        <f t="shared" si="272"/>
        <v>18104897</v>
      </c>
      <c r="Y2893">
        <f t="shared" si="273"/>
        <v>-26832345.5</v>
      </c>
      <c r="Z2893">
        <f t="shared" si="274"/>
        <v>45587242.5</v>
      </c>
      <c r="AA2893" t="str">
        <f t="shared" si="275"/>
        <v>Normal</v>
      </c>
      <c r="AE2893" s="2"/>
      <c r="AF2893" s="2"/>
    </row>
    <row r="2894" spans="1:32" x14ac:dyDescent="0.35">
      <c r="A2894">
        <v>2893</v>
      </c>
      <c r="B2894" s="1">
        <v>42076</v>
      </c>
      <c r="C2894" s="9" t="s">
        <v>4621</v>
      </c>
      <c r="D2894" s="9" t="s">
        <v>4988</v>
      </c>
      <c r="E2894" s="9" t="s">
        <v>1111</v>
      </c>
      <c r="F2894" s="9" t="s">
        <v>15</v>
      </c>
      <c r="G2894" s="9" t="s">
        <v>4622</v>
      </c>
      <c r="H2894" s="9" t="s">
        <v>86</v>
      </c>
      <c r="I2894" s="11">
        <v>18429897</v>
      </c>
      <c r="J2894" s="11">
        <v>1318873</v>
      </c>
      <c r="K2894" s="11">
        <v>3583293</v>
      </c>
      <c r="L2894" s="3">
        <v>446</v>
      </c>
      <c r="M2894" s="3">
        <v>2347</v>
      </c>
      <c r="N2894" s="3">
        <v>634041</v>
      </c>
      <c r="O2894" s="2">
        <v>0.23199999999999998</v>
      </c>
      <c r="P2894" s="2">
        <v>0.88300000000000001</v>
      </c>
      <c r="Q2894" s="2">
        <v>-0.34499999999999997</v>
      </c>
      <c r="R2894" s="11">
        <v>142206075</v>
      </c>
      <c r="S2894" s="11">
        <v>1663150</v>
      </c>
      <c r="T2894">
        <v>2015</v>
      </c>
      <c r="U2894">
        <v>3</v>
      </c>
      <c r="V2894">
        <f t="shared" si="270"/>
        <v>323750</v>
      </c>
      <c r="W2894">
        <f t="shared" si="271"/>
        <v>18429897</v>
      </c>
      <c r="X2894">
        <f t="shared" si="272"/>
        <v>18106147</v>
      </c>
      <c r="Y2894">
        <f t="shared" si="273"/>
        <v>-26835470.5</v>
      </c>
      <c r="Z2894">
        <f t="shared" si="274"/>
        <v>45589117.5</v>
      </c>
      <c r="AA2894" t="str">
        <f t="shared" si="275"/>
        <v>Normal</v>
      </c>
      <c r="AE2894" s="2"/>
      <c r="AF2894" s="2"/>
    </row>
    <row r="2895" spans="1:32" x14ac:dyDescent="0.35">
      <c r="A2895">
        <v>2894</v>
      </c>
      <c r="B2895" s="1">
        <v>42077</v>
      </c>
      <c r="C2895" s="9" t="s">
        <v>4623</v>
      </c>
      <c r="D2895" s="9" t="s">
        <v>4988</v>
      </c>
      <c r="E2895" s="9" t="s">
        <v>1111</v>
      </c>
      <c r="F2895" s="9" t="s">
        <v>15</v>
      </c>
      <c r="G2895" s="9" t="s">
        <v>4624</v>
      </c>
      <c r="H2895" s="9" t="s">
        <v>86</v>
      </c>
      <c r="I2895" s="11">
        <v>500000</v>
      </c>
      <c r="J2895" s="11">
        <v>2695350</v>
      </c>
      <c r="K2895" s="11">
        <v>1789848</v>
      </c>
      <c r="L2895" s="3">
        <v>486</v>
      </c>
      <c r="M2895" s="3">
        <v>1131</v>
      </c>
      <c r="N2895" s="3">
        <v>1715215</v>
      </c>
      <c r="O2895" s="2">
        <v>0.17100000000000001</v>
      </c>
      <c r="P2895" s="2">
        <v>1.0209999999999999</v>
      </c>
      <c r="Q2895" s="2">
        <v>0.13600000000000001</v>
      </c>
      <c r="R2895" s="11">
        <v>195254344</v>
      </c>
      <c r="S2895" s="11">
        <v>1896274</v>
      </c>
      <c r="T2895">
        <v>2015</v>
      </c>
      <c r="U2895">
        <v>3</v>
      </c>
      <c r="V2895">
        <f t="shared" si="270"/>
        <v>322500</v>
      </c>
      <c r="W2895">
        <f t="shared" si="271"/>
        <v>18429897</v>
      </c>
      <c r="X2895">
        <f t="shared" si="272"/>
        <v>18107397</v>
      </c>
      <c r="Y2895">
        <f t="shared" si="273"/>
        <v>-26838595.5</v>
      </c>
      <c r="Z2895">
        <f t="shared" si="274"/>
        <v>45590992.5</v>
      </c>
      <c r="AA2895" t="str">
        <f t="shared" si="275"/>
        <v>Normal</v>
      </c>
      <c r="AE2895" s="2"/>
      <c r="AF2895" s="2"/>
    </row>
    <row r="2896" spans="1:32" x14ac:dyDescent="0.35">
      <c r="A2896">
        <v>2895</v>
      </c>
      <c r="B2896" s="1">
        <v>42077</v>
      </c>
      <c r="C2896" s="9" t="s">
        <v>4147</v>
      </c>
      <c r="D2896" s="9" t="s">
        <v>4988</v>
      </c>
      <c r="E2896" s="9" t="s">
        <v>1111</v>
      </c>
      <c r="F2896" s="9" t="s">
        <v>15</v>
      </c>
      <c r="G2896" s="9" t="s">
        <v>4625</v>
      </c>
      <c r="H2896" s="9" t="s">
        <v>86</v>
      </c>
      <c r="I2896" s="11">
        <v>200000</v>
      </c>
      <c r="J2896" s="11">
        <v>3307246</v>
      </c>
      <c r="K2896" s="11">
        <v>3855364</v>
      </c>
      <c r="L2896" s="3">
        <v>326</v>
      </c>
      <c r="M2896" s="3">
        <v>2135</v>
      </c>
      <c r="N2896" s="3">
        <v>1814121</v>
      </c>
      <c r="O2896" s="2">
        <v>5.4000000000000006E-2</v>
      </c>
      <c r="P2896" s="2">
        <v>0.996</v>
      </c>
      <c r="Q2896" s="2">
        <v>-0.06</v>
      </c>
      <c r="R2896" s="11">
        <v>133305250</v>
      </c>
      <c r="S2896" s="11">
        <v>1997457</v>
      </c>
      <c r="T2896">
        <v>2015</v>
      </c>
      <c r="U2896">
        <v>3</v>
      </c>
      <c r="V2896">
        <f t="shared" si="270"/>
        <v>321250</v>
      </c>
      <c r="W2896">
        <f t="shared" si="271"/>
        <v>18429897</v>
      </c>
      <c r="X2896">
        <f t="shared" si="272"/>
        <v>18108647</v>
      </c>
      <c r="Y2896">
        <f t="shared" si="273"/>
        <v>-26841720.5</v>
      </c>
      <c r="Z2896">
        <f t="shared" si="274"/>
        <v>45592867.5</v>
      </c>
      <c r="AA2896" t="str">
        <f t="shared" si="275"/>
        <v>Normal</v>
      </c>
      <c r="AE2896" s="2"/>
      <c r="AF2896" s="2"/>
    </row>
    <row r="2897" spans="1:32" x14ac:dyDescent="0.35">
      <c r="A2897">
        <v>2896</v>
      </c>
      <c r="B2897" s="1">
        <v>42077</v>
      </c>
      <c r="C2897" s="9" t="s">
        <v>4626</v>
      </c>
      <c r="D2897" s="9" t="s">
        <v>4988</v>
      </c>
      <c r="E2897" s="9" t="s">
        <v>1111</v>
      </c>
      <c r="F2897" s="9" t="s">
        <v>15</v>
      </c>
      <c r="G2897" s="9" t="s">
        <v>4326</v>
      </c>
      <c r="H2897" s="9" t="s">
        <v>86</v>
      </c>
      <c r="I2897" s="11">
        <v>18429897</v>
      </c>
      <c r="J2897" s="11">
        <v>3137427</v>
      </c>
      <c r="K2897" s="11">
        <v>8445524</v>
      </c>
      <c r="L2897" s="3">
        <v>208</v>
      </c>
      <c r="M2897" s="3">
        <v>1456</v>
      </c>
      <c r="N2897" s="3">
        <v>437133</v>
      </c>
      <c r="O2897" s="2">
        <v>4.5999999999999999E-2</v>
      </c>
      <c r="P2897" s="2">
        <v>0.71</v>
      </c>
      <c r="Q2897" s="2">
        <v>-9.5000000000000001E-2</v>
      </c>
      <c r="R2897" s="11">
        <v>451794185</v>
      </c>
      <c r="S2897" s="11">
        <v>1008193.5</v>
      </c>
      <c r="T2897">
        <v>2015</v>
      </c>
      <c r="U2897">
        <v>3</v>
      </c>
      <c r="V2897">
        <f t="shared" si="270"/>
        <v>325000</v>
      </c>
      <c r="W2897">
        <f t="shared" si="271"/>
        <v>18429897</v>
      </c>
      <c r="X2897">
        <f t="shared" si="272"/>
        <v>18104897</v>
      </c>
      <c r="Y2897">
        <f t="shared" si="273"/>
        <v>-26832345.5</v>
      </c>
      <c r="Z2897">
        <f t="shared" si="274"/>
        <v>45587242.5</v>
      </c>
      <c r="AA2897" t="str">
        <f t="shared" si="275"/>
        <v>Normal</v>
      </c>
      <c r="AE2897" s="2"/>
      <c r="AF2897" s="2"/>
    </row>
    <row r="2898" spans="1:32" x14ac:dyDescent="0.35">
      <c r="A2898">
        <v>2897</v>
      </c>
      <c r="B2898" s="1">
        <v>42079</v>
      </c>
      <c r="C2898" s="9" t="s">
        <v>4627</v>
      </c>
      <c r="D2898" s="9" t="s">
        <v>4988</v>
      </c>
      <c r="E2898" s="9" t="s">
        <v>1111</v>
      </c>
      <c r="F2898" s="9" t="s">
        <v>15</v>
      </c>
      <c r="G2898" s="9" t="s">
        <v>4628</v>
      </c>
      <c r="H2898" s="9" t="s">
        <v>86</v>
      </c>
      <c r="I2898" s="11">
        <v>166000</v>
      </c>
      <c r="J2898" s="11">
        <v>3985986</v>
      </c>
      <c r="K2898" s="11">
        <v>18039260</v>
      </c>
      <c r="L2898" s="3">
        <v>324</v>
      </c>
      <c r="M2898" s="3">
        <v>3931</v>
      </c>
      <c r="N2898" s="3">
        <v>1476465</v>
      </c>
      <c r="O2898" s="2">
        <v>-0.27399999999999997</v>
      </c>
      <c r="P2898" s="2">
        <v>0.45399999999999996</v>
      </c>
      <c r="Q2898" s="2">
        <v>0.33100000000000002</v>
      </c>
      <c r="R2898" s="11">
        <v>35600527</v>
      </c>
      <c r="S2898" s="11">
        <v>1988131</v>
      </c>
      <c r="T2898">
        <v>2015</v>
      </c>
      <c r="U2898">
        <v>3</v>
      </c>
      <c r="V2898">
        <f t="shared" si="270"/>
        <v>323750</v>
      </c>
      <c r="W2898">
        <f t="shared" si="271"/>
        <v>18429897</v>
      </c>
      <c r="X2898">
        <f t="shared" si="272"/>
        <v>18106147</v>
      </c>
      <c r="Y2898">
        <f t="shared" si="273"/>
        <v>-26835470.5</v>
      </c>
      <c r="Z2898">
        <f t="shared" si="274"/>
        <v>45589117.5</v>
      </c>
      <c r="AA2898" t="str">
        <f t="shared" si="275"/>
        <v>Normal</v>
      </c>
      <c r="AE2898" s="2"/>
      <c r="AF2898" s="2"/>
    </row>
    <row r="2899" spans="1:32" x14ac:dyDescent="0.35">
      <c r="A2899">
        <v>2898</v>
      </c>
      <c r="B2899" s="1">
        <v>42079</v>
      </c>
      <c r="C2899" s="9" t="s">
        <v>3037</v>
      </c>
      <c r="D2899" s="9" t="s">
        <v>4988</v>
      </c>
      <c r="E2899" s="9" t="s">
        <v>1111</v>
      </c>
      <c r="F2899" s="9" t="s">
        <v>15</v>
      </c>
      <c r="G2899" s="9" t="s">
        <v>4629</v>
      </c>
      <c r="H2899" s="9" t="s">
        <v>86</v>
      </c>
      <c r="I2899" s="11">
        <v>1300000</v>
      </c>
      <c r="J2899" s="11">
        <v>1025298</v>
      </c>
      <c r="K2899" s="11">
        <v>3607338</v>
      </c>
      <c r="L2899" s="3">
        <v>70</v>
      </c>
      <c r="M2899" s="3">
        <v>334</v>
      </c>
      <c r="N2899" s="3">
        <v>1346145</v>
      </c>
      <c r="O2899" s="2">
        <v>0.441</v>
      </c>
      <c r="P2899" s="2">
        <v>0.50800000000000001</v>
      </c>
      <c r="Q2899" s="2">
        <v>6.0999999999999999E-2</v>
      </c>
      <c r="R2899" s="11">
        <v>465782397</v>
      </c>
      <c r="S2899" s="11">
        <v>1555786</v>
      </c>
      <c r="T2899">
        <v>2015</v>
      </c>
      <c r="U2899">
        <v>3</v>
      </c>
      <c r="V2899">
        <f t="shared" si="270"/>
        <v>325000</v>
      </c>
      <c r="W2899">
        <f t="shared" si="271"/>
        <v>18429897</v>
      </c>
      <c r="X2899">
        <f t="shared" si="272"/>
        <v>18104897</v>
      </c>
      <c r="Y2899">
        <f t="shared" si="273"/>
        <v>-26832345.5</v>
      </c>
      <c r="Z2899">
        <f t="shared" si="274"/>
        <v>45587242.5</v>
      </c>
      <c r="AA2899" t="str">
        <f t="shared" si="275"/>
        <v>Normal</v>
      </c>
      <c r="AE2899" s="2"/>
      <c r="AF2899" s="2"/>
    </row>
    <row r="2900" spans="1:32" x14ac:dyDescent="0.35">
      <c r="A2900">
        <v>2899</v>
      </c>
      <c r="B2900" s="1">
        <v>42079</v>
      </c>
      <c r="C2900" s="9" t="s">
        <v>4630</v>
      </c>
      <c r="D2900" s="9" t="s">
        <v>4988</v>
      </c>
      <c r="E2900" s="9" t="s">
        <v>1111</v>
      </c>
      <c r="F2900" s="9" t="s">
        <v>15</v>
      </c>
      <c r="G2900" s="9" t="s">
        <v>4631</v>
      </c>
      <c r="H2900" s="9" t="s">
        <v>86</v>
      </c>
      <c r="I2900" s="11">
        <v>166000</v>
      </c>
      <c r="J2900" s="11">
        <v>2547131</v>
      </c>
      <c r="K2900" s="11">
        <v>15699482</v>
      </c>
      <c r="L2900" s="3">
        <v>409</v>
      </c>
      <c r="M2900" s="3">
        <v>3017</v>
      </c>
      <c r="N2900" s="3">
        <v>514649</v>
      </c>
      <c r="O2900" s="2">
        <v>-0.29699999999999999</v>
      </c>
      <c r="P2900" s="2">
        <v>0.752</v>
      </c>
      <c r="Q2900" s="2">
        <v>0.30599999999999999</v>
      </c>
      <c r="R2900" s="11">
        <v>273190813</v>
      </c>
      <c r="S2900" s="11">
        <v>576947</v>
      </c>
      <c r="T2900">
        <v>2015</v>
      </c>
      <c r="U2900">
        <v>3</v>
      </c>
      <c r="V2900">
        <f t="shared" si="270"/>
        <v>325000</v>
      </c>
      <c r="W2900">
        <f t="shared" si="271"/>
        <v>18429897</v>
      </c>
      <c r="X2900">
        <f t="shared" si="272"/>
        <v>18104897</v>
      </c>
      <c r="Y2900">
        <f t="shared" si="273"/>
        <v>-26832345.5</v>
      </c>
      <c r="Z2900">
        <f t="shared" si="274"/>
        <v>45587242.5</v>
      </c>
      <c r="AA2900" t="str">
        <f t="shared" si="275"/>
        <v>Normal</v>
      </c>
      <c r="AE2900" s="2"/>
      <c r="AF2900" s="2"/>
    </row>
    <row r="2901" spans="1:32" x14ac:dyDescent="0.35">
      <c r="A2901">
        <v>2900</v>
      </c>
      <c r="B2901" s="1">
        <v>42079</v>
      </c>
      <c r="C2901" s="9" t="s">
        <v>2849</v>
      </c>
      <c r="D2901" s="9" t="s">
        <v>4988</v>
      </c>
      <c r="E2901" s="9" t="s">
        <v>1111</v>
      </c>
      <c r="F2901" s="9" t="s">
        <v>15</v>
      </c>
      <c r="G2901" s="9" t="s">
        <v>4632</v>
      </c>
      <c r="H2901" s="9" t="s">
        <v>105</v>
      </c>
      <c r="I2901" s="11">
        <v>50000000</v>
      </c>
      <c r="J2901" s="11">
        <v>4006906</v>
      </c>
      <c r="K2901" s="11">
        <v>13968481</v>
      </c>
      <c r="L2901" s="3">
        <v>269</v>
      </c>
      <c r="M2901" s="3">
        <v>3976</v>
      </c>
      <c r="N2901" s="3">
        <v>1631944</v>
      </c>
      <c r="O2901" s="2">
        <v>0.20399999999999999</v>
      </c>
      <c r="P2901" s="2">
        <v>0.439</v>
      </c>
      <c r="Q2901" s="2">
        <v>7.2999999999999995E-2</v>
      </c>
      <c r="R2901" s="11">
        <v>57019517</v>
      </c>
      <c r="S2901" s="11">
        <v>378710</v>
      </c>
      <c r="T2901">
        <v>2015</v>
      </c>
      <c r="U2901">
        <v>3</v>
      </c>
      <c r="V2901">
        <f t="shared" si="270"/>
        <v>325000</v>
      </c>
      <c r="W2901">
        <f t="shared" si="271"/>
        <v>18429897</v>
      </c>
      <c r="X2901">
        <f t="shared" si="272"/>
        <v>18104897</v>
      </c>
      <c r="Y2901">
        <f t="shared" si="273"/>
        <v>-26832345.5</v>
      </c>
      <c r="Z2901">
        <f t="shared" si="274"/>
        <v>45587242.5</v>
      </c>
      <c r="AA2901" t="str">
        <f t="shared" si="275"/>
        <v>Outlier</v>
      </c>
      <c r="AE2901" s="2"/>
      <c r="AF2901" s="2"/>
    </row>
    <row r="2902" spans="1:32" x14ac:dyDescent="0.35">
      <c r="A2902">
        <v>2901</v>
      </c>
      <c r="B2902" s="1">
        <v>42080</v>
      </c>
      <c r="C2902" s="9" t="s">
        <v>2137</v>
      </c>
      <c r="D2902" s="9" t="s">
        <v>4988</v>
      </c>
      <c r="E2902" s="9" t="s">
        <v>1111</v>
      </c>
      <c r="F2902" s="9" t="s">
        <v>15</v>
      </c>
      <c r="G2902" s="9" t="s">
        <v>1106</v>
      </c>
      <c r="H2902" s="9" t="s">
        <v>86</v>
      </c>
      <c r="I2902" s="11">
        <v>18429897</v>
      </c>
      <c r="J2902" s="11">
        <v>4317821</v>
      </c>
      <c r="K2902" s="11">
        <v>6955106</v>
      </c>
      <c r="L2902" s="3">
        <v>254</v>
      </c>
      <c r="M2902" s="3">
        <v>57</v>
      </c>
      <c r="N2902" s="3">
        <v>610509</v>
      </c>
      <c r="O2902" s="2">
        <v>0.128</v>
      </c>
      <c r="P2902" s="2">
        <v>0.98099999999999998</v>
      </c>
      <c r="Q2902" s="2">
        <v>0.23699999999999999</v>
      </c>
      <c r="R2902" s="11">
        <v>286700196</v>
      </c>
      <c r="S2902" s="11">
        <v>1168109</v>
      </c>
      <c r="T2902">
        <v>2015</v>
      </c>
      <c r="U2902">
        <v>3</v>
      </c>
      <c r="V2902">
        <f t="shared" si="270"/>
        <v>325000</v>
      </c>
      <c r="W2902">
        <f t="shared" si="271"/>
        <v>18429897</v>
      </c>
      <c r="X2902">
        <f t="shared" si="272"/>
        <v>18104897</v>
      </c>
      <c r="Y2902">
        <f t="shared" si="273"/>
        <v>-26832345.5</v>
      </c>
      <c r="Z2902">
        <f t="shared" si="274"/>
        <v>45587242.5</v>
      </c>
      <c r="AA2902" t="str">
        <f t="shared" si="275"/>
        <v>Normal</v>
      </c>
      <c r="AE2902" s="2"/>
      <c r="AF2902" s="2"/>
    </row>
    <row r="2903" spans="1:32" x14ac:dyDescent="0.35">
      <c r="A2903">
        <v>2902</v>
      </c>
      <c r="B2903" s="1">
        <v>42081</v>
      </c>
      <c r="C2903" s="9" t="s">
        <v>4633</v>
      </c>
      <c r="D2903" s="9" t="s">
        <v>4988</v>
      </c>
      <c r="E2903" s="9" t="s">
        <v>1111</v>
      </c>
      <c r="F2903" s="9" t="s">
        <v>15</v>
      </c>
      <c r="G2903" s="9" t="s">
        <v>4634</v>
      </c>
      <c r="H2903" s="9" t="s">
        <v>105</v>
      </c>
      <c r="I2903" s="11">
        <v>5000000</v>
      </c>
      <c r="J2903" s="11">
        <v>3096588</v>
      </c>
      <c r="K2903" s="11">
        <v>6794581</v>
      </c>
      <c r="L2903" s="3">
        <v>215</v>
      </c>
      <c r="M2903" s="3">
        <v>4526</v>
      </c>
      <c r="N2903" s="3">
        <v>511913</v>
      </c>
      <c r="O2903" s="2">
        <v>6.7000000000000004E-2</v>
      </c>
      <c r="P2903" s="2">
        <v>0.42899999999999999</v>
      </c>
      <c r="Q2903" s="2">
        <v>-0.22800000000000001</v>
      </c>
      <c r="R2903" s="11">
        <v>354344370</v>
      </c>
      <c r="S2903" s="11">
        <v>361278</v>
      </c>
      <c r="T2903">
        <v>2015</v>
      </c>
      <c r="U2903">
        <v>3</v>
      </c>
      <c r="V2903">
        <f t="shared" si="270"/>
        <v>325000</v>
      </c>
      <c r="W2903">
        <f t="shared" si="271"/>
        <v>18429897</v>
      </c>
      <c r="X2903">
        <f t="shared" si="272"/>
        <v>18104897</v>
      </c>
      <c r="Y2903">
        <f t="shared" si="273"/>
        <v>-26832345.5</v>
      </c>
      <c r="Z2903">
        <f t="shared" si="274"/>
        <v>45587242.5</v>
      </c>
      <c r="AA2903" t="str">
        <f t="shared" si="275"/>
        <v>Normal</v>
      </c>
      <c r="AE2903" s="2"/>
      <c r="AF2903" s="2"/>
    </row>
    <row r="2904" spans="1:32" x14ac:dyDescent="0.35">
      <c r="A2904">
        <v>2903</v>
      </c>
      <c r="B2904" s="1">
        <v>42081</v>
      </c>
      <c r="C2904" s="9" t="s">
        <v>4635</v>
      </c>
      <c r="D2904" s="9" t="s">
        <v>4988</v>
      </c>
      <c r="E2904" s="9" t="s">
        <v>1111</v>
      </c>
      <c r="F2904" s="9" t="s">
        <v>15</v>
      </c>
      <c r="G2904" s="9" t="s">
        <v>4171</v>
      </c>
      <c r="H2904" s="9" t="s">
        <v>86</v>
      </c>
      <c r="I2904" s="11">
        <v>200000</v>
      </c>
      <c r="J2904" s="11">
        <v>3266418</v>
      </c>
      <c r="K2904" s="11">
        <v>18958106</v>
      </c>
      <c r="L2904" s="3">
        <v>154</v>
      </c>
      <c r="M2904" s="3">
        <v>3821</v>
      </c>
      <c r="N2904" s="3">
        <v>1018455</v>
      </c>
      <c r="O2904" s="2">
        <v>0.11800000000000001</v>
      </c>
      <c r="P2904" s="2">
        <v>0.53500000000000003</v>
      </c>
      <c r="Q2904" s="2">
        <v>-0.14699999999999999</v>
      </c>
      <c r="R2904" s="11">
        <v>420413976</v>
      </c>
      <c r="S2904" s="11">
        <v>1346682</v>
      </c>
      <c r="T2904">
        <v>2015</v>
      </c>
      <c r="U2904">
        <v>3</v>
      </c>
      <c r="V2904">
        <f t="shared" si="270"/>
        <v>325000</v>
      </c>
      <c r="W2904">
        <f t="shared" si="271"/>
        <v>18429897</v>
      </c>
      <c r="X2904">
        <f t="shared" si="272"/>
        <v>18104897</v>
      </c>
      <c r="Y2904">
        <f t="shared" si="273"/>
        <v>-26832345.5</v>
      </c>
      <c r="Z2904">
        <f t="shared" si="274"/>
        <v>45587242.5</v>
      </c>
      <c r="AA2904" t="str">
        <f t="shared" si="275"/>
        <v>Normal</v>
      </c>
      <c r="AE2904" s="2"/>
      <c r="AF2904" s="2"/>
    </row>
    <row r="2905" spans="1:32" x14ac:dyDescent="0.35">
      <c r="A2905">
        <v>2904</v>
      </c>
      <c r="B2905" s="1">
        <v>42081</v>
      </c>
      <c r="C2905" s="9" t="s">
        <v>3810</v>
      </c>
      <c r="D2905" s="9" t="s">
        <v>4988</v>
      </c>
      <c r="E2905" s="9" t="s">
        <v>1111</v>
      </c>
      <c r="F2905" s="9" t="s">
        <v>15</v>
      </c>
      <c r="G2905" s="9" t="s">
        <v>3292</v>
      </c>
      <c r="H2905" s="9" t="s">
        <v>105</v>
      </c>
      <c r="I2905" s="11">
        <v>18429897</v>
      </c>
      <c r="J2905" s="11">
        <v>4323401</v>
      </c>
      <c r="K2905" s="11">
        <v>14321177</v>
      </c>
      <c r="L2905" s="3">
        <v>178</v>
      </c>
      <c r="M2905" s="3">
        <v>1432</v>
      </c>
      <c r="N2905" s="3">
        <v>238576</v>
      </c>
      <c r="O2905" s="2">
        <v>-1.3000000000000001E-2</v>
      </c>
      <c r="P2905" s="2">
        <v>0.50800000000000001</v>
      </c>
      <c r="Q2905" s="2">
        <v>0.21299999999999999</v>
      </c>
      <c r="R2905" s="11">
        <v>131640805</v>
      </c>
      <c r="S2905" s="11">
        <v>951811</v>
      </c>
      <c r="T2905">
        <v>2015</v>
      </c>
      <c r="U2905">
        <v>3</v>
      </c>
      <c r="V2905">
        <f t="shared" si="270"/>
        <v>325000</v>
      </c>
      <c r="W2905">
        <f t="shared" si="271"/>
        <v>18429897</v>
      </c>
      <c r="X2905">
        <f t="shared" si="272"/>
        <v>18104897</v>
      </c>
      <c r="Y2905">
        <f t="shared" si="273"/>
        <v>-26832345.5</v>
      </c>
      <c r="Z2905">
        <f t="shared" si="274"/>
        <v>45587242.5</v>
      </c>
      <c r="AA2905" t="str">
        <f t="shared" si="275"/>
        <v>Normal</v>
      </c>
      <c r="AE2905" s="2"/>
      <c r="AF2905" s="2"/>
    </row>
    <row r="2906" spans="1:32" x14ac:dyDescent="0.35">
      <c r="A2906">
        <v>2905</v>
      </c>
      <c r="B2906" s="1">
        <v>42082</v>
      </c>
      <c r="C2906" s="9" t="s">
        <v>262</v>
      </c>
      <c r="D2906" s="9" t="s">
        <v>4988</v>
      </c>
      <c r="E2906" s="9" t="s">
        <v>1111</v>
      </c>
      <c r="F2906" s="9" t="s">
        <v>15</v>
      </c>
      <c r="G2906" s="9" t="s">
        <v>4636</v>
      </c>
      <c r="H2906" s="9" t="s">
        <v>105</v>
      </c>
      <c r="I2906" s="11">
        <v>2000000</v>
      </c>
      <c r="J2906" s="11">
        <v>3131859</v>
      </c>
      <c r="K2906" s="11">
        <v>4854561</v>
      </c>
      <c r="L2906" s="3">
        <v>30</v>
      </c>
      <c r="M2906" s="3">
        <v>2438</v>
      </c>
      <c r="N2906" s="3">
        <v>1835316</v>
      </c>
      <c r="O2906" s="2">
        <v>0.251</v>
      </c>
      <c r="P2906" s="2">
        <v>0.89800000000000002</v>
      </c>
      <c r="Q2906" s="2">
        <v>0.52300000000000002</v>
      </c>
      <c r="R2906" s="11">
        <v>295001215</v>
      </c>
      <c r="S2906" s="11">
        <v>1089835</v>
      </c>
      <c r="T2906">
        <v>2015</v>
      </c>
      <c r="U2906">
        <v>3</v>
      </c>
      <c r="V2906">
        <f t="shared" si="270"/>
        <v>325000</v>
      </c>
      <c r="W2906">
        <f t="shared" si="271"/>
        <v>18429897</v>
      </c>
      <c r="X2906">
        <f t="shared" si="272"/>
        <v>18104897</v>
      </c>
      <c r="Y2906">
        <f t="shared" si="273"/>
        <v>-26832345.5</v>
      </c>
      <c r="Z2906">
        <f t="shared" si="274"/>
        <v>45587242.5</v>
      </c>
      <c r="AA2906" t="str">
        <f t="shared" si="275"/>
        <v>Normal</v>
      </c>
      <c r="AE2906" s="2"/>
      <c r="AF2906" s="2"/>
    </row>
    <row r="2907" spans="1:32" x14ac:dyDescent="0.35">
      <c r="A2907">
        <v>2906</v>
      </c>
      <c r="B2907" s="1">
        <v>42082</v>
      </c>
      <c r="C2907" s="9" t="s">
        <v>4637</v>
      </c>
      <c r="D2907" s="9" t="s">
        <v>4988</v>
      </c>
      <c r="E2907" s="9" t="s">
        <v>1111</v>
      </c>
      <c r="F2907" s="9" t="s">
        <v>15</v>
      </c>
      <c r="G2907" s="9" t="s">
        <v>4901</v>
      </c>
      <c r="H2907" s="9" t="s">
        <v>86</v>
      </c>
      <c r="I2907" s="11">
        <v>2800000</v>
      </c>
      <c r="J2907" s="11">
        <v>4745238</v>
      </c>
      <c r="K2907" s="11">
        <v>18245977</v>
      </c>
      <c r="L2907" s="3">
        <v>12</v>
      </c>
      <c r="M2907" s="3">
        <v>3420</v>
      </c>
      <c r="N2907" s="3">
        <v>769189</v>
      </c>
      <c r="O2907" s="2">
        <v>-0.14299999999999999</v>
      </c>
      <c r="P2907" s="2">
        <v>0.59499999999999997</v>
      </c>
      <c r="Q2907" s="2">
        <v>0.217</v>
      </c>
      <c r="R2907" s="11">
        <v>357653552</v>
      </c>
      <c r="S2907" s="11">
        <v>313921</v>
      </c>
      <c r="T2907">
        <v>2015</v>
      </c>
      <c r="U2907">
        <v>3</v>
      </c>
      <c r="V2907">
        <f t="shared" si="270"/>
        <v>325000</v>
      </c>
      <c r="W2907">
        <f t="shared" si="271"/>
        <v>18429897</v>
      </c>
      <c r="X2907">
        <f t="shared" si="272"/>
        <v>18104897</v>
      </c>
      <c r="Y2907">
        <f t="shared" si="273"/>
        <v>-26832345.5</v>
      </c>
      <c r="Z2907">
        <f t="shared" si="274"/>
        <v>45587242.5</v>
      </c>
      <c r="AA2907" t="str">
        <f t="shared" si="275"/>
        <v>Normal</v>
      </c>
      <c r="AE2907" s="2"/>
      <c r="AF2907" s="2"/>
    </row>
    <row r="2908" spans="1:32" x14ac:dyDescent="0.35">
      <c r="A2908">
        <v>2907</v>
      </c>
      <c r="B2908" s="1">
        <v>42083</v>
      </c>
      <c r="C2908" s="9" t="s">
        <v>4638</v>
      </c>
      <c r="D2908" s="9" t="s">
        <v>4988</v>
      </c>
      <c r="E2908" s="9" t="s">
        <v>1111</v>
      </c>
      <c r="F2908" s="9" t="s">
        <v>15</v>
      </c>
      <c r="G2908" s="9" t="s">
        <v>4639</v>
      </c>
      <c r="H2908" s="9" t="s">
        <v>105</v>
      </c>
      <c r="I2908" s="11">
        <v>18429897</v>
      </c>
      <c r="J2908" s="11">
        <v>1000000000</v>
      </c>
      <c r="K2908" s="11">
        <v>8195727</v>
      </c>
      <c r="L2908" s="3">
        <v>178</v>
      </c>
      <c r="M2908" s="3">
        <v>2608</v>
      </c>
      <c r="N2908" s="3">
        <v>981133</v>
      </c>
      <c r="O2908" s="2">
        <v>0.18600000000000003</v>
      </c>
      <c r="P2908" s="2">
        <v>0.95599999999999996</v>
      </c>
      <c r="Q2908" s="2">
        <v>0.10400000000000001</v>
      </c>
      <c r="R2908" s="11">
        <v>395939877</v>
      </c>
      <c r="S2908" s="11">
        <v>1008193.5</v>
      </c>
      <c r="T2908">
        <v>2015</v>
      </c>
      <c r="U2908">
        <v>3</v>
      </c>
      <c r="V2908">
        <f t="shared" si="270"/>
        <v>325000</v>
      </c>
      <c r="W2908">
        <f t="shared" si="271"/>
        <v>18429897</v>
      </c>
      <c r="X2908">
        <f t="shared" si="272"/>
        <v>18104897</v>
      </c>
      <c r="Y2908">
        <f t="shared" si="273"/>
        <v>-26832345.5</v>
      </c>
      <c r="Z2908">
        <f t="shared" si="274"/>
        <v>45587242.5</v>
      </c>
      <c r="AA2908" t="str">
        <f t="shared" si="275"/>
        <v>Normal</v>
      </c>
      <c r="AE2908" s="2"/>
      <c r="AF2908" s="2"/>
    </row>
    <row r="2909" spans="1:32" x14ac:dyDescent="0.35">
      <c r="A2909">
        <v>2908</v>
      </c>
      <c r="B2909" s="1">
        <v>42083</v>
      </c>
      <c r="C2909" s="9" t="s">
        <v>4640</v>
      </c>
      <c r="D2909" s="9" t="s">
        <v>4988</v>
      </c>
      <c r="E2909" s="9" t="s">
        <v>1111</v>
      </c>
      <c r="F2909" s="9" t="s">
        <v>15</v>
      </c>
      <c r="G2909" s="9" t="s">
        <v>4641</v>
      </c>
      <c r="H2909" s="9" t="s">
        <v>86</v>
      </c>
      <c r="I2909" s="11">
        <v>3000000</v>
      </c>
      <c r="J2909" s="11">
        <v>1752545</v>
      </c>
      <c r="K2909" s="11">
        <v>1685947</v>
      </c>
      <c r="L2909" s="3">
        <v>154</v>
      </c>
      <c r="M2909" s="3">
        <v>3794</v>
      </c>
      <c r="N2909" s="3">
        <v>1358840</v>
      </c>
      <c r="O2909" s="2">
        <v>-1.6E-2</v>
      </c>
      <c r="P2909" s="2">
        <v>1.1020000000000001</v>
      </c>
      <c r="Q2909" s="2">
        <v>0.47600000000000003</v>
      </c>
      <c r="R2909" s="11">
        <v>128226302</v>
      </c>
      <c r="S2909" s="11">
        <v>1436894</v>
      </c>
      <c r="T2909">
        <v>2015</v>
      </c>
      <c r="U2909">
        <v>3</v>
      </c>
      <c r="V2909">
        <f t="shared" si="270"/>
        <v>325000</v>
      </c>
      <c r="W2909">
        <f t="shared" si="271"/>
        <v>18429897</v>
      </c>
      <c r="X2909">
        <f t="shared" si="272"/>
        <v>18104897</v>
      </c>
      <c r="Y2909">
        <f t="shared" si="273"/>
        <v>-26832345.5</v>
      </c>
      <c r="Z2909">
        <f t="shared" si="274"/>
        <v>45587242.5</v>
      </c>
      <c r="AA2909" t="str">
        <f t="shared" si="275"/>
        <v>Normal</v>
      </c>
      <c r="AE2909" s="2"/>
      <c r="AF2909" s="2"/>
    </row>
    <row r="2910" spans="1:32" x14ac:dyDescent="0.35">
      <c r="A2910">
        <v>2909</v>
      </c>
      <c r="B2910" s="1">
        <v>42083</v>
      </c>
      <c r="C2910" s="9" t="s">
        <v>4642</v>
      </c>
      <c r="D2910" s="9" t="s">
        <v>4988</v>
      </c>
      <c r="E2910" s="9" t="s">
        <v>1111</v>
      </c>
      <c r="F2910" s="9" t="s">
        <v>15</v>
      </c>
      <c r="G2910" s="9" t="s">
        <v>575</v>
      </c>
      <c r="H2910" s="9" t="s">
        <v>86</v>
      </c>
      <c r="I2910" s="11">
        <v>180000</v>
      </c>
      <c r="J2910" s="11">
        <v>578666</v>
      </c>
      <c r="K2910" s="11">
        <v>10153449</v>
      </c>
      <c r="L2910" s="3">
        <v>499</v>
      </c>
      <c r="M2910" s="3">
        <v>4453</v>
      </c>
      <c r="N2910" s="3">
        <v>1758411</v>
      </c>
      <c r="O2910" s="2">
        <v>3.5000000000000003E-2</v>
      </c>
      <c r="P2910" s="2">
        <v>0.50800000000000001</v>
      </c>
      <c r="Q2910" s="2">
        <v>4.4999999999999998E-2</v>
      </c>
      <c r="R2910" s="11">
        <v>44036641</v>
      </c>
      <c r="S2910" s="11">
        <v>1363054</v>
      </c>
      <c r="T2910">
        <v>2015</v>
      </c>
      <c r="U2910">
        <v>3</v>
      </c>
      <c r="V2910">
        <f t="shared" si="270"/>
        <v>323750</v>
      </c>
      <c r="W2910">
        <f t="shared" si="271"/>
        <v>18429897</v>
      </c>
      <c r="X2910">
        <f t="shared" si="272"/>
        <v>18106147</v>
      </c>
      <c r="Y2910">
        <f t="shared" si="273"/>
        <v>-26835470.5</v>
      </c>
      <c r="Z2910">
        <f t="shared" si="274"/>
        <v>45589117.5</v>
      </c>
      <c r="AA2910" t="str">
        <f t="shared" si="275"/>
        <v>Normal</v>
      </c>
      <c r="AE2910" s="2"/>
      <c r="AF2910" s="2"/>
    </row>
    <row r="2911" spans="1:32" x14ac:dyDescent="0.35">
      <c r="A2911">
        <v>2910</v>
      </c>
      <c r="B2911" s="1">
        <v>42083</v>
      </c>
      <c r="C2911" s="9" t="s">
        <v>4643</v>
      </c>
      <c r="D2911" s="9" t="s">
        <v>4988</v>
      </c>
      <c r="E2911" s="9" t="s">
        <v>1111</v>
      </c>
      <c r="F2911" s="9" t="s">
        <v>15</v>
      </c>
      <c r="G2911" s="9" t="s">
        <v>4644</v>
      </c>
      <c r="H2911" s="9" t="s">
        <v>105</v>
      </c>
      <c r="I2911" s="11">
        <v>15000000</v>
      </c>
      <c r="J2911" s="11">
        <v>471083</v>
      </c>
      <c r="K2911" s="11">
        <v>17387642</v>
      </c>
      <c r="L2911" s="3">
        <v>134</v>
      </c>
      <c r="M2911" s="3">
        <v>1822</v>
      </c>
      <c r="N2911" s="3">
        <v>1540212</v>
      </c>
      <c r="O2911" s="2">
        <v>0.04</v>
      </c>
      <c r="P2911" s="2">
        <v>1.1159999999999999</v>
      </c>
      <c r="Q2911" s="2">
        <v>-9.9000000000000005E-2</v>
      </c>
      <c r="R2911" s="11">
        <v>222793736</v>
      </c>
      <c r="S2911" s="11">
        <v>1806301</v>
      </c>
      <c r="T2911">
        <v>2015</v>
      </c>
      <c r="U2911">
        <v>3</v>
      </c>
      <c r="V2911">
        <f t="shared" si="270"/>
        <v>325000</v>
      </c>
      <c r="W2911">
        <f t="shared" si="271"/>
        <v>18429897</v>
      </c>
      <c r="X2911">
        <f t="shared" si="272"/>
        <v>18104897</v>
      </c>
      <c r="Y2911">
        <f t="shared" si="273"/>
        <v>-26832345.5</v>
      </c>
      <c r="Z2911">
        <f t="shared" si="274"/>
        <v>45587242.5</v>
      </c>
      <c r="AA2911" t="str">
        <f t="shared" si="275"/>
        <v>Normal</v>
      </c>
      <c r="AE2911" s="2"/>
      <c r="AF2911" s="2"/>
    </row>
    <row r="2912" spans="1:32" x14ac:dyDescent="0.35">
      <c r="A2912">
        <v>2911</v>
      </c>
      <c r="B2912" s="1">
        <v>42084</v>
      </c>
      <c r="C2912" s="9" t="s">
        <v>4645</v>
      </c>
      <c r="D2912" s="9" t="s">
        <v>4988</v>
      </c>
      <c r="E2912" s="9" t="s">
        <v>1111</v>
      </c>
      <c r="F2912" s="9" t="s">
        <v>15</v>
      </c>
      <c r="G2912" s="9" t="s">
        <v>4646</v>
      </c>
      <c r="H2912" s="9" t="s">
        <v>86</v>
      </c>
      <c r="I2912" s="11">
        <v>18429897</v>
      </c>
      <c r="J2912" s="11">
        <v>2370267</v>
      </c>
      <c r="K2912" s="11">
        <v>8913438</v>
      </c>
      <c r="L2912" s="3">
        <v>168</v>
      </c>
      <c r="M2912" s="3">
        <v>590</v>
      </c>
      <c r="N2912" s="3">
        <v>1018455</v>
      </c>
      <c r="O2912" s="2">
        <v>8.6999999999999994E-2</v>
      </c>
      <c r="P2912" s="2">
        <v>0.73799999999999999</v>
      </c>
      <c r="Q2912" s="2">
        <v>0.10199999999999999</v>
      </c>
      <c r="R2912" s="11">
        <v>137965117</v>
      </c>
      <c r="S2912" s="11">
        <v>1623815</v>
      </c>
      <c r="T2912">
        <v>2015</v>
      </c>
      <c r="U2912">
        <v>3</v>
      </c>
      <c r="V2912">
        <f t="shared" si="270"/>
        <v>325000</v>
      </c>
      <c r="W2912">
        <f t="shared" si="271"/>
        <v>18429897</v>
      </c>
      <c r="X2912">
        <f t="shared" si="272"/>
        <v>18104897</v>
      </c>
      <c r="Y2912">
        <f t="shared" si="273"/>
        <v>-26832345.5</v>
      </c>
      <c r="Z2912">
        <f t="shared" si="274"/>
        <v>45587242.5</v>
      </c>
      <c r="AA2912" t="str">
        <f t="shared" si="275"/>
        <v>Normal</v>
      </c>
      <c r="AE2912" s="2"/>
      <c r="AF2912" s="2"/>
    </row>
    <row r="2913" spans="1:32" x14ac:dyDescent="0.35">
      <c r="A2913">
        <v>2912</v>
      </c>
      <c r="B2913" s="1">
        <v>42086</v>
      </c>
      <c r="C2913" s="9" t="s">
        <v>814</v>
      </c>
      <c r="D2913" s="9" t="s">
        <v>4988</v>
      </c>
      <c r="E2913" s="9" t="s">
        <v>1111</v>
      </c>
      <c r="F2913" s="9" t="s">
        <v>15</v>
      </c>
      <c r="G2913" s="9" t="s">
        <v>387</v>
      </c>
      <c r="H2913" s="9" t="s">
        <v>86</v>
      </c>
      <c r="I2913" s="11">
        <v>120000</v>
      </c>
      <c r="J2913" s="11">
        <v>1145126</v>
      </c>
      <c r="K2913" s="11">
        <v>14108145</v>
      </c>
      <c r="L2913" s="3">
        <v>458</v>
      </c>
      <c r="M2913" s="3">
        <v>2505.5</v>
      </c>
      <c r="N2913" s="3">
        <v>1499998</v>
      </c>
      <c r="O2913" s="2">
        <v>0.22</v>
      </c>
      <c r="P2913" s="2">
        <v>0.64900000000000002</v>
      </c>
      <c r="Q2913" s="2">
        <v>0.193</v>
      </c>
      <c r="R2913" s="11">
        <v>205320969</v>
      </c>
      <c r="S2913" s="11">
        <v>1903037</v>
      </c>
      <c r="T2913">
        <v>2015</v>
      </c>
      <c r="U2913">
        <v>3</v>
      </c>
      <c r="V2913">
        <f t="shared" si="270"/>
        <v>325000</v>
      </c>
      <c r="W2913">
        <f t="shared" si="271"/>
        <v>18429897</v>
      </c>
      <c r="X2913">
        <f t="shared" si="272"/>
        <v>18104897</v>
      </c>
      <c r="Y2913">
        <f t="shared" si="273"/>
        <v>-26832345.5</v>
      </c>
      <c r="Z2913">
        <f t="shared" si="274"/>
        <v>45587242.5</v>
      </c>
      <c r="AA2913" t="str">
        <f t="shared" si="275"/>
        <v>Normal</v>
      </c>
      <c r="AE2913" s="2"/>
      <c r="AF2913" s="2"/>
    </row>
    <row r="2914" spans="1:32" x14ac:dyDescent="0.35">
      <c r="A2914">
        <v>2913</v>
      </c>
      <c r="B2914" s="1">
        <v>42086</v>
      </c>
      <c r="C2914" s="9" t="s">
        <v>4647</v>
      </c>
      <c r="D2914" s="9" t="s">
        <v>4988</v>
      </c>
      <c r="E2914" s="9" t="s">
        <v>1111</v>
      </c>
      <c r="F2914" s="9" t="s">
        <v>15</v>
      </c>
      <c r="G2914" s="9" t="s">
        <v>4648</v>
      </c>
      <c r="H2914" s="9" t="s">
        <v>105</v>
      </c>
      <c r="I2914" s="11">
        <v>18429897</v>
      </c>
      <c r="J2914" s="11">
        <v>2047642</v>
      </c>
      <c r="K2914" s="11">
        <v>4769043</v>
      </c>
      <c r="L2914" s="3">
        <v>430</v>
      </c>
      <c r="M2914" s="3">
        <v>3017</v>
      </c>
      <c r="N2914" s="3">
        <v>790387</v>
      </c>
      <c r="O2914" s="2">
        <v>0.113</v>
      </c>
      <c r="P2914" s="2">
        <v>0.996</v>
      </c>
      <c r="Q2914" s="2">
        <v>-0.217</v>
      </c>
      <c r="R2914" s="11">
        <v>408983768</v>
      </c>
      <c r="S2914" s="11">
        <v>1008193.5</v>
      </c>
      <c r="T2914">
        <v>2015</v>
      </c>
      <c r="U2914">
        <v>3</v>
      </c>
      <c r="V2914">
        <f t="shared" si="270"/>
        <v>325000</v>
      </c>
      <c r="W2914">
        <f t="shared" si="271"/>
        <v>18429897</v>
      </c>
      <c r="X2914">
        <f t="shared" si="272"/>
        <v>18104897</v>
      </c>
      <c r="Y2914">
        <f t="shared" si="273"/>
        <v>-26832345.5</v>
      </c>
      <c r="Z2914">
        <f t="shared" si="274"/>
        <v>45587242.5</v>
      </c>
      <c r="AA2914" t="str">
        <f t="shared" si="275"/>
        <v>Normal</v>
      </c>
      <c r="AE2914" s="2"/>
      <c r="AF2914" s="2"/>
    </row>
    <row r="2915" spans="1:32" x14ac:dyDescent="0.35">
      <c r="A2915">
        <v>2914</v>
      </c>
      <c r="B2915" s="1">
        <v>42087</v>
      </c>
      <c r="C2915" s="9" t="s">
        <v>884</v>
      </c>
      <c r="D2915" s="9" t="s">
        <v>4988</v>
      </c>
      <c r="E2915" s="9" t="s">
        <v>1111</v>
      </c>
      <c r="F2915" s="9" t="s">
        <v>15</v>
      </c>
      <c r="G2915" s="9" t="s">
        <v>4649</v>
      </c>
      <c r="H2915" s="9" t="s">
        <v>105</v>
      </c>
      <c r="I2915" s="11">
        <v>6000000</v>
      </c>
      <c r="J2915" s="11">
        <v>2200450</v>
      </c>
      <c r="K2915" s="11">
        <v>17022156</v>
      </c>
      <c r="L2915" s="3">
        <v>33</v>
      </c>
      <c r="M2915" s="3">
        <v>3886</v>
      </c>
      <c r="N2915" s="3">
        <v>1033350</v>
      </c>
      <c r="O2915" s="2">
        <v>0.307</v>
      </c>
      <c r="P2915" s="2">
        <v>0.9840000000000001</v>
      </c>
      <c r="Q2915" s="2">
        <v>0.13200000000000001</v>
      </c>
      <c r="R2915" s="11">
        <v>408431114</v>
      </c>
      <c r="S2915" s="11">
        <v>613536</v>
      </c>
      <c r="T2915">
        <v>2015</v>
      </c>
      <c r="U2915">
        <v>3</v>
      </c>
      <c r="V2915">
        <f t="shared" si="270"/>
        <v>325000</v>
      </c>
      <c r="W2915">
        <f t="shared" si="271"/>
        <v>18429897</v>
      </c>
      <c r="X2915">
        <f t="shared" si="272"/>
        <v>18104897</v>
      </c>
      <c r="Y2915">
        <f t="shared" si="273"/>
        <v>-26832345.5</v>
      </c>
      <c r="Z2915">
        <f t="shared" si="274"/>
        <v>45587242.5</v>
      </c>
      <c r="AA2915" t="str">
        <f t="shared" si="275"/>
        <v>Normal</v>
      </c>
      <c r="AE2915" s="2"/>
      <c r="AF2915" s="2"/>
    </row>
    <row r="2916" spans="1:32" x14ac:dyDescent="0.35">
      <c r="A2916">
        <v>2915</v>
      </c>
      <c r="B2916" s="1">
        <v>42087</v>
      </c>
      <c r="C2916" s="9" t="s">
        <v>4650</v>
      </c>
      <c r="D2916" s="9" t="s">
        <v>4988</v>
      </c>
      <c r="E2916" s="9" t="s">
        <v>1111</v>
      </c>
      <c r="F2916" s="9" t="s">
        <v>15</v>
      </c>
      <c r="G2916" s="9" t="s">
        <v>4651</v>
      </c>
      <c r="H2916" s="9" t="s">
        <v>86</v>
      </c>
      <c r="I2916" s="11">
        <v>160000</v>
      </c>
      <c r="J2916" s="11">
        <v>3112199</v>
      </c>
      <c r="K2916" s="11">
        <v>7433855</v>
      </c>
      <c r="L2916" s="3">
        <v>47</v>
      </c>
      <c r="M2916" s="3">
        <v>1446</v>
      </c>
      <c r="N2916" s="3">
        <v>1371913</v>
      </c>
      <c r="O2916" s="2">
        <v>0.32899999999999996</v>
      </c>
      <c r="P2916" s="2">
        <v>0.88300000000000001</v>
      </c>
      <c r="Q2916" s="2">
        <v>-0.33100000000000002</v>
      </c>
      <c r="R2916" s="11">
        <v>112227051</v>
      </c>
      <c r="S2916" s="11">
        <v>1008193.5</v>
      </c>
      <c r="T2916">
        <v>2015</v>
      </c>
      <c r="U2916">
        <v>3</v>
      </c>
      <c r="V2916">
        <f t="shared" si="270"/>
        <v>325000</v>
      </c>
      <c r="W2916">
        <f t="shared" si="271"/>
        <v>18429897</v>
      </c>
      <c r="X2916">
        <f t="shared" si="272"/>
        <v>18104897</v>
      </c>
      <c r="Y2916">
        <f t="shared" si="273"/>
        <v>-26832345.5</v>
      </c>
      <c r="Z2916">
        <f t="shared" si="274"/>
        <v>45587242.5</v>
      </c>
      <c r="AA2916" t="str">
        <f t="shared" si="275"/>
        <v>Normal</v>
      </c>
      <c r="AE2916" s="2"/>
      <c r="AF2916" s="2"/>
    </row>
    <row r="2917" spans="1:32" x14ac:dyDescent="0.35">
      <c r="A2917">
        <v>2916</v>
      </c>
      <c r="B2917" s="1">
        <v>42088</v>
      </c>
      <c r="C2917" s="9" t="s">
        <v>2736</v>
      </c>
      <c r="D2917" s="9" t="s">
        <v>4988</v>
      </c>
      <c r="E2917" s="9" t="s">
        <v>1111</v>
      </c>
      <c r="F2917" s="9" t="s">
        <v>15</v>
      </c>
      <c r="G2917" s="9" t="s">
        <v>4652</v>
      </c>
      <c r="H2917" s="9" t="s">
        <v>105</v>
      </c>
      <c r="I2917" s="11">
        <v>6000000</v>
      </c>
      <c r="J2917" s="11">
        <v>4729554</v>
      </c>
      <c r="K2917" s="11">
        <v>5419396</v>
      </c>
      <c r="L2917" s="3">
        <v>52</v>
      </c>
      <c r="M2917" s="3">
        <v>4644</v>
      </c>
      <c r="N2917" s="3">
        <v>1101126</v>
      </c>
      <c r="O2917" s="2">
        <v>0.182</v>
      </c>
      <c r="P2917" s="2">
        <v>0.60899999999999999</v>
      </c>
      <c r="Q2917" s="2">
        <v>2.5000000000000001E-2</v>
      </c>
      <c r="R2917" s="11">
        <v>176383477</v>
      </c>
      <c r="S2917" s="11">
        <v>1038878</v>
      </c>
      <c r="T2917">
        <v>2015</v>
      </c>
      <c r="U2917">
        <v>3</v>
      </c>
      <c r="V2917">
        <f t="shared" si="270"/>
        <v>325000</v>
      </c>
      <c r="W2917">
        <f t="shared" si="271"/>
        <v>18429897</v>
      </c>
      <c r="X2917">
        <f t="shared" si="272"/>
        <v>18104897</v>
      </c>
      <c r="Y2917">
        <f t="shared" si="273"/>
        <v>-26832345.5</v>
      </c>
      <c r="Z2917">
        <f t="shared" si="274"/>
        <v>45587242.5</v>
      </c>
      <c r="AA2917" t="str">
        <f t="shared" si="275"/>
        <v>Normal</v>
      </c>
      <c r="AE2917" s="2"/>
      <c r="AF2917" s="2"/>
    </row>
    <row r="2918" spans="1:32" x14ac:dyDescent="0.35">
      <c r="A2918">
        <v>2917</v>
      </c>
      <c r="B2918" s="1">
        <v>42088</v>
      </c>
      <c r="C2918" s="9" t="s">
        <v>4653</v>
      </c>
      <c r="D2918" s="9" t="s">
        <v>4988</v>
      </c>
      <c r="E2918" s="9" t="s">
        <v>1111</v>
      </c>
      <c r="F2918" s="9" t="s">
        <v>15</v>
      </c>
      <c r="G2918" s="9" t="s">
        <v>4654</v>
      </c>
      <c r="H2918" s="9" t="s">
        <v>105</v>
      </c>
      <c r="I2918" s="11">
        <v>500000</v>
      </c>
      <c r="J2918" s="11">
        <v>4249951</v>
      </c>
      <c r="K2918" s="11">
        <v>10064349</v>
      </c>
      <c r="L2918" s="3">
        <v>232</v>
      </c>
      <c r="M2918" s="3">
        <v>231</v>
      </c>
      <c r="N2918" s="3">
        <v>101170</v>
      </c>
      <c r="O2918" s="2">
        <v>0.25700000000000001</v>
      </c>
      <c r="P2918" s="2">
        <v>0.46700000000000003</v>
      </c>
      <c r="Q2918" s="2">
        <v>6.0999999999999999E-2</v>
      </c>
      <c r="R2918" s="11">
        <v>116898274</v>
      </c>
      <c r="S2918" s="11">
        <v>983428</v>
      </c>
      <c r="T2918">
        <v>2015</v>
      </c>
      <c r="U2918">
        <v>3</v>
      </c>
      <c r="V2918">
        <f t="shared" si="270"/>
        <v>325000</v>
      </c>
      <c r="W2918">
        <f t="shared" si="271"/>
        <v>18429897</v>
      </c>
      <c r="X2918">
        <f t="shared" si="272"/>
        <v>18104897</v>
      </c>
      <c r="Y2918">
        <f t="shared" si="273"/>
        <v>-26832345.5</v>
      </c>
      <c r="Z2918">
        <f t="shared" si="274"/>
        <v>45587242.5</v>
      </c>
      <c r="AA2918" t="str">
        <f t="shared" si="275"/>
        <v>Normal</v>
      </c>
      <c r="AE2918" s="2"/>
      <c r="AF2918" s="2"/>
    </row>
    <row r="2919" spans="1:32" x14ac:dyDescent="0.35">
      <c r="A2919">
        <v>2918</v>
      </c>
      <c r="B2919" s="1">
        <v>42088</v>
      </c>
      <c r="C2919" s="9" t="s">
        <v>4655</v>
      </c>
      <c r="D2919" s="9" t="s">
        <v>4988</v>
      </c>
      <c r="E2919" s="9" t="s">
        <v>1111</v>
      </c>
      <c r="F2919" s="9" t="s">
        <v>15</v>
      </c>
      <c r="G2919" s="9" t="s">
        <v>4656</v>
      </c>
      <c r="H2919" s="9" t="s">
        <v>86</v>
      </c>
      <c r="I2919" s="11">
        <v>2000000</v>
      </c>
      <c r="J2919" s="11">
        <v>2531926</v>
      </c>
      <c r="K2919" s="11">
        <v>5417799</v>
      </c>
      <c r="L2919" s="3">
        <v>288</v>
      </c>
      <c r="M2919" s="3">
        <v>2923</v>
      </c>
      <c r="N2919" s="3">
        <v>89331</v>
      </c>
      <c r="O2919" s="2">
        <v>0.52500000000000002</v>
      </c>
      <c r="P2919" s="2">
        <v>0.56000000000000005</v>
      </c>
      <c r="Q2919" s="2">
        <v>9.1999999999999998E-2</v>
      </c>
      <c r="R2919" s="11">
        <v>456720510</v>
      </c>
      <c r="S2919" s="11">
        <v>387121</v>
      </c>
      <c r="T2919">
        <v>2015</v>
      </c>
      <c r="U2919">
        <v>3</v>
      </c>
      <c r="V2919">
        <f t="shared" si="270"/>
        <v>325000</v>
      </c>
      <c r="W2919">
        <f t="shared" si="271"/>
        <v>18429897</v>
      </c>
      <c r="X2919">
        <f t="shared" si="272"/>
        <v>18104897</v>
      </c>
      <c r="Y2919">
        <f t="shared" si="273"/>
        <v>-26832345.5</v>
      </c>
      <c r="Z2919">
        <f t="shared" si="274"/>
        <v>45587242.5</v>
      </c>
      <c r="AA2919" t="str">
        <f t="shared" si="275"/>
        <v>Normal</v>
      </c>
      <c r="AE2919" s="2"/>
      <c r="AF2919" s="2"/>
    </row>
    <row r="2920" spans="1:32" x14ac:dyDescent="0.35">
      <c r="A2920">
        <v>2919</v>
      </c>
      <c r="B2920" s="1">
        <v>42088</v>
      </c>
      <c r="C2920" s="9" t="s">
        <v>4657</v>
      </c>
      <c r="D2920" s="9" t="s">
        <v>4988</v>
      </c>
      <c r="E2920" s="9" t="s">
        <v>1111</v>
      </c>
      <c r="F2920" s="9" t="s">
        <v>15</v>
      </c>
      <c r="G2920" s="9" t="s">
        <v>4658</v>
      </c>
      <c r="H2920" s="9" t="s">
        <v>86</v>
      </c>
      <c r="I2920" s="11">
        <v>18429897</v>
      </c>
      <c r="J2920" s="11">
        <v>1641412</v>
      </c>
      <c r="K2920" s="11">
        <v>12450823</v>
      </c>
      <c r="L2920" s="3">
        <v>254</v>
      </c>
      <c r="M2920" s="3">
        <v>2215</v>
      </c>
      <c r="N2920" s="3">
        <v>277929</v>
      </c>
      <c r="O2920" s="2">
        <v>-0.16300000000000001</v>
      </c>
      <c r="P2920" s="2">
        <v>0.77300000000000002</v>
      </c>
      <c r="Q2920" s="2">
        <v>-0.39</v>
      </c>
      <c r="R2920" s="11">
        <v>458282288</v>
      </c>
      <c r="S2920" s="11">
        <v>480573</v>
      </c>
      <c r="T2920">
        <v>2015</v>
      </c>
      <c r="U2920">
        <v>3</v>
      </c>
      <c r="V2920">
        <f t="shared" si="270"/>
        <v>325000</v>
      </c>
      <c r="W2920">
        <f t="shared" si="271"/>
        <v>18429897</v>
      </c>
      <c r="X2920">
        <f t="shared" si="272"/>
        <v>18104897</v>
      </c>
      <c r="Y2920">
        <f t="shared" si="273"/>
        <v>-26832345.5</v>
      </c>
      <c r="Z2920">
        <f t="shared" si="274"/>
        <v>45587242.5</v>
      </c>
      <c r="AA2920" t="str">
        <f t="shared" si="275"/>
        <v>Normal</v>
      </c>
      <c r="AE2920" s="2"/>
      <c r="AF2920" s="2"/>
    </row>
    <row r="2921" spans="1:32" x14ac:dyDescent="0.35">
      <c r="A2921">
        <v>2920</v>
      </c>
      <c r="B2921" s="1">
        <v>42088</v>
      </c>
      <c r="C2921" s="9" t="s">
        <v>291</v>
      </c>
      <c r="D2921" s="9" t="s">
        <v>4988</v>
      </c>
      <c r="E2921" s="9" t="s">
        <v>1111</v>
      </c>
      <c r="F2921" s="9" t="s">
        <v>15</v>
      </c>
      <c r="G2921" s="9" t="s">
        <v>4659</v>
      </c>
      <c r="H2921" s="9" t="s">
        <v>105</v>
      </c>
      <c r="I2921" s="11">
        <v>25000000</v>
      </c>
      <c r="J2921" s="11">
        <v>3858450</v>
      </c>
      <c r="K2921" s="11">
        <v>14978840</v>
      </c>
      <c r="L2921" s="3">
        <v>11</v>
      </c>
      <c r="M2921" s="3">
        <v>3489</v>
      </c>
      <c r="N2921" s="3">
        <v>167527</v>
      </c>
      <c r="O2921" s="2">
        <v>0.33500000000000002</v>
      </c>
      <c r="P2921" s="2">
        <v>0.76400000000000001</v>
      </c>
      <c r="Q2921" s="2">
        <v>0.125</v>
      </c>
      <c r="R2921" s="11">
        <v>52412797</v>
      </c>
      <c r="S2921" s="11">
        <v>679367</v>
      </c>
      <c r="T2921">
        <v>2015</v>
      </c>
      <c r="U2921">
        <v>3</v>
      </c>
      <c r="V2921">
        <f t="shared" si="270"/>
        <v>325000</v>
      </c>
      <c r="W2921">
        <f t="shared" si="271"/>
        <v>18429897</v>
      </c>
      <c r="X2921">
        <f t="shared" si="272"/>
        <v>18104897</v>
      </c>
      <c r="Y2921">
        <f t="shared" si="273"/>
        <v>-26832345.5</v>
      </c>
      <c r="Z2921">
        <f t="shared" si="274"/>
        <v>45587242.5</v>
      </c>
      <c r="AA2921" t="str">
        <f t="shared" si="275"/>
        <v>Normal</v>
      </c>
      <c r="AE2921" s="2"/>
      <c r="AF2921" s="2"/>
    </row>
    <row r="2922" spans="1:32" x14ac:dyDescent="0.35">
      <c r="A2922">
        <v>2921</v>
      </c>
      <c r="B2922" s="1">
        <v>42089</v>
      </c>
      <c r="C2922" s="9" t="s">
        <v>346</v>
      </c>
      <c r="D2922" s="9" t="s">
        <v>4988</v>
      </c>
      <c r="E2922" s="9" t="s">
        <v>1111</v>
      </c>
      <c r="F2922" s="9" t="s">
        <v>15</v>
      </c>
      <c r="G2922" s="9" t="s">
        <v>4660</v>
      </c>
      <c r="H2922" s="9" t="s">
        <v>105</v>
      </c>
      <c r="I2922" s="11">
        <v>5000000</v>
      </c>
      <c r="J2922" s="11">
        <v>2531926</v>
      </c>
      <c r="K2922" s="11">
        <v>8171569</v>
      </c>
      <c r="L2922" s="3">
        <v>104</v>
      </c>
      <c r="M2922" s="3">
        <v>1453</v>
      </c>
      <c r="N2922" s="3">
        <v>1456877</v>
      </c>
      <c r="O2922" s="2">
        <v>0.42899999999999999</v>
      </c>
      <c r="P2922" s="2">
        <v>1.1240000000000001</v>
      </c>
      <c r="Q2922" s="2">
        <v>0.318</v>
      </c>
      <c r="R2922" s="11">
        <v>285998284</v>
      </c>
      <c r="S2922" s="11">
        <v>1879545</v>
      </c>
      <c r="T2922">
        <v>2015</v>
      </c>
      <c r="U2922">
        <v>3</v>
      </c>
      <c r="V2922">
        <f t="shared" si="270"/>
        <v>323750</v>
      </c>
      <c r="W2922">
        <f t="shared" si="271"/>
        <v>18429897</v>
      </c>
      <c r="X2922">
        <f t="shared" si="272"/>
        <v>18106147</v>
      </c>
      <c r="Y2922">
        <f t="shared" si="273"/>
        <v>-26835470.5</v>
      </c>
      <c r="Z2922">
        <f t="shared" si="274"/>
        <v>45589117.5</v>
      </c>
      <c r="AA2922" t="str">
        <f t="shared" si="275"/>
        <v>Normal</v>
      </c>
      <c r="AE2922" s="2"/>
      <c r="AF2922" s="2"/>
    </row>
    <row r="2923" spans="1:32" x14ac:dyDescent="0.35">
      <c r="A2923">
        <v>2922</v>
      </c>
      <c r="B2923" s="1">
        <v>42089</v>
      </c>
      <c r="C2923" s="9" t="s">
        <v>4661</v>
      </c>
      <c r="D2923" s="9" t="s">
        <v>4988</v>
      </c>
      <c r="E2923" s="9" t="s">
        <v>1111</v>
      </c>
      <c r="F2923" s="9" t="s">
        <v>15</v>
      </c>
      <c r="G2923" s="9" t="s">
        <v>4662</v>
      </c>
      <c r="H2923" s="9" t="s">
        <v>86</v>
      </c>
      <c r="I2923" s="11">
        <v>1750000</v>
      </c>
      <c r="J2923" s="11">
        <v>2711573</v>
      </c>
      <c r="K2923" s="11">
        <v>15690549</v>
      </c>
      <c r="L2923" s="3">
        <v>309</v>
      </c>
      <c r="M2923" s="3">
        <v>4663</v>
      </c>
      <c r="N2923" s="3">
        <v>1018455</v>
      </c>
      <c r="O2923" s="2">
        <v>0.20699999999999999</v>
      </c>
      <c r="P2923" s="2">
        <v>0.65700000000000003</v>
      </c>
      <c r="Q2923" s="2">
        <v>0.45200000000000001</v>
      </c>
      <c r="R2923" s="11">
        <v>117784594</v>
      </c>
      <c r="S2923" s="11">
        <v>560350</v>
      </c>
      <c r="T2923">
        <v>2015</v>
      </c>
      <c r="U2923">
        <v>3</v>
      </c>
      <c r="V2923">
        <f t="shared" si="270"/>
        <v>322500</v>
      </c>
      <c r="W2923">
        <f t="shared" si="271"/>
        <v>18429897</v>
      </c>
      <c r="X2923">
        <f t="shared" si="272"/>
        <v>18107397</v>
      </c>
      <c r="Y2923">
        <f t="shared" si="273"/>
        <v>-26838595.5</v>
      </c>
      <c r="Z2923">
        <f t="shared" si="274"/>
        <v>45590992.5</v>
      </c>
      <c r="AA2923" t="str">
        <f t="shared" si="275"/>
        <v>Normal</v>
      </c>
      <c r="AE2923" s="2"/>
      <c r="AF2923" s="2"/>
    </row>
    <row r="2924" spans="1:32" x14ac:dyDescent="0.35">
      <c r="A2924">
        <v>2923</v>
      </c>
      <c r="B2924" s="1">
        <v>42089</v>
      </c>
      <c r="C2924" s="9" t="s">
        <v>4175</v>
      </c>
      <c r="D2924" s="9" t="s">
        <v>4988</v>
      </c>
      <c r="E2924" s="9" t="s">
        <v>1111</v>
      </c>
      <c r="F2924" s="9" t="s">
        <v>15</v>
      </c>
      <c r="G2924" s="9" t="s">
        <v>193</v>
      </c>
      <c r="H2924" s="9" t="s">
        <v>86</v>
      </c>
      <c r="I2924" s="11">
        <v>18429897</v>
      </c>
      <c r="J2924" s="11">
        <v>2126621</v>
      </c>
      <c r="K2924" s="11">
        <v>8682956</v>
      </c>
      <c r="L2924" s="3">
        <v>189</v>
      </c>
      <c r="M2924" s="3">
        <v>57</v>
      </c>
      <c r="N2924" s="3">
        <v>484246</v>
      </c>
      <c r="O2924" s="2">
        <v>0.501</v>
      </c>
      <c r="P2924" s="2">
        <v>0.86699999999999999</v>
      </c>
      <c r="Q2924" s="2">
        <v>0.36749999999999999</v>
      </c>
      <c r="R2924" s="11">
        <v>460711049</v>
      </c>
      <c r="S2924" s="11">
        <v>1143822</v>
      </c>
      <c r="T2924">
        <v>2015</v>
      </c>
      <c r="U2924">
        <v>3</v>
      </c>
      <c r="V2924">
        <f t="shared" si="270"/>
        <v>321250</v>
      </c>
      <c r="W2924">
        <f t="shared" si="271"/>
        <v>18429897</v>
      </c>
      <c r="X2924">
        <f t="shared" si="272"/>
        <v>18108647</v>
      </c>
      <c r="Y2924">
        <f t="shared" si="273"/>
        <v>-26841720.5</v>
      </c>
      <c r="Z2924">
        <f t="shared" si="274"/>
        <v>45592867.5</v>
      </c>
      <c r="AA2924" t="str">
        <f t="shared" si="275"/>
        <v>Normal</v>
      </c>
      <c r="AE2924" s="2"/>
      <c r="AF2924" s="2"/>
    </row>
    <row r="2925" spans="1:32" x14ac:dyDescent="0.35">
      <c r="A2925">
        <v>2924</v>
      </c>
      <c r="B2925" s="1">
        <v>42090</v>
      </c>
      <c r="C2925" s="9" t="s">
        <v>4663</v>
      </c>
      <c r="D2925" s="9" t="s">
        <v>4988</v>
      </c>
      <c r="E2925" s="9" t="s">
        <v>1111</v>
      </c>
      <c r="F2925" s="9" t="s">
        <v>15</v>
      </c>
      <c r="G2925" s="9" t="s">
        <v>4664</v>
      </c>
      <c r="H2925" s="9" t="s">
        <v>86</v>
      </c>
      <c r="I2925" s="11">
        <v>100000</v>
      </c>
      <c r="J2925" s="11">
        <v>930387</v>
      </c>
      <c r="K2925" s="11">
        <v>19407144</v>
      </c>
      <c r="L2925" s="3">
        <v>254</v>
      </c>
      <c r="M2925" s="3">
        <v>4087</v>
      </c>
      <c r="N2925" s="3">
        <v>628658</v>
      </c>
      <c r="O2925" s="2">
        <v>0.47499999999999998</v>
      </c>
      <c r="P2925" s="2">
        <v>0.86</v>
      </c>
      <c r="Q2925" s="2">
        <v>0.106</v>
      </c>
      <c r="R2925" s="11">
        <v>118495494</v>
      </c>
      <c r="S2925" s="11">
        <v>1036982</v>
      </c>
      <c r="T2925">
        <v>2015</v>
      </c>
      <c r="U2925">
        <v>3</v>
      </c>
      <c r="V2925">
        <f t="shared" si="270"/>
        <v>320000</v>
      </c>
      <c r="W2925">
        <f t="shared" si="271"/>
        <v>18429897</v>
      </c>
      <c r="X2925">
        <f t="shared" si="272"/>
        <v>18109897</v>
      </c>
      <c r="Y2925">
        <f t="shared" si="273"/>
        <v>-26844845.5</v>
      </c>
      <c r="Z2925">
        <f t="shared" si="274"/>
        <v>45594742.5</v>
      </c>
      <c r="AA2925" t="str">
        <f t="shared" si="275"/>
        <v>Normal</v>
      </c>
      <c r="AE2925" s="2"/>
      <c r="AF2925" s="2"/>
    </row>
    <row r="2926" spans="1:32" x14ac:dyDescent="0.35">
      <c r="A2926">
        <v>2925</v>
      </c>
      <c r="B2926" s="1">
        <v>42090</v>
      </c>
      <c r="C2926" s="9" t="s">
        <v>4665</v>
      </c>
      <c r="D2926" s="9" t="s">
        <v>4988</v>
      </c>
      <c r="E2926" s="9" t="s">
        <v>1111</v>
      </c>
      <c r="F2926" s="9" t="s">
        <v>15</v>
      </c>
      <c r="G2926" s="9" t="s">
        <v>4666</v>
      </c>
      <c r="H2926" s="9" t="s">
        <v>86</v>
      </c>
      <c r="I2926" s="11">
        <v>100000</v>
      </c>
      <c r="J2926" s="11">
        <v>3089915</v>
      </c>
      <c r="K2926" s="11">
        <v>5352477</v>
      </c>
      <c r="L2926" s="3">
        <v>327</v>
      </c>
      <c r="M2926" s="3">
        <v>2490</v>
      </c>
      <c r="N2926" s="3">
        <v>350240</v>
      </c>
      <c r="O2926" s="2">
        <v>5.2999999999999999E-2</v>
      </c>
      <c r="P2926" s="2">
        <v>0.93200000000000005</v>
      </c>
      <c r="Q2926" s="2">
        <v>0.72</v>
      </c>
      <c r="R2926" s="11">
        <v>150838717</v>
      </c>
      <c r="S2926" s="11">
        <v>807407</v>
      </c>
      <c r="T2926">
        <v>2015</v>
      </c>
      <c r="U2926">
        <v>3</v>
      </c>
      <c r="V2926">
        <f t="shared" si="270"/>
        <v>323750</v>
      </c>
      <c r="W2926">
        <f t="shared" si="271"/>
        <v>18429897</v>
      </c>
      <c r="X2926">
        <f t="shared" si="272"/>
        <v>18106147</v>
      </c>
      <c r="Y2926">
        <f t="shared" si="273"/>
        <v>-26835470.5</v>
      </c>
      <c r="Z2926">
        <f t="shared" si="274"/>
        <v>45589117.5</v>
      </c>
      <c r="AA2926" t="str">
        <f t="shared" si="275"/>
        <v>Normal</v>
      </c>
      <c r="AE2926" s="2"/>
      <c r="AF2926" s="2"/>
    </row>
    <row r="2927" spans="1:32" x14ac:dyDescent="0.35">
      <c r="A2927">
        <v>2926</v>
      </c>
      <c r="B2927" s="1">
        <v>42091</v>
      </c>
      <c r="C2927" s="9" t="s">
        <v>4667</v>
      </c>
      <c r="D2927" s="9" t="s">
        <v>4988</v>
      </c>
      <c r="E2927" s="9" t="s">
        <v>1111</v>
      </c>
      <c r="F2927" s="9" t="s">
        <v>15</v>
      </c>
      <c r="G2927" s="9" t="s">
        <v>4668</v>
      </c>
      <c r="H2927" s="9" t="s">
        <v>86</v>
      </c>
      <c r="I2927" s="11">
        <v>115000</v>
      </c>
      <c r="J2927" s="11">
        <v>1617255</v>
      </c>
      <c r="K2927" s="11">
        <v>14124244</v>
      </c>
      <c r="L2927" s="3">
        <v>308</v>
      </c>
      <c r="M2927" s="3">
        <v>2603</v>
      </c>
      <c r="N2927" s="3">
        <v>1735573</v>
      </c>
      <c r="O2927" s="2">
        <v>6.8000000000000005E-2</v>
      </c>
      <c r="P2927" s="2">
        <v>1.191E-2</v>
      </c>
      <c r="Q2927" s="2">
        <v>-0.09</v>
      </c>
      <c r="R2927" s="11">
        <v>128243044</v>
      </c>
      <c r="S2927" s="11">
        <v>536341</v>
      </c>
      <c r="T2927">
        <v>2015</v>
      </c>
      <c r="U2927">
        <v>3</v>
      </c>
      <c r="V2927">
        <f t="shared" si="270"/>
        <v>325000</v>
      </c>
      <c r="W2927">
        <f t="shared" si="271"/>
        <v>18429897</v>
      </c>
      <c r="X2927">
        <f t="shared" si="272"/>
        <v>18104897</v>
      </c>
      <c r="Y2927">
        <f t="shared" si="273"/>
        <v>-26832345.5</v>
      </c>
      <c r="Z2927">
        <f t="shared" si="274"/>
        <v>45587242.5</v>
      </c>
      <c r="AA2927" t="str">
        <f t="shared" si="275"/>
        <v>Normal</v>
      </c>
      <c r="AE2927" s="2"/>
      <c r="AF2927" s="2"/>
    </row>
    <row r="2928" spans="1:32" x14ac:dyDescent="0.35">
      <c r="A2928">
        <v>2927</v>
      </c>
      <c r="B2928" s="1">
        <v>42091</v>
      </c>
      <c r="C2928" s="9" t="s">
        <v>4669</v>
      </c>
      <c r="D2928" s="9" t="s">
        <v>4988</v>
      </c>
      <c r="E2928" s="9" t="s">
        <v>1111</v>
      </c>
      <c r="F2928" s="9" t="s">
        <v>15</v>
      </c>
      <c r="G2928" s="9" t="s">
        <v>4670</v>
      </c>
      <c r="H2928" s="9" t="s">
        <v>105</v>
      </c>
      <c r="I2928" s="11">
        <v>30000000</v>
      </c>
      <c r="J2928" s="11">
        <v>944281</v>
      </c>
      <c r="K2928" s="11">
        <v>10753411</v>
      </c>
      <c r="L2928" s="3">
        <v>247</v>
      </c>
      <c r="M2928" s="3">
        <v>2505.5</v>
      </c>
      <c r="N2928" s="3">
        <v>178196</v>
      </c>
      <c r="O2928" s="2">
        <v>0.22600000000000001</v>
      </c>
      <c r="P2928" s="2">
        <v>1.002</v>
      </c>
      <c r="Q2928" s="2">
        <v>-8.2000000000000003E-2</v>
      </c>
      <c r="R2928" s="11">
        <v>234016797</v>
      </c>
      <c r="S2928" s="11">
        <v>1037505</v>
      </c>
      <c r="T2928">
        <v>2015</v>
      </c>
      <c r="U2928">
        <v>3</v>
      </c>
      <c r="V2928">
        <f t="shared" si="270"/>
        <v>326250</v>
      </c>
      <c r="W2928">
        <f t="shared" si="271"/>
        <v>18429897</v>
      </c>
      <c r="X2928">
        <f t="shared" si="272"/>
        <v>18103647</v>
      </c>
      <c r="Y2928">
        <f t="shared" si="273"/>
        <v>-26829220.5</v>
      </c>
      <c r="Z2928">
        <f t="shared" si="274"/>
        <v>45585367.5</v>
      </c>
      <c r="AA2928" t="str">
        <f t="shared" si="275"/>
        <v>Normal</v>
      </c>
      <c r="AE2928" s="2"/>
      <c r="AF2928" s="2"/>
    </row>
    <row r="2929" spans="1:32" x14ac:dyDescent="0.35">
      <c r="A2929">
        <v>2928</v>
      </c>
      <c r="B2929" s="1">
        <v>42091</v>
      </c>
      <c r="C2929" s="9" t="s">
        <v>4671</v>
      </c>
      <c r="D2929" s="9" t="s">
        <v>4988</v>
      </c>
      <c r="E2929" s="9" t="s">
        <v>1111</v>
      </c>
      <c r="F2929" s="9" t="s">
        <v>15</v>
      </c>
      <c r="G2929" s="9" t="s">
        <v>4672</v>
      </c>
      <c r="H2929" s="9" t="s">
        <v>105</v>
      </c>
      <c r="I2929" s="11">
        <v>1500000</v>
      </c>
      <c r="J2929" s="11">
        <v>3272895</v>
      </c>
      <c r="K2929" s="11">
        <v>18876299</v>
      </c>
      <c r="L2929" s="3">
        <v>470</v>
      </c>
      <c r="M2929" s="3">
        <v>1989</v>
      </c>
      <c r="N2929" s="3">
        <v>383477</v>
      </c>
      <c r="O2929" s="2">
        <v>-5.0000000000000001E-3</v>
      </c>
      <c r="P2929" s="2">
        <v>0.24</v>
      </c>
      <c r="Q2929" s="2">
        <v>0.105</v>
      </c>
      <c r="R2929" s="11">
        <v>299280097</v>
      </c>
      <c r="S2929" s="11">
        <v>45877</v>
      </c>
      <c r="T2929">
        <v>2015</v>
      </c>
      <c r="U2929">
        <v>3</v>
      </c>
      <c r="V2929">
        <f t="shared" si="270"/>
        <v>325000</v>
      </c>
      <c r="W2929">
        <f t="shared" si="271"/>
        <v>18429897</v>
      </c>
      <c r="X2929">
        <f t="shared" si="272"/>
        <v>18104897</v>
      </c>
      <c r="Y2929">
        <f t="shared" si="273"/>
        <v>-26832345.5</v>
      </c>
      <c r="Z2929">
        <f t="shared" si="274"/>
        <v>45587242.5</v>
      </c>
      <c r="AA2929" t="str">
        <f t="shared" si="275"/>
        <v>Normal</v>
      </c>
      <c r="AE2929" s="2"/>
      <c r="AF2929" s="2"/>
    </row>
    <row r="2930" spans="1:32" x14ac:dyDescent="0.35">
      <c r="A2930">
        <v>2929</v>
      </c>
      <c r="B2930" s="1">
        <v>42093</v>
      </c>
      <c r="C2930" s="9" t="s">
        <v>4673</v>
      </c>
      <c r="D2930" s="9" t="s">
        <v>4988</v>
      </c>
      <c r="E2930" s="9" t="s">
        <v>1111</v>
      </c>
      <c r="F2930" s="9" t="s">
        <v>15</v>
      </c>
      <c r="G2930" s="9" t="s">
        <v>4674</v>
      </c>
      <c r="H2930" s="9" t="s">
        <v>105</v>
      </c>
      <c r="I2930" s="11">
        <v>10000000</v>
      </c>
      <c r="J2930" s="11">
        <v>887506</v>
      </c>
      <c r="K2930" s="11">
        <v>10153449</v>
      </c>
      <c r="L2930" s="3">
        <v>422</v>
      </c>
      <c r="M2930" s="3">
        <v>2198</v>
      </c>
      <c r="N2930" s="3">
        <v>449786</v>
      </c>
      <c r="O2930" s="2">
        <v>0.66200000000000003</v>
      </c>
      <c r="P2930" s="2">
        <v>0.50800000000000001</v>
      </c>
      <c r="Q2930" s="2">
        <v>0.307</v>
      </c>
      <c r="R2930" s="11">
        <v>226776910</v>
      </c>
      <c r="S2930" s="11">
        <v>1866390</v>
      </c>
      <c r="T2930">
        <v>2015</v>
      </c>
      <c r="U2930">
        <v>3</v>
      </c>
      <c r="V2930">
        <f t="shared" si="270"/>
        <v>325000</v>
      </c>
      <c r="W2930">
        <f t="shared" si="271"/>
        <v>18429897</v>
      </c>
      <c r="X2930">
        <f t="shared" si="272"/>
        <v>18104897</v>
      </c>
      <c r="Y2930">
        <f t="shared" si="273"/>
        <v>-26832345.5</v>
      </c>
      <c r="Z2930">
        <f t="shared" si="274"/>
        <v>45587242.5</v>
      </c>
      <c r="AA2930" t="str">
        <f t="shared" si="275"/>
        <v>Normal</v>
      </c>
      <c r="AE2930" s="2"/>
      <c r="AF2930" s="2"/>
    </row>
    <row r="2931" spans="1:32" x14ac:dyDescent="0.35">
      <c r="A2931">
        <v>2930</v>
      </c>
      <c r="B2931" s="1">
        <v>42093</v>
      </c>
      <c r="C2931" s="9" t="s">
        <v>4675</v>
      </c>
      <c r="D2931" s="9" t="s">
        <v>4988</v>
      </c>
      <c r="E2931" s="9" t="s">
        <v>1111</v>
      </c>
      <c r="F2931" s="9" t="s">
        <v>15</v>
      </c>
      <c r="G2931" s="9" t="s">
        <v>4676</v>
      </c>
      <c r="H2931" s="9" t="s">
        <v>105</v>
      </c>
      <c r="I2931" s="11">
        <v>75000000</v>
      </c>
      <c r="J2931" s="11">
        <v>3370809</v>
      </c>
      <c r="K2931" s="11">
        <v>4015305</v>
      </c>
      <c r="L2931" s="3">
        <v>24</v>
      </c>
      <c r="M2931" s="3">
        <v>1589</v>
      </c>
      <c r="N2931" s="3">
        <v>168603</v>
      </c>
      <c r="O2931" s="2">
        <v>1.6E-2</v>
      </c>
      <c r="P2931" s="2">
        <v>1.2</v>
      </c>
      <c r="Q2931" s="2">
        <v>0.26100000000000001</v>
      </c>
      <c r="R2931" s="11">
        <v>195073464</v>
      </c>
      <c r="S2931" s="11">
        <v>538066</v>
      </c>
      <c r="T2931">
        <v>2015</v>
      </c>
      <c r="U2931">
        <v>3</v>
      </c>
      <c r="V2931">
        <f t="shared" si="270"/>
        <v>325000</v>
      </c>
      <c r="W2931">
        <f t="shared" si="271"/>
        <v>18429897</v>
      </c>
      <c r="X2931">
        <f t="shared" si="272"/>
        <v>18104897</v>
      </c>
      <c r="Y2931">
        <f t="shared" si="273"/>
        <v>-26832345.5</v>
      </c>
      <c r="Z2931">
        <f t="shared" si="274"/>
        <v>45587242.5</v>
      </c>
      <c r="AA2931" t="str">
        <f t="shared" si="275"/>
        <v>Outlier</v>
      </c>
      <c r="AE2931" s="2"/>
      <c r="AF2931" s="2"/>
    </row>
    <row r="2932" spans="1:32" x14ac:dyDescent="0.35">
      <c r="A2932">
        <v>2931</v>
      </c>
      <c r="B2932" s="1">
        <v>42094</v>
      </c>
      <c r="C2932" s="9" t="s">
        <v>4677</v>
      </c>
      <c r="D2932" s="9" t="s">
        <v>4988</v>
      </c>
      <c r="E2932" s="9" t="s">
        <v>1111</v>
      </c>
      <c r="F2932" s="9" t="s">
        <v>15</v>
      </c>
      <c r="G2932" s="9" t="s">
        <v>4678</v>
      </c>
      <c r="H2932" s="9" t="s">
        <v>105</v>
      </c>
      <c r="I2932" s="11">
        <v>3000000</v>
      </c>
      <c r="J2932" s="11">
        <v>2531926</v>
      </c>
      <c r="K2932" s="11">
        <v>17363771</v>
      </c>
      <c r="L2932" s="3">
        <v>452</v>
      </c>
      <c r="M2932" s="3">
        <v>108</v>
      </c>
      <c r="N2932" s="3">
        <v>501016</v>
      </c>
      <c r="O2932" s="2">
        <v>0.129</v>
      </c>
      <c r="P2932" s="2">
        <v>0.23800000000000002</v>
      </c>
      <c r="Q2932" s="2">
        <v>-0.49200000000000005</v>
      </c>
      <c r="R2932" s="11">
        <v>446564008</v>
      </c>
      <c r="S2932" s="11">
        <v>1572829</v>
      </c>
      <c r="T2932">
        <v>2015</v>
      </c>
      <c r="U2932">
        <v>3</v>
      </c>
      <c r="V2932">
        <f t="shared" si="270"/>
        <v>325000</v>
      </c>
      <c r="W2932">
        <f t="shared" si="271"/>
        <v>18429897</v>
      </c>
      <c r="X2932">
        <f t="shared" si="272"/>
        <v>18104897</v>
      </c>
      <c r="Y2932">
        <f t="shared" si="273"/>
        <v>-26832345.5</v>
      </c>
      <c r="Z2932">
        <f t="shared" si="274"/>
        <v>45587242.5</v>
      </c>
      <c r="AA2932" t="str">
        <f t="shared" si="275"/>
        <v>Normal</v>
      </c>
      <c r="AE2932" s="2"/>
      <c r="AF2932" s="2"/>
    </row>
    <row r="2933" spans="1:32" x14ac:dyDescent="0.35">
      <c r="A2933">
        <v>2932</v>
      </c>
      <c r="B2933" s="1">
        <v>42094</v>
      </c>
      <c r="C2933" s="9" t="s">
        <v>4679</v>
      </c>
      <c r="D2933" s="9" t="s">
        <v>4988</v>
      </c>
      <c r="E2933" s="9" t="s">
        <v>1111</v>
      </c>
      <c r="F2933" s="9" t="s">
        <v>15</v>
      </c>
      <c r="G2933" s="9" t="s">
        <v>4680</v>
      </c>
      <c r="H2933" s="9" t="s">
        <v>105</v>
      </c>
      <c r="I2933" s="11">
        <v>16000000</v>
      </c>
      <c r="J2933" s="11">
        <v>2185103</v>
      </c>
      <c r="K2933" s="11">
        <v>18031866</v>
      </c>
      <c r="L2933" s="3">
        <v>29</v>
      </c>
      <c r="M2933" s="3">
        <v>2032</v>
      </c>
      <c r="N2933" s="3">
        <v>372592</v>
      </c>
      <c r="O2933" s="2">
        <v>-0.16200000000000001</v>
      </c>
      <c r="P2933" s="2">
        <v>0.79700000000000004</v>
      </c>
      <c r="Q2933" s="2">
        <v>-0.14099999999999999</v>
      </c>
      <c r="R2933" s="11">
        <v>229134089</v>
      </c>
      <c r="S2933" s="11">
        <v>278882</v>
      </c>
      <c r="T2933">
        <v>2015</v>
      </c>
      <c r="U2933">
        <v>3</v>
      </c>
      <c r="V2933">
        <f t="shared" si="270"/>
        <v>325000</v>
      </c>
      <c r="W2933">
        <f t="shared" si="271"/>
        <v>18429897</v>
      </c>
      <c r="X2933">
        <f t="shared" si="272"/>
        <v>18104897</v>
      </c>
      <c r="Y2933">
        <f t="shared" si="273"/>
        <v>-26832345.5</v>
      </c>
      <c r="Z2933">
        <f t="shared" si="274"/>
        <v>45587242.5</v>
      </c>
      <c r="AA2933" t="str">
        <f t="shared" si="275"/>
        <v>Normal</v>
      </c>
      <c r="AE2933" s="2"/>
      <c r="AF2933" s="2"/>
    </row>
    <row r="2934" spans="1:32" x14ac:dyDescent="0.35">
      <c r="A2934">
        <v>2933</v>
      </c>
      <c r="B2934" s="1">
        <v>42094</v>
      </c>
      <c r="C2934" s="9" t="s">
        <v>2247</v>
      </c>
      <c r="D2934" s="9" t="s">
        <v>4988</v>
      </c>
      <c r="E2934" s="9" t="s">
        <v>1111</v>
      </c>
      <c r="F2934" s="9" t="s">
        <v>15</v>
      </c>
      <c r="G2934" s="9" t="s">
        <v>4902</v>
      </c>
      <c r="H2934" s="9" t="s">
        <v>105</v>
      </c>
      <c r="I2934" s="11">
        <v>16000000</v>
      </c>
      <c r="J2934" s="11">
        <v>4043804</v>
      </c>
      <c r="K2934" s="11">
        <v>14972604</v>
      </c>
      <c r="L2934" s="3">
        <v>254</v>
      </c>
      <c r="M2934" s="3">
        <v>2038</v>
      </c>
      <c r="N2934" s="3">
        <v>682388</v>
      </c>
      <c r="O2934" s="2">
        <v>0.17</v>
      </c>
      <c r="P2934" s="2">
        <v>0.79900000000000004</v>
      </c>
      <c r="Q2934" s="2">
        <v>0.29199999999999998</v>
      </c>
      <c r="R2934" s="11">
        <v>406029754</v>
      </c>
      <c r="S2934" s="11">
        <v>1591225</v>
      </c>
      <c r="T2934">
        <v>2015</v>
      </c>
      <c r="U2934">
        <v>3</v>
      </c>
      <c r="V2934">
        <f t="shared" si="270"/>
        <v>323750</v>
      </c>
      <c r="W2934">
        <f t="shared" si="271"/>
        <v>18429897</v>
      </c>
      <c r="X2934">
        <f t="shared" si="272"/>
        <v>18106147</v>
      </c>
      <c r="Y2934">
        <f t="shared" si="273"/>
        <v>-26835470.5</v>
      </c>
      <c r="Z2934">
        <f t="shared" si="274"/>
        <v>45589117.5</v>
      </c>
      <c r="AA2934" t="str">
        <f t="shared" si="275"/>
        <v>Normal</v>
      </c>
      <c r="AE2934" s="2"/>
      <c r="AF2934" s="2"/>
    </row>
    <row r="2935" spans="1:32" x14ac:dyDescent="0.35">
      <c r="A2935">
        <v>2934</v>
      </c>
      <c r="B2935" s="1">
        <v>42037</v>
      </c>
      <c r="C2935" s="9" t="s">
        <v>4681</v>
      </c>
      <c r="D2935" s="9" t="s">
        <v>4988</v>
      </c>
      <c r="E2935" s="9" t="s">
        <v>1111</v>
      </c>
      <c r="F2935" s="9" t="s">
        <v>15</v>
      </c>
      <c r="G2935" s="9" t="s">
        <v>4171</v>
      </c>
      <c r="H2935" s="9" t="s">
        <v>86</v>
      </c>
      <c r="I2935" s="11">
        <v>16600</v>
      </c>
      <c r="J2935" s="11">
        <v>1158655</v>
      </c>
      <c r="K2935" s="11">
        <v>9550189</v>
      </c>
      <c r="L2935" s="3">
        <v>254</v>
      </c>
      <c r="M2935" s="3">
        <v>3623</v>
      </c>
      <c r="N2935" s="3">
        <v>1018455</v>
      </c>
      <c r="O2935" s="2">
        <v>-0.11699999999999999</v>
      </c>
      <c r="P2935" s="2">
        <v>0.72499999999999998</v>
      </c>
      <c r="Q2935" s="2">
        <v>-0.122</v>
      </c>
      <c r="R2935" s="11">
        <v>494385485</v>
      </c>
      <c r="S2935" s="11">
        <v>88479</v>
      </c>
      <c r="T2935">
        <v>2015</v>
      </c>
      <c r="U2935">
        <v>2</v>
      </c>
      <c r="V2935">
        <f t="shared" si="270"/>
        <v>322500</v>
      </c>
      <c r="W2935">
        <f t="shared" si="271"/>
        <v>18429897</v>
      </c>
      <c r="X2935">
        <f t="shared" si="272"/>
        <v>18107397</v>
      </c>
      <c r="Y2935">
        <f t="shared" si="273"/>
        <v>-26838595.5</v>
      </c>
      <c r="Z2935">
        <f t="shared" si="274"/>
        <v>45590992.5</v>
      </c>
      <c r="AA2935" t="str">
        <f t="shared" si="275"/>
        <v>Normal</v>
      </c>
      <c r="AE2935" s="2"/>
      <c r="AF2935" s="2"/>
    </row>
    <row r="2936" spans="1:32" x14ac:dyDescent="0.35">
      <c r="A2936">
        <v>2935</v>
      </c>
      <c r="B2936" s="1">
        <v>42037</v>
      </c>
      <c r="C2936" s="9" t="s">
        <v>4682</v>
      </c>
      <c r="D2936" s="9" t="s">
        <v>4988</v>
      </c>
      <c r="E2936" s="9" t="s">
        <v>1111</v>
      </c>
      <c r="F2936" s="9" t="s">
        <v>15</v>
      </c>
      <c r="G2936" s="9" t="s">
        <v>4171</v>
      </c>
      <c r="H2936" s="9" t="s">
        <v>86</v>
      </c>
      <c r="I2936" s="11">
        <v>16600</v>
      </c>
      <c r="J2936" s="11">
        <v>3842786</v>
      </c>
      <c r="K2936" s="11">
        <v>8264551</v>
      </c>
      <c r="L2936" s="3">
        <v>490</v>
      </c>
      <c r="M2936" s="3">
        <v>2378</v>
      </c>
      <c r="N2936" s="3">
        <v>1876665</v>
      </c>
      <c r="O2936" s="2">
        <v>0.27200000000000002</v>
      </c>
      <c r="P2936" s="2">
        <v>1.0749999999999999E-2</v>
      </c>
      <c r="Q2936" s="2">
        <v>6.8000000000000005E-2</v>
      </c>
      <c r="R2936" s="11">
        <v>451685922</v>
      </c>
      <c r="S2936" s="11">
        <v>827190</v>
      </c>
      <c r="T2936">
        <v>2015</v>
      </c>
      <c r="U2936">
        <v>2</v>
      </c>
      <c r="V2936">
        <f t="shared" si="270"/>
        <v>325000</v>
      </c>
      <c r="W2936">
        <f t="shared" si="271"/>
        <v>18429897</v>
      </c>
      <c r="X2936">
        <f t="shared" si="272"/>
        <v>18104897</v>
      </c>
      <c r="Y2936">
        <f t="shared" si="273"/>
        <v>-26832345.5</v>
      </c>
      <c r="Z2936">
        <f t="shared" si="274"/>
        <v>45587242.5</v>
      </c>
      <c r="AA2936" t="str">
        <f t="shared" si="275"/>
        <v>Normal</v>
      </c>
      <c r="AE2936" s="2"/>
      <c r="AF2936" s="2"/>
    </row>
    <row r="2937" spans="1:32" x14ac:dyDescent="0.35">
      <c r="A2937">
        <v>2936</v>
      </c>
      <c r="B2937" s="1">
        <v>42037</v>
      </c>
      <c r="C2937" s="9" t="s">
        <v>4683</v>
      </c>
      <c r="D2937" s="9" t="s">
        <v>4988</v>
      </c>
      <c r="E2937" s="9" t="s">
        <v>1111</v>
      </c>
      <c r="F2937" s="9" t="s">
        <v>15</v>
      </c>
      <c r="G2937" s="9" t="s">
        <v>4171</v>
      </c>
      <c r="H2937" s="9" t="s">
        <v>86</v>
      </c>
      <c r="I2937" s="11">
        <v>16600</v>
      </c>
      <c r="J2937" s="11">
        <v>3615095</v>
      </c>
      <c r="K2937" s="11">
        <v>13364780</v>
      </c>
      <c r="L2937" s="3">
        <v>16</v>
      </c>
      <c r="M2937" s="3">
        <v>2770</v>
      </c>
      <c r="N2937" s="3">
        <v>1572695</v>
      </c>
      <c r="O2937" s="2">
        <v>-0.38</v>
      </c>
      <c r="P2937" s="2">
        <v>1.014</v>
      </c>
      <c r="Q2937" s="2">
        <v>0.19</v>
      </c>
      <c r="R2937" s="11">
        <v>412652040</v>
      </c>
      <c r="S2937" s="11">
        <v>949559</v>
      </c>
      <c r="T2937">
        <v>2015</v>
      </c>
      <c r="U2937">
        <v>2</v>
      </c>
      <c r="V2937">
        <f t="shared" si="270"/>
        <v>325000</v>
      </c>
      <c r="W2937">
        <f t="shared" si="271"/>
        <v>18429897</v>
      </c>
      <c r="X2937">
        <f t="shared" si="272"/>
        <v>18104897</v>
      </c>
      <c r="Y2937">
        <f t="shared" si="273"/>
        <v>-26832345.5</v>
      </c>
      <c r="Z2937">
        <f t="shared" si="274"/>
        <v>45587242.5</v>
      </c>
      <c r="AA2937" t="str">
        <f t="shared" si="275"/>
        <v>Normal</v>
      </c>
      <c r="AE2937" s="2"/>
      <c r="AF2937" s="2"/>
    </row>
    <row r="2938" spans="1:32" x14ac:dyDescent="0.35">
      <c r="A2938">
        <v>2937</v>
      </c>
      <c r="B2938" s="1">
        <v>42037</v>
      </c>
      <c r="C2938" s="9" t="s">
        <v>4684</v>
      </c>
      <c r="D2938" s="9" t="s">
        <v>4988</v>
      </c>
      <c r="E2938" s="9" t="s">
        <v>1111</v>
      </c>
      <c r="F2938" s="9" t="s">
        <v>15</v>
      </c>
      <c r="G2938" s="9" t="s">
        <v>4171</v>
      </c>
      <c r="H2938" s="9" t="s">
        <v>86</v>
      </c>
      <c r="I2938" s="11">
        <v>16600</v>
      </c>
      <c r="J2938" s="11">
        <v>4515232</v>
      </c>
      <c r="K2938" s="11">
        <v>10153449</v>
      </c>
      <c r="L2938" s="3">
        <v>40</v>
      </c>
      <c r="M2938" s="3">
        <v>2356</v>
      </c>
      <c r="N2938" s="3">
        <v>1289272</v>
      </c>
      <c r="O2938" s="2">
        <v>0.39700000000000002</v>
      </c>
      <c r="P2938" s="2">
        <v>0.37200000000000005</v>
      </c>
      <c r="Q2938" s="2">
        <v>0.221</v>
      </c>
      <c r="R2938" s="11">
        <v>71777404</v>
      </c>
      <c r="S2938" s="11">
        <v>1912130</v>
      </c>
      <c r="T2938">
        <v>2015</v>
      </c>
      <c r="U2938">
        <v>2</v>
      </c>
      <c r="V2938">
        <f t="shared" si="270"/>
        <v>328750</v>
      </c>
      <c r="W2938">
        <f t="shared" si="271"/>
        <v>18429897</v>
      </c>
      <c r="X2938">
        <f t="shared" si="272"/>
        <v>18101147</v>
      </c>
      <c r="Y2938">
        <f t="shared" si="273"/>
        <v>-26822970.5</v>
      </c>
      <c r="Z2938">
        <f t="shared" si="274"/>
        <v>45581617.5</v>
      </c>
      <c r="AA2938" t="str">
        <f t="shared" si="275"/>
        <v>Normal</v>
      </c>
      <c r="AE2938" s="2"/>
      <c r="AF2938" s="2"/>
    </row>
    <row r="2939" spans="1:32" x14ac:dyDescent="0.35">
      <c r="A2939">
        <v>2938</v>
      </c>
      <c r="B2939" s="1">
        <v>42037</v>
      </c>
      <c r="C2939" s="9" t="s">
        <v>4685</v>
      </c>
      <c r="D2939" s="9" t="s">
        <v>4988</v>
      </c>
      <c r="E2939" s="9" t="s">
        <v>1111</v>
      </c>
      <c r="F2939" s="9" t="s">
        <v>15</v>
      </c>
      <c r="G2939" s="9" t="s">
        <v>4171</v>
      </c>
      <c r="H2939" s="9" t="s">
        <v>86</v>
      </c>
      <c r="I2939" s="11">
        <v>16600</v>
      </c>
      <c r="J2939" s="11">
        <v>860987</v>
      </c>
      <c r="K2939" s="11">
        <v>5591926</v>
      </c>
      <c r="L2939" s="3">
        <v>124</v>
      </c>
      <c r="M2939" s="3">
        <v>2148</v>
      </c>
      <c r="N2939" s="3">
        <v>1000000000</v>
      </c>
      <c r="O2939" s="2">
        <v>1.6E-2</v>
      </c>
      <c r="P2939" s="2">
        <v>0.30299999999999999</v>
      </c>
      <c r="Q2939" s="2">
        <v>0.315</v>
      </c>
      <c r="R2939" s="11">
        <v>182605052</v>
      </c>
      <c r="S2939" s="11">
        <v>1286173</v>
      </c>
      <c r="T2939">
        <v>2015</v>
      </c>
      <c r="U2939">
        <v>2</v>
      </c>
      <c r="V2939">
        <f t="shared" si="270"/>
        <v>355000</v>
      </c>
      <c r="W2939">
        <f t="shared" si="271"/>
        <v>18429897</v>
      </c>
      <c r="X2939">
        <f t="shared" si="272"/>
        <v>18074897</v>
      </c>
      <c r="Y2939">
        <f t="shared" si="273"/>
        <v>-26757345.5</v>
      </c>
      <c r="Z2939">
        <f t="shared" si="274"/>
        <v>45542242.5</v>
      </c>
      <c r="AA2939" t="str">
        <f t="shared" si="275"/>
        <v>Normal</v>
      </c>
      <c r="AE2939" s="2"/>
      <c r="AF2939" s="2"/>
    </row>
    <row r="2940" spans="1:32" x14ac:dyDescent="0.35">
      <c r="A2940">
        <v>2939</v>
      </c>
      <c r="B2940" s="1">
        <v>42037</v>
      </c>
      <c r="C2940" s="9" t="s">
        <v>4686</v>
      </c>
      <c r="D2940" s="9" t="s">
        <v>4988</v>
      </c>
      <c r="E2940" s="9" t="s">
        <v>1111</v>
      </c>
      <c r="F2940" s="9" t="s">
        <v>15</v>
      </c>
      <c r="G2940" s="9" t="s">
        <v>4171</v>
      </c>
      <c r="H2940" s="9" t="s">
        <v>86</v>
      </c>
      <c r="I2940" s="11">
        <v>16600</v>
      </c>
      <c r="J2940" s="11">
        <v>3581279</v>
      </c>
      <c r="K2940" s="11">
        <v>239219</v>
      </c>
      <c r="L2940" s="3">
        <v>141</v>
      </c>
      <c r="M2940" s="3">
        <v>3598</v>
      </c>
      <c r="N2940" s="3">
        <v>1018455</v>
      </c>
      <c r="O2940" s="2">
        <v>1.6E-2</v>
      </c>
      <c r="P2940" s="2">
        <v>0.36699999999999999</v>
      </c>
      <c r="Q2940" s="2">
        <v>0.41799999999999998</v>
      </c>
      <c r="R2940" s="11">
        <v>374280283</v>
      </c>
      <c r="S2940" s="11">
        <v>1288610</v>
      </c>
      <c r="T2940">
        <v>2015</v>
      </c>
      <c r="U2940">
        <v>2</v>
      </c>
      <c r="V2940">
        <f t="shared" si="270"/>
        <v>410000</v>
      </c>
      <c r="W2940">
        <f t="shared" si="271"/>
        <v>18429897</v>
      </c>
      <c r="X2940">
        <f t="shared" si="272"/>
        <v>18019897</v>
      </c>
      <c r="Y2940">
        <f t="shared" si="273"/>
        <v>-26619845.5</v>
      </c>
      <c r="Z2940">
        <f t="shared" si="274"/>
        <v>45459742.5</v>
      </c>
      <c r="AA2940" t="str">
        <f t="shared" si="275"/>
        <v>Normal</v>
      </c>
      <c r="AE2940" s="2"/>
      <c r="AF2940" s="2"/>
    </row>
    <row r="2941" spans="1:32" x14ac:dyDescent="0.35">
      <c r="A2941">
        <v>2940</v>
      </c>
      <c r="B2941" s="1">
        <v>42037</v>
      </c>
      <c r="C2941" s="9" t="s">
        <v>4687</v>
      </c>
      <c r="D2941" s="9" t="s">
        <v>4988</v>
      </c>
      <c r="E2941" s="9" t="s">
        <v>1111</v>
      </c>
      <c r="F2941" s="9" t="s">
        <v>15</v>
      </c>
      <c r="G2941" s="9" t="s">
        <v>4688</v>
      </c>
      <c r="H2941" s="9" t="s">
        <v>86</v>
      </c>
      <c r="I2941" s="11">
        <v>250000</v>
      </c>
      <c r="J2941" s="11">
        <v>4684615</v>
      </c>
      <c r="K2941" s="11">
        <v>1563767</v>
      </c>
      <c r="L2941" s="3">
        <v>143</v>
      </c>
      <c r="M2941" s="3">
        <v>3394</v>
      </c>
      <c r="N2941" s="3">
        <v>1882467</v>
      </c>
      <c r="O2941" s="2">
        <v>0.11699999999999999</v>
      </c>
      <c r="P2941" s="2">
        <v>1.087</v>
      </c>
      <c r="Q2941" s="2">
        <v>0.25800000000000001</v>
      </c>
      <c r="R2941" s="11">
        <v>250264963</v>
      </c>
      <c r="S2941" s="11">
        <v>1811162</v>
      </c>
      <c r="T2941">
        <v>2015</v>
      </c>
      <c r="U2941">
        <v>2</v>
      </c>
      <c r="V2941">
        <f t="shared" si="270"/>
        <v>500000</v>
      </c>
      <c r="W2941">
        <f t="shared" si="271"/>
        <v>18429897</v>
      </c>
      <c r="X2941">
        <f t="shared" si="272"/>
        <v>17929897</v>
      </c>
      <c r="Y2941">
        <f t="shared" si="273"/>
        <v>-26394845.5</v>
      </c>
      <c r="Z2941">
        <f t="shared" si="274"/>
        <v>45324742.5</v>
      </c>
      <c r="AA2941" t="str">
        <f t="shared" si="275"/>
        <v>Normal</v>
      </c>
      <c r="AE2941" s="2"/>
      <c r="AF2941" s="2"/>
    </row>
    <row r="2942" spans="1:32" x14ac:dyDescent="0.35">
      <c r="A2942">
        <v>2941</v>
      </c>
      <c r="B2942" s="1">
        <v>42037</v>
      </c>
      <c r="C2942" s="9" t="s">
        <v>3561</v>
      </c>
      <c r="D2942" s="9" t="s">
        <v>4988</v>
      </c>
      <c r="E2942" s="9" t="s">
        <v>1111</v>
      </c>
      <c r="F2942" s="9" t="s">
        <v>15</v>
      </c>
      <c r="G2942" s="9" t="s">
        <v>4689</v>
      </c>
      <c r="H2942" s="9" t="s">
        <v>105</v>
      </c>
      <c r="I2942" s="11">
        <v>1000000</v>
      </c>
      <c r="J2942" s="11">
        <v>3819833</v>
      </c>
      <c r="K2942" s="11">
        <v>6955335</v>
      </c>
      <c r="L2942" s="3">
        <v>211</v>
      </c>
      <c r="M2942" s="3">
        <v>4956</v>
      </c>
      <c r="N2942" s="3">
        <v>265583</v>
      </c>
      <c r="O2942" s="2">
        <v>0.12300000000000001</v>
      </c>
      <c r="P2942" s="2">
        <v>0.29799999999999999</v>
      </c>
      <c r="Q2942" s="2">
        <v>-0.20699999999999999</v>
      </c>
      <c r="R2942" s="11">
        <v>65051029</v>
      </c>
      <c r="S2942" s="11">
        <v>1753924</v>
      </c>
      <c r="T2942">
        <v>2015</v>
      </c>
      <c r="U2942">
        <v>2</v>
      </c>
      <c r="V2942">
        <f t="shared" si="270"/>
        <v>500000</v>
      </c>
      <c r="W2942">
        <f t="shared" si="271"/>
        <v>18429897</v>
      </c>
      <c r="X2942">
        <f t="shared" si="272"/>
        <v>17929897</v>
      </c>
      <c r="Y2942">
        <f t="shared" si="273"/>
        <v>-26394845.5</v>
      </c>
      <c r="Z2942">
        <f t="shared" si="274"/>
        <v>45324742.5</v>
      </c>
      <c r="AA2942" t="str">
        <f t="shared" si="275"/>
        <v>Normal</v>
      </c>
      <c r="AE2942" s="2"/>
      <c r="AF2942" s="2"/>
    </row>
    <row r="2943" spans="1:32" x14ac:dyDescent="0.35">
      <c r="A2943">
        <v>2942</v>
      </c>
      <c r="B2943" s="1">
        <v>42037</v>
      </c>
      <c r="C2943" s="9" t="s">
        <v>1965</v>
      </c>
      <c r="D2943" s="9" t="s">
        <v>4988</v>
      </c>
      <c r="E2943" s="9" t="s">
        <v>1111</v>
      </c>
      <c r="F2943" s="9" t="s">
        <v>15</v>
      </c>
      <c r="G2943" s="9" t="s">
        <v>721</v>
      </c>
      <c r="H2943" s="9" t="s">
        <v>105</v>
      </c>
      <c r="I2943" s="11">
        <v>18429897</v>
      </c>
      <c r="J2943" s="11">
        <v>955759</v>
      </c>
      <c r="K2943" s="11">
        <v>13665989</v>
      </c>
      <c r="L2943" s="3">
        <v>162</v>
      </c>
      <c r="M2943" s="3">
        <v>2509</v>
      </c>
      <c r="N2943" s="3">
        <v>1018455</v>
      </c>
      <c r="O2943" s="2">
        <v>0.107</v>
      </c>
      <c r="P2943" s="2">
        <v>0.84599999999999997</v>
      </c>
      <c r="Q2943" s="2">
        <v>0.247</v>
      </c>
      <c r="R2943" s="11">
        <v>286502166</v>
      </c>
      <c r="S2943" s="11">
        <v>420106</v>
      </c>
      <c r="T2943">
        <v>2015</v>
      </c>
      <c r="U2943">
        <v>2</v>
      </c>
      <c r="V2943">
        <f t="shared" si="270"/>
        <v>500000</v>
      </c>
      <c r="W2943">
        <f t="shared" si="271"/>
        <v>18429897</v>
      </c>
      <c r="X2943">
        <f t="shared" si="272"/>
        <v>17929897</v>
      </c>
      <c r="Y2943">
        <f t="shared" si="273"/>
        <v>-26394845.5</v>
      </c>
      <c r="Z2943">
        <f t="shared" si="274"/>
        <v>45324742.5</v>
      </c>
      <c r="AA2943" t="str">
        <f t="shared" si="275"/>
        <v>Normal</v>
      </c>
      <c r="AE2943" s="2"/>
      <c r="AF2943" s="2"/>
    </row>
    <row r="2944" spans="1:32" x14ac:dyDescent="0.35">
      <c r="A2944">
        <v>2943</v>
      </c>
      <c r="B2944" s="1">
        <v>42037</v>
      </c>
      <c r="C2944" s="9" t="s">
        <v>3473</v>
      </c>
      <c r="D2944" s="9" t="s">
        <v>4988</v>
      </c>
      <c r="E2944" s="9" t="s">
        <v>1111</v>
      </c>
      <c r="F2944" s="9" t="s">
        <v>15</v>
      </c>
      <c r="G2944" s="9" t="s">
        <v>4690</v>
      </c>
      <c r="H2944" s="9" t="s">
        <v>105</v>
      </c>
      <c r="I2944" s="11">
        <v>26000000</v>
      </c>
      <c r="J2944" s="11">
        <v>4114363</v>
      </c>
      <c r="K2944" s="11">
        <v>8861992</v>
      </c>
      <c r="L2944" s="3">
        <v>293</v>
      </c>
      <c r="M2944" s="3">
        <v>187</v>
      </c>
      <c r="N2944" s="3">
        <v>385414</v>
      </c>
      <c r="O2944" s="2">
        <v>0.39600000000000002</v>
      </c>
      <c r="P2944" s="2">
        <v>0.88300000000000001</v>
      </c>
      <c r="Q2944" s="2">
        <v>0.37</v>
      </c>
      <c r="R2944" s="11">
        <v>466472141</v>
      </c>
      <c r="S2944" s="11">
        <v>798270</v>
      </c>
      <c r="T2944">
        <v>2015</v>
      </c>
      <c r="U2944">
        <v>2</v>
      </c>
      <c r="V2944">
        <f t="shared" si="270"/>
        <v>500000</v>
      </c>
      <c r="W2944">
        <f t="shared" si="271"/>
        <v>18429897</v>
      </c>
      <c r="X2944">
        <f t="shared" si="272"/>
        <v>17929897</v>
      </c>
      <c r="Y2944">
        <f t="shared" si="273"/>
        <v>-26394845.5</v>
      </c>
      <c r="Z2944">
        <f t="shared" si="274"/>
        <v>45324742.5</v>
      </c>
      <c r="AA2944" t="str">
        <f t="shared" si="275"/>
        <v>Normal</v>
      </c>
      <c r="AE2944" s="2"/>
      <c r="AF2944" s="2"/>
    </row>
    <row r="2945" spans="1:32" x14ac:dyDescent="0.35">
      <c r="A2945">
        <v>2944</v>
      </c>
      <c r="B2945" s="1">
        <v>42037</v>
      </c>
      <c r="C2945" s="9" t="s">
        <v>746</v>
      </c>
      <c r="D2945" s="9" t="s">
        <v>4988</v>
      </c>
      <c r="E2945" s="9" t="s">
        <v>1111</v>
      </c>
      <c r="F2945" s="9" t="s">
        <v>15</v>
      </c>
      <c r="G2945" s="9" t="s">
        <v>2135</v>
      </c>
      <c r="H2945" s="9" t="s">
        <v>86</v>
      </c>
      <c r="I2945" s="11">
        <v>325000</v>
      </c>
      <c r="J2945" s="11">
        <v>554415</v>
      </c>
      <c r="K2945" s="11">
        <v>12405750</v>
      </c>
      <c r="L2945" s="3">
        <v>427</v>
      </c>
      <c r="M2945" s="3">
        <v>2947</v>
      </c>
      <c r="N2945" s="3">
        <v>904936</v>
      </c>
      <c r="O2945" s="2">
        <v>0.19600000000000001</v>
      </c>
      <c r="P2945" s="2">
        <v>0.41799999999999998</v>
      </c>
      <c r="Q2945" s="2">
        <v>0.21299999999999999</v>
      </c>
      <c r="R2945" s="11">
        <v>1658311</v>
      </c>
      <c r="S2945" s="11">
        <v>161067</v>
      </c>
      <c r="T2945">
        <v>2015</v>
      </c>
      <c r="U2945">
        <v>2</v>
      </c>
      <c r="V2945">
        <f t="shared" si="270"/>
        <v>500000</v>
      </c>
      <c r="W2945">
        <f t="shared" si="271"/>
        <v>18429897</v>
      </c>
      <c r="X2945">
        <f t="shared" si="272"/>
        <v>17929897</v>
      </c>
      <c r="Y2945">
        <f t="shared" si="273"/>
        <v>-26394845.5</v>
      </c>
      <c r="Z2945">
        <f t="shared" si="274"/>
        <v>45324742.5</v>
      </c>
      <c r="AA2945" t="str">
        <f t="shared" si="275"/>
        <v>Normal</v>
      </c>
      <c r="AE2945" s="2"/>
      <c r="AF2945" s="2"/>
    </row>
    <row r="2946" spans="1:32" x14ac:dyDescent="0.35">
      <c r="A2946">
        <v>2945</v>
      </c>
      <c r="B2946" s="1">
        <v>42038</v>
      </c>
      <c r="C2946" s="9" t="s">
        <v>3883</v>
      </c>
      <c r="D2946" s="9" t="s">
        <v>4988</v>
      </c>
      <c r="E2946" s="9" t="s">
        <v>1111</v>
      </c>
      <c r="F2946" s="9" t="s">
        <v>15</v>
      </c>
      <c r="G2946" s="9" t="s">
        <v>4691</v>
      </c>
      <c r="H2946" s="9" t="s">
        <v>86</v>
      </c>
      <c r="I2946" s="11">
        <v>518000</v>
      </c>
      <c r="J2946" s="11">
        <v>2952444</v>
      </c>
      <c r="K2946" s="11">
        <v>9448990</v>
      </c>
      <c r="L2946" s="3">
        <v>275</v>
      </c>
      <c r="M2946" s="3">
        <v>2010</v>
      </c>
      <c r="N2946" s="3">
        <v>1797352</v>
      </c>
      <c r="O2946" s="2">
        <v>0.27899999999999997</v>
      </c>
      <c r="P2946" s="2">
        <v>0.43</v>
      </c>
      <c r="Q2946" s="2">
        <v>0.42200000000000004</v>
      </c>
      <c r="R2946" s="11">
        <v>489492490</v>
      </c>
      <c r="S2946" s="11">
        <v>1504451</v>
      </c>
      <c r="T2946">
        <v>2015</v>
      </c>
      <c r="U2946">
        <v>2</v>
      </c>
      <c r="V2946">
        <f t="shared" ref="V2946:V3009" si="276">_xlfn.PERCENTILE.INC(I2946:I5989,0.25)</f>
        <v>500000</v>
      </c>
      <c r="W2946">
        <f t="shared" ref="W2946:W3009" si="277">_xlfn.PERCENTILE.INC(I2946:I5989,0.75)</f>
        <v>18429897</v>
      </c>
      <c r="X2946">
        <f t="shared" ref="X2946:X3009" si="278">W2946-V2946</f>
        <v>17929897</v>
      </c>
      <c r="Y2946">
        <f t="shared" ref="Y2946:Y3009" si="279">V2946-1.5*X2946</f>
        <v>-26394845.5</v>
      </c>
      <c r="Z2946">
        <f t="shared" ref="Z2946:Z3009" si="280">W2946+1.5*X2946</f>
        <v>45324742.5</v>
      </c>
      <c r="AA2946" t="str">
        <f t="shared" ref="AA2946:AA3009" si="281">IF(OR(I2946&lt;$Y$2, I2946&gt;$Z$2), "Outlier", "Normal")</f>
        <v>Normal</v>
      </c>
      <c r="AE2946" s="2"/>
      <c r="AF2946" s="2"/>
    </row>
    <row r="2947" spans="1:32" x14ac:dyDescent="0.35">
      <c r="A2947">
        <v>2946</v>
      </c>
      <c r="B2947" s="1">
        <v>42038</v>
      </c>
      <c r="C2947" s="9" t="s">
        <v>4692</v>
      </c>
      <c r="D2947" s="9" t="s">
        <v>4988</v>
      </c>
      <c r="E2947" s="9" t="s">
        <v>1111</v>
      </c>
      <c r="F2947" s="9" t="s">
        <v>15</v>
      </c>
      <c r="G2947" s="9" t="s">
        <v>4693</v>
      </c>
      <c r="H2947" s="9" t="s">
        <v>105</v>
      </c>
      <c r="I2947" s="11">
        <v>60000000</v>
      </c>
      <c r="J2947" s="11">
        <v>2531926</v>
      </c>
      <c r="K2947" s="11">
        <v>5108003</v>
      </c>
      <c r="L2947" s="3">
        <v>169</v>
      </c>
      <c r="M2947" s="3">
        <v>524</v>
      </c>
      <c r="N2947" s="3">
        <v>1262506</v>
      </c>
      <c r="O2947" s="2">
        <v>7.0000000000000007E-2</v>
      </c>
      <c r="P2947" s="2">
        <v>1.036</v>
      </c>
      <c r="Q2947" s="2">
        <v>0.159</v>
      </c>
      <c r="R2947" s="11">
        <v>302903178</v>
      </c>
      <c r="S2947" s="11">
        <v>1458975</v>
      </c>
      <c r="T2947">
        <v>2015</v>
      </c>
      <c r="U2947">
        <v>2</v>
      </c>
      <c r="V2947">
        <f t="shared" si="276"/>
        <v>500000</v>
      </c>
      <c r="W2947">
        <f t="shared" si="277"/>
        <v>18429897</v>
      </c>
      <c r="X2947">
        <f t="shared" si="278"/>
        <v>17929897</v>
      </c>
      <c r="Y2947">
        <f t="shared" si="279"/>
        <v>-26394845.5</v>
      </c>
      <c r="Z2947">
        <f t="shared" si="280"/>
        <v>45324742.5</v>
      </c>
      <c r="AA2947" t="str">
        <f t="shared" si="281"/>
        <v>Outlier</v>
      </c>
      <c r="AE2947" s="2"/>
      <c r="AF2947" s="2"/>
    </row>
    <row r="2948" spans="1:32" x14ac:dyDescent="0.35">
      <c r="A2948">
        <v>2947</v>
      </c>
      <c r="B2948" s="1">
        <v>42040</v>
      </c>
      <c r="C2948" s="9" t="s">
        <v>4694</v>
      </c>
      <c r="D2948" s="9" t="s">
        <v>4988</v>
      </c>
      <c r="E2948" s="9" t="s">
        <v>1111</v>
      </c>
      <c r="F2948" s="9" t="s">
        <v>15</v>
      </c>
      <c r="G2948" s="9" t="s">
        <v>4695</v>
      </c>
      <c r="H2948" s="9" t="s">
        <v>86</v>
      </c>
      <c r="I2948" s="11">
        <v>18429897</v>
      </c>
      <c r="J2948" s="11">
        <v>2664775</v>
      </c>
      <c r="K2948" s="11">
        <v>14999756</v>
      </c>
      <c r="L2948" s="3">
        <v>286</v>
      </c>
      <c r="M2948" s="3">
        <v>4290</v>
      </c>
      <c r="N2948" s="3">
        <v>1268654</v>
      </c>
      <c r="O2948" s="2">
        <v>0.20499999999999999</v>
      </c>
      <c r="P2948" s="2">
        <v>0.62</v>
      </c>
      <c r="Q2948" s="2">
        <v>6.8000000000000005E-2</v>
      </c>
      <c r="R2948" s="11">
        <v>430309240</v>
      </c>
      <c r="S2948" s="11">
        <v>97699</v>
      </c>
      <c r="T2948">
        <v>2015</v>
      </c>
      <c r="U2948">
        <v>2</v>
      </c>
      <c r="V2948">
        <f t="shared" si="276"/>
        <v>500000</v>
      </c>
      <c r="W2948">
        <f t="shared" si="277"/>
        <v>18429897</v>
      </c>
      <c r="X2948">
        <f t="shared" si="278"/>
        <v>17929897</v>
      </c>
      <c r="Y2948">
        <f t="shared" si="279"/>
        <v>-26394845.5</v>
      </c>
      <c r="Z2948">
        <f t="shared" si="280"/>
        <v>45324742.5</v>
      </c>
      <c r="AA2948" t="str">
        <f t="shared" si="281"/>
        <v>Normal</v>
      </c>
      <c r="AE2948" s="2"/>
      <c r="AF2948" s="2"/>
    </row>
    <row r="2949" spans="1:32" x14ac:dyDescent="0.35">
      <c r="A2949">
        <v>2948</v>
      </c>
      <c r="B2949" s="1">
        <v>42040</v>
      </c>
      <c r="C2949" s="9" t="s">
        <v>4696</v>
      </c>
      <c r="D2949" s="9" t="s">
        <v>4988</v>
      </c>
      <c r="E2949" s="9" t="s">
        <v>1111</v>
      </c>
      <c r="F2949" s="9" t="s">
        <v>15</v>
      </c>
      <c r="G2949" s="9" t="s">
        <v>4697</v>
      </c>
      <c r="H2949" s="9" t="s">
        <v>105</v>
      </c>
      <c r="I2949" s="11">
        <v>18000000</v>
      </c>
      <c r="J2949" s="11">
        <v>2607356</v>
      </c>
      <c r="K2949" s="11">
        <v>14496650</v>
      </c>
      <c r="L2949" s="3">
        <v>312</v>
      </c>
      <c r="M2949" s="3">
        <v>3183</v>
      </c>
      <c r="N2949" s="3">
        <v>191928</v>
      </c>
      <c r="O2949" s="2">
        <v>-0.14199999999999999</v>
      </c>
      <c r="P2949" s="2">
        <v>0.69900000000000007</v>
      </c>
      <c r="Q2949" s="2">
        <v>-0.11199999999999999</v>
      </c>
      <c r="R2949" s="11">
        <v>397133551</v>
      </c>
      <c r="S2949" s="11">
        <v>1039671</v>
      </c>
      <c r="T2949">
        <v>2015</v>
      </c>
      <c r="U2949">
        <v>2</v>
      </c>
      <c r="V2949">
        <f t="shared" si="276"/>
        <v>500000</v>
      </c>
      <c r="W2949">
        <f t="shared" si="277"/>
        <v>18429897</v>
      </c>
      <c r="X2949">
        <f t="shared" si="278"/>
        <v>17929897</v>
      </c>
      <c r="Y2949">
        <f t="shared" si="279"/>
        <v>-26394845.5</v>
      </c>
      <c r="Z2949">
        <f t="shared" si="280"/>
        <v>45324742.5</v>
      </c>
      <c r="AA2949" t="str">
        <f t="shared" si="281"/>
        <v>Normal</v>
      </c>
      <c r="AE2949" s="2"/>
      <c r="AF2949" s="2"/>
    </row>
    <row r="2950" spans="1:32" x14ac:dyDescent="0.35">
      <c r="A2950">
        <v>2949</v>
      </c>
      <c r="B2950" s="1">
        <v>42040</v>
      </c>
      <c r="C2950" s="9" t="s">
        <v>106</v>
      </c>
      <c r="D2950" s="9" t="s">
        <v>4988</v>
      </c>
      <c r="E2950" s="9" t="s">
        <v>1111</v>
      </c>
      <c r="F2950" s="9" t="s">
        <v>15</v>
      </c>
      <c r="G2950" s="9" t="s">
        <v>4698</v>
      </c>
      <c r="H2950" s="9" t="s">
        <v>105</v>
      </c>
      <c r="I2950" s="11">
        <v>18429897</v>
      </c>
      <c r="J2950" s="11">
        <v>176753</v>
      </c>
      <c r="K2950" s="11">
        <v>19259867</v>
      </c>
      <c r="L2950" s="3">
        <v>448</v>
      </c>
      <c r="M2950" s="3">
        <v>3147</v>
      </c>
      <c r="N2950" s="3">
        <v>1619321</v>
      </c>
      <c r="O2950" s="2">
        <v>0.17199999999999999</v>
      </c>
      <c r="P2950" s="2">
        <v>0.59699999999999998</v>
      </c>
      <c r="Q2950" s="2">
        <v>0.60899999999999999</v>
      </c>
      <c r="R2950" s="11">
        <v>322433244</v>
      </c>
      <c r="S2950" s="11">
        <v>1717908</v>
      </c>
      <c r="T2950">
        <v>2015</v>
      </c>
      <c r="U2950">
        <v>2</v>
      </c>
      <c r="V2950">
        <f t="shared" si="276"/>
        <v>470000</v>
      </c>
      <c r="W2950">
        <f t="shared" si="277"/>
        <v>18429897</v>
      </c>
      <c r="X2950">
        <f t="shared" si="278"/>
        <v>17959897</v>
      </c>
      <c r="Y2950">
        <f t="shared" si="279"/>
        <v>-26469845.5</v>
      </c>
      <c r="Z2950">
        <f t="shared" si="280"/>
        <v>45369742.5</v>
      </c>
      <c r="AA2950" t="str">
        <f t="shared" si="281"/>
        <v>Normal</v>
      </c>
      <c r="AE2950" s="2"/>
      <c r="AF2950" s="2"/>
    </row>
    <row r="2951" spans="1:32" x14ac:dyDescent="0.35">
      <c r="A2951">
        <v>2950</v>
      </c>
      <c r="B2951" s="1">
        <v>42040</v>
      </c>
      <c r="C2951" s="9" t="s">
        <v>1845</v>
      </c>
      <c r="D2951" s="9" t="s">
        <v>4988</v>
      </c>
      <c r="E2951" s="9" t="s">
        <v>1111</v>
      </c>
      <c r="F2951" s="9" t="s">
        <v>15</v>
      </c>
      <c r="G2951" s="9" t="s">
        <v>4699</v>
      </c>
      <c r="H2951" s="9" t="s">
        <v>86</v>
      </c>
      <c r="I2951" s="11">
        <v>100000</v>
      </c>
      <c r="J2951" s="11">
        <v>2550800</v>
      </c>
      <c r="K2951" s="11">
        <v>16531137</v>
      </c>
      <c r="L2951" s="3">
        <v>473</v>
      </c>
      <c r="M2951" s="3">
        <v>3200</v>
      </c>
      <c r="N2951" s="3">
        <v>1429577</v>
      </c>
      <c r="O2951" s="2">
        <v>-3.2000000000000001E-2</v>
      </c>
      <c r="P2951" s="2">
        <v>0.50800000000000001</v>
      </c>
      <c r="Q2951" s="2">
        <v>-0.161</v>
      </c>
      <c r="R2951" s="11">
        <v>300630645</v>
      </c>
      <c r="S2951" s="11">
        <v>1830730</v>
      </c>
      <c r="T2951">
        <v>2015</v>
      </c>
      <c r="U2951">
        <v>2</v>
      </c>
      <c r="V2951">
        <f t="shared" si="276"/>
        <v>440000</v>
      </c>
      <c r="W2951">
        <f t="shared" si="277"/>
        <v>18429897</v>
      </c>
      <c r="X2951">
        <f t="shared" si="278"/>
        <v>17989897</v>
      </c>
      <c r="Y2951">
        <f t="shared" si="279"/>
        <v>-26544845.5</v>
      </c>
      <c r="Z2951">
        <f t="shared" si="280"/>
        <v>45414742.5</v>
      </c>
      <c r="AA2951" t="str">
        <f t="shared" si="281"/>
        <v>Normal</v>
      </c>
      <c r="AE2951" s="2"/>
      <c r="AF2951" s="2"/>
    </row>
    <row r="2952" spans="1:32" x14ac:dyDescent="0.35">
      <c r="A2952">
        <v>2951</v>
      </c>
      <c r="B2952" s="1">
        <v>42041</v>
      </c>
      <c r="C2952" s="9" t="s">
        <v>1884</v>
      </c>
      <c r="D2952" s="9" t="s">
        <v>4988</v>
      </c>
      <c r="E2952" s="9" t="s">
        <v>1111</v>
      </c>
      <c r="F2952" s="9" t="s">
        <v>15</v>
      </c>
      <c r="G2952" s="9" t="s">
        <v>4700</v>
      </c>
      <c r="H2952" s="9" t="s">
        <v>105</v>
      </c>
      <c r="I2952" s="11">
        <v>80000000</v>
      </c>
      <c r="J2952" s="11">
        <v>4684987</v>
      </c>
      <c r="K2952" s="11">
        <v>7661942</v>
      </c>
      <c r="L2952" s="3">
        <v>142</v>
      </c>
      <c r="M2952" s="3">
        <v>4918</v>
      </c>
      <c r="N2952" s="3">
        <v>714989</v>
      </c>
      <c r="O2952" s="2">
        <v>0.38400000000000001</v>
      </c>
      <c r="P2952" s="2">
        <v>0.63900000000000001</v>
      </c>
      <c r="Q2952" s="2">
        <v>9.9000000000000005E-2</v>
      </c>
      <c r="R2952" s="11">
        <v>405934227</v>
      </c>
      <c r="S2952" s="11">
        <v>679755</v>
      </c>
      <c r="T2952">
        <v>2015</v>
      </c>
      <c r="U2952">
        <v>2</v>
      </c>
      <c r="V2952">
        <f t="shared" si="276"/>
        <v>500000</v>
      </c>
      <c r="W2952">
        <f t="shared" si="277"/>
        <v>18429897</v>
      </c>
      <c r="X2952">
        <f t="shared" si="278"/>
        <v>17929897</v>
      </c>
      <c r="Y2952">
        <f t="shared" si="279"/>
        <v>-26394845.5</v>
      </c>
      <c r="Z2952">
        <f t="shared" si="280"/>
        <v>45324742.5</v>
      </c>
      <c r="AA2952" t="str">
        <f t="shared" si="281"/>
        <v>Outlier</v>
      </c>
      <c r="AE2952" s="2"/>
      <c r="AF2952" s="2"/>
    </row>
    <row r="2953" spans="1:32" x14ac:dyDescent="0.35">
      <c r="A2953">
        <v>2952</v>
      </c>
      <c r="B2953" s="1">
        <v>42041</v>
      </c>
      <c r="C2953" s="9" t="s">
        <v>4701</v>
      </c>
      <c r="D2953" s="9" t="s">
        <v>4988</v>
      </c>
      <c r="E2953" s="9" t="s">
        <v>1111</v>
      </c>
      <c r="F2953" s="9" t="s">
        <v>15</v>
      </c>
      <c r="G2953" s="9" t="s">
        <v>4702</v>
      </c>
      <c r="H2953" s="9" t="s">
        <v>105</v>
      </c>
      <c r="I2953" s="11">
        <v>40000000</v>
      </c>
      <c r="J2953" s="11">
        <v>2194604</v>
      </c>
      <c r="K2953" s="11">
        <v>14124390</v>
      </c>
      <c r="L2953" s="3">
        <v>459</v>
      </c>
      <c r="M2953" s="3">
        <v>3455</v>
      </c>
      <c r="N2953" s="3">
        <v>667222</v>
      </c>
      <c r="O2953" s="2">
        <v>0.13500000000000001</v>
      </c>
      <c r="P2953" s="2">
        <v>0.46899999999999997</v>
      </c>
      <c r="Q2953" s="2">
        <v>1.1000000000000001E-2</v>
      </c>
      <c r="R2953" s="11">
        <v>32257230</v>
      </c>
      <c r="S2953" s="11">
        <v>938704</v>
      </c>
      <c r="T2953">
        <v>2015</v>
      </c>
      <c r="U2953">
        <v>2</v>
      </c>
      <c r="V2953">
        <f t="shared" si="276"/>
        <v>500000</v>
      </c>
      <c r="W2953">
        <f t="shared" si="277"/>
        <v>18429897</v>
      </c>
      <c r="X2953">
        <f t="shared" si="278"/>
        <v>17929897</v>
      </c>
      <c r="Y2953">
        <f t="shared" si="279"/>
        <v>-26394845.5</v>
      </c>
      <c r="Z2953">
        <f t="shared" si="280"/>
        <v>45324742.5</v>
      </c>
      <c r="AA2953" t="str">
        <f t="shared" si="281"/>
        <v>Normal</v>
      </c>
      <c r="AE2953" s="2"/>
      <c r="AF2953" s="2"/>
    </row>
    <row r="2954" spans="1:32" x14ac:dyDescent="0.35">
      <c r="A2954">
        <v>2953</v>
      </c>
      <c r="B2954" s="1">
        <v>42044</v>
      </c>
      <c r="C2954" s="9" t="s">
        <v>4703</v>
      </c>
      <c r="D2954" s="9" t="s">
        <v>4988</v>
      </c>
      <c r="E2954" s="9" t="s">
        <v>1111</v>
      </c>
      <c r="F2954" s="9" t="s">
        <v>15</v>
      </c>
      <c r="G2954" s="9" t="s">
        <v>877</v>
      </c>
      <c r="H2954" s="9" t="s">
        <v>105</v>
      </c>
      <c r="I2954" s="11">
        <v>3000000</v>
      </c>
      <c r="J2954" s="11">
        <v>1399026</v>
      </c>
      <c r="K2954" s="11">
        <v>17469351</v>
      </c>
      <c r="L2954" s="3">
        <v>409</v>
      </c>
      <c r="M2954" s="3">
        <v>3581</v>
      </c>
      <c r="N2954" s="3">
        <v>1154456</v>
      </c>
      <c r="O2954" s="2">
        <v>0.253</v>
      </c>
      <c r="P2954" s="2">
        <v>0.5</v>
      </c>
      <c r="Q2954" s="2">
        <v>-0.23399999999999999</v>
      </c>
      <c r="R2954" s="11">
        <v>71521161</v>
      </c>
      <c r="S2954" s="11">
        <v>637063</v>
      </c>
      <c r="T2954">
        <v>2015</v>
      </c>
      <c r="U2954">
        <v>2</v>
      </c>
      <c r="V2954">
        <f t="shared" si="276"/>
        <v>470000</v>
      </c>
      <c r="W2954">
        <f t="shared" si="277"/>
        <v>18429897</v>
      </c>
      <c r="X2954">
        <f t="shared" si="278"/>
        <v>17959897</v>
      </c>
      <c r="Y2954">
        <f t="shared" si="279"/>
        <v>-26469845.5</v>
      </c>
      <c r="Z2954">
        <f t="shared" si="280"/>
        <v>45369742.5</v>
      </c>
      <c r="AA2954" t="str">
        <f t="shared" si="281"/>
        <v>Normal</v>
      </c>
      <c r="AE2954" s="2"/>
      <c r="AF2954" s="2"/>
    </row>
    <row r="2955" spans="1:32" x14ac:dyDescent="0.35">
      <c r="A2955">
        <v>2954</v>
      </c>
      <c r="B2955" s="1">
        <v>42044</v>
      </c>
      <c r="C2955" s="9" t="s">
        <v>43</v>
      </c>
      <c r="D2955" s="9" t="s">
        <v>4988</v>
      </c>
      <c r="E2955" s="9" t="s">
        <v>1111</v>
      </c>
      <c r="F2955" s="9" t="s">
        <v>15</v>
      </c>
      <c r="G2955" s="9" t="s">
        <v>715</v>
      </c>
      <c r="H2955" s="9" t="s">
        <v>105</v>
      </c>
      <c r="I2955" s="11">
        <v>18429897</v>
      </c>
      <c r="J2955" s="11">
        <v>4974178</v>
      </c>
      <c r="K2955" s="11">
        <v>12249253</v>
      </c>
      <c r="L2955" s="3">
        <v>68</v>
      </c>
      <c r="M2955" s="3">
        <v>2505.5</v>
      </c>
      <c r="N2955" s="3">
        <v>1517152</v>
      </c>
      <c r="O2955" s="2">
        <v>0.17199999999999999</v>
      </c>
      <c r="P2955" s="2">
        <v>0.40200000000000002</v>
      </c>
      <c r="Q2955" s="2">
        <v>0.32200000000000001</v>
      </c>
      <c r="R2955" s="11">
        <v>161575927</v>
      </c>
      <c r="S2955" s="11">
        <v>1737065</v>
      </c>
      <c r="T2955">
        <v>2015</v>
      </c>
      <c r="U2955">
        <v>2</v>
      </c>
      <c r="V2955">
        <f t="shared" si="276"/>
        <v>440000</v>
      </c>
      <c r="W2955">
        <f t="shared" si="277"/>
        <v>18429897</v>
      </c>
      <c r="X2955">
        <f t="shared" si="278"/>
        <v>17989897</v>
      </c>
      <c r="Y2955">
        <f t="shared" si="279"/>
        <v>-26544845.5</v>
      </c>
      <c r="Z2955">
        <f t="shared" si="280"/>
        <v>45414742.5</v>
      </c>
      <c r="AA2955" t="str">
        <f t="shared" si="281"/>
        <v>Normal</v>
      </c>
      <c r="AE2955" s="2"/>
      <c r="AF2955" s="2"/>
    </row>
    <row r="2956" spans="1:32" x14ac:dyDescent="0.35">
      <c r="A2956">
        <v>2955</v>
      </c>
      <c r="B2956" s="1">
        <v>42044</v>
      </c>
      <c r="C2956" s="9" t="s">
        <v>4704</v>
      </c>
      <c r="D2956" s="9" t="s">
        <v>4988</v>
      </c>
      <c r="E2956" s="9" t="s">
        <v>1111</v>
      </c>
      <c r="F2956" s="9" t="s">
        <v>15</v>
      </c>
      <c r="G2956" s="9" t="s">
        <v>3405</v>
      </c>
      <c r="H2956" s="9" t="s">
        <v>105</v>
      </c>
      <c r="I2956" s="11">
        <v>20000000</v>
      </c>
      <c r="J2956" s="11">
        <v>2531926</v>
      </c>
      <c r="K2956" s="11">
        <v>16709199</v>
      </c>
      <c r="L2956" s="3">
        <v>281</v>
      </c>
      <c r="M2956" s="3">
        <v>3635</v>
      </c>
      <c r="N2956" s="3">
        <v>1004465</v>
      </c>
      <c r="O2956" s="2">
        <v>0.48100000000000004</v>
      </c>
      <c r="P2956" s="2">
        <v>0.82699999999999996</v>
      </c>
      <c r="Q2956" s="2">
        <v>0.36749999999999999</v>
      </c>
      <c r="R2956" s="11">
        <v>201686345</v>
      </c>
      <c r="S2956" s="11">
        <v>594227</v>
      </c>
      <c r="T2956">
        <v>2015</v>
      </c>
      <c r="U2956">
        <v>2</v>
      </c>
      <c r="V2956">
        <f t="shared" si="276"/>
        <v>410000</v>
      </c>
      <c r="W2956">
        <f t="shared" si="277"/>
        <v>18429897</v>
      </c>
      <c r="X2956">
        <f t="shared" si="278"/>
        <v>18019897</v>
      </c>
      <c r="Y2956">
        <f t="shared" si="279"/>
        <v>-26619845.5</v>
      </c>
      <c r="Z2956">
        <f t="shared" si="280"/>
        <v>45459742.5</v>
      </c>
      <c r="AA2956" t="str">
        <f t="shared" si="281"/>
        <v>Normal</v>
      </c>
      <c r="AE2956" s="2"/>
      <c r="AF2956" s="2"/>
    </row>
    <row r="2957" spans="1:32" x14ac:dyDescent="0.35">
      <c r="A2957">
        <v>2956</v>
      </c>
      <c r="B2957" s="1">
        <v>42045</v>
      </c>
      <c r="C2957" s="9" t="s">
        <v>1803</v>
      </c>
      <c r="D2957" s="9" t="s">
        <v>4988</v>
      </c>
      <c r="E2957" s="9" t="s">
        <v>1111</v>
      </c>
      <c r="F2957" s="9" t="s">
        <v>15</v>
      </c>
      <c r="G2957" s="9" t="s">
        <v>4705</v>
      </c>
      <c r="H2957" s="9" t="s">
        <v>105</v>
      </c>
      <c r="I2957" s="11">
        <v>18429897</v>
      </c>
      <c r="J2957" s="11">
        <v>2441677</v>
      </c>
      <c r="K2957" s="11">
        <v>5696946</v>
      </c>
      <c r="L2957" s="3">
        <v>80</v>
      </c>
      <c r="M2957" s="3">
        <v>3535</v>
      </c>
      <c r="N2957" s="3">
        <v>1713014</v>
      </c>
      <c r="O2957" s="2">
        <v>-0.192</v>
      </c>
      <c r="P2957" s="2">
        <v>0.48699999999999999</v>
      </c>
      <c r="Q2957" s="2">
        <v>0.161</v>
      </c>
      <c r="R2957" s="11">
        <v>329546275</v>
      </c>
      <c r="S2957" s="11">
        <v>139439</v>
      </c>
      <c r="T2957">
        <v>2015</v>
      </c>
      <c r="U2957">
        <v>2</v>
      </c>
      <c r="V2957">
        <f t="shared" si="276"/>
        <v>380000</v>
      </c>
      <c r="W2957">
        <f t="shared" si="277"/>
        <v>18429897</v>
      </c>
      <c r="X2957">
        <f t="shared" si="278"/>
        <v>18049897</v>
      </c>
      <c r="Y2957">
        <f t="shared" si="279"/>
        <v>-26694845.5</v>
      </c>
      <c r="Z2957">
        <f t="shared" si="280"/>
        <v>45504742.5</v>
      </c>
      <c r="AA2957" t="str">
        <f t="shared" si="281"/>
        <v>Normal</v>
      </c>
      <c r="AE2957" s="2"/>
      <c r="AF2957" s="2"/>
    </row>
    <row r="2958" spans="1:32" x14ac:dyDescent="0.35">
      <c r="A2958">
        <v>2957</v>
      </c>
      <c r="B2958" s="1">
        <v>42045</v>
      </c>
      <c r="C2958" s="9" t="s">
        <v>2730</v>
      </c>
      <c r="D2958" s="9" t="s">
        <v>4988</v>
      </c>
      <c r="E2958" s="9" t="s">
        <v>1111</v>
      </c>
      <c r="F2958" s="9" t="s">
        <v>15</v>
      </c>
      <c r="G2958" s="9" t="s">
        <v>4706</v>
      </c>
      <c r="H2958" s="9" t="s">
        <v>105</v>
      </c>
      <c r="I2958" s="11">
        <v>18429897</v>
      </c>
      <c r="J2958" s="11">
        <v>2572737</v>
      </c>
      <c r="K2958" s="11">
        <v>396924</v>
      </c>
      <c r="L2958" s="3">
        <v>247</v>
      </c>
      <c r="M2958" s="3">
        <v>426</v>
      </c>
      <c r="N2958" s="3">
        <v>410903</v>
      </c>
      <c r="O2958" s="2">
        <v>9.6999999999999989E-2</v>
      </c>
      <c r="P2958" s="2">
        <v>0.36599999999999999</v>
      </c>
      <c r="Q2958" s="2">
        <v>-5.7000000000000002E-2</v>
      </c>
      <c r="R2958" s="11">
        <v>298730312</v>
      </c>
      <c r="S2958" s="11">
        <v>1008193.5</v>
      </c>
      <c r="T2958">
        <v>2015</v>
      </c>
      <c r="U2958">
        <v>2</v>
      </c>
      <c r="V2958">
        <f t="shared" si="276"/>
        <v>367500</v>
      </c>
      <c r="W2958">
        <f t="shared" si="277"/>
        <v>18429897</v>
      </c>
      <c r="X2958">
        <f t="shared" si="278"/>
        <v>18062397</v>
      </c>
      <c r="Y2958">
        <f t="shared" si="279"/>
        <v>-26726095.5</v>
      </c>
      <c r="Z2958">
        <f t="shared" si="280"/>
        <v>45523492.5</v>
      </c>
      <c r="AA2958" t="str">
        <f t="shared" si="281"/>
        <v>Normal</v>
      </c>
      <c r="AE2958" s="2"/>
      <c r="AF2958" s="2"/>
    </row>
    <row r="2959" spans="1:32" x14ac:dyDescent="0.35">
      <c r="A2959">
        <v>2958</v>
      </c>
      <c r="B2959" s="1">
        <v>42046</v>
      </c>
      <c r="C2959" s="9" t="s">
        <v>644</v>
      </c>
      <c r="D2959" s="9" t="s">
        <v>4988</v>
      </c>
      <c r="E2959" s="9" t="s">
        <v>1111</v>
      </c>
      <c r="F2959" s="9" t="s">
        <v>15</v>
      </c>
      <c r="G2959" s="9" t="s">
        <v>4707</v>
      </c>
      <c r="H2959" s="9" t="s">
        <v>105</v>
      </c>
      <c r="I2959" s="11">
        <v>13000000</v>
      </c>
      <c r="J2959" s="11">
        <v>2400173</v>
      </c>
      <c r="K2959" s="11">
        <v>2912871</v>
      </c>
      <c r="L2959" s="3">
        <v>27</v>
      </c>
      <c r="M2959" s="3">
        <v>2041</v>
      </c>
      <c r="N2959" s="3">
        <v>1380222</v>
      </c>
      <c r="O2959" s="2">
        <v>-7.1999999999999995E-2</v>
      </c>
      <c r="P2959" s="2">
        <v>1.008</v>
      </c>
      <c r="Q2959" s="2">
        <v>0.24099999999999999</v>
      </c>
      <c r="R2959" s="11">
        <v>447248316</v>
      </c>
      <c r="S2959" s="11">
        <v>1988095</v>
      </c>
      <c r="T2959">
        <v>2015</v>
      </c>
      <c r="U2959">
        <v>2</v>
      </c>
      <c r="V2959">
        <f t="shared" si="276"/>
        <v>355000</v>
      </c>
      <c r="W2959">
        <f t="shared" si="277"/>
        <v>18429897</v>
      </c>
      <c r="X2959">
        <f t="shared" si="278"/>
        <v>18074897</v>
      </c>
      <c r="Y2959">
        <f t="shared" si="279"/>
        <v>-26757345.5</v>
      </c>
      <c r="Z2959">
        <f t="shared" si="280"/>
        <v>45542242.5</v>
      </c>
      <c r="AA2959" t="str">
        <f t="shared" si="281"/>
        <v>Normal</v>
      </c>
      <c r="AE2959" s="2"/>
      <c r="AF2959" s="2"/>
    </row>
    <row r="2960" spans="1:32" x14ac:dyDescent="0.35">
      <c r="A2960">
        <v>2959</v>
      </c>
      <c r="B2960" s="1">
        <v>42046</v>
      </c>
      <c r="C2960" s="9" t="s">
        <v>4708</v>
      </c>
      <c r="D2960" s="9" t="s">
        <v>4988</v>
      </c>
      <c r="E2960" s="9" t="s">
        <v>1111</v>
      </c>
      <c r="F2960" s="9" t="s">
        <v>15</v>
      </c>
      <c r="G2960" s="9" t="s">
        <v>4414</v>
      </c>
      <c r="H2960" s="9" t="s">
        <v>86</v>
      </c>
      <c r="I2960" s="11">
        <v>3000000</v>
      </c>
      <c r="J2960" s="11">
        <v>4610195</v>
      </c>
      <c r="K2960" s="11">
        <v>10674167</v>
      </c>
      <c r="L2960" s="3">
        <v>254</v>
      </c>
      <c r="M2960" s="3">
        <v>1412</v>
      </c>
      <c r="N2960" s="3">
        <v>1649556</v>
      </c>
      <c r="O2960" s="2">
        <v>-0.28999999999999998</v>
      </c>
      <c r="P2960" s="2">
        <v>0.77599999999999991</v>
      </c>
      <c r="Q2960" s="2">
        <v>3.5000000000000003E-2</v>
      </c>
      <c r="R2960" s="11">
        <v>297624469</v>
      </c>
      <c r="S2960" s="11">
        <v>326612</v>
      </c>
      <c r="T2960">
        <v>2015</v>
      </c>
      <c r="U2960">
        <v>2</v>
      </c>
      <c r="V2960">
        <f t="shared" si="276"/>
        <v>342500</v>
      </c>
      <c r="W2960">
        <f t="shared" si="277"/>
        <v>18429897</v>
      </c>
      <c r="X2960">
        <f t="shared" si="278"/>
        <v>18087397</v>
      </c>
      <c r="Y2960">
        <f t="shared" si="279"/>
        <v>-26788595.5</v>
      </c>
      <c r="Z2960">
        <f t="shared" si="280"/>
        <v>45560992.5</v>
      </c>
      <c r="AA2960" t="str">
        <f t="shared" si="281"/>
        <v>Normal</v>
      </c>
      <c r="AE2960" s="2"/>
      <c r="AF2960" s="2"/>
    </row>
    <row r="2961" spans="1:32" x14ac:dyDescent="0.35">
      <c r="A2961">
        <v>2960</v>
      </c>
      <c r="B2961" s="1">
        <v>42046</v>
      </c>
      <c r="C2961" s="9" t="s">
        <v>1847</v>
      </c>
      <c r="D2961" s="9" t="s">
        <v>4988</v>
      </c>
      <c r="E2961" s="9" t="s">
        <v>1111</v>
      </c>
      <c r="F2961" s="9" t="s">
        <v>15</v>
      </c>
      <c r="G2961" s="9" t="s">
        <v>4171</v>
      </c>
      <c r="H2961" s="9" t="s">
        <v>86</v>
      </c>
      <c r="I2961" s="11">
        <v>18429897</v>
      </c>
      <c r="J2961" s="11">
        <v>2120394</v>
      </c>
      <c r="K2961" s="11">
        <v>19234663</v>
      </c>
      <c r="L2961" s="3">
        <v>296</v>
      </c>
      <c r="M2961" s="3">
        <v>4458</v>
      </c>
      <c r="N2961" s="3">
        <v>1414029</v>
      </c>
      <c r="O2961" s="2">
        <v>-8.5000000000000006E-2</v>
      </c>
      <c r="P2961" s="2">
        <v>1.0590000000000002</v>
      </c>
      <c r="Q2961" s="2">
        <v>0.22</v>
      </c>
      <c r="R2961" s="11">
        <v>211261638</v>
      </c>
      <c r="S2961" s="11">
        <v>830295</v>
      </c>
      <c r="T2961">
        <v>2015</v>
      </c>
      <c r="U2961">
        <v>2</v>
      </c>
      <c r="V2961">
        <f t="shared" si="276"/>
        <v>330000</v>
      </c>
      <c r="W2961">
        <f t="shared" si="277"/>
        <v>18429897</v>
      </c>
      <c r="X2961">
        <f t="shared" si="278"/>
        <v>18099897</v>
      </c>
      <c r="Y2961">
        <f t="shared" si="279"/>
        <v>-26819845.5</v>
      </c>
      <c r="Z2961">
        <f t="shared" si="280"/>
        <v>45579742.5</v>
      </c>
      <c r="AA2961" t="str">
        <f t="shared" si="281"/>
        <v>Normal</v>
      </c>
      <c r="AE2961" s="2"/>
      <c r="AF2961" s="2"/>
    </row>
    <row r="2962" spans="1:32" x14ac:dyDescent="0.35">
      <c r="A2962">
        <v>2961</v>
      </c>
      <c r="B2962" s="1">
        <v>42046</v>
      </c>
      <c r="C2962" s="9" t="s">
        <v>3654</v>
      </c>
      <c r="D2962" s="9" t="s">
        <v>4988</v>
      </c>
      <c r="E2962" s="9" t="s">
        <v>1111</v>
      </c>
      <c r="F2962" s="9" t="s">
        <v>15</v>
      </c>
      <c r="G2962" s="9" t="s">
        <v>4709</v>
      </c>
      <c r="H2962" s="9" t="s">
        <v>86</v>
      </c>
      <c r="I2962" s="11">
        <v>18429897</v>
      </c>
      <c r="J2962" s="11">
        <v>4867042</v>
      </c>
      <c r="K2962" s="11">
        <v>12578142</v>
      </c>
      <c r="L2962" s="3">
        <v>155</v>
      </c>
      <c r="M2962" s="3">
        <v>2939</v>
      </c>
      <c r="N2962" s="3">
        <v>667579</v>
      </c>
      <c r="O2962" s="2">
        <v>0.35399999999999998</v>
      </c>
      <c r="P2962" s="2">
        <v>0.98099999999999998</v>
      </c>
      <c r="Q2962" s="2">
        <v>0.45899999999999996</v>
      </c>
      <c r="R2962" s="11">
        <v>136562290</v>
      </c>
      <c r="S2962" s="11">
        <v>1531413</v>
      </c>
      <c r="T2962">
        <v>2015</v>
      </c>
      <c r="U2962">
        <v>2</v>
      </c>
      <c r="V2962">
        <f t="shared" si="276"/>
        <v>328750</v>
      </c>
      <c r="W2962">
        <f t="shared" si="277"/>
        <v>18429897</v>
      </c>
      <c r="X2962">
        <f t="shared" si="278"/>
        <v>18101147</v>
      </c>
      <c r="Y2962">
        <f t="shared" si="279"/>
        <v>-26822970.5</v>
      </c>
      <c r="Z2962">
        <f t="shared" si="280"/>
        <v>45581617.5</v>
      </c>
      <c r="AA2962" t="str">
        <f t="shared" si="281"/>
        <v>Normal</v>
      </c>
      <c r="AE2962" s="2"/>
      <c r="AF2962" s="2"/>
    </row>
    <row r="2963" spans="1:32" x14ac:dyDescent="0.35">
      <c r="A2963">
        <v>2962</v>
      </c>
      <c r="B2963" s="1">
        <v>42047</v>
      </c>
      <c r="C2963" s="9" t="s">
        <v>2917</v>
      </c>
      <c r="D2963" s="9" t="s">
        <v>4988</v>
      </c>
      <c r="E2963" s="9" t="s">
        <v>1111</v>
      </c>
      <c r="F2963" s="9" t="s">
        <v>15</v>
      </c>
      <c r="G2963" s="9" t="s">
        <v>4710</v>
      </c>
      <c r="H2963" s="9" t="s">
        <v>105</v>
      </c>
      <c r="I2963" s="11">
        <v>20000000</v>
      </c>
      <c r="J2963" s="11">
        <v>352792</v>
      </c>
      <c r="K2963" s="11">
        <v>16209646</v>
      </c>
      <c r="L2963" s="3">
        <v>254</v>
      </c>
      <c r="M2963" s="3">
        <v>2603</v>
      </c>
      <c r="N2963" s="3">
        <v>927670</v>
      </c>
      <c r="O2963" s="2">
        <v>0.114</v>
      </c>
      <c r="P2963" s="2">
        <v>0.57200000000000006</v>
      </c>
      <c r="Q2963" s="2">
        <v>-0.51100000000000001</v>
      </c>
      <c r="R2963" s="11">
        <v>436889511</v>
      </c>
      <c r="S2963" s="11">
        <v>1735443</v>
      </c>
      <c r="T2963">
        <v>2015</v>
      </c>
      <c r="U2963">
        <v>2</v>
      </c>
      <c r="V2963">
        <f t="shared" si="276"/>
        <v>327500</v>
      </c>
      <c r="W2963">
        <f t="shared" si="277"/>
        <v>18429897</v>
      </c>
      <c r="X2963">
        <f t="shared" si="278"/>
        <v>18102397</v>
      </c>
      <c r="Y2963">
        <f t="shared" si="279"/>
        <v>-26826095.5</v>
      </c>
      <c r="Z2963">
        <f t="shared" si="280"/>
        <v>45583492.5</v>
      </c>
      <c r="AA2963" t="str">
        <f t="shared" si="281"/>
        <v>Normal</v>
      </c>
      <c r="AE2963" s="2"/>
      <c r="AF2963" s="2"/>
    </row>
    <row r="2964" spans="1:32" x14ac:dyDescent="0.35">
      <c r="A2964">
        <v>2963</v>
      </c>
      <c r="B2964" s="1">
        <v>42047</v>
      </c>
      <c r="C2964" s="9" t="s">
        <v>1925</v>
      </c>
      <c r="D2964" s="9" t="s">
        <v>4988</v>
      </c>
      <c r="E2964" s="9" t="s">
        <v>1111</v>
      </c>
      <c r="F2964" s="9" t="s">
        <v>15</v>
      </c>
      <c r="G2964" s="9" t="s">
        <v>3915</v>
      </c>
      <c r="H2964" s="9" t="s">
        <v>105</v>
      </c>
      <c r="I2964" s="11">
        <v>30000000</v>
      </c>
      <c r="J2964" s="11">
        <v>3675002</v>
      </c>
      <c r="K2964" s="11">
        <v>9438018</v>
      </c>
      <c r="L2964" s="3">
        <v>197</v>
      </c>
      <c r="M2964" s="3">
        <v>2635</v>
      </c>
      <c r="N2964" s="3">
        <v>933828</v>
      </c>
      <c r="O2964" s="2">
        <v>7.5999999999999998E-2</v>
      </c>
      <c r="P2964" s="2">
        <v>0.76200000000000001</v>
      </c>
      <c r="Q2964" s="2">
        <v>0.35100000000000003</v>
      </c>
      <c r="R2964" s="11">
        <v>245658311</v>
      </c>
      <c r="S2964" s="11">
        <v>83853</v>
      </c>
      <c r="T2964">
        <v>2015</v>
      </c>
      <c r="U2964">
        <v>2</v>
      </c>
      <c r="V2964">
        <f t="shared" si="276"/>
        <v>326250</v>
      </c>
      <c r="W2964">
        <f t="shared" si="277"/>
        <v>18429897</v>
      </c>
      <c r="X2964">
        <f t="shared" si="278"/>
        <v>18103647</v>
      </c>
      <c r="Y2964">
        <f t="shared" si="279"/>
        <v>-26829220.5</v>
      </c>
      <c r="Z2964">
        <f t="shared" si="280"/>
        <v>45585367.5</v>
      </c>
      <c r="AA2964" t="str">
        <f t="shared" si="281"/>
        <v>Normal</v>
      </c>
      <c r="AE2964" s="2"/>
      <c r="AF2964" s="2"/>
    </row>
    <row r="2965" spans="1:32" x14ac:dyDescent="0.35">
      <c r="A2965">
        <v>2964</v>
      </c>
      <c r="B2965" s="1">
        <v>42048</v>
      </c>
      <c r="C2965" s="9" t="s">
        <v>4711</v>
      </c>
      <c r="D2965" s="9" t="s">
        <v>4988</v>
      </c>
      <c r="E2965" s="9" t="s">
        <v>1111</v>
      </c>
      <c r="F2965" s="9" t="s">
        <v>15</v>
      </c>
      <c r="G2965" s="9" t="s">
        <v>4712</v>
      </c>
      <c r="H2965" s="9" t="s">
        <v>86</v>
      </c>
      <c r="I2965" s="11">
        <v>18429897</v>
      </c>
      <c r="J2965" s="11">
        <v>2972924</v>
      </c>
      <c r="K2965" s="11">
        <v>19174141</v>
      </c>
      <c r="L2965" s="3">
        <v>272</v>
      </c>
      <c r="M2965" s="3">
        <v>3427</v>
      </c>
      <c r="N2965" s="3">
        <v>617542</v>
      </c>
      <c r="O2965" s="2">
        <v>0.27500000000000002</v>
      </c>
      <c r="P2965" s="2">
        <v>1.1870000000000001</v>
      </c>
      <c r="Q2965" s="2">
        <v>0.69299999999999995</v>
      </c>
      <c r="R2965" s="11">
        <v>142423236</v>
      </c>
      <c r="S2965" s="11">
        <v>82683</v>
      </c>
      <c r="T2965">
        <v>2015</v>
      </c>
      <c r="U2965">
        <v>2</v>
      </c>
      <c r="V2965">
        <f t="shared" si="276"/>
        <v>325000</v>
      </c>
      <c r="W2965">
        <f t="shared" si="277"/>
        <v>18429897</v>
      </c>
      <c r="X2965">
        <f t="shared" si="278"/>
        <v>18104897</v>
      </c>
      <c r="Y2965">
        <f t="shared" si="279"/>
        <v>-26832345.5</v>
      </c>
      <c r="Z2965">
        <f t="shared" si="280"/>
        <v>45587242.5</v>
      </c>
      <c r="AA2965" t="str">
        <f t="shared" si="281"/>
        <v>Normal</v>
      </c>
      <c r="AE2965" s="2"/>
      <c r="AF2965" s="2"/>
    </row>
    <row r="2966" spans="1:32" x14ac:dyDescent="0.35">
      <c r="A2966">
        <v>2965</v>
      </c>
      <c r="B2966" s="1">
        <v>42048</v>
      </c>
      <c r="C2966" s="9" t="s">
        <v>4713</v>
      </c>
      <c r="D2966" s="9" t="s">
        <v>4988</v>
      </c>
      <c r="E2966" s="9" t="s">
        <v>1111</v>
      </c>
      <c r="F2966" s="9" t="s">
        <v>15</v>
      </c>
      <c r="G2966" s="9" t="s">
        <v>4714</v>
      </c>
      <c r="H2966" s="9" t="s">
        <v>86</v>
      </c>
      <c r="I2966" s="11">
        <v>1000000</v>
      </c>
      <c r="J2966" s="11">
        <v>1217918</v>
      </c>
      <c r="K2966" s="11">
        <v>18825058</v>
      </c>
      <c r="L2966" s="3">
        <v>382</v>
      </c>
      <c r="M2966" s="3">
        <v>3824</v>
      </c>
      <c r="N2966" s="3">
        <v>1018455</v>
      </c>
      <c r="O2966" s="2">
        <v>0.14300000000000002</v>
      </c>
      <c r="P2966" s="2">
        <v>0.50800000000000001</v>
      </c>
      <c r="Q2966" s="2">
        <v>0.36749999999999999</v>
      </c>
      <c r="R2966" s="11">
        <v>267780678</v>
      </c>
      <c r="S2966" s="11">
        <v>1853720</v>
      </c>
      <c r="T2966">
        <v>2015</v>
      </c>
      <c r="U2966">
        <v>2</v>
      </c>
      <c r="V2966">
        <f t="shared" si="276"/>
        <v>323750</v>
      </c>
      <c r="W2966">
        <f t="shared" si="277"/>
        <v>18429897</v>
      </c>
      <c r="X2966">
        <f t="shared" si="278"/>
        <v>18106147</v>
      </c>
      <c r="Y2966">
        <f t="shared" si="279"/>
        <v>-26835470.5</v>
      </c>
      <c r="Z2966">
        <f t="shared" si="280"/>
        <v>45589117.5</v>
      </c>
      <c r="AA2966" t="str">
        <f t="shared" si="281"/>
        <v>Normal</v>
      </c>
      <c r="AE2966" s="2"/>
      <c r="AF2966" s="2"/>
    </row>
    <row r="2967" spans="1:32" x14ac:dyDescent="0.35">
      <c r="A2967">
        <v>2966</v>
      </c>
      <c r="B2967" s="1">
        <v>42048</v>
      </c>
      <c r="C2967" s="9" t="s">
        <v>4715</v>
      </c>
      <c r="D2967" s="9" t="s">
        <v>4988</v>
      </c>
      <c r="E2967" s="9" t="s">
        <v>1111</v>
      </c>
      <c r="F2967" s="9" t="s">
        <v>15</v>
      </c>
      <c r="G2967" s="9" t="s">
        <v>4716</v>
      </c>
      <c r="H2967" s="9" t="s">
        <v>105</v>
      </c>
      <c r="I2967" s="11">
        <v>16500000</v>
      </c>
      <c r="J2967" s="11">
        <v>1155279</v>
      </c>
      <c r="K2967" s="11">
        <v>4434874</v>
      </c>
      <c r="L2967" s="3">
        <v>72</v>
      </c>
      <c r="M2967" s="3">
        <v>1047</v>
      </c>
      <c r="N2967" s="3">
        <v>1018455</v>
      </c>
      <c r="O2967" s="2">
        <v>0.24299999999999999</v>
      </c>
      <c r="P2967" s="2">
        <v>0.44</v>
      </c>
      <c r="Q2967" s="2">
        <v>0.29299999999999998</v>
      </c>
      <c r="R2967" s="11">
        <v>376496517</v>
      </c>
      <c r="S2967" s="11">
        <v>382971</v>
      </c>
      <c r="T2967">
        <v>2015</v>
      </c>
      <c r="U2967">
        <v>2</v>
      </c>
      <c r="V2967">
        <f t="shared" si="276"/>
        <v>322500</v>
      </c>
      <c r="W2967">
        <f t="shared" si="277"/>
        <v>18429897</v>
      </c>
      <c r="X2967">
        <f t="shared" si="278"/>
        <v>18107397</v>
      </c>
      <c r="Y2967">
        <f t="shared" si="279"/>
        <v>-26838595.5</v>
      </c>
      <c r="Z2967">
        <f t="shared" si="280"/>
        <v>45590992.5</v>
      </c>
      <c r="AA2967" t="str">
        <f t="shared" si="281"/>
        <v>Normal</v>
      </c>
      <c r="AE2967" s="2"/>
      <c r="AF2967" s="2"/>
    </row>
    <row r="2968" spans="1:32" x14ac:dyDescent="0.35">
      <c r="A2968">
        <v>2967</v>
      </c>
      <c r="B2968" s="1">
        <v>42051</v>
      </c>
      <c r="C2968" s="9" t="s">
        <v>4717</v>
      </c>
      <c r="D2968" s="9" t="s">
        <v>4988</v>
      </c>
      <c r="E2968" s="9" t="s">
        <v>1111</v>
      </c>
      <c r="F2968" s="9" t="s">
        <v>15</v>
      </c>
      <c r="G2968" s="9" t="s">
        <v>4718</v>
      </c>
      <c r="H2968" s="9" t="s">
        <v>105</v>
      </c>
      <c r="I2968" s="11">
        <v>4150000</v>
      </c>
      <c r="J2968" s="11">
        <v>3604007</v>
      </c>
      <c r="K2968" s="11">
        <v>17257162</v>
      </c>
      <c r="L2968" s="3">
        <v>240</v>
      </c>
      <c r="M2968" s="3">
        <v>4968</v>
      </c>
      <c r="N2968" s="3">
        <v>1276749</v>
      </c>
      <c r="O2968" s="2">
        <v>0.185</v>
      </c>
      <c r="P2968" s="2">
        <v>0.36299999999999999</v>
      </c>
      <c r="Q2968" s="2">
        <v>0.40600000000000003</v>
      </c>
      <c r="R2968" s="11">
        <v>57050828</v>
      </c>
      <c r="S2968" s="11">
        <v>105168</v>
      </c>
      <c r="T2968">
        <v>2015</v>
      </c>
      <c r="U2968">
        <v>2</v>
      </c>
      <c r="V2968">
        <f t="shared" si="276"/>
        <v>321250</v>
      </c>
      <c r="W2968">
        <f t="shared" si="277"/>
        <v>18429897</v>
      </c>
      <c r="X2968">
        <f t="shared" si="278"/>
        <v>18108647</v>
      </c>
      <c r="Y2968">
        <f t="shared" si="279"/>
        <v>-26841720.5</v>
      </c>
      <c r="Z2968">
        <f t="shared" si="280"/>
        <v>45592867.5</v>
      </c>
      <c r="AA2968" t="str">
        <f t="shared" si="281"/>
        <v>Normal</v>
      </c>
      <c r="AE2968" s="2"/>
      <c r="AF2968" s="2"/>
    </row>
    <row r="2969" spans="1:32" x14ac:dyDescent="0.35">
      <c r="A2969">
        <v>2968</v>
      </c>
      <c r="B2969" s="1">
        <v>42051</v>
      </c>
      <c r="C2969" s="9" t="s">
        <v>4719</v>
      </c>
      <c r="D2969" s="9" t="s">
        <v>4988</v>
      </c>
      <c r="E2969" s="9" t="s">
        <v>1111</v>
      </c>
      <c r="F2969" s="9" t="s">
        <v>15</v>
      </c>
      <c r="G2969" s="9" t="s">
        <v>2912</v>
      </c>
      <c r="H2969" s="9" t="s">
        <v>105</v>
      </c>
      <c r="I2969" s="11">
        <v>1000000</v>
      </c>
      <c r="J2969" s="11">
        <v>3195292</v>
      </c>
      <c r="K2969" s="11">
        <v>10153449</v>
      </c>
      <c r="L2969" s="3">
        <v>103</v>
      </c>
      <c r="M2969" s="3">
        <v>3821</v>
      </c>
      <c r="N2969" s="3">
        <v>449742</v>
      </c>
      <c r="O2969" s="2">
        <v>0.22899999999999998</v>
      </c>
      <c r="P2969" s="2">
        <v>1.1399999999999999</v>
      </c>
      <c r="Q2969" s="2">
        <v>-0.112</v>
      </c>
      <c r="R2969" s="11">
        <v>239655914</v>
      </c>
      <c r="S2969" s="11">
        <v>1180292</v>
      </c>
      <c r="T2969">
        <v>2015</v>
      </c>
      <c r="U2969">
        <v>2</v>
      </c>
      <c r="V2969">
        <f t="shared" si="276"/>
        <v>320000</v>
      </c>
      <c r="W2969">
        <f t="shared" si="277"/>
        <v>18429897</v>
      </c>
      <c r="X2969">
        <f t="shared" si="278"/>
        <v>18109897</v>
      </c>
      <c r="Y2969">
        <f t="shared" si="279"/>
        <v>-26844845.5</v>
      </c>
      <c r="Z2969">
        <f t="shared" si="280"/>
        <v>45594742.5</v>
      </c>
      <c r="AA2969" t="str">
        <f t="shared" si="281"/>
        <v>Normal</v>
      </c>
      <c r="AE2969" s="2"/>
      <c r="AF2969" s="2"/>
    </row>
    <row r="2970" spans="1:32" x14ac:dyDescent="0.35">
      <c r="A2970">
        <v>2969</v>
      </c>
      <c r="B2970" s="1">
        <v>42052</v>
      </c>
      <c r="C2970" s="9" t="s">
        <v>4720</v>
      </c>
      <c r="D2970" s="9" t="s">
        <v>4988</v>
      </c>
      <c r="E2970" s="9" t="s">
        <v>1111</v>
      </c>
      <c r="F2970" s="9" t="s">
        <v>15</v>
      </c>
      <c r="G2970" s="9" t="s">
        <v>4721</v>
      </c>
      <c r="H2970" s="9" t="s">
        <v>86</v>
      </c>
      <c r="I2970" s="11">
        <v>18429897</v>
      </c>
      <c r="J2970" s="11">
        <v>3063626</v>
      </c>
      <c r="K2970" s="11">
        <v>11892628</v>
      </c>
      <c r="L2970" s="3">
        <v>81</v>
      </c>
      <c r="M2970" s="3">
        <v>1073</v>
      </c>
      <c r="N2970" s="3">
        <v>1582291</v>
      </c>
      <c r="O2970" s="2">
        <v>0.03</v>
      </c>
      <c r="P2970" s="2">
        <v>0.45</v>
      </c>
      <c r="Q2970" s="2">
        <v>0.16</v>
      </c>
      <c r="R2970" s="11">
        <v>408548112</v>
      </c>
      <c r="S2970" s="11">
        <v>612774</v>
      </c>
      <c r="T2970">
        <v>2015</v>
      </c>
      <c r="U2970">
        <v>2</v>
      </c>
      <c r="V2970">
        <f t="shared" si="276"/>
        <v>318750</v>
      </c>
      <c r="W2970">
        <f t="shared" si="277"/>
        <v>18429897</v>
      </c>
      <c r="X2970">
        <f t="shared" si="278"/>
        <v>18111147</v>
      </c>
      <c r="Y2970">
        <f t="shared" si="279"/>
        <v>-26847970.5</v>
      </c>
      <c r="Z2970">
        <f t="shared" si="280"/>
        <v>45596617.5</v>
      </c>
      <c r="AA2970" t="str">
        <f t="shared" si="281"/>
        <v>Normal</v>
      </c>
      <c r="AE2970" s="2"/>
      <c r="AF2970" s="2"/>
    </row>
    <row r="2971" spans="1:32" x14ac:dyDescent="0.35">
      <c r="A2971">
        <v>2970</v>
      </c>
      <c r="B2971" s="1">
        <v>42053</v>
      </c>
      <c r="C2971" s="9" t="s">
        <v>1644</v>
      </c>
      <c r="D2971" s="9" t="s">
        <v>4988</v>
      </c>
      <c r="E2971" s="9" t="s">
        <v>1111</v>
      </c>
      <c r="F2971" s="9" t="s">
        <v>15</v>
      </c>
      <c r="G2971" s="9" t="s">
        <v>4722</v>
      </c>
      <c r="H2971" s="9" t="s">
        <v>105</v>
      </c>
      <c r="I2971" s="11">
        <v>5000000</v>
      </c>
      <c r="J2971" s="11">
        <v>273150</v>
      </c>
      <c r="K2971" s="11">
        <v>8801505</v>
      </c>
      <c r="L2971" s="3">
        <v>65</v>
      </c>
      <c r="M2971" s="3">
        <v>3049</v>
      </c>
      <c r="N2971" s="3">
        <v>1585073</v>
      </c>
      <c r="O2971" s="2">
        <v>1.6E-2</v>
      </c>
      <c r="P2971" s="2">
        <v>0.50800000000000001</v>
      </c>
      <c r="Q2971" s="2">
        <v>6.3E-2</v>
      </c>
      <c r="R2971" s="11">
        <v>270541307</v>
      </c>
      <c r="S2971" s="11">
        <v>1008193.5</v>
      </c>
      <c r="T2971">
        <v>2015</v>
      </c>
      <c r="U2971">
        <v>2</v>
      </c>
      <c r="V2971">
        <f t="shared" si="276"/>
        <v>317500</v>
      </c>
      <c r="W2971">
        <f t="shared" si="277"/>
        <v>18429897</v>
      </c>
      <c r="X2971">
        <f t="shared" si="278"/>
        <v>18112397</v>
      </c>
      <c r="Y2971">
        <f t="shared" si="279"/>
        <v>-26851095.5</v>
      </c>
      <c r="Z2971">
        <f t="shared" si="280"/>
        <v>45598492.5</v>
      </c>
      <c r="AA2971" t="str">
        <f t="shared" si="281"/>
        <v>Normal</v>
      </c>
      <c r="AE2971" s="2"/>
      <c r="AF2971" s="2"/>
    </row>
    <row r="2972" spans="1:32" x14ac:dyDescent="0.35">
      <c r="A2972">
        <v>2971</v>
      </c>
      <c r="B2972" s="1">
        <v>42143</v>
      </c>
      <c r="C2972" s="9" t="s">
        <v>4723</v>
      </c>
      <c r="D2972" s="9" t="s">
        <v>4988</v>
      </c>
      <c r="E2972" s="9" t="s">
        <v>1111</v>
      </c>
      <c r="F2972" s="9" t="s">
        <v>15</v>
      </c>
      <c r="G2972" s="9" t="s">
        <v>4724</v>
      </c>
      <c r="H2972" s="9" t="s">
        <v>86</v>
      </c>
      <c r="I2972" s="11">
        <v>800000</v>
      </c>
      <c r="J2972" s="11">
        <v>2997457</v>
      </c>
      <c r="K2972" s="11">
        <v>6096191</v>
      </c>
      <c r="L2972" s="3">
        <v>381</v>
      </c>
      <c r="M2972" s="3">
        <v>2505.5</v>
      </c>
      <c r="N2972" s="3">
        <v>820835</v>
      </c>
      <c r="O2972" s="2">
        <v>-0.122</v>
      </c>
      <c r="P2972" s="2">
        <v>0.79200000000000004</v>
      </c>
      <c r="Q2972" s="2">
        <v>-1.7000000000000001E-2</v>
      </c>
      <c r="R2972" s="11">
        <v>24619590</v>
      </c>
      <c r="S2972" s="11">
        <v>923714</v>
      </c>
      <c r="T2972">
        <v>2015</v>
      </c>
      <c r="U2972">
        <v>5</v>
      </c>
      <c r="V2972">
        <f t="shared" si="276"/>
        <v>316250</v>
      </c>
      <c r="W2972">
        <f t="shared" si="277"/>
        <v>18429897</v>
      </c>
      <c r="X2972">
        <f t="shared" si="278"/>
        <v>18113647</v>
      </c>
      <c r="Y2972">
        <f t="shared" si="279"/>
        <v>-26854220.5</v>
      </c>
      <c r="Z2972">
        <f t="shared" si="280"/>
        <v>45600367.5</v>
      </c>
      <c r="AA2972" t="str">
        <f t="shared" si="281"/>
        <v>Normal</v>
      </c>
      <c r="AE2972" s="2"/>
      <c r="AF2972" s="2"/>
    </row>
    <row r="2973" spans="1:32" x14ac:dyDescent="0.35">
      <c r="A2973">
        <v>2972</v>
      </c>
      <c r="B2973" s="1">
        <v>42055</v>
      </c>
      <c r="C2973" s="9" t="s">
        <v>4725</v>
      </c>
      <c r="D2973" s="9" t="s">
        <v>4988</v>
      </c>
      <c r="E2973" s="9" t="s">
        <v>1111</v>
      </c>
      <c r="F2973" s="9" t="s">
        <v>15</v>
      </c>
      <c r="G2973" s="9" t="s">
        <v>4726</v>
      </c>
      <c r="H2973" s="9" t="s">
        <v>86</v>
      </c>
      <c r="I2973" s="11">
        <v>500000</v>
      </c>
      <c r="J2973" s="11">
        <v>4907307</v>
      </c>
      <c r="K2973" s="11">
        <v>18678818</v>
      </c>
      <c r="L2973" s="3">
        <v>460</v>
      </c>
      <c r="M2973" s="3">
        <v>2505.5</v>
      </c>
      <c r="N2973" s="3">
        <v>729471</v>
      </c>
      <c r="O2973" s="2">
        <v>0.10300000000000001</v>
      </c>
      <c r="P2973" s="2">
        <v>0.79</v>
      </c>
      <c r="Q2973" s="2">
        <v>0.34700000000000003</v>
      </c>
      <c r="R2973" s="11">
        <v>472108656</v>
      </c>
      <c r="S2973" s="11">
        <v>1122975</v>
      </c>
      <c r="T2973">
        <v>2015</v>
      </c>
      <c r="U2973">
        <v>2</v>
      </c>
      <c r="V2973">
        <f t="shared" si="276"/>
        <v>315000</v>
      </c>
      <c r="W2973">
        <f t="shared" si="277"/>
        <v>18429897</v>
      </c>
      <c r="X2973">
        <f t="shared" si="278"/>
        <v>18114897</v>
      </c>
      <c r="Y2973">
        <f t="shared" si="279"/>
        <v>-26857345.5</v>
      </c>
      <c r="Z2973">
        <f t="shared" si="280"/>
        <v>45602242.5</v>
      </c>
      <c r="AA2973" t="str">
        <f t="shared" si="281"/>
        <v>Normal</v>
      </c>
      <c r="AE2973" s="2"/>
      <c r="AF2973" s="2"/>
    </row>
    <row r="2974" spans="1:32" x14ac:dyDescent="0.35">
      <c r="A2974">
        <v>2973</v>
      </c>
      <c r="B2974" s="1">
        <v>42055</v>
      </c>
      <c r="C2974" s="9" t="s">
        <v>4510</v>
      </c>
      <c r="D2974" s="9" t="s">
        <v>4988</v>
      </c>
      <c r="E2974" s="9" t="s">
        <v>1111</v>
      </c>
      <c r="F2974" s="9" t="s">
        <v>15</v>
      </c>
      <c r="G2974" s="9" t="s">
        <v>4727</v>
      </c>
      <c r="H2974" s="9" t="s">
        <v>105</v>
      </c>
      <c r="I2974" s="11">
        <v>1600000</v>
      </c>
      <c r="J2974" s="11">
        <v>106269</v>
      </c>
      <c r="K2974" s="11">
        <v>13280216</v>
      </c>
      <c r="L2974" s="3">
        <v>333</v>
      </c>
      <c r="M2974" s="3">
        <v>4340</v>
      </c>
      <c r="N2974" s="3">
        <v>1956266</v>
      </c>
      <c r="O2974" s="2">
        <v>0.33899999999999997</v>
      </c>
      <c r="P2974" s="2">
        <v>0.6</v>
      </c>
      <c r="Q2974" s="2">
        <v>5.0999999999999997E-2</v>
      </c>
      <c r="R2974" s="11">
        <v>129987577</v>
      </c>
      <c r="S2974" s="11">
        <v>1284421</v>
      </c>
      <c r="T2974">
        <v>2015</v>
      </c>
      <c r="U2974">
        <v>2</v>
      </c>
      <c r="V2974">
        <f t="shared" si="276"/>
        <v>308750</v>
      </c>
      <c r="W2974">
        <f t="shared" si="277"/>
        <v>18429897</v>
      </c>
      <c r="X2974">
        <f t="shared" si="278"/>
        <v>18121147</v>
      </c>
      <c r="Y2974">
        <f t="shared" si="279"/>
        <v>-26872970.5</v>
      </c>
      <c r="Z2974">
        <f t="shared" si="280"/>
        <v>45611617.5</v>
      </c>
      <c r="AA2974" t="str">
        <f t="shared" si="281"/>
        <v>Normal</v>
      </c>
      <c r="AE2974" s="2"/>
      <c r="AF2974" s="2"/>
    </row>
    <row r="2975" spans="1:32" x14ac:dyDescent="0.35">
      <c r="A2975">
        <v>2974</v>
      </c>
      <c r="B2975" s="1">
        <v>42056</v>
      </c>
      <c r="C2975" s="9" t="s">
        <v>4728</v>
      </c>
      <c r="D2975" s="9" t="s">
        <v>4988</v>
      </c>
      <c r="E2975" s="9" t="s">
        <v>1111</v>
      </c>
      <c r="F2975" s="9" t="s">
        <v>15</v>
      </c>
      <c r="G2975" s="9" t="s">
        <v>4729</v>
      </c>
      <c r="H2975" s="9" t="s">
        <v>86</v>
      </c>
      <c r="I2975" s="11">
        <v>290000</v>
      </c>
      <c r="J2975" s="11">
        <v>2355645</v>
      </c>
      <c r="K2975" s="11">
        <v>2852674</v>
      </c>
      <c r="L2975" s="3">
        <v>192</v>
      </c>
      <c r="M2975" s="3">
        <v>1463</v>
      </c>
      <c r="N2975" s="3">
        <v>25548</v>
      </c>
      <c r="O2975" s="2">
        <v>8.900000000000001E-2</v>
      </c>
      <c r="P2975" s="2">
        <v>0.59599999999999997</v>
      </c>
      <c r="Q2975" s="2">
        <v>-0.36399999999999999</v>
      </c>
      <c r="R2975" s="11">
        <v>488189281</v>
      </c>
      <c r="S2975" s="11">
        <v>549002</v>
      </c>
      <c r="T2975">
        <v>2015</v>
      </c>
      <c r="U2975">
        <v>2</v>
      </c>
      <c r="V2975">
        <f t="shared" si="276"/>
        <v>302500</v>
      </c>
      <c r="W2975">
        <f t="shared" si="277"/>
        <v>18429897</v>
      </c>
      <c r="X2975">
        <f t="shared" si="278"/>
        <v>18127397</v>
      </c>
      <c r="Y2975">
        <f t="shared" si="279"/>
        <v>-26888595.5</v>
      </c>
      <c r="Z2975">
        <f t="shared" si="280"/>
        <v>45620992.5</v>
      </c>
      <c r="AA2975" t="str">
        <f t="shared" si="281"/>
        <v>Normal</v>
      </c>
      <c r="AE2975" s="2"/>
      <c r="AF2975" s="2"/>
    </row>
    <row r="2976" spans="1:32" x14ac:dyDescent="0.35">
      <c r="A2976">
        <v>2975</v>
      </c>
      <c r="B2976" s="1">
        <v>42058</v>
      </c>
      <c r="C2976" s="9" t="s">
        <v>521</v>
      </c>
      <c r="D2976" s="9" t="s">
        <v>4988</v>
      </c>
      <c r="E2976" s="9" t="s">
        <v>1111</v>
      </c>
      <c r="F2976" s="9" t="s">
        <v>15</v>
      </c>
      <c r="G2976" s="9" t="s">
        <v>4730</v>
      </c>
      <c r="H2976" s="9" t="s">
        <v>105</v>
      </c>
      <c r="I2976" s="11">
        <v>4500000</v>
      </c>
      <c r="J2976" s="11">
        <v>2482000</v>
      </c>
      <c r="K2976" s="11">
        <v>2871303</v>
      </c>
      <c r="L2976" s="3">
        <v>474</v>
      </c>
      <c r="M2976" s="3">
        <v>4198</v>
      </c>
      <c r="N2976" s="3">
        <v>1000000000</v>
      </c>
      <c r="O2976" s="2">
        <v>3.4000000000000002E-2</v>
      </c>
      <c r="P2976" s="2">
        <v>0.52100000000000002</v>
      </c>
      <c r="Q2976" s="2">
        <v>0.21</v>
      </c>
      <c r="R2976" s="11">
        <v>101252756</v>
      </c>
      <c r="S2976" s="11">
        <v>1973364</v>
      </c>
      <c r="T2976">
        <v>2015</v>
      </c>
      <c r="U2976">
        <v>2</v>
      </c>
      <c r="V2976">
        <f t="shared" si="276"/>
        <v>316250</v>
      </c>
      <c r="W2976">
        <f t="shared" si="277"/>
        <v>18429897</v>
      </c>
      <c r="X2976">
        <f t="shared" si="278"/>
        <v>18113647</v>
      </c>
      <c r="Y2976">
        <f t="shared" si="279"/>
        <v>-26854220.5</v>
      </c>
      <c r="Z2976">
        <f t="shared" si="280"/>
        <v>45600367.5</v>
      </c>
      <c r="AA2976" t="str">
        <f t="shared" si="281"/>
        <v>Normal</v>
      </c>
      <c r="AE2976" s="2"/>
      <c r="AF2976" s="2"/>
    </row>
    <row r="2977" spans="1:32" x14ac:dyDescent="0.35">
      <c r="A2977">
        <v>2976</v>
      </c>
      <c r="B2977" s="1">
        <v>42058</v>
      </c>
      <c r="C2977" s="9" t="s">
        <v>4731</v>
      </c>
      <c r="D2977" s="9" t="s">
        <v>4988</v>
      </c>
      <c r="E2977" s="9" t="s">
        <v>1111</v>
      </c>
      <c r="F2977" s="9" t="s">
        <v>15</v>
      </c>
      <c r="G2977" s="9" t="s">
        <v>4732</v>
      </c>
      <c r="H2977" s="9" t="s">
        <v>105</v>
      </c>
      <c r="I2977" s="11">
        <v>1000000</v>
      </c>
      <c r="J2977" s="11">
        <v>4485841</v>
      </c>
      <c r="K2977" s="11">
        <v>2431991</v>
      </c>
      <c r="L2977" s="3">
        <v>251</v>
      </c>
      <c r="M2977" s="3">
        <v>3202</v>
      </c>
      <c r="N2977" s="3">
        <v>1381570</v>
      </c>
      <c r="O2977" s="2">
        <v>0.57799999999999996</v>
      </c>
      <c r="P2977" s="2">
        <v>0.92900000000000005</v>
      </c>
      <c r="Q2977" s="2">
        <v>9.2999999999999999E-2</v>
      </c>
      <c r="R2977" s="11">
        <v>402982088</v>
      </c>
      <c r="S2977" s="11">
        <v>1065067</v>
      </c>
      <c r="T2977">
        <v>2015</v>
      </c>
      <c r="U2977">
        <v>2</v>
      </c>
      <c r="V2977">
        <f t="shared" si="276"/>
        <v>315000</v>
      </c>
      <c r="W2977">
        <f t="shared" si="277"/>
        <v>18429897</v>
      </c>
      <c r="X2977">
        <f t="shared" si="278"/>
        <v>18114897</v>
      </c>
      <c r="Y2977">
        <f t="shared" si="279"/>
        <v>-26857345.5</v>
      </c>
      <c r="Z2977">
        <f t="shared" si="280"/>
        <v>45602242.5</v>
      </c>
      <c r="AA2977" t="str">
        <f t="shared" si="281"/>
        <v>Normal</v>
      </c>
      <c r="AE2977" s="2"/>
      <c r="AF2977" s="2"/>
    </row>
    <row r="2978" spans="1:32" x14ac:dyDescent="0.35">
      <c r="A2978">
        <v>2977</v>
      </c>
      <c r="B2978" s="1">
        <v>42058</v>
      </c>
      <c r="C2978" s="9" t="s">
        <v>4733</v>
      </c>
      <c r="D2978" s="9" t="s">
        <v>4988</v>
      </c>
      <c r="E2978" s="9" t="s">
        <v>1111</v>
      </c>
      <c r="F2978" s="9" t="s">
        <v>15</v>
      </c>
      <c r="G2978" s="9" t="s">
        <v>193</v>
      </c>
      <c r="H2978" s="9" t="s">
        <v>105</v>
      </c>
      <c r="I2978" s="11">
        <v>10000000</v>
      </c>
      <c r="J2978" s="11">
        <v>1428572</v>
      </c>
      <c r="K2978" s="11">
        <v>6150316</v>
      </c>
      <c r="L2978" s="3">
        <v>267</v>
      </c>
      <c r="M2978" s="3">
        <v>4095</v>
      </c>
      <c r="N2978" s="3">
        <v>1746173</v>
      </c>
      <c r="O2978" s="2">
        <v>0.40400000000000003</v>
      </c>
      <c r="P2978" s="2">
        <v>0.93899999999999995</v>
      </c>
      <c r="Q2978" s="2">
        <v>0.27300000000000002</v>
      </c>
      <c r="R2978" s="11">
        <v>159286305</v>
      </c>
      <c r="S2978" s="11">
        <v>161189</v>
      </c>
      <c r="T2978">
        <v>2015</v>
      </c>
      <c r="U2978">
        <v>2</v>
      </c>
      <c r="V2978">
        <f t="shared" si="276"/>
        <v>308750</v>
      </c>
      <c r="W2978">
        <f t="shared" si="277"/>
        <v>18429897</v>
      </c>
      <c r="X2978">
        <f t="shared" si="278"/>
        <v>18121147</v>
      </c>
      <c r="Y2978">
        <f t="shared" si="279"/>
        <v>-26872970.5</v>
      </c>
      <c r="Z2978">
        <f t="shared" si="280"/>
        <v>45611617.5</v>
      </c>
      <c r="AA2978" t="str">
        <f t="shared" si="281"/>
        <v>Normal</v>
      </c>
      <c r="AE2978" s="2"/>
      <c r="AF2978" s="2"/>
    </row>
    <row r="2979" spans="1:32" x14ac:dyDescent="0.35">
      <c r="A2979">
        <v>2978</v>
      </c>
      <c r="B2979" s="1">
        <v>42058</v>
      </c>
      <c r="C2979" s="9" t="s">
        <v>205</v>
      </c>
      <c r="D2979" s="9" t="s">
        <v>4988</v>
      </c>
      <c r="E2979" s="9" t="s">
        <v>1111</v>
      </c>
      <c r="F2979" s="9" t="s">
        <v>15</v>
      </c>
      <c r="G2979" s="9" t="s">
        <v>4734</v>
      </c>
      <c r="H2979" s="9" t="s">
        <v>105</v>
      </c>
      <c r="I2979" s="11">
        <v>3000000</v>
      </c>
      <c r="J2979" s="11">
        <v>2388294</v>
      </c>
      <c r="K2979" s="11">
        <v>1472160</v>
      </c>
      <c r="L2979" s="3">
        <v>319</v>
      </c>
      <c r="M2979" s="3">
        <v>3739</v>
      </c>
      <c r="N2979" s="3">
        <v>918210</v>
      </c>
      <c r="O2979" s="2">
        <v>0.14800000000000002</v>
      </c>
      <c r="P2979" s="2">
        <v>0.73099999999999998</v>
      </c>
      <c r="Q2979" s="2">
        <v>-2E-3</v>
      </c>
      <c r="R2979" s="11">
        <v>175015623</v>
      </c>
      <c r="S2979" s="11">
        <v>1499992</v>
      </c>
      <c r="T2979">
        <v>2015</v>
      </c>
      <c r="U2979">
        <v>2</v>
      </c>
      <c r="V2979">
        <f t="shared" si="276"/>
        <v>302500</v>
      </c>
      <c r="W2979">
        <f t="shared" si="277"/>
        <v>18429897</v>
      </c>
      <c r="X2979">
        <f t="shared" si="278"/>
        <v>18127397</v>
      </c>
      <c r="Y2979">
        <f t="shared" si="279"/>
        <v>-26888595.5</v>
      </c>
      <c r="Z2979">
        <f t="shared" si="280"/>
        <v>45620992.5</v>
      </c>
      <c r="AA2979" t="str">
        <f t="shared" si="281"/>
        <v>Normal</v>
      </c>
      <c r="AE2979" s="2"/>
      <c r="AF2979" s="2"/>
    </row>
    <row r="2980" spans="1:32" x14ac:dyDescent="0.35">
      <c r="A2980">
        <v>2979</v>
      </c>
      <c r="B2980" s="1">
        <v>42059</v>
      </c>
      <c r="C2980" s="9" t="s">
        <v>4735</v>
      </c>
      <c r="D2980" s="9" t="s">
        <v>4988</v>
      </c>
      <c r="E2980" s="9" t="s">
        <v>1111</v>
      </c>
      <c r="F2980" s="9" t="s">
        <v>15</v>
      </c>
      <c r="G2980" s="9" t="s">
        <v>4903</v>
      </c>
      <c r="H2980" s="9" t="s">
        <v>86</v>
      </c>
      <c r="I2980" s="11">
        <v>500000</v>
      </c>
      <c r="J2980" s="11">
        <v>3591616</v>
      </c>
      <c r="K2980" s="11">
        <v>5357476</v>
      </c>
      <c r="L2980" s="3">
        <v>328</v>
      </c>
      <c r="M2980" s="3">
        <v>3120</v>
      </c>
      <c r="N2980" s="3">
        <v>1018455</v>
      </c>
      <c r="O2980" s="2">
        <v>-7.400000000000001E-2</v>
      </c>
      <c r="P2980" s="2">
        <v>0.64900000000000002</v>
      </c>
      <c r="Q2980" s="2">
        <v>-0.33100000000000002</v>
      </c>
      <c r="R2980" s="11">
        <v>396750301</v>
      </c>
      <c r="S2980" s="11">
        <v>791729</v>
      </c>
      <c r="T2980">
        <v>2015</v>
      </c>
      <c r="U2980">
        <v>2</v>
      </c>
      <c r="V2980">
        <f t="shared" si="276"/>
        <v>296250</v>
      </c>
      <c r="W2980">
        <f t="shared" si="277"/>
        <v>18429897</v>
      </c>
      <c r="X2980">
        <f t="shared" si="278"/>
        <v>18133647</v>
      </c>
      <c r="Y2980">
        <f t="shared" si="279"/>
        <v>-26904220.5</v>
      </c>
      <c r="Z2980">
        <f t="shared" si="280"/>
        <v>45630367.5</v>
      </c>
      <c r="AA2980" t="str">
        <f t="shared" si="281"/>
        <v>Normal</v>
      </c>
      <c r="AE2980" s="2"/>
      <c r="AF2980" s="2"/>
    </row>
    <row r="2981" spans="1:32" x14ac:dyDescent="0.35">
      <c r="A2981">
        <v>2980</v>
      </c>
      <c r="B2981" s="1">
        <v>42060</v>
      </c>
      <c r="C2981" s="9" t="s">
        <v>1617</v>
      </c>
      <c r="D2981" s="9" t="s">
        <v>4988</v>
      </c>
      <c r="E2981" s="9" t="s">
        <v>1111</v>
      </c>
      <c r="F2981" s="9" t="s">
        <v>15</v>
      </c>
      <c r="G2981" s="9" t="s">
        <v>4736</v>
      </c>
      <c r="H2981" s="9" t="s">
        <v>86</v>
      </c>
      <c r="I2981" s="11">
        <v>18429897</v>
      </c>
      <c r="J2981" s="11">
        <v>2531926</v>
      </c>
      <c r="K2981" s="11">
        <v>15323858</v>
      </c>
      <c r="L2981" s="3">
        <v>248</v>
      </c>
      <c r="M2981" s="3">
        <v>992</v>
      </c>
      <c r="N2981" s="3">
        <v>435654</v>
      </c>
      <c r="O2981" s="2">
        <v>-0.28699999999999998</v>
      </c>
      <c r="P2981" s="2">
        <v>0.83599999999999997</v>
      </c>
      <c r="Q2981" s="2">
        <v>-0.14400000000000002</v>
      </c>
      <c r="R2981" s="11">
        <v>258408505</v>
      </c>
      <c r="S2981" s="11">
        <v>1257275</v>
      </c>
      <c r="T2981">
        <v>2015</v>
      </c>
      <c r="U2981">
        <v>2</v>
      </c>
      <c r="V2981">
        <f t="shared" si="276"/>
        <v>290000</v>
      </c>
      <c r="W2981">
        <f t="shared" si="277"/>
        <v>18429897</v>
      </c>
      <c r="X2981">
        <f t="shared" si="278"/>
        <v>18139897</v>
      </c>
      <c r="Y2981">
        <f t="shared" si="279"/>
        <v>-26919845.5</v>
      </c>
      <c r="Z2981">
        <f t="shared" si="280"/>
        <v>45639742.5</v>
      </c>
      <c r="AA2981" t="str">
        <f t="shared" si="281"/>
        <v>Normal</v>
      </c>
      <c r="AE2981" s="2"/>
      <c r="AF2981" s="2"/>
    </row>
    <row r="2982" spans="1:32" x14ac:dyDescent="0.35">
      <c r="A2982">
        <v>2981</v>
      </c>
      <c r="B2982" s="1">
        <v>42060</v>
      </c>
      <c r="C2982" s="9" t="s">
        <v>4737</v>
      </c>
      <c r="D2982" s="9" t="s">
        <v>4988</v>
      </c>
      <c r="E2982" s="9" t="s">
        <v>1111</v>
      </c>
      <c r="F2982" s="9" t="s">
        <v>15</v>
      </c>
      <c r="G2982" s="9" t="s">
        <v>4738</v>
      </c>
      <c r="H2982" s="9" t="s">
        <v>86</v>
      </c>
      <c r="I2982" s="11">
        <v>250000</v>
      </c>
      <c r="J2982" s="11">
        <v>4009424</v>
      </c>
      <c r="K2982" s="11">
        <v>17486380</v>
      </c>
      <c r="L2982" s="3">
        <v>242</v>
      </c>
      <c r="M2982" s="3">
        <v>4966</v>
      </c>
      <c r="N2982" s="3">
        <v>1854530</v>
      </c>
      <c r="O2982" s="2">
        <v>0.26200000000000001</v>
      </c>
      <c r="P2982" s="2">
        <v>0.69099999999999995</v>
      </c>
      <c r="Q2982" s="2">
        <v>-0.129</v>
      </c>
      <c r="R2982" s="11">
        <v>34226814</v>
      </c>
      <c r="S2982" s="11">
        <v>1355865</v>
      </c>
      <c r="T2982">
        <v>2015</v>
      </c>
      <c r="U2982">
        <v>2</v>
      </c>
      <c r="V2982">
        <f t="shared" si="276"/>
        <v>288750</v>
      </c>
      <c r="W2982">
        <f t="shared" si="277"/>
        <v>18429897</v>
      </c>
      <c r="X2982">
        <f t="shared" si="278"/>
        <v>18141147</v>
      </c>
      <c r="Y2982">
        <f t="shared" si="279"/>
        <v>-26922970.5</v>
      </c>
      <c r="Z2982">
        <f t="shared" si="280"/>
        <v>45641617.5</v>
      </c>
      <c r="AA2982" t="str">
        <f t="shared" si="281"/>
        <v>Normal</v>
      </c>
      <c r="AE2982" s="2"/>
      <c r="AF2982" s="2"/>
    </row>
    <row r="2983" spans="1:32" x14ac:dyDescent="0.35">
      <c r="A2983">
        <v>2982</v>
      </c>
      <c r="B2983" s="1">
        <v>42060</v>
      </c>
      <c r="C2983" s="9" t="s">
        <v>1867</v>
      </c>
      <c r="D2983" s="9" t="s">
        <v>4988</v>
      </c>
      <c r="E2983" s="9" t="s">
        <v>1111</v>
      </c>
      <c r="F2983" s="9" t="s">
        <v>15</v>
      </c>
      <c r="G2983" s="9" t="s">
        <v>4739</v>
      </c>
      <c r="H2983" s="9" t="s">
        <v>86</v>
      </c>
      <c r="I2983" s="11">
        <v>160000</v>
      </c>
      <c r="J2983" s="11">
        <v>4114623</v>
      </c>
      <c r="K2983" s="11">
        <v>15739938</v>
      </c>
      <c r="L2983" s="3">
        <v>162</v>
      </c>
      <c r="M2983" s="3">
        <v>3230</v>
      </c>
      <c r="N2983" s="3">
        <v>1165000</v>
      </c>
      <c r="O2983" s="2">
        <v>0.373</v>
      </c>
      <c r="P2983" s="2">
        <v>1.024</v>
      </c>
      <c r="Q2983" s="2">
        <v>-0.157</v>
      </c>
      <c r="R2983" s="11">
        <v>384502816</v>
      </c>
      <c r="S2983" s="11">
        <v>1492750</v>
      </c>
      <c r="T2983">
        <v>2015</v>
      </c>
      <c r="U2983">
        <v>2</v>
      </c>
      <c r="V2983">
        <f t="shared" si="276"/>
        <v>302500</v>
      </c>
      <c r="W2983">
        <f t="shared" si="277"/>
        <v>18429897</v>
      </c>
      <c r="X2983">
        <f t="shared" si="278"/>
        <v>18127397</v>
      </c>
      <c r="Y2983">
        <f t="shared" si="279"/>
        <v>-26888595.5</v>
      </c>
      <c r="Z2983">
        <f t="shared" si="280"/>
        <v>45620992.5</v>
      </c>
      <c r="AA2983" t="str">
        <f t="shared" si="281"/>
        <v>Normal</v>
      </c>
      <c r="AE2983" s="2"/>
      <c r="AF2983" s="2"/>
    </row>
    <row r="2984" spans="1:32" x14ac:dyDescent="0.35">
      <c r="A2984">
        <v>2983</v>
      </c>
      <c r="B2984" s="1">
        <v>42060</v>
      </c>
      <c r="C2984" s="9" t="s">
        <v>3625</v>
      </c>
      <c r="D2984" s="9" t="s">
        <v>4988</v>
      </c>
      <c r="E2984" s="9" t="s">
        <v>1111</v>
      </c>
      <c r="F2984" s="9" t="s">
        <v>15</v>
      </c>
      <c r="G2984" s="9" t="s">
        <v>673</v>
      </c>
      <c r="H2984" s="9" t="s">
        <v>86</v>
      </c>
      <c r="I2984" s="11">
        <v>18429897</v>
      </c>
      <c r="J2984" s="11">
        <v>3603842</v>
      </c>
      <c r="K2984" s="11">
        <v>9971470</v>
      </c>
      <c r="L2984" s="3">
        <v>341</v>
      </c>
      <c r="M2984" s="3">
        <v>1821</v>
      </c>
      <c r="N2984" s="3">
        <v>1481322</v>
      </c>
      <c r="O2984" s="2">
        <v>0.19899999999999998</v>
      </c>
      <c r="P2984" s="2">
        <v>0.26500000000000001</v>
      </c>
      <c r="Q2984" s="2">
        <v>-4.0999999999999995E-2</v>
      </c>
      <c r="R2984" s="11">
        <v>56873181</v>
      </c>
      <c r="S2984" s="11">
        <v>353885</v>
      </c>
      <c r="T2984">
        <v>2015</v>
      </c>
      <c r="U2984">
        <v>2</v>
      </c>
      <c r="V2984">
        <f t="shared" si="276"/>
        <v>316250</v>
      </c>
      <c r="W2984">
        <f t="shared" si="277"/>
        <v>18429897</v>
      </c>
      <c r="X2984">
        <f t="shared" si="278"/>
        <v>18113647</v>
      </c>
      <c r="Y2984">
        <f t="shared" si="279"/>
        <v>-26854220.5</v>
      </c>
      <c r="Z2984">
        <f t="shared" si="280"/>
        <v>45600367.5</v>
      </c>
      <c r="AA2984" t="str">
        <f t="shared" si="281"/>
        <v>Normal</v>
      </c>
      <c r="AE2984" s="2"/>
      <c r="AF2984" s="2"/>
    </row>
    <row r="2985" spans="1:32" x14ac:dyDescent="0.35">
      <c r="A2985">
        <v>2984</v>
      </c>
      <c r="B2985" s="1">
        <v>42060</v>
      </c>
      <c r="C2985" s="9" t="s">
        <v>1137</v>
      </c>
      <c r="D2985" s="9" t="s">
        <v>4988</v>
      </c>
      <c r="E2985" s="9" t="s">
        <v>1111</v>
      </c>
      <c r="F2985" s="9" t="s">
        <v>15</v>
      </c>
      <c r="G2985" s="9" t="s">
        <v>4740</v>
      </c>
      <c r="H2985" s="9" t="s">
        <v>86</v>
      </c>
      <c r="I2985" s="11">
        <v>320000</v>
      </c>
      <c r="J2985" s="11">
        <v>3247954</v>
      </c>
      <c r="K2985" s="11">
        <v>13937983</v>
      </c>
      <c r="L2985" s="3">
        <v>337</v>
      </c>
      <c r="M2985" s="3">
        <v>1318</v>
      </c>
      <c r="N2985" s="3">
        <v>352722</v>
      </c>
      <c r="O2985" s="2">
        <v>-0.222</v>
      </c>
      <c r="P2985" s="2">
        <v>1.103E-2</v>
      </c>
      <c r="Q2985" s="2">
        <v>0.28199999999999997</v>
      </c>
      <c r="R2985" s="11">
        <v>365405057</v>
      </c>
      <c r="S2985" s="11">
        <v>700895</v>
      </c>
      <c r="T2985">
        <v>2015</v>
      </c>
      <c r="U2985">
        <v>2</v>
      </c>
      <c r="V2985">
        <f t="shared" si="276"/>
        <v>315000</v>
      </c>
      <c r="W2985">
        <f t="shared" si="277"/>
        <v>18429897</v>
      </c>
      <c r="X2985">
        <f t="shared" si="278"/>
        <v>18114897</v>
      </c>
      <c r="Y2985">
        <f t="shared" si="279"/>
        <v>-26857345.5</v>
      </c>
      <c r="Z2985">
        <f t="shared" si="280"/>
        <v>45602242.5</v>
      </c>
      <c r="AA2985" t="str">
        <f t="shared" si="281"/>
        <v>Normal</v>
      </c>
      <c r="AE2985" s="2"/>
      <c r="AF2985" s="2"/>
    </row>
    <row r="2986" spans="1:32" x14ac:dyDescent="0.35">
      <c r="A2986">
        <v>2985</v>
      </c>
      <c r="B2986" s="1">
        <v>42060</v>
      </c>
      <c r="C2986" s="9" t="s">
        <v>3466</v>
      </c>
      <c r="D2986" s="9" t="s">
        <v>4988</v>
      </c>
      <c r="E2986" s="9" t="s">
        <v>1111</v>
      </c>
      <c r="F2986" s="9" t="s">
        <v>15</v>
      </c>
      <c r="G2986" s="9" t="s">
        <v>120</v>
      </c>
      <c r="H2986" s="9" t="s">
        <v>105</v>
      </c>
      <c r="I2986" s="11">
        <v>2000000</v>
      </c>
      <c r="J2986" s="11">
        <v>3743102</v>
      </c>
      <c r="K2986" s="11">
        <v>18884222</v>
      </c>
      <c r="L2986" s="3">
        <v>220</v>
      </c>
      <c r="M2986" s="3">
        <v>625</v>
      </c>
      <c r="N2986" s="3">
        <v>989755</v>
      </c>
      <c r="O2986" s="2">
        <v>0.152</v>
      </c>
      <c r="P2986" s="2">
        <v>0.72400000000000009</v>
      </c>
      <c r="Q2986" s="2">
        <v>-0.245</v>
      </c>
      <c r="R2986" s="11">
        <v>415796686</v>
      </c>
      <c r="S2986" s="11">
        <v>1008193.5</v>
      </c>
      <c r="T2986">
        <v>2015</v>
      </c>
      <c r="U2986">
        <v>2</v>
      </c>
      <c r="V2986">
        <f t="shared" si="276"/>
        <v>308750</v>
      </c>
      <c r="W2986">
        <f t="shared" si="277"/>
        <v>18429897</v>
      </c>
      <c r="X2986">
        <f t="shared" si="278"/>
        <v>18121147</v>
      </c>
      <c r="Y2986">
        <f t="shared" si="279"/>
        <v>-26872970.5</v>
      </c>
      <c r="Z2986">
        <f t="shared" si="280"/>
        <v>45611617.5</v>
      </c>
      <c r="AA2986" t="str">
        <f t="shared" si="281"/>
        <v>Normal</v>
      </c>
      <c r="AE2986" s="2"/>
      <c r="AF2986" s="2"/>
    </row>
    <row r="2987" spans="1:32" x14ac:dyDescent="0.35">
      <c r="A2987">
        <v>2986</v>
      </c>
      <c r="B2987" s="1">
        <v>42061</v>
      </c>
      <c r="C2987" s="9" t="s">
        <v>4741</v>
      </c>
      <c r="D2987" s="9" t="s">
        <v>4988</v>
      </c>
      <c r="E2987" s="9" t="s">
        <v>1111</v>
      </c>
      <c r="F2987" s="9" t="s">
        <v>15</v>
      </c>
      <c r="G2987" s="9" t="s">
        <v>4742</v>
      </c>
      <c r="H2987" s="9" t="s">
        <v>86</v>
      </c>
      <c r="I2987" s="11">
        <v>18429897</v>
      </c>
      <c r="J2987" s="11">
        <v>3913150</v>
      </c>
      <c r="K2987" s="11">
        <v>1160507</v>
      </c>
      <c r="L2987" s="3">
        <v>357</v>
      </c>
      <c r="M2987" s="3">
        <v>1612</v>
      </c>
      <c r="N2987" s="3">
        <v>1456106</v>
      </c>
      <c r="O2987" s="2">
        <v>2.3E-2</v>
      </c>
      <c r="P2987" s="2">
        <v>0.70899999999999996</v>
      </c>
      <c r="Q2987" s="2">
        <v>0.32100000000000001</v>
      </c>
      <c r="R2987" s="11">
        <v>250264963</v>
      </c>
      <c r="S2987" s="11">
        <v>1435994</v>
      </c>
      <c r="T2987">
        <v>2015</v>
      </c>
      <c r="U2987">
        <v>2</v>
      </c>
      <c r="V2987">
        <f t="shared" si="276"/>
        <v>302500</v>
      </c>
      <c r="W2987">
        <f t="shared" si="277"/>
        <v>18429897</v>
      </c>
      <c r="X2987">
        <f t="shared" si="278"/>
        <v>18127397</v>
      </c>
      <c r="Y2987">
        <f t="shared" si="279"/>
        <v>-26888595.5</v>
      </c>
      <c r="Z2987">
        <f t="shared" si="280"/>
        <v>45620992.5</v>
      </c>
      <c r="AA2987" t="str">
        <f t="shared" si="281"/>
        <v>Normal</v>
      </c>
      <c r="AE2987" s="2"/>
      <c r="AF2987" s="2"/>
    </row>
    <row r="2988" spans="1:32" x14ac:dyDescent="0.35">
      <c r="A2988">
        <v>2987</v>
      </c>
      <c r="B2988" s="1">
        <v>42061</v>
      </c>
      <c r="C2988" s="9" t="s">
        <v>3914</v>
      </c>
      <c r="D2988" s="9" t="s">
        <v>4988</v>
      </c>
      <c r="E2988" s="9" t="s">
        <v>1111</v>
      </c>
      <c r="F2988" s="9" t="s">
        <v>15</v>
      </c>
      <c r="G2988" s="9" t="s">
        <v>4743</v>
      </c>
      <c r="H2988" s="9" t="s">
        <v>105</v>
      </c>
      <c r="I2988" s="11">
        <v>16000000</v>
      </c>
      <c r="J2988" s="11">
        <v>4518907</v>
      </c>
      <c r="K2988" s="11">
        <v>18100862</v>
      </c>
      <c r="L2988" s="3">
        <v>73</v>
      </c>
      <c r="M2988" s="3">
        <v>706</v>
      </c>
      <c r="N2988" s="3">
        <v>826999</v>
      </c>
      <c r="O2988" s="2">
        <v>0.152</v>
      </c>
      <c r="P2988" s="2">
        <v>0.59099999999999997</v>
      </c>
      <c r="Q2988" s="2">
        <v>0.36749999999999999</v>
      </c>
      <c r="R2988" s="11">
        <v>250264963</v>
      </c>
      <c r="S2988" s="11">
        <v>83369</v>
      </c>
      <c r="T2988">
        <v>2015</v>
      </c>
      <c r="U2988">
        <v>2</v>
      </c>
      <c r="V2988">
        <f t="shared" si="276"/>
        <v>296250</v>
      </c>
      <c r="W2988">
        <f t="shared" si="277"/>
        <v>18429897</v>
      </c>
      <c r="X2988">
        <f t="shared" si="278"/>
        <v>18133647</v>
      </c>
      <c r="Y2988">
        <f t="shared" si="279"/>
        <v>-26904220.5</v>
      </c>
      <c r="Z2988">
        <f t="shared" si="280"/>
        <v>45630367.5</v>
      </c>
      <c r="AA2988" t="str">
        <f t="shared" si="281"/>
        <v>Normal</v>
      </c>
      <c r="AE2988" s="2"/>
      <c r="AF2988" s="2"/>
    </row>
    <row r="2989" spans="1:32" x14ac:dyDescent="0.35">
      <c r="A2989">
        <v>2988</v>
      </c>
      <c r="B2989" s="1">
        <v>42062</v>
      </c>
      <c r="C2989" s="9" t="s">
        <v>4744</v>
      </c>
      <c r="D2989" s="9" t="s">
        <v>4988</v>
      </c>
      <c r="E2989" s="9" t="s">
        <v>1111</v>
      </c>
      <c r="F2989" s="9" t="s">
        <v>15</v>
      </c>
      <c r="G2989" s="9" t="s">
        <v>4745</v>
      </c>
      <c r="H2989" s="9" t="s">
        <v>86</v>
      </c>
      <c r="I2989" s="11">
        <v>1200000</v>
      </c>
      <c r="J2989" s="11">
        <v>2152285</v>
      </c>
      <c r="K2989" s="11">
        <v>14493437</v>
      </c>
      <c r="L2989" s="3">
        <v>211</v>
      </c>
      <c r="M2989" s="3">
        <v>4445</v>
      </c>
      <c r="N2989" s="3">
        <v>1920881</v>
      </c>
      <c r="O2989" s="2">
        <v>0.50900000000000001</v>
      </c>
      <c r="P2989" s="2">
        <v>0.73199999999999998</v>
      </c>
      <c r="Q2989" s="2">
        <v>0.5</v>
      </c>
      <c r="R2989" s="11">
        <v>227479747</v>
      </c>
      <c r="S2989" s="11">
        <v>1078633</v>
      </c>
      <c r="T2989">
        <v>2015</v>
      </c>
      <c r="U2989">
        <v>2</v>
      </c>
      <c r="V2989">
        <f t="shared" si="276"/>
        <v>290000</v>
      </c>
      <c r="W2989">
        <f t="shared" si="277"/>
        <v>18429897</v>
      </c>
      <c r="X2989">
        <f t="shared" si="278"/>
        <v>18139897</v>
      </c>
      <c r="Y2989">
        <f t="shared" si="279"/>
        <v>-26919845.5</v>
      </c>
      <c r="Z2989">
        <f t="shared" si="280"/>
        <v>45639742.5</v>
      </c>
      <c r="AA2989" t="str">
        <f t="shared" si="281"/>
        <v>Normal</v>
      </c>
      <c r="AE2989" s="2"/>
      <c r="AF2989" s="2"/>
    </row>
    <row r="2990" spans="1:32" x14ac:dyDescent="0.35">
      <c r="A2990">
        <v>2989</v>
      </c>
      <c r="B2990" s="1">
        <v>42062</v>
      </c>
      <c r="C2990" s="9" t="s">
        <v>171</v>
      </c>
      <c r="D2990" s="9" t="s">
        <v>4988</v>
      </c>
      <c r="E2990" s="9" t="s">
        <v>1111</v>
      </c>
      <c r="F2990" s="9" t="s">
        <v>15</v>
      </c>
      <c r="G2990" s="9" t="s">
        <v>4746</v>
      </c>
      <c r="H2990" s="9" t="s">
        <v>105</v>
      </c>
      <c r="I2990" s="11">
        <v>10000000</v>
      </c>
      <c r="J2990" s="11">
        <v>2291160</v>
      </c>
      <c r="K2990" s="11">
        <v>10153449</v>
      </c>
      <c r="L2990" s="3">
        <v>493</v>
      </c>
      <c r="M2990" s="3">
        <v>2206</v>
      </c>
      <c r="N2990" s="3">
        <v>1658816</v>
      </c>
      <c r="O2990" s="2">
        <v>0.27800000000000002</v>
      </c>
      <c r="P2990" s="2">
        <v>0.42</v>
      </c>
      <c r="Q2990" s="2">
        <v>9.0999999999999998E-2</v>
      </c>
      <c r="R2990" s="11">
        <v>364666178</v>
      </c>
      <c r="S2990" s="11">
        <v>1549791</v>
      </c>
      <c r="T2990">
        <v>2015</v>
      </c>
      <c r="U2990">
        <v>2</v>
      </c>
      <c r="V2990">
        <f t="shared" si="276"/>
        <v>288750</v>
      </c>
      <c r="W2990">
        <f t="shared" si="277"/>
        <v>18429897</v>
      </c>
      <c r="X2990">
        <f t="shared" si="278"/>
        <v>18141147</v>
      </c>
      <c r="Y2990">
        <f t="shared" si="279"/>
        <v>-26922970.5</v>
      </c>
      <c r="Z2990">
        <f t="shared" si="280"/>
        <v>45641617.5</v>
      </c>
      <c r="AA2990" t="str">
        <f t="shared" si="281"/>
        <v>Normal</v>
      </c>
      <c r="AE2990" s="2"/>
      <c r="AF2990" s="2"/>
    </row>
    <row r="2991" spans="1:32" x14ac:dyDescent="0.35">
      <c r="A2991">
        <v>2990</v>
      </c>
      <c r="B2991" s="1">
        <v>42006</v>
      </c>
      <c r="C2991" s="9" t="s">
        <v>65</v>
      </c>
      <c r="D2991" s="9" t="s">
        <v>4988</v>
      </c>
      <c r="E2991" s="9" t="s">
        <v>1111</v>
      </c>
      <c r="F2991" s="9" t="s">
        <v>15</v>
      </c>
      <c r="G2991" s="9" t="s">
        <v>4747</v>
      </c>
      <c r="H2991" s="9" t="s">
        <v>105</v>
      </c>
      <c r="I2991" s="11">
        <v>2150000</v>
      </c>
      <c r="J2991" s="11">
        <v>3196924</v>
      </c>
      <c r="K2991" s="11">
        <v>9027713</v>
      </c>
      <c r="L2991" s="3">
        <v>368</v>
      </c>
      <c r="M2991" s="3">
        <v>3148</v>
      </c>
      <c r="N2991" s="3">
        <v>258004</v>
      </c>
      <c r="O2991" s="2">
        <v>0.23499999999999999</v>
      </c>
      <c r="P2991" s="2">
        <v>0.69700000000000006</v>
      </c>
      <c r="Q2991" s="2">
        <v>2.5000000000000001E-2</v>
      </c>
      <c r="R2991" s="11">
        <v>338728395</v>
      </c>
      <c r="S2991" s="11">
        <v>1021466</v>
      </c>
      <c r="T2991">
        <v>2015</v>
      </c>
      <c r="U2991">
        <v>1</v>
      </c>
      <c r="V2991">
        <f t="shared" si="276"/>
        <v>287500</v>
      </c>
      <c r="W2991">
        <f t="shared" si="277"/>
        <v>18429897</v>
      </c>
      <c r="X2991">
        <f t="shared" si="278"/>
        <v>18142397</v>
      </c>
      <c r="Y2991">
        <f t="shared" si="279"/>
        <v>-26926095.5</v>
      </c>
      <c r="Z2991">
        <f t="shared" si="280"/>
        <v>45643492.5</v>
      </c>
      <c r="AA2991" t="str">
        <f t="shared" si="281"/>
        <v>Normal</v>
      </c>
      <c r="AE2991" s="2"/>
      <c r="AF2991" s="2"/>
    </row>
    <row r="2992" spans="1:32" x14ac:dyDescent="0.35">
      <c r="A2992">
        <v>2991</v>
      </c>
      <c r="B2992" s="1">
        <v>42006</v>
      </c>
      <c r="C2992" s="9" t="s">
        <v>4748</v>
      </c>
      <c r="D2992" s="9" t="s">
        <v>4988</v>
      </c>
      <c r="E2992" s="9" t="s">
        <v>1111</v>
      </c>
      <c r="F2992" s="9" t="s">
        <v>15</v>
      </c>
      <c r="G2992" s="9" t="s">
        <v>4749</v>
      </c>
      <c r="H2992" s="9" t="s">
        <v>86</v>
      </c>
      <c r="I2992" s="11">
        <v>315000</v>
      </c>
      <c r="J2992" s="11">
        <v>981584</v>
      </c>
      <c r="K2992" s="11">
        <v>8827012</v>
      </c>
      <c r="L2992" s="3">
        <v>361</v>
      </c>
      <c r="M2992" s="3">
        <v>4034</v>
      </c>
      <c r="N2992" s="3">
        <v>1680742</v>
      </c>
      <c r="O2992" s="2">
        <v>0.111</v>
      </c>
      <c r="P2992" s="2">
        <v>0.50800000000000001</v>
      </c>
      <c r="Q2992" s="2">
        <v>0.255</v>
      </c>
      <c r="R2992" s="11">
        <v>313668084</v>
      </c>
      <c r="S2992" s="11">
        <v>1498190</v>
      </c>
      <c r="T2992">
        <v>2015</v>
      </c>
      <c r="U2992">
        <v>1</v>
      </c>
      <c r="V2992">
        <f t="shared" si="276"/>
        <v>286250</v>
      </c>
      <c r="W2992">
        <f t="shared" si="277"/>
        <v>18429897</v>
      </c>
      <c r="X2992">
        <f t="shared" si="278"/>
        <v>18143647</v>
      </c>
      <c r="Y2992">
        <f t="shared" si="279"/>
        <v>-26929220.5</v>
      </c>
      <c r="Z2992">
        <f t="shared" si="280"/>
        <v>45645367.5</v>
      </c>
      <c r="AA2992" t="str">
        <f t="shared" si="281"/>
        <v>Normal</v>
      </c>
      <c r="AE2992" s="2"/>
      <c r="AF2992" s="2"/>
    </row>
    <row r="2993" spans="1:32" x14ac:dyDescent="0.35">
      <c r="A2993">
        <v>2992</v>
      </c>
      <c r="B2993" s="1">
        <v>42009</v>
      </c>
      <c r="C2993" s="9" t="s">
        <v>3841</v>
      </c>
      <c r="D2993" s="9" t="s">
        <v>4988</v>
      </c>
      <c r="E2993" s="9" t="s">
        <v>1111</v>
      </c>
      <c r="F2993" s="9" t="s">
        <v>15</v>
      </c>
      <c r="G2993" s="9" t="s">
        <v>4750</v>
      </c>
      <c r="H2993" s="9" t="s">
        <v>86</v>
      </c>
      <c r="I2993" s="11">
        <v>380000</v>
      </c>
      <c r="J2993" s="11">
        <v>4284020</v>
      </c>
      <c r="K2993" s="11">
        <v>3242098</v>
      </c>
      <c r="L2993" s="3">
        <v>254</v>
      </c>
      <c r="M2993" s="3">
        <v>4809</v>
      </c>
      <c r="N2993" s="3">
        <v>765948</v>
      </c>
      <c r="O2993" s="2">
        <v>0.20300000000000001</v>
      </c>
      <c r="P2993" s="2">
        <v>0.49399999999999999</v>
      </c>
      <c r="Q2993" s="2">
        <v>7.2999999999999995E-2</v>
      </c>
      <c r="R2993" s="11">
        <v>37953814</v>
      </c>
      <c r="S2993" s="11">
        <v>1256084</v>
      </c>
      <c r="T2993">
        <v>2015</v>
      </c>
      <c r="U2993">
        <v>1</v>
      </c>
      <c r="V2993">
        <f t="shared" si="276"/>
        <v>285000</v>
      </c>
      <c r="W2993">
        <f t="shared" si="277"/>
        <v>18429897</v>
      </c>
      <c r="X2993">
        <f t="shared" si="278"/>
        <v>18144897</v>
      </c>
      <c r="Y2993">
        <f t="shared" si="279"/>
        <v>-26932345.5</v>
      </c>
      <c r="Z2993">
        <f t="shared" si="280"/>
        <v>45647242.5</v>
      </c>
      <c r="AA2993" t="str">
        <f t="shared" si="281"/>
        <v>Normal</v>
      </c>
      <c r="AE2993" s="2"/>
      <c r="AF2993" s="2"/>
    </row>
    <row r="2994" spans="1:32" x14ac:dyDescent="0.35">
      <c r="A2994">
        <v>2993</v>
      </c>
      <c r="B2994" s="1">
        <v>42009</v>
      </c>
      <c r="C2994" s="9" t="s">
        <v>4904</v>
      </c>
      <c r="D2994" s="9" t="s">
        <v>4988</v>
      </c>
      <c r="E2994" s="9" t="s">
        <v>1111</v>
      </c>
      <c r="F2994" s="9" t="s">
        <v>15</v>
      </c>
      <c r="G2994" s="9" t="s">
        <v>4751</v>
      </c>
      <c r="H2994" s="9" t="s">
        <v>105</v>
      </c>
      <c r="I2994" s="11">
        <v>10000000</v>
      </c>
      <c r="J2994" s="11">
        <v>3857156</v>
      </c>
      <c r="K2994" s="11">
        <v>4683351</v>
      </c>
      <c r="L2994" s="3">
        <v>254</v>
      </c>
      <c r="M2994" s="3">
        <v>2291</v>
      </c>
      <c r="N2994" s="3">
        <v>1177848</v>
      </c>
      <c r="O2994" s="2">
        <v>-2.5000000000000001E-2</v>
      </c>
      <c r="P2994" s="2">
        <v>0.41200000000000003</v>
      </c>
      <c r="Q2994" s="2">
        <v>6.0999999999999999E-2</v>
      </c>
      <c r="R2994" s="11">
        <v>458368985</v>
      </c>
      <c r="S2994" s="11">
        <v>1637201</v>
      </c>
      <c r="T2994">
        <v>2015</v>
      </c>
      <c r="U2994">
        <v>1</v>
      </c>
      <c r="V2994">
        <f t="shared" si="276"/>
        <v>263750</v>
      </c>
      <c r="W2994">
        <f t="shared" si="277"/>
        <v>18429897</v>
      </c>
      <c r="X2994">
        <f t="shared" si="278"/>
        <v>18166147</v>
      </c>
      <c r="Y2994">
        <f t="shared" si="279"/>
        <v>-26985470.5</v>
      </c>
      <c r="Z2994">
        <f t="shared" si="280"/>
        <v>45679117.5</v>
      </c>
      <c r="AA2994" t="str">
        <f t="shared" si="281"/>
        <v>Normal</v>
      </c>
      <c r="AE2994" s="2"/>
      <c r="AF2994" s="2"/>
    </row>
    <row r="2995" spans="1:32" x14ac:dyDescent="0.35">
      <c r="A2995">
        <v>2994</v>
      </c>
      <c r="B2995" s="1">
        <v>42009</v>
      </c>
      <c r="C2995" s="9" t="s">
        <v>1355</v>
      </c>
      <c r="D2995" s="9" t="s">
        <v>4988</v>
      </c>
      <c r="E2995" s="9" t="s">
        <v>1111</v>
      </c>
      <c r="F2995" s="9" t="s">
        <v>15</v>
      </c>
      <c r="G2995" s="9" t="s">
        <v>4752</v>
      </c>
      <c r="H2995" s="9" t="s">
        <v>86</v>
      </c>
      <c r="I2995" s="11">
        <v>135000</v>
      </c>
      <c r="J2995" s="11">
        <v>3162705</v>
      </c>
      <c r="K2995" s="11">
        <v>5973007</v>
      </c>
      <c r="L2995" s="3">
        <v>332</v>
      </c>
      <c r="M2995" s="3">
        <v>308</v>
      </c>
      <c r="N2995" s="3">
        <v>817074</v>
      </c>
      <c r="O2995" s="2">
        <v>0.23100000000000001</v>
      </c>
      <c r="P2995" s="2">
        <v>1.06</v>
      </c>
      <c r="Q2995" s="2">
        <v>-0.49399999999999999</v>
      </c>
      <c r="R2995" s="11">
        <v>53987535</v>
      </c>
      <c r="S2995" s="11">
        <v>1012535</v>
      </c>
      <c r="T2995">
        <v>2015</v>
      </c>
      <c r="U2995">
        <v>1</v>
      </c>
      <c r="V2995">
        <f t="shared" si="276"/>
        <v>242500</v>
      </c>
      <c r="W2995">
        <f t="shared" si="277"/>
        <v>18429897</v>
      </c>
      <c r="X2995">
        <f t="shared" si="278"/>
        <v>18187397</v>
      </c>
      <c r="Y2995">
        <f t="shared" si="279"/>
        <v>-27038595.5</v>
      </c>
      <c r="Z2995">
        <f t="shared" si="280"/>
        <v>45710992.5</v>
      </c>
      <c r="AA2995" t="str">
        <f t="shared" si="281"/>
        <v>Normal</v>
      </c>
      <c r="AE2995" s="2"/>
      <c r="AF2995" s="2"/>
    </row>
    <row r="2996" spans="1:32" x14ac:dyDescent="0.35">
      <c r="A2996">
        <v>2995</v>
      </c>
      <c r="B2996" s="1">
        <v>42010</v>
      </c>
      <c r="C2996" s="9" t="s">
        <v>4753</v>
      </c>
      <c r="D2996" s="9" t="s">
        <v>4988</v>
      </c>
      <c r="E2996" s="9" t="s">
        <v>1111</v>
      </c>
      <c r="F2996" s="9" t="s">
        <v>15</v>
      </c>
      <c r="G2996" s="9" t="s">
        <v>4754</v>
      </c>
      <c r="H2996" s="9" t="s">
        <v>86</v>
      </c>
      <c r="I2996" s="11">
        <v>285000</v>
      </c>
      <c r="J2996" s="11">
        <v>2531926</v>
      </c>
      <c r="K2996" s="11">
        <v>215705</v>
      </c>
      <c r="L2996" s="3">
        <v>243</v>
      </c>
      <c r="M2996" s="3">
        <v>3076</v>
      </c>
      <c r="N2996" s="3">
        <v>1404278</v>
      </c>
      <c r="O2996" s="2">
        <v>8.1000000000000003E-2</v>
      </c>
      <c r="P2996" s="2">
        <v>1.05</v>
      </c>
      <c r="Q2996" s="2">
        <v>0.2</v>
      </c>
      <c r="R2996" s="11">
        <v>326658519</v>
      </c>
      <c r="S2996" s="11">
        <v>1925517</v>
      </c>
      <c r="T2996">
        <v>2015</v>
      </c>
      <c r="U2996">
        <v>1</v>
      </c>
      <c r="V2996">
        <f t="shared" si="276"/>
        <v>286250</v>
      </c>
      <c r="W2996">
        <f t="shared" si="277"/>
        <v>18429897</v>
      </c>
      <c r="X2996">
        <f t="shared" si="278"/>
        <v>18143647</v>
      </c>
      <c r="Y2996">
        <f t="shared" si="279"/>
        <v>-26929220.5</v>
      </c>
      <c r="Z2996">
        <f t="shared" si="280"/>
        <v>45645367.5</v>
      </c>
      <c r="AA2996" t="str">
        <f t="shared" si="281"/>
        <v>Normal</v>
      </c>
      <c r="AE2996" s="2"/>
      <c r="AF2996" s="2"/>
    </row>
    <row r="2997" spans="1:32" x14ac:dyDescent="0.35">
      <c r="A2997">
        <v>2996</v>
      </c>
      <c r="B2997" s="1">
        <v>42010</v>
      </c>
      <c r="C2997" s="9" t="s">
        <v>907</v>
      </c>
      <c r="D2997" s="9" t="s">
        <v>4988</v>
      </c>
      <c r="E2997" s="9" t="s">
        <v>1111</v>
      </c>
      <c r="F2997" s="9" t="s">
        <v>15</v>
      </c>
      <c r="G2997" s="9" t="s">
        <v>1973</v>
      </c>
      <c r="H2997" s="9" t="s">
        <v>105</v>
      </c>
      <c r="I2997" s="11">
        <v>18429897</v>
      </c>
      <c r="J2997" s="11">
        <v>1751414</v>
      </c>
      <c r="K2997" s="11">
        <v>10072822</v>
      </c>
      <c r="L2997" s="3">
        <v>413</v>
      </c>
      <c r="M2997" s="3">
        <v>4737</v>
      </c>
      <c r="N2997" s="3">
        <v>858928</v>
      </c>
      <c r="O2997" s="2">
        <v>1.6E-2</v>
      </c>
      <c r="P2997" s="2">
        <v>0.68500000000000005</v>
      </c>
      <c r="Q2997" s="2">
        <v>0.56999999999999995</v>
      </c>
      <c r="R2997" s="11">
        <v>412201076</v>
      </c>
      <c r="S2997" s="11">
        <v>898231</v>
      </c>
      <c r="T2997">
        <v>2015</v>
      </c>
      <c r="U2997">
        <v>1</v>
      </c>
      <c r="V2997">
        <f t="shared" si="276"/>
        <v>290000</v>
      </c>
      <c r="W2997">
        <f t="shared" si="277"/>
        <v>18429897</v>
      </c>
      <c r="X2997">
        <f t="shared" si="278"/>
        <v>18139897</v>
      </c>
      <c r="Y2997">
        <f t="shared" si="279"/>
        <v>-26919845.5</v>
      </c>
      <c r="Z2997">
        <f t="shared" si="280"/>
        <v>45639742.5</v>
      </c>
      <c r="AA2997" t="str">
        <f t="shared" si="281"/>
        <v>Normal</v>
      </c>
      <c r="AE2997" s="2"/>
      <c r="AF2997" s="2"/>
    </row>
    <row r="2998" spans="1:32" x14ac:dyDescent="0.35">
      <c r="A2998">
        <v>2997</v>
      </c>
      <c r="B2998" s="1">
        <v>42010</v>
      </c>
      <c r="C2998" s="9" t="s">
        <v>4755</v>
      </c>
      <c r="D2998" s="9" t="s">
        <v>4988</v>
      </c>
      <c r="E2998" s="9" t="s">
        <v>1111</v>
      </c>
      <c r="F2998" s="9" t="s">
        <v>15</v>
      </c>
      <c r="G2998" s="9" t="s">
        <v>1842</v>
      </c>
      <c r="H2998" s="9" t="s">
        <v>105</v>
      </c>
      <c r="I2998" s="11">
        <v>10000000</v>
      </c>
      <c r="J2998" s="11">
        <v>2186173</v>
      </c>
      <c r="K2998" s="11">
        <v>9582976</v>
      </c>
      <c r="L2998" s="3">
        <v>357</v>
      </c>
      <c r="M2998" s="3">
        <v>1822</v>
      </c>
      <c r="N2998" s="3">
        <v>925768</v>
      </c>
      <c r="O2998" s="2">
        <v>0.28300000000000003</v>
      </c>
      <c r="P2998" s="2">
        <v>0.43099999999999999</v>
      </c>
      <c r="Q2998" s="2">
        <v>-2.3E-2</v>
      </c>
      <c r="R2998" s="11">
        <v>362918470</v>
      </c>
      <c r="S2998" s="11">
        <v>1335533</v>
      </c>
      <c r="T2998">
        <v>2015</v>
      </c>
      <c r="U2998">
        <v>1</v>
      </c>
      <c r="V2998">
        <f t="shared" si="276"/>
        <v>267500</v>
      </c>
      <c r="W2998">
        <f t="shared" si="277"/>
        <v>18429897</v>
      </c>
      <c r="X2998">
        <f t="shared" si="278"/>
        <v>18162397</v>
      </c>
      <c r="Y2998">
        <f t="shared" si="279"/>
        <v>-26976095.5</v>
      </c>
      <c r="Z2998">
        <f t="shared" si="280"/>
        <v>45673492.5</v>
      </c>
      <c r="AA2998" t="str">
        <f t="shared" si="281"/>
        <v>Normal</v>
      </c>
      <c r="AE2998" s="2"/>
      <c r="AF2998" s="2"/>
    </row>
    <row r="2999" spans="1:32" x14ac:dyDescent="0.35">
      <c r="A2999">
        <v>2998</v>
      </c>
      <c r="B2999" s="1">
        <v>42010</v>
      </c>
      <c r="C2999" s="9" t="s">
        <v>4756</v>
      </c>
      <c r="D2999" s="9" t="s">
        <v>4988</v>
      </c>
      <c r="E2999" s="9" t="s">
        <v>1111</v>
      </c>
      <c r="F2999" s="9" t="s">
        <v>15</v>
      </c>
      <c r="G2999" s="9" t="s">
        <v>4757</v>
      </c>
      <c r="H2999" s="9" t="s">
        <v>105</v>
      </c>
      <c r="I2999" s="11">
        <v>1000000</v>
      </c>
      <c r="J2999" s="11">
        <v>3319397</v>
      </c>
      <c r="K2999" s="11">
        <v>6660064</v>
      </c>
      <c r="L2999" s="3">
        <v>264</v>
      </c>
      <c r="M2999" s="3">
        <v>556</v>
      </c>
      <c r="N2999" s="3">
        <v>1165375</v>
      </c>
      <c r="O2999" s="2">
        <v>-0.32600000000000001</v>
      </c>
      <c r="P2999" s="2">
        <v>0.65</v>
      </c>
      <c r="Q2999" s="2">
        <v>0.26500000000000001</v>
      </c>
      <c r="R2999" s="11">
        <v>464741448</v>
      </c>
      <c r="S2999" s="11">
        <v>638945</v>
      </c>
      <c r="T2999">
        <v>2015</v>
      </c>
      <c r="U2999">
        <v>1</v>
      </c>
      <c r="V2999">
        <f t="shared" si="276"/>
        <v>245000</v>
      </c>
      <c r="W2999">
        <f t="shared" si="277"/>
        <v>18429897</v>
      </c>
      <c r="X2999">
        <f t="shared" si="278"/>
        <v>18184897</v>
      </c>
      <c r="Y2999">
        <f t="shared" si="279"/>
        <v>-27032345.5</v>
      </c>
      <c r="Z2999">
        <f t="shared" si="280"/>
        <v>45707242.5</v>
      </c>
      <c r="AA2999" t="str">
        <f t="shared" si="281"/>
        <v>Normal</v>
      </c>
      <c r="AE2999" s="2"/>
      <c r="AF2999" s="2"/>
    </row>
    <row r="3000" spans="1:32" x14ac:dyDescent="0.35">
      <c r="A3000">
        <v>2999</v>
      </c>
      <c r="B3000" s="1">
        <v>42010</v>
      </c>
      <c r="C3000" s="9" t="s">
        <v>4758</v>
      </c>
      <c r="D3000" s="9" t="s">
        <v>4988</v>
      </c>
      <c r="E3000" s="9" t="s">
        <v>1111</v>
      </c>
      <c r="F3000" s="9" t="s">
        <v>15</v>
      </c>
      <c r="G3000" s="9" t="s">
        <v>212</v>
      </c>
      <c r="H3000" s="9" t="s">
        <v>86</v>
      </c>
      <c r="I3000" s="11">
        <v>600000</v>
      </c>
      <c r="J3000" s="11">
        <v>3894613</v>
      </c>
      <c r="K3000" s="11">
        <v>10153449</v>
      </c>
      <c r="L3000" s="3">
        <v>67</v>
      </c>
      <c r="M3000" s="3">
        <v>3588</v>
      </c>
      <c r="N3000" s="3">
        <v>436820</v>
      </c>
      <c r="O3000" s="2">
        <v>1.1000000000000001E-2</v>
      </c>
      <c r="P3000" s="2">
        <v>0.50800000000000001</v>
      </c>
      <c r="Q3000" s="2">
        <v>-0.106</v>
      </c>
      <c r="R3000" s="11">
        <v>59702982</v>
      </c>
      <c r="S3000" s="11">
        <v>1586390</v>
      </c>
      <c r="T3000">
        <v>2015</v>
      </c>
      <c r="U3000">
        <v>1</v>
      </c>
      <c r="V3000">
        <f t="shared" si="276"/>
        <v>222500</v>
      </c>
      <c r="W3000">
        <f t="shared" si="277"/>
        <v>18429897</v>
      </c>
      <c r="X3000">
        <f t="shared" si="278"/>
        <v>18207397</v>
      </c>
      <c r="Y3000">
        <f t="shared" si="279"/>
        <v>-27088595.5</v>
      </c>
      <c r="Z3000">
        <f t="shared" si="280"/>
        <v>45740992.5</v>
      </c>
      <c r="AA3000" t="str">
        <f t="shared" si="281"/>
        <v>Normal</v>
      </c>
      <c r="AE3000" s="2"/>
      <c r="AF3000" s="2"/>
    </row>
    <row r="3001" spans="1:32" x14ac:dyDescent="0.35">
      <c r="A3001">
        <v>3000</v>
      </c>
      <c r="B3001" s="1">
        <v>42011</v>
      </c>
      <c r="C3001" s="9" t="s">
        <v>2503</v>
      </c>
      <c r="D3001" s="9" t="s">
        <v>4988</v>
      </c>
      <c r="E3001" s="9" t="s">
        <v>1111</v>
      </c>
      <c r="F3001" s="9" t="s">
        <v>15</v>
      </c>
      <c r="G3001" s="9" t="s">
        <v>4759</v>
      </c>
      <c r="H3001" s="9" t="s">
        <v>86</v>
      </c>
      <c r="I3001" s="11">
        <v>18429897</v>
      </c>
      <c r="J3001" s="11">
        <v>3365833</v>
      </c>
      <c r="K3001" s="11">
        <v>19398009</v>
      </c>
      <c r="L3001" s="3">
        <v>403</v>
      </c>
      <c r="M3001" s="3">
        <v>3122</v>
      </c>
      <c r="N3001" s="3">
        <v>853371</v>
      </c>
      <c r="O3001" s="2">
        <v>0.24299999999999999</v>
      </c>
      <c r="P3001" s="2">
        <v>0.97900000000000009</v>
      </c>
      <c r="Q3001" s="2">
        <v>0.34600000000000003</v>
      </c>
      <c r="R3001" s="11">
        <v>89863114</v>
      </c>
      <c r="S3001" s="11">
        <v>1207315</v>
      </c>
      <c r="T3001">
        <v>2015</v>
      </c>
      <c r="U3001">
        <v>1</v>
      </c>
      <c r="V3001">
        <f t="shared" si="276"/>
        <v>200000</v>
      </c>
      <c r="W3001">
        <f t="shared" si="277"/>
        <v>18429897</v>
      </c>
      <c r="X3001">
        <f t="shared" si="278"/>
        <v>18229897</v>
      </c>
      <c r="Y3001">
        <f t="shared" si="279"/>
        <v>-27144845.5</v>
      </c>
      <c r="Z3001">
        <f t="shared" si="280"/>
        <v>45774742.5</v>
      </c>
      <c r="AA3001" t="str">
        <f t="shared" si="281"/>
        <v>Normal</v>
      </c>
      <c r="AE3001" s="2"/>
      <c r="AF3001" s="2"/>
    </row>
    <row r="3002" spans="1:32" x14ac:dyDescent="0.35">
      <c r="A3002">
        <v>3001</v>
      </c>
      <c r="B3002" s="1">
        <v>42011</v>
      </c>
      <c r="C3002" s="9" t="s">
        <v>1824</v>
      </c>
      <c r="D3002" s="9" t="s">
        <v>4988</v>
      </c>
      <c r="E3002" s="9" t="s">
        <v>1111</v>
      </c>
      <c r="F3002" s="9" t="s">
        <v>15</v>
      </c>
      <c r="G3002" s="9" t="s">
        <v>4760</v>
      </c>
      <c r="H3002" s="9" t="s">
        <v>4765</v>
      </c>
      <c r="I3002" s="11">
        <v>125000</v>
      </c>
      <c r="J3002" s="11">
        <v>4651065</v>
      </c>
      <c r="K3002" s="11">
        <v>13602162</v>
      </c>
      <c r="L3002" s="3">
        <v>166</v>
      </c>
      <c r="M3002" s="3">
        <v>808</v>
      </c>
      <c r="N3002" s="3">
        <v>100055</v>
      </c>
      <c r="O3002" s="2">
        <v>0.36499999999999999</v>
      </c>
      <c r="P3002" s="2">
        <v>1.008</v>
      </c>
      <c r="Q3002" s="2">
        <v>0.23</v>
      </c>
      <c r="R3002" s="11">
        <v>97667777</v>
      </c>
      <c r="S3002" s="11">
        <v>248269</v>
      </c>
      <c r="T3002">
        <v>2015</v>
      </c>
      <c r="U3002">
        <v>1</v>
      </c>
      <c r="V3002">
        <f t="shared" si="276"/>
        <v>200000</v>
      </c>
      <c r="W3002">
        <f t="shared" si="277"/>
        <v>18429897</v>
      </c>
      <c r="X3002">
        <f t="shared" si="278"/>
        <v>18229897</v>
      </c>
      <c r="Y3002">
        <f t="shared" si="279"/>
        <v>-27144845.5</v>
      </c>
      <c r="Z3002">
        <f t="shared" si="280"/>
        <v>45774742.5</v>
      </c>
      <c r="AA3002" t="str">
        <f t="shared" si="281"/>
        <v>Normal</v>
      </c>
      <c r="AE3002" s="2"/>
      <c r="AF3002" s="2"/>
    </row>
    <row r="3003" spans="1:32" x14ac:dyDescent="0.35">
      <c r="A3003">
        <v>3002</v>
      </c>
      <c r="B3003" s="1">
        <v>42011</v>
      </c>
      <c r="C3003" s="9" t="s">
        <v>4761</v>
      </c>
      <c r="D3003" s="9" t="s">
        <v>4988</v>
      </c>
      <c r="E3003" s="9" t="s">
        <v>1111</v>
      </c>
      <c r="F3003" s="9" t="s">
        <v>15</v>
      </c>
      <c r="G3003" s="9" t="s">
        <v>4762</v>
      </c>
      <c r="H3003" s="9" t="s">
        <v>86</v>
      </c>
      <c r="I3003" s="11">
        <v>18429897</v>
      </c>
      <c r="J3003" s="11">
        <v>4803723</v>
      </c>
      <c r="K3003" s="11">
        <v>10153449</v>
      </c>
      <c r="L3003" s="3">
        <v>182</v>
      </c>
      <c r="M3003" s="3">
        <v>67</v>
      </c>
      <c r="N3003" s="3">
        <v>117156</v>
      </c>
      <c r="O3003" s="2">
        <v>0.214</v>
      </c>
      <c r="P3003" s="2">
        <v>0.90300000000000002</v>
      </c>
      <c r="Q3003" s="2">
        <v>0.8</v>
      </c>
      <c r="R3003" s="11">
        <v>458412677</v>
      </c>
      <c r="S3003" s="11">
        <v>599670</v>
      </c>
      <c r="T3003">
        <v>2015</v>
      </c>
      <c r="U3003">
        <v>1</v>
      </c>
      <c r="V3003">
        <f t="shared" si="276"/>
        <v>245000</v>
      </c>
      <c r="W3003">
        <f t="shared" si="277"/>
        <v>18429897</v>
      </c>
      <c r="X3003">
        <f t="shared" si="278"/>
        <v>18184897</v>
      </c>
      <c r="Y3003">
        <f t="shared" si="279"/>
        <v>-27032345.5</v>
      </c>
      <c r="Z3003">
        <f t="shared" si="280"/>
        <v>45707242.5</v>
      </c>
      <c r="AA3003" t="str">
        <f t="shared" si="281"/>
        <v>Normal</v>
      </c>
      <c r="AE3003" s="2"/>
      <c r="AF3003" s="2"/>
    </row>
    <row r="3004" spans="1:32" x14ac:dyDescent="0.35">
      <c r="A3004">
        <v>3003</v>
      </c>
      <c r="B3004" s="1">
        <v>42011</v>
      </c>
      <c r="C3004" s="9" t="s">
        <v>4763</v>
      </c>
      <c r="D3004" s="9" t="s">
        <v>4988</v>
      </c>
      <c r="E3004" s="9" t="s">
        <v>1111</v>
      </c>
      <c r="F3004" s="9" t="s">
        <v>15</v>
      </c>
      <c r="G3004" s="9" t="s">
        <v>4764</v>
      </c>
      <c r="H3004" s="9" t="s">
        <v>4765</v>
      </c>
      <c r="I3004" s="11">
        <v>30768</v>
      </c>
      <c r="J3004" s="11">
        <v>3530430</v>
      </c>
      <c r="K3004" s="11">
        <v>14481131</v>
      </c>
      <c r="L3004" s="3">
        <v>66</v>
      </c>
      <c r="M3004" s="3">
        <v>2624</v>
      </c>
      <c r="N3004" s="3">
        <v>1307445</v>
      </c>
      <c r="O3004" s="2">
        <v>-1.3999999999999999E-2</v>
      </c>
      <c r="P3004" s="2">
        <v>0.92400000000000004</v>
      </c>
      <c r="Q3004" s="2">
        <v>-0.8</v>
      </c>
      <c r="R3004" s="11">
        <v>483477179</v>
      </c>
      <c r="S3004" s="11">
        <v>1192842</v>
      </c>
      <c r="T3004">
        <v>2015</v>
      </c>
      <c r="U3004">
        <v>1</v>
      </c>
      <c r="V3004">
        <f t="shared" si="276"/>
        <v>222500</v>
      </c>
      <c r="W3004">
        <f t="shared" si="277"/>
        <v>18429897</v>
      </c>
      <c r="X3004">
        <f t="shared" si="278"/>
        <v>18207397</v>
      </c>
      <c r="Y3004">
        <f t="shared" si="279"/>
        <v>-27088595.5</v>
      </c>
      <c r="Z3004">
        <f t="shared" si="280"/>
        <v>45740992.5</v>
      </c>
      <c r="AA3004" t="str">
        <f t="shared" si="281"/>
        <v>Normal</v>
      </c>
      <c r="AE3004" s="2"/>
      <c r="AF3004" s="2"/>
    </row>
    <row r="3005" spans="1:32" x14ac:dyDescent="0.35">
      <c r="A3005">
        <v>3004</v>
      </c>
      <c r="B3005" s="1">
        <v>42011</v>
      </c>
      <c r="C3005" s="9" t="s">
        <v>4444</v>
      </c>
      <c r="D3005" s="9" t="s">
        <v>4988</v>
      </c>
      <c r="E3005" s="9" t="s">
        <v>1111</v>
      </c>
      <c r="F3005" s="9" t="s">
        <v>15</v>
      </c>
      <c r="G3005" s="9" t="s">
        <v>3182</v>
      </c>
      <c r="H3005" s="9" t="s">
        <v>105</v>
      </c>
      <c r="I3005" s="11">
        <v>5000000</v>
      </c>
      <c r="J3005" s="11">
        <v>1867143</v>
      </c>
      <c r="K3005" s="11">
        <v>7505795</v>
      </c>
      <c r="L3005" s="3">
        <v>112</v>
      </c>
      <c r="M3005" s="3">
        <v>785</v>
      </c>
      <c r="N3005" s="3">
        <v>556322</v>
      </c>
      <c r="O3005" s="2">
        <v>0.11</v>
      </c>
      <c r="P3005" s="2">
        <v>0.35</v>
      </c>
      <c r="Q3005" s="2">
        <v>0.26100000000000001</v>
      </c>
      <c r="R3005" s="11">
        <v>250264963</v>
      </c>
      <c r="S3005" s="11">
        <v>10807</v>
      </c>
      <c r="T3005">
        <v>2015</v>
      </c>
      <c r="U3005">
        <v>1</v>
      </c>
      <c r="V3005">
        <f t="shared" si="276"/>
        <v>290000</v>
      </c>
      <c r="W3005">
        <f t="shared" si="277"/>
        <v>18429897</v>
      </c>
      <c r="X3005">
        <f t="shared" si="278"/>
        <v>18139897</v>
      </c>
      <c r="Y3005">
        <f t="shared" si="279"/>
        <v>-26919845.5</v>
      </c>
      <c r="Z3005">
        <f t="shared" si="280"/>
        <v>45639742.5</v>
      </c>
      <c r="AA3005" t="str">
        <f t="shared" si="281"/>
        <v>Normal</v>
      </c>
      <c r="AE3005" s="2"/>
      <c r="AF3005" s="2"/>
    </row>
    <row r="3006" spans="1:32" x14ac:dyDescent="0.35">
      <c r="A3006">
        <v>3005</v>
      </c>
      <c r="B3006" s="1">
        <v>42013</v>
      </c>
      <c r="C3006" s="9" t="s">
        <v>4766</v>
      </c>
      <c r="D3006" s="9" t="s">
        <v>4988</v>
      </c>
      <c r="E3006" s="9" t="s">
        <v>1111</v>
      </c>
      <c r="F3006" s="9" t="s">
        <v>15</v>
      </c>
      <c r="G3006" s="9" t="s">
        <v>4767</v>
      </c>
      <c r="H3006" s="9" t="s">
        <v>105</v>
      </c>
      <c r="I3006" s="11">
        <v>18429897</v>
      </c>
      <c r="J3006" s="11">
        <v>3003363</v>
      </c>
      <c r="K3006" s="11">
        <v>4389018</v>
      </c>
      <c r="L3006" s="3">
        <v>67</v>
      </c>
      <c r="M3006" s="3">
        <v>966</v>
      </c>
      <c r="N3006" s="3">
        <v>1338459</v>
      </c>
      <c r="O3006" s="2">
        <v>0.17799999999999999</v>
      </c>
      <c r="P3006" s="2">
        <v>0.54700000000000004</v>
      </c>
      <c r="Q3006" s="2">
        <v>0.11</v>
      </c>
      <c r="R3006" s="11">
        <v>334600671</v>
      </c>
      <c r="S3006" s="11">
        <v>1859197</v>
      </c>
      <c r="T3006">
        <v>2015</v>
      </c>
      <c r="U3006">
        <v>1</v>
      </c>
      <c r="V3006">
        <f t="shared" si="276"/>
        <v>267500</v>
      </c>
      <c r="W3006">
        <f t="shared" si="277"/>
        <v>18429897</v>
      </c>
      <c r="X3006">
        <f t="shared" si="278"/>
        <v>18162397</v>
      </c>
      <c r="Y3006">
        <f t="shared" si="279"/>
        <v>-26976095.5</v>
      </c>
      <c r="Z3006">
        <f t="shared" si="280"/>
        <v>45673492.5</v>
      </c>
      <c r="AA3006" t="str">
        <f t="shared" si="281"/>
        <v>Normal</v>
      </c>
      <c r="AE3006" s="2"/>
      <c r="AF3006" s="2"/>
    </row>
    <row r="3007" spans="1:32" x14ac:dyDescent="0.35">
      <c r="A3007">
        <v>3006</v>
      </c>
      <c r="B3007" s="1">
        <v>42013</v>
      </c>
      <c r="C3007" s="9" t="s">
        <v>1488</v>
      </c>
      <c r="D3007" s="9" t="s">
        <v>4988</v>
      </c>
      <c r="E3007" s="9" t="s">
        <v>1111</v>
      </c>
      <c r="F3007" s="9" t="s">
        <v>15</v>
      </c>
      <c r="G3007" s="9" t="s">
        <v>4768</v>
      </c>
      <c r="H3007" s="9" t="s">
        <v>105</v>
      </c>
      <c r="I3007" s="11">
        <v>13000000</v>
      </c>
      <c r="J3007" s="11">
        <v>2136907</v>
      </c>
      <c r="K3007" s="11">
        <v>13495992</v>
      </c>
      <c r="L3007" s="3">
        <v>53</v>
      </c>
      <c r="M3007" s="3">
        <v>1579</v>
      </c>
      <c r="N3007" s="3">
        <v>1519861</v>
      </c>
      <c r="O3007" s="2">
        <v>0.43200000000000005</v>
      </c>
      <c r="P3007" s="2">
        <v>1.032</v>
      </c>
      <c r="Q3007" s="2">
        <v>-0.20800000000000002</v>
      </c>
      <c r="R3007" s="11">
        <v>73813772</v>
      </c>
      <c r="S3007" s="11">
        <v>134402</v>
      </c>
      <c r="T3007">
        <v>2015</v>
      </c>
      <c r="U3007">
        <v>1</v>
      </c>
      <c r="V3007">
        <f t="shared" si="276"/>
        <v>245000</v>
      </c>
      <c r="W3007">
        <f t="shared" si="277"/>
        <v>18429897</v>
      </c>
      <c r="X3007">
        <f t="shared" si="278"/>
        <v>18184897</v>
      </c>
      <c r="Y3007">
        <f t="shared" si="279"/>
        <v>-27032345.5</v>
      </c>
      <c r="Z3007">
        <f t="shared" si="280"/>
        <v>45707242.5</v>
      </c>
      <c r="AA3007" t="str">
        <f t="shared" si="281"/>
        <v>Normal</v>
      </c>
      <c r="AE3007" s="2"/>
      <c r="AF3007" s="2"/>
    </row>
    <row r="3008" spans="1:32" x14ac:dyDescent="0.35">
      <c r="A3008">
        <v>3007</v>
      </c>
      <c r="B3008" s="1">
        <v>42013</v>
      </c>
      <c r="C3008" s="9" t="s">
        <v>4769</v>
      </c>
      <c r="D3008" s="9" t="s">
        <v>4988</v>
      </c>
      <c r="E3008" s="9" t="s">
        <v>1111</v>
      </c>
      <c r="F3008" s="9" t="s">
        <v>15</v>
      </c>
      <c r="G3008" s="9" t="s">
        <v>4770</v>
      </c>
      <c r="H3008" s="9" t="s">
        <v>86</v>
      </c>
      <c r="I3008" s="11">
        <v>18429897</v>
      </c>
      <c r="J3008" s="11">
        <v>3152901</v>
      </c>
      <c r="K3008" s="11">
        <v>15435231</v>
      </c>
      <c r="L3008" s="3">
        <v>15</v>
      </c>
      <c r="M3008" s="3">
        <v>2369</v>
      </c>
      <c r="N3008" s="3">
        <v>1330560</v>
      </c>
      <c r="O3008" s="2">
        <v>0.30399999999999999</v>
      </c>
      <c r="P3008" s="2">
        <v>0.377</v>
      </c>
      <c r="Q3008" s="2">
        <v>-0.28199999999999997</v>
      </c>
      <c r="R3008" s="11">
        <v>212664296</v>
      </c>
      <c r="S3008" s="11">
        <v>219269</v>
      </c>
      <c r="T3008">
        <v>2015</v>
      </c>
      <c r="U3008">
        <v>1</v>
      </c>
      <c r="V3008">
        <f t="shared" si="276"/>
        <v>222500</v>
      </c>
      <c r="W3008">
        <f t="shared" si="277"/>
        <v>18429897</v>
      </c>
      <c r="X3008">
        <f t="shared" si="278"/>
        <v>18207397</v>
      </c>
      <c r="Y3008">
        <f t="shared" si="279"/>
        <v>-27088595.5</v>
      </c>
      <c r="Z3008">
        <f t="shared" si="280"/>
        <v>45740992.5</v>
      </c>
      <c r="AA3008" t="str">
        <f t="shared" si="281"/>
        <v>Normal</v>
      </c>
      <c r="AE3008" s="2"/>
      <c r="AF3008" s="2"/>
    </row>
    <row r="3009" spans="1:32" x14ac:dyDescent="0.35">
      <c r="A3009">
        <v>3008</v>
      </c>
      <c r="B3009" s="1">
        <v>42016</v>
      </c>
      <c r="C3009" s="9" t="s">
        <v>4771</v>
      </c>
      <c r="D3009" s="9" t="s">
        <v>4988</v>
      </c>
      <c r="E3009" s="9" t="s">
        <v>1111</v>
      </c>
      <c r="F3009" s="9" t="s">
        <v>15</v>
      </c>
      <c r="G3009" s="9" t="s">
        <v>4772</v>
      </c>
      <c r="H3009" s="9" t="s">
        <v>105</v>
      </c>
      <c r="I3009" s="11">
        <v>18429897</v>
      </c>
      <c r="J3009" s="11">
        <v>4064372</v>
      </c>
      <c r="K3009" s="11">
        <v>13045846</v>
      </c>
      <c r="L3009" s="3">
        <v>150</v>
      </c>
      <c r="M3009" s="3">
        <v>4099</v>
      </c>
      <c r="N3009" s="3">
        <v>841911</v>
      </c>
      <c r="O3009" s="2">
        <v>0.30599999999999999</v>
      </c>
      <c r="P3009" s="2">
        <v>0.27500000000000002</v>
      </c>
      <c r="Q3009" s="2">
        <v>0.247</v>
      </c>
      <c r="R3009" s="11">
        <v>73608918</v>
      </c>
      <c r="S3009" s="11">
        <v>1760008</v>
      </c>
      <c r="T3009">
        <v>2015</v>
      </c>
      <c r="U3009">
        <v>1</v>
      </c>
      <c r="V3009">
        <f t="shared" si="276"/>
        <v>200000</v>
      </c>
      <c r="W3009">
        <f t="shared" si="277"/>
        <v>18429897</v>
      </c>
      <c r="X3009">
        <f t="shared" si="278"/>
        <v>18229897</v>
      </c>
      <c r="Y3009">
        <f t="shared" si="279"/>
        <v>-27144845.5</v>
      </c>
      <c r="Z3009">
        <f t="shared" si="280"/>
        <v>45774742.5</v>
      </c>
      <c r="AA3009" t="str">
        <f t="shared" si="281"/>
        <v>Normal</v>
      </c>
      <c r="AE3009" s="2"/>
      <c r="AF3009" s="2"/>
    </row>
    <row r="3010" spans="1:32" x14ac:dyDescent="0.35">
      <c r="A3010">
        <v>3009</v>
      </c>
      <c r="B3010" s="1">
        <v>42016</v>
      </c>
      <c r="C3010" s="9" t="s">
        <v>4773</v>
      </c>
      <c r="D3010" s="9" t="s">
        <v>4988</v>
      </c>
      <c r="E3010" s="9" t="s">
        <v>1111</v>
      </c>
      <c r="F3010" s="9" t="s">
        <v>15</v>
      </c>
      <c r="G3010" s="9" t="s">
        <v>856</v>
      </c>
      <c r="H3010" s="9" t="s">
        <v>86</v>
      </c>
      <c r="I3010" s="11">
        <v>290000</v>
      </c>
      <c r="J3010" s="11">
        <v>1859275</v>
      </c>
      <c r="K3010" s="11">
        <v>11371308</v>
      </c>
      <c r="L3010" s="3">
        <v>379</v>
      </c>
      <c r="M3010" s="3">
        <v>2180</v>
      </c>
      <c r="N3010" s="3">
        <v>1124858</v>
      </c>
      <c r="O3010" s="2">
        <v>0.13300000000000001</v>
      </c>
      <c r="P3010" s="2">
        <v>1.046</v>
      </c>
      <c r="Q3010" s="2">
        <v>-9.0999999999999998E-2</v>
      </c>
      <c r="R3010" s="11">
        <v>50889605</v>
      </c>
      <c r="S3010" s="11">
        <v>398573</v>
      </c>
      <c r="T3010">
        <v>2015</v>
      </c>
      <c r="U3010">
        <v>1</v>
      </c>
      <c r="V3010">
        <f t="shared" ref="V3010:V3045" si="282">_xlfn.PERCENTILE.INC(I3010:I6053,0.25)</f>
        <v>200000</v>
      </c>
      <c r="W3010">
        <f t="shared" ref="W3010:W3045" si="283">_xlfn.PERCENTILE.INC(I3010:I6053,0.75)</f>
        <v>18429897</v>
      </c>
      <c r="X3010">
        <f t="shared" ref="X3010:X3045" si="284">W3010-V3010</f>
        <v>18229897</v>
      </c>
      <c r="Y3010">
        <f t="shared" ref="Y3010:Y3045" si="285">V3010-1.5*X3010</f>
        <v>-27144845.5</v>
      </c>
      <c r="Z3010">
        <f t="shared" ref="Z3010:Z3045" si="286">W3010+1.5*X3010</f>
        <v>45774742.5</v>
      </c>
      <c r="AA3010" t="str">
        <f t="shared" ref="AA3010:AA3045" si="287">IF(OR(I3010&lt;$Y$2, I3010&gt;$Z$2), "Outlier", "Normal")</f>
        <v>Normal</v>
      </c>
      <c r="AE3010" s="2"/>
      <c r="AF3010" s="2"/>
    </row>
    <row r="3011" spans="1:32" x14ac:dyDescent="0.35">
      <c r="A3011">
        <v>3010</v>
      </c>
      <c r="B3011" s="1">
        <v>42017</v>
      </c>
      <c r="C3011" s="9" t="s">
        <v>3683</v>
      </c>
      <c r="D3011" s="9" t="s">
        <v>4988</v>
      </c>
      <c r="E3011" s="9" t="s">
        <v>1111</v>
      </c>
      <c r="F3011" s="9" t="s">
        <v>15</v>
      </c>
      <c r="G3011" s="9" t="s">
        <v>4774</v>
      </c>
      <c r="H3011" s="9" t="s">
        <v>86</v>
      </c>
      <c r="I3011" s="11">
        <v>18429897</v>
      </c>
      <c r="J3011" s="11">
        <v>2538696</v>
      </c>
      <c r="K3011" s="11">
        <v>148541</v>
      </c>
      <c r="L3011" s="3">
        <v>432</v>
      </c>
      <c r="M3011" s="3">
        <v>4189</v>
      </c>
      <c r="N3011" s="3">
        <v>1565753</v>
      </c>
      <c r="O3011" s="2">
        <v>-9.4E-2</v>
      </c>
      <c r="P3011" s="2">
        <v>0.98099999999999998</v>
      </c>
      <c r="Q3011" s="2">
        <v>0.109</v>
      </c>
      <c r="R3011" s="11">
        <v>245685201</v>
      </c>
      <c r="S3011" s="11">
        <v>1694227</v>
      </c>
      <c r="T3011">
        <v>2015</v>
      </c>
      <c r="U3011">
        <v>1</v>
      </c>
      <c r="V3011">
        <f t="shared" si="282"/>
        <v>200000</v>
      </c>
      <c r="W3011">
        <f t="shared" si="283"/>
        <v>18429897</v>
      </c>
      <c r="X3011">
        <f t="shared" si="284"/>
        <v>18229897</v>
      </c>
      <c r="Y3011">
        <f t="shared" si="285"/>
        <v>-27144845.5</v>
      </c>
      <c r="Z3011">
        <f t="shared" si="286"/>
        <v>45774742.5</v>
      </c>
      <c r="AA3011" t="str">
        <f t="shared" si="287"/>
        <v>Normal</v>
      </c>
      <c r="AE3011" s="2"/>
      <c r="AF3011" s="2"/>
    </row>
    <row r="3012" spans="1:32" x14ac:dyDescent="0.35">
      <c r="A3012">
        <v>3011</v>
      </c>
      <c r="B3012" s="1">
        <v>42018</v>
      </c>
      <c r="C3012" s="9" t="s">
        <v>4775</v>
      </c>
      <c r="D3012" s="9" t="s">
        <v>4988</v>
      </c>
      <c r="E3012" s="9" t="s">
        <v>1111</v>
      </c>
      <c r="F3012" s="9" t="s">
        <v>15</v>
      </c>
      <c r="G3012" s="9" t="s">
        <v>4676</v>
      </c>
      <c r="H3012" s="9" t="s">
        <v>105</v>
      </c>
      <c r="I3012" s="11">
        <v>50000000</v>
      </c>
      <c r="J3012" s="11">
        <v>247269</v>
      </c>
      <c r="K3012" s="11">
        <v>12793450</v>
      </c>
      <c r="L3012" s="3">
        <v>117</v>
      </c>
      <c r="M3012" s="3">
        <v>3042</v>
      </c>
      <c r="N3012" s="3">
        <v>684867</v>
      </c>
      <c r="O3012" s="2">
        <v>-0.161</v>
      </c>
      <c r="P3012" s="2">
        <v>0.50800000000000001</v>
      </c>
      <c r="Q3012" s="2">
        <v>0.247</v>
      </c>
      <c r="R3012" s="11">
        <v>380916491</v>
      </c>
      <c r="S3012" s="11">
        <v>1008193.5</v>
      </c>
      <c r="T3012">
        <v>2015</v>
      </c>
      <c r="U3012">
        <v>1</v>
      </c>
      <c r="V3012">
        <f t="shared" si="282"/>
        <v>200000</v>
      </c>
      <c r="W3012">
        <f t="shared" si="283"/>
        <v>18429897</v>
      </c>
      <c r="X3012">
        <f t="shared" si="284"/>
        <v>18229897</v>
      </c>
      <c r="Y3012">
        <f t="shared" si="285"/>
        <v>-27144845.5</v>
      </c>
      <c r="Z3012">
        <f t="shared" si="286"/>
        <v>45774742.5</v>
      </c>
      <c r="AA3012" t="str">
        <f t="shared" si="287"/>
        <v>Outlier</v>
      </c>
      <c r="AE3012" s="2"/>
      <c r="AF3012" s="2"/>
    </row>
    <row r="3013" spans="1:32" x14ac:dyDescent="0.35">
      <c r="A3013">
        <v>3012</v>
      </c>
      <c r="B3013" s="1">
        <v>42019</v>
      </c>
      <c r="C3013" s="9" t="s">
        <v>1971</v>
      </c>
      <c r="D3013" s="9" t="s">
        <v>4988</v>
      </c>
      <c r="E3013" s="9" t="s">
        <v>1111</v>
      </c>
      <c r="F3013" s="9" t="s">
        <v>15</v>
      </c>
      <c r="G3013" s="9" t="s">
        <v>4776</v>
      </c>
      <c r="H3013" s="9" t="s">
        <v>86</v>
      </c>
      <c r="I3013" s="11">
        <v>650000</v>
      </c>
      <c r="J3013" s="11">
        <v>3688134</v>
      </c>
      <c r="K3013" s="11">
        <v>12407626</v>
      </c>
      <c r="L3013" s="3">
        <v>214</v>
      </c>
      <c r="M3013" s="3">
        <v>1994</v>
      </c>
      <c r="N3013" s="3">
        <v>834887</v>
      </c>
      <c r="O3013" s="2">
        <v>0.06</v>
      </c>
      <c r="P3013" s="2">
        <v>0.72799999999999998</v>
      </c>
      <c r="Q3013" s="2">
        <v>0.36749999999999999</v>
      </c>
      <c r="R3013" s="11">
        <v>393621971</v>
      </c>
      <c r="S3013" s="11">
        <v>1915446</v>
      </c>
      <c r="T3013">
        <v>2015</v>
      </c>
      <c r="U3013">
        <v>1</v>
      </c>
      <c r="V3013">
        <f t="shared" si="282"/>
        <v>200000</v>
      </c>
      <c r="W3013">
        <f t="shared" si="283"/>
        <v>18429897</v>
      </c>
      <c r="X3013">
        <f t="shared" si="284"/>
        <v>18229897</v>
      </c>
      <c r="Y3013">
        <f t="shared" si="285"/>
        <v>-27144845.5</v>
      </c>
      <c r="Z3013">
        <f t="shared" si="286"/>
        <v>45774742.5</v>
      </c>
      <c r="AA3013" t="str">
        <f t="shared" si="287"/>
        <v>Normal</v>
      </c>
      <c r="AE3013" s="2"/>
      <c r="AF3013" s="2"/>
    </row>
    <row r="3014" spans="1:32" x14ac:dyDescent="0.35">
      <c r="A3014">
        <v>3013</v>
      </c>
      <c r="B3014" s="1">
        <v>42020</v>
      </c>
      <c r="C3014" s="9" t="s">
        <v>847</v>
      </c>
      <c r="D3014" s="9" t="s">
        <v>4988</v>
      </c>
      <c r="E3014" s="9" t="s">
        <v>1111</v>
      </c>
      <c r="F3014" s="9" t="s">
        <v>15</v>
      </c>
      <c r="G3014" s="9" t="s">
        <v>4777</v>
      </c>
      <c r="H3014" s="9" t="s">
        <v>86</v>
      </c>
      <c r="I3014" s="11">
        <v>161000</v>
      </c>
      <c r="J3014" s="11">
        <v>2459467</v>
      </c>
      <c r="K3014" s="11">
        <v>8307741</v>
      </c>
      <c r="L3014" s="3">
        <v>416</v>
      </c>
      <c r="M3014" s="3">
        <v>2572</v>
      </c>
      <c r="N3014" s="3">
        <v>484149</v>
      </c>
      <c r="O3014" s="2">
        <v>0.26</v>
      </c>
      <c r="P3014" s="2">
        <v>0.24199999999999999</v>
      </c>
      <c r="Q3014" s="2">
        <v>-0.154</v>
      </c>
      <c r="R3014" s="11">
        <v>314481249</v>
      </c>
      <c r="S3014" s="11">
        <v>605107</v>
      </c>
      <c r="T3014">
        <v>2015</v>
      </c>
      <c r="U3014">
        <v>1</v>
      </c>
      <c r="V3014">
        <f t="shared" si="282"/>
        <v>200000</v>
      </c>
      <c r="W3014">
        <f t="shared" si="283"/>
        <v>18429897</v>
      </c>
      <c r="X3014">
        <f t="shared" si="284"/>
        <v>18229897</v>
      </c>
      <c r="Y3014">
        <f t="shared" si="285"/>
        <v>-27144845.5</v>
      </c>
      <c r="Z3014">
        <f t="shared" si="286"/>
        <v>45774742.5</v>
      </c>
      <c r="AA3014" t="str">
        <f t="shared" si="287"/>
        <v>Normal</v>
      </c>
      <c r="AE3014" s="2"/>
      <c r="AF3014" s="2"/>
    </row>
    <row r="3015" spans="1:32" x14ac:dyDescent="0.35">
      <c r="A3015">
        <v>3014</v>
      </c>
      <c r="B3015" s="1">
        <v>42022</v>
      </c>
      <c r="C3015" s="9" t="s">
        <v>1508</v>
      </c>
      <c r="D3015" s="9" t="s">
        <v>4988</v>
      </c>
      <c r="E3015" s="9" t="s">
        <v>1111</v>
      </c>
      <c r="F3015" s="9" t="s">
        <v>15</v>
      </c>
      <c r="G3015" s="9" t="s">
        <v>4778</v>
      </c>
      <c r="H3015" s="9" t="s">
        <v>105</v>
      </c>
      <c r="I3015" s="11">
        <v>100000000</v>
      </c>
      <c r="J3015" s="11">
        <v>2309353</v>
      </c>
      <c r="K3015" s="11">
        <v>10153449</v>
      </c>
      <c r="L3015" s="3">
        <v>354</v>
      </c>
      <c r="M3015" s="3">
        <v>749</v>
      </c>
      <c r="N3015" s="3">
        <v>402115</v>
      </c>
      <c r="O3015" s="2">
        <v>1.6E-2</v>
      </c>
      <c r="P3015" s="2">
        <v>0.34899999999999998</v>
      </c>
      <c r="Q3015" s="2">
        <v>0.50600000000000001</v>
      </c>
      <c r="R3015" s="11">
        <v>245902577</v>
      </c>
      <c r="S3015" s="11">
        <v>899523</v>
      </c>
      <c r="T3015">
        <v>2015</v>
      </c>
      <c r="U3015">
        <v>1</v>
      </c>
      <c r="V3015">
        <f t="shared" si="282"/>
        <v>200000</v>
      </c>
      <c r="W3015">
        <f t="shared" si="283"/>
        <v>18429897</v>
      </c>
      <c r="X3015">
        <f t="shared" si="284"/>
        <v>18229897</v>
      </c>
      <c r="Y3015">
        <f t="shared" si="285"/>
        <v>-27144845.5</v>
      </c>
      <c r="Z3015">
        <f t="shared" si="286"/>
        <v>45774742.5</v>
      </c>
      <c r="AA3015" t="str">
        <f t="shared" si="287"/>
        <v>Outlier</v>
      </c>
      <c r="AE3015" s="2"/>
      <c r="AF3015" s="2"/>
    </row>
    <row r="3016" spans="1:32" x14ac:dyDescent="0.35">
      <c r="A3016">
        <v>3015</v>
      </c>
      <c r="B3016" s="1">
        <v>42023</v>
      </c>
      <c r="C3016" s="9" t="s">
        <v>4779</v>
      </c>
      <c r="D3016" s="9" t="s">
        <v>4988</v>
      </c>
      <c r="E3016" s="9" t="s">
        <v>1111</v>
      </c>
      <c r="F3016" s="9" t="s">
        <v>15</v>
      </c>
      <c r="G3016" s="9" t="s">
        <v>4780</v>
      </c>
      <c r="H3016" s="9" t="s">
        <v>86</v>
      </c>
      <c r="I3016" s="11">
        <v>330000</v>
      </c>
      <c r="J3016" s="11">
        <v>2671505</v>
      </c>
      <c r="K3016" s="11">
        <v>19584269</v>
      </c>
      <c r="L3016" s="3">
        <v>452</v>
      </c>
      <c r="M3016" s="3">
        <v>2505.5</v>
      </c>
      <c r="N3016" s="3">
        <v>131503</v>
      </c>
      <c r="O3016" s="2">
        <v>0.23399999999999999</v>
      </c>
      <c r="P3016" s="2">
        <v>0.45700000000000002</v>
      </c>
      <c r="Q3016" s="2">
        <v>-0.3</v>
      </c>
      <c r="R3016" s="11">
        <v>488228377</v>
      </c>
      <c r="S3016" s="11">
        <v>1776703</v>
      </c>
      <c r="T3016">
        <v>2015</v>
      </c>
      <c r="U3016">
        <v>1</v>
      </c>
      <c r="V3016">
        <f t="shared" si="282"/>
        <v>200000</v>
      </c>
      <c r="W3016">
        <f t="shared" si="283"/>
        <v>18429897</v>
      </c>
      <c r="X3016">
        <f t="shared" si="284"/>
        <v>18229897</v>
      </c>
      <c r="Y3016">
        <f t="shared" si="285"/>
        <v>-27144845.5</v>
      </c>
      <c r="Z3016">
        <f t="shared" si="286"/>
        <v>45774742.5</v>
      </c>
      <c r="AA3016" t="str">
        <f t="shared" si="287"/>
        <v>Normal</v>
      </c>
      <c r="AE3016" s="2"/>
      <c r="AF3016" s="2"/>
    </row>
    <row r="3017" spans="1:32" x14ac:dyDescent="0.35">
      <c r="A3017">
        <v>3016</v>
      </c>
      <c r="B3017" s="1">
        <v>42023</v>
      </c>
      <c r="C3017" s="9" t="s">
        <v>4781</v>
      </c>
      <c r="D3017" s="9" t="s">
        <v>4988</v>
      </c>
      <c r="E3017" s="9" t="s">
        <v>1111</v>
      </c>
      <c r="F3017" s="9" t="s">
        <v>15</v>
      </c>
      <c r="G3017" s="9" t="s">
        <v>4782</v>
      </c>
      <c r="H3017" s="9" t="s">
        <v>86</v>
      </c>
      <c r="I3017" s="11">
        <v>18429897</v>
      </c>
      <c r="J3017" s="11">
        <v>2531926</v>
      </c>
      <c r="K3017" s="11">
        <v>7567149</v>
      </c>
      <c r="L3017" s="3">
        <v>213</v>
      </c>
      <c r="M3017" s="3">
        <v>1544</v>
      </c>
      <c r="N3017" s="3">
        <v>1018455</v>
      </c>
      <c r="O3017" s="2">
        <v>1.6E-2</v>
      </c>
      <c r="P3017" s="2">
        <v>0.90400000000000003</v>
      </c>
      <c r="Q3017" s="2">
        <v>0.35499999999999998</v>
      </c>
      <c r="R3017" s="11">
        <v>411060770</v>
      </c>
      <c r="S3017" s="11">
        <v>549768</v>
      </c>
      <c r="T3017">
        <v>2015</v>
      </c>
      <c r="U3017">
        <v>1</v>
      </c>
      <c r="V3017">
        <f t="shared" si="282"/>
        <v>200000</v>
      </c>
      <c r="W3017">
        <f t="shared" si="283"/>
        <v>18429897</v>
      </c>
      <c r="X3017">
        <f t="shared" si="284"/>
        <v>18229897</v>
      </c>
      <c r="Y3017">
        <f t="shared" si="285"/>
        <v>-27144845.5</v>
      </c>
      <c r="Z3017">
        <f t="shared" si="286"/>
        <v>45774742.5</v>
      </c>
      <c r="AA3017" t="str">
        <f t="shared" si="287"/>
        <v>Normal</v>
      </c>
      <c r="AE3017" s="2"/>
      <c r="AF3017" s="2"/>
    </row>
    <row r="3018" spans="1:32" x14ac:dyDescent="0.35">
      <c r="A3018">
        <v>3017</v>
      </c>
      <c r="B3018" s="1">
        <v>42023</v>
      </c>
      <c r="C3018" s="9" t="s">
        <v>4783</v>
      </c>
      <c r="D3018" s="9" t="s">
        <v>4988</v>
      </c>
      <c r="E3018" s="9" t="s">
        <v>1111</v>
      </c>
      <c r="F3018" s="9" t="s">
        <v>15</v>
      </c>
      <c r="G3018" s="9" t="s">
        <v>4171</v>
      </c>
      <c r="H3018" s="9" t="s">
        <v>86</v>
      </c>
      <c r="I3018" s="11">
        <v>200000</v>
      </c>
      <c r="J3018" s="11">
        <v>2997878</v>
      </c>
      <c r="K3018" s="11">
        <v>5513476</v>
      </c>
      <c r="L3018" s="3">
        <v>88</v>
      </c>
      <c r="M3018" s="3">
        <v>4506</v>
      </c>
      <c r="N3018" s="3">
        <v>296102</v>
      </c>
      <c r="O3018" s="2">
        <v>1.6E-2</v>
      </c>
      <c r="P3018" s="2">
        <v>0.505</v>
      </c>
      <c r="Q3018" s="2">
        <v>0.72699999999999998</v>
      </c>
      <c r="R3018" s="11">
        <v>387199546</v>
      </c>
      <c r="S3018" s="11">
        <v>558955</v>
      </c>
      <c r="T3018">
        <v>2015</v>
      </c>
      <c r="U3018">
        <v>1</v>
      </c>
      <c r="V3018">
        <f t="shared" si="282"/>
        <v>200000</v>
      </c>
      <c r="W3018">
        <f t="shared" si="283"/>
        <v>18429897</v>
      </c>
      <c r="X3018">
        <f t="shared" si="284"/>
        <v>18229897</v>
      </c>
      <c r="Y3018">
        <f t="shared" si="285"/>
        <v>-27144845.5</v>
      </c>
      <c r="Z3018">
        <f t="shared" si="286"/>
        <v>45774742.5</v>
      </c>
      <c r="AA3018" t="str">
        <f t="shared" si="287"/>
        <v>Normal</v>
      </c>
      <c r="AE3018" s="2"/>
      <c r="AF3018" s="2"/>
    </row>
    <row r="3019" spans="1:32" x14ac:dyDescent="0.35">
      <c r="A3019">
        <v>3018</v>
      </c>
      <c r="B3019" s="1">
        <v>42023</v>
      </c>
      <c r="C3019" s="9" t="s">
        <v>4784</v>
      </c>
      <c r="D3019" s="9" t="s">
        <v>4988</v>
      </c>
      <c r="E3019" s="9" t="s">
        <v>1111</v>
      </c>
      <c r="F3019" s="9" t="s">
        <v>15</v>
      </c>
      <c r="G3019" s="9" t="s">
        <v>4785</v>
      </c>
      <c r="H3019" s="9" t="s">
        <v>86</v>
      </c>
      <c r="I3019" s="11">
        <v>16000</v>
      </c>
      <c r="J3019" s="11">
        <v>3731115</v>
      </c>
      <c r="K3019" s="11">
        <v>14156342</v>
      </c>
      <c r="L3019" s="3">
        <v>75</v>
      </c>
      <c r="M3019" s="3">
        <v>3243</v>
      </c>
      <c r="N3019" s="3">
        <v>1537861</v>
      </c>
      <c r="O3019" s="2">
        <v>0.40200000000000002</v>
      </c>
      <c r="P3019" s="2">
        <v>1.01</v>
      </c>
      <c r="Q3019" s="2">
        <v>0.16</v>
      </c>
      <c r="R3019" s="11">
        <v>66815003</v>
      </c>
      <c r="S3019" s="11">
        <v>1997351</v>
      </c>
      <c r="T3019">
        <v>2015</v>
      </c>
      <c r="U3019">
        <v>1</v>
      </c>
      <c r="V3019">
        <f t="shared" si="282"/>
        <v>200000</v>
      </c>
      <c r="W3019">
        <f t="shared" si="283"/>
        <v>18429897</v>
      </c>
      <c r="X3019">
        <f t="shared" si="284"/>
        <v>18229897</v>
      </c>
      <c r="Y3019">
        <f t="shared" si="285"/>
        <v>-27144845.5</v>
      </c>
      <c r="Z3019">
        <f t="shared" si="286"/>
        <v>45774742.5</v>
      </c>
      <c r="AA3019" t="str">
        <f t="shared" si="287"/>
        <v>Normal</v>
      </c>
      <c r="AE3019" s="2"/>
      <c r="AF3019" s="2"/>
    </row>
    <row r="3020" spans="1:32" x14ac:dyDescent="0.35">
      <c r="A3020">
        <v>3019</v>
      </c>
      <c r="B3020" s="1">
        <v>42023</v>
      </c>
      <c r="C3020" s="9" t="s">
        <v>2961</v>
      </c>
      <c r="D3020" s="9" t="s">
        <v>4988</v>
      </c>
      <c r="E3020" s="9" t="s">
        <v>1111</v>
      </c>
      <c r="F3020" s="9" t="s">
        <v>15</v>
      </c>
      <c r="G3020" s="9" t="s">
        <v>4785</v>
      </c>
      <c r="H3020" s="9" t="s">
        <v>86</v>
      </c>
      <c r="I3020" s="11">
        <v>16000</v>
      </c>
      <c r="J3020" s="11">
        <v>1761387</v>
      </c>
      <c r="K3020" s="11">
        <v>9691142</v>
      </c>
      <c r="L3020" s="3">
        <v>355</v>
      </c>
      <c r="M3020" s="3">
        <v>1505</v>
      </c>
      <c r="N3020" s="3">
        <v>1256633</v>
      </c>
      <c r="O3020" s="2">
        <v>0.27300000000000002</v>
      </c>
      <c r="P3020" s="2">
        <v>0.224</v>
      </c>
      <c r="Q3020" s="2">
        <v>-0.11599999999999999</v>
      </c>
      <c r="R3020" s="11">
        <v>31876600</v>
      </c>
      <c r="S3020" s="11">
        <v>309791</v>
      </c>
      <c r="T3020">
        <v>2015</v>
      </c>
      <c r="U3020">
        <v>1</v>
      </c>
      <c r="V3020">
        <f t="shared" si="282"/>
        <v>231250</v>
      </c>
      <c r="W3020">
        <f t="shared" si="283"/>
        <v>18429897</v>
      </c>
      <c r="X3020">
        <f t="shared" si="284"/>
        <v>18198647</v>
      </c>
      <c r="Y3020">
        <f t="shared" si="285"/>
        <v>-27066720.5</v>
      </c>
      <c r="Z3020">
        <f t="shared" si="286"/>
        <v>45727867.5</v>
      </c>
      <c r="AA3020" t="str">
        <f t="shared" si="287"/>
        <v>Normal</v>
      </c>
      <c r="AE3020" s="2"/>
      <c r="AF3020" s="2"/>
    </row>
    <row r="3021" spans="1:32" x14ac:dyDescent="0.35">
      <c r="A3021">
        <v>3020</v>
      </c>
      <c r="B3021" s="1">
        <v>42023</v>
      </c>
      <c r="C3021" s="9" t="s">
        <v>4786</v>
      </c>
      <c r="D3021" s="9" t="s">
        <v>4988</v>
      </c>
      <c r="E3021" s="9" t="s">
        <v>1111</v>
      </c>
      <c r="F3021" s="9" t="s">
        <v>15</v>
      </c>
      <c r="G3021" s="9" t="s">
        <v>4785</v>
      </c>
      <c r="H3021" s="9" t="s">
        <v>86</v>
      </c>
      <c r="I3021" s="11">
        <v>16000</v>
      </c>
      <c r="J3021" s="11">
        <v>673152</v>
      </c>
      <c r="K3021" s="11">
        <v>11191985</v>
      </c>
      <c r="L3021" s="3">
        <v>18</v>
      </c>
      <c r="M3021" s="3">
        <v>2459</v>
      </c>
      <c r="N3021" s="3">
        <v>176405</v>
      </c>
      <c r="O3021" s="2">
        <v>5.9000000000000004E-2</v>
      </c>
      <c r="P3021" s="2">
        <v>0.20399999999999999</v>
      </c>
      <c r="Q3021" s="2">
        <v>0.13200000000000001</v>
      </c>
      <c r="R3021" s="11">
        <v>124044321</v>
      </c>
      <c r="S3021" s="11">
        <v>1220561</v>
      </c>
      <c r="T3021">
        <v>2015</v>
      </c>
      <c r="U3021">
        <v>1</v>
      </c>
      <c r="V3021">
        <f t="shared" si="282"/>
        <v>325000</v>
      </c>
      <c r="W3021">
        <f t="shared" si="283"/>
        <v>18429897</v>
      </c>
      <c r="X3021">
        <f t="shared" si="284"/>
        <v>18104897</v>
      </c>
      <c r="Y3021">
        <f t="shared" si="285"/>
        <v>-26832345.5</v>
      </c>
      <c r="Z3021">
        <f t="shared" si="286"/>
        <v>45587242.5</v>
      </c>
      <c r="AA3021" t="str">
        <f t="shared" si="287"/>
        <v>Normal</v>
      </c>
      <c r="AE3021" s="2"/>
      <c r="AF3021" s="2"/>
    </row>
    <row r="3022" spans="1:32" x14ac:dyDescent="0.35">
      <c r="A3022">
        <v>3021</v>
      </c>
      <c r="B3022" s="1">
        <v>42023</v>
      </c>
      <c r="C3022" s="9" t="s">
        <v>4787</v>
      </c>
      <c r="D3022" s="9" t="s">
        <v>4988</v>
      </c>
      <c r="E3022" s="9" t="s">
        <v>1111</v>
      </c>
      <c r="F3022" s="9" t="s">
        <v>15</v>
      </c>
      <c r="G3022" s="9" t="s">
        <v>4785</v>
      </c>
      <c r="H3022" s="9" t="s">
        <v>86</v>
      </c>
      <c r="I3022" s="11">
        <v>16000</v>
      </c>
      <c r="J3022" s="11">
        <v>1946444</v>
      </c>
      <c r="K3022" s="11">
        <v>10153449</v>
      </c>
      <c r="L3022" s="3">
        <v>232</v>
      </c>
      <c r="M3022" s="3">
        <v>649</v>
      </c>
      <c r="N3022" s="3">
        <v>1536165</v>
      </c>
      <c r="O3022" s="2">
        <v>1.6E-2</v>
      </c>
      <c r="P3022" s="2">
        <v>0.5</v>
      </c>
      <c r="Q3022" s="2">
        <v>5.2999999999999999E-2</v>
      </c>
      <c r="R3022" s="11">
        <v>446241001</v>
      </c>
      <c r="S3022" s="11">
        <v>763082</v>
      </c>
      <c r="T3022">
        <v>2015</v>
      </c>
      <c r="U3022">
        <v>1</v>
      </c>
      <c r="V3022">
        <f t="shared" si="282"/>
        <v>700000</v>
      </c>
      <c r="W3022">
        <f t="shared" si="283"/>
        <v>18429897</v>
      </c>
      <c r="X3022">
        <f t="shared" si="284"/>
        <v>17729897</v>
      </c>
      <c r="Y3022">
        <f t="shared" si="285"/>
        <v>-25894845.5</v>
      </c>
      <c r="Z3022">
        <f t="shared" si="286"/>
        <v>45024742.5</v>
      </c>
      <c r="AA3022" t="str">
        <f t="shared" si="287"/>
        <v>Normal</v>
      </c>
      <c r="AE3022" s="2"/>
      <c r="AF3022" s="2"/>
    </row>
    <row r="3023" spans="1:32" x14ac:dyDescent="0.35">
      <c r="A3023">
        <v>3022</v>
      </c>
      <c r="B3023" s="1">
        <v>42023</v>
      </c>
      <c r="C3023" s="9" t="s">
        <v>4788</v>
      </c>
      <c r="D3023" s="9" t="s">
        <v>4988</v>
      </c>
      <c r="E3023" s="9" t="s">
        <v>1111</v>
      </c>
      <c r="F3023" s="9" t="s">
        <v>15</v>
      </c>
      <c r="G3023" s="9" t="s">
        <v>4785</v>
      </c>
      <c r="H3023" s="9" t="s">
        <v>86</v>
      </c>
      <c r="I3023" s="11">
        <v>16000</v>
      </c>
      <c r="J3023" s="11">
        <v>1008946</v>
      </c>
      <c r="K3023" s="11">
        <v>7436237</v>
      </c>
      <c r="L3023" s="3">
        <v>179</v>
      </c>
      <c r="M3023" s="3">
        <v>3097</v>
      </c>
      <c r="N3023" s="3">
        <v>1500302</v>
      </c>
      <c r="O3023" s="2">
        <v>1.6E-2</v>
      </c>
      <c r="P3023" s="2">
        <v>0.93100000000000005</v>
      </c>
      <c r="Q3023" s="2">
        <v>0.36749999999999999</v>
      </c>
      <c r="R3023" s="11">
        <v>129387661</v>
      </c>
      <c r="S3023" s="11">
        <v>1817119</v>
      </c>
      <c r="T3023">
        <v>2015</v>
      </c>
      <c r="U3023">
        <v>1</v>
      </c>
      <c r="V3023">
        <f t="shared" si="282"/>
        <v>912500</v>
      </c>
      <c r="W3023">
        <f t="shared" si="283"/>
        <v>18429897</v>
      </c>
      <c r="X3023">
        <f t="shared" si="284"/>
        <v>17517397</v>
      </c>
      <c r="Y3023">
        <f t="shared" si="285"/>
        <v>-25363595.5</v>
      </c>
      <c r="Z3023">
        <f t="shared" si="286"/>
        <v>44705992.5</v>
      </c>
      <c r="AA3023" t="str">
        <f t="shared" si="287"/>
        <v>Normal</v>
      </c>
      <c r="AE3023" s="2"/>
      <c r="AF3023" s="2"/>
    </row>
    <row r="3024" spans="1:32" x14ac:dyDescent="0.35">
      <c r="A3024">
        <v>3023</v>
      </c>
      <c r="B3024" s="1">
        <v>42024</v>
      </c>
      <c r="C3024" s="9" t="s">
        <v>3372</v>
      </c>
      <c r="D3024" s="9" t="s">
        <v>4988</v>
      </c>
      <c r="E3024" s="9" t="s">
        <v>1111</v>
      </c>
      <c r="F3024" s="9" t="s">
        <v>15</v>
      </c>
      <c r="G3024" s="9" t="s">
        <v>4789</v>
      </c>
      <c r="H3024" s="9" t="s">
        <v>105</v>
      </c>
      <c r="I3024" s="11">
        <v>11000000</v>
      </c>
      <c r="J3024" s="11">
        <v>1882217</v>
      </c>
      <c r="K3024" s="11">
        <v>3130804</v>
      </c>
      <c r="L3024" s="3">
        <v>459</v>
      </c>
      <c r="M3024" s="3">
        <v>370</v>
      </c>
      <c r="N3024" s="3">
        <v>1815254</v>
      </c>
      <c r="O3024" s="2">
        <v>0.29499999999999998</v>
      </c>
      <c r="P3024" s="2">
        <v>1.1520000000000001</v>
      </c>
      <c r="Q3024" s="2">
        <v>0.27899999999999997</v>
      </c>
      <c r="R3024" s="11">
        <v>254788079</v>
      </c>
      <c r="S3024" s="11">
        <v>1071183</v>
      </c>
      <c r="T3024">
        <v>2015</v>
      </c>
      <c r="U3024">
        <v>1</v>
      </c>
      <c r="V3024">
        <f t="shared" si="282"/>
        <v>1125000</v>
      </c>
      <c r="W3024">
        <f t="shared" si="283"/>
        <v>18429897</v>
      </c>
      <c r="X3024">
        <f t="shared" si="284"/>
        <v>17304897</v>
      </c>
      <c r="Y3024">
        <f t="shared" si="285"/>
        <v>-24832345.5</v>
      </c>
      <c r="Z3024">
        <f t="shared" si="286"/>
        <v>44387242.5</v>
      </c>
      <c r="AA3024" t="str">
        <f t="shared" si="287"/>
        <v>Normal</v>
      </c>
      <c r="AE3024" s="2"/>
      <c r="AF3024" s="2"/>
    </row>
    <row r="3025" spans="1:32" x14ac:dyDescent="0.35">
      <c r="A3025">
        <v>3024</v>
      </c>
      <c r="B3025" s="1">
        <v>42024</v>
      </c>
      <c r="C3025" s="9" t="s">
        <v>2061</v>
      </c>
      <c r="D3025" s="9" t="s">
        <v>4988</v>
      </c>
      <c r="E3025" s="9" t="s">
        <v>1111</v>
      </c>
      <c r="F3025" s="9" t="s">
        <v>15</v>
      </c>
      <c r="G3025" s="9" t="s">
        <v>4790</v>
      </c>
      <c r="H3025" s="9" t="s">
        <v>105</v>
      </c>
      <c r="I3025" s="11">
        <v>18429897</v>
      </c>
      <c r="J3025" s="11">
        <v>3141588</v>
      </c>
      <c r="K3025" s="11">
        <v>18799000</v>
      </c>
      <c r="L3025" s="3">
        <v>499</v>
      </c>
      <c r="M3025" s="3">
        <v>3213</v>
      </c>
      <c r="N3025" s="3">
        <v>1937099</v>
      </c>
      <c r="O3025" s="2">
        <v>0.248</v>
      </c>
      <c r="P3025" s="2">
        <v>0.51500000000000001</v>
      </c>
      <c r="Q3025" s="2">
        <v>0.308</v>
      </c>
      <c r="R3025" s="11">
        <v>4344491</v>
      </c>
      <c r="S3025" s="11">
        <v>721031</v>
      </c>
      <c r="T3025">
        <v>2015</v>
      </c>
      <c r="U3025">
        <v>1</v>
      </c>
      <c r="V3025">
        <f t="shared" si="282"/>
        <v>1000000</v>
      </c>
      <c r="W3025">
        <f t="shared" si="283"/>
        <v>18429897</v>
      </c>
      <c r="X3025">
        <f t="shared" si="284"/>
        <v>17429897</v>
      </c>
      <c r="Y3025">
        <f t="shared" si="285"/>
        <v>-25144845.5</v>
      </c>
      <c r="Z3025">
        <f t="shared" si="286"/>
        <v>44574742.5</v>
      </c>
      <c r="AA3025" t="str">
        <f t="shared" si="287"/>
        <v>Normal</v>
      </c>
      <c r="AE3025" s="2"/>
      <c r="AF3025" s="2"/>
    </row>
    <row r="3026" spans="1:32" x14ac:dyDescent="0.35">
      <c r="A3026">
        <v>3025</v>
      </c>
      <c r="B3026" s="1">
        <v>42024</v>
      </c>
      <c r="C3026" s="9" t="s">
        <v>4783</v>
      </c>
      <c r="D3026" s="9" t="s">
        <v>4988</v>
      </c>
      <c r="E3026" s="9" t="s">
        <v>1111</v>
      </c>
      <c r="F3026" s="9" t="s">
        <v>15</v>
      </c>
      <c r="G3026" s="9" t="s">
        <v>4171</v>
      </c>
      <c r="H3026" s="9" t="s">
        <v>86</v>
      </c>
      <c r="I3026" s="11">
        <v>200000</v>
      </c>
      <c r="J3026" s="11">
        <v>584705</v>
      </c>
      <c r="K3026" s="11">
        <v>10159095</v>
      </c>
      <c r="L3026" s="3">
        <v>244</v>
      </c>
      <c r="M3026" s="3">
        <v>1030</v>
      </c>
      <c r="N3026" s="3">
        <v>167925</v>
      </c>
      <c r="O3026" s="2">
        <v>8.4000000000000005E-2</v>
      </c>
      <c r="P3026" s="2">
        <v>0.75700000000000001</v>
      </c>
      <c r="Q3026" s="2">
        <v>-0.40100000000000002</v>
      </c>
      <c r="R3026" s="11">
        <v>205161349</v>
      </c>
      <c r="S3026" s="11">
        <v>689839</v>
      </c>
      <c r="T3026">
        <v>2015</v>
      </c>
      <c r="U3026">
        <v>1</v>
      </c>
      <c r="V3026">
        <f t="shared" si="282"/>
        <v>956250</v>
      </c>
      <c r="W3026">
        <f t="shared" si="283"/>
        <v>18429897</v>
      </c>
      <c r="X3026">
        <f t="shared" si="284"/>
        <v>17473647</v>
      </c>
      <c r="Y3026">
        <f t="shared" si="285"/>
        <v>-25254220.5</v>
      </c>
      <c r="Z3026">
        <f t="shared" si="286"/>
        <v>44640367.5</v>
      </c>
      <c r="AA3026" t="str">
        <f t="shared" si="287"/>
        <v>Normal</v>
      </c>
      <c r="AE3026" s="2"/>
      <c r="AF3026" s="2"/>
    </row>
    <row r="3027" spans="1:32" x14ac:dyDescent="0.35">
      <c r="A3027">
        <v>3026</v>
      </c>
      <c r="B3027" s="1">
        <v>42025</v>
      </c>
      <c r="C3027" s="9" t="s">
        <v>2368</v>
      </c>
      <c r="D3027" s="9" t="s">
        <v>4988</v>
      </c>
      <c r="E3027" s="9" t="s">
        <v>1111</v>
      </c>
      <c r="F3027" s="9" t="s">
        <v>15</v>
      </c>
      <c r="G3027" s="9" t="s">
        <v>4791</v>
      </c>
      <c r="H3027" s="9" t="s">
        <v>105</v>
      </c>
      <c r="I3027" s="11">
        <v>14750000</v>
      </c>
      <c r="J3027" s="11">
        <v>3741403</v>
      </c>
      <c r="K3027" s="11">
        <v>8398404</v>
      </c>
      <c r="L3027" s="3">
        <v>292</v>
      </c>
      <c r="M3027" s="3">
        <v>686</v>
      </c>
      <c r="N3027" s="3">
        <v>1046818</v>
      </c>
      <c r="O3027" s="2">
        <v>-9.9000000000000005E-2</v>
      </c>
      <c r="P3027" s="2">
        <v>0.24100000000000002</v>
      </c>
      <c r="Q3027" s="2">
        <v>0.39700000000000002</v>
      </c>
      <c r="R3027" s="11">
        <v>275594446</v>
      </c>
      <c r="S3027" s="11">
        <v>1547436</v>
      </c>
      <c r="T3027">
        <v>2015</v>
      </c>
      <c r="U3027">
        <v>1</v>
      </c>
      <c r="V3027">
        <f t="shared" si="282"/>
        <v>1250000</v>
      </c>
      <c r="W3027">
        <f t="shared" si="283"/>
        <v>18429897</v>
      </c>
      <c r="X3027">
        <f t="shared" si="284"/>
        <v>17179897</v>
      </c>
      <c r="Y3027">
        <f t="shared" si="285"/>
        <v>-24519845.5</v>
      </c>
      <c r="Z3027">
        <f t="shared" si="286"/>
        <v>44199742.5</v>
      </c>
      <c r="AA3027" t="str">
        <f t="shared" si="287"/>
        <v>Normal</v>
      </c>
      <c r="AE3027" s="2"/>
      <c r="AF3027" s="2"/>
    </row>
    <row r="3028" spans="1:32" x14ac:dyDescent="0.35">
      <c r="A3028">
        <v>3027</v>
      </c>
      <c r="B3028" s="1">
        <v>42025</v>
      </c>
      <c r="C3028" s="9" t="s">
        <v>4773</v>
      </c>
      <c r="D3028" s="9" t="s">
        <v>4988</v>
      </c>
      <c r="E3028" s="9" t="s">
        <v>1111</v>
      </c>
      <c r="F3028" s="9" t="s">
        <v>15</v>
      </c>
      <c r="G3028" s="9" t="s">
        <v>856</v>
      </c>
      <c r="H3028" s="9" t="s">
        <v>86</v>
      </c>
      <c r="I3028" s="11">
        <v>325000</v>
      </c>
      <c r="J3028" s="11">
        <v>1138575</v>
      </c>
      <c r="K3028" s="11">
        <v>6455383</v>
      </c>
      <c r="L3028" s="3">
        <v>192</v>
      </c>
      <c r="M3028" s="3">
        <v>1149</v>
      </c>
      <c r="N3028" s="3">
        <v>1628071</v>
      </c>
      <c r="O3028" s="2">
        <v>0.11699999999999999</v>
      </c>
      <c r="P3028" s="2">
        <v>0.50800000000000001</v>
      </c>
      <c r="Q3028" s="2">
        <v>0.16800000000000001</v>
      </c>
      <c r="R3028" s="11">
        <v>250264963</v>
      </c>
      <c r="S3028" s="11">
        <v>216128</v>
      </c>
      <c r="T3028">
        <v>2015</v>
      </c>
      <c r="U3028">
        <v>1</v>
      </c>
      <c r="V3028">
        <f t="shared" si="282"/>
        <v>1125000</v>
      </c>
      <c r="W3028">
        <f t="shared" si="283"/>
        <v>18429897</v>
      </c>
      <c r="X3028">
        <f t="shared" si="284"/>
        <v>17304897</v>
      </c>
      <c r="Y3028">
        <f t="shared" si="285"/>
        <v>-24832345.5</v>
      </c>
      <c r="Z3028">
        <f t="shared" si="286"/>
        <v>44387242.5</v>
      </c>
      <c r="AA3028" t="str">
        <f t="shared" si="287"/>
        <v>Normal</v>
      </c>
      <c r="AE3028" s="2"/>
      <c r="AF3028" s="2"/>
    </row>
    <row r="3029" spans="1:32" x14ac:dyDescent="0.35">
      <c r="A3029">
        <v>3028</v>
      </c>
      <c r="B3029" s="1">
        <v>42145</v>
      </c>
      <c r="C3029" s="9" t="s">
        <v>4792</v>
      </c>
      <c r="D3029" s="9" t="s">
        <v>4988</v>
      </c>
      <c r="E3029" s="9" t="s">
        <v>1111</v>
      </c>
      <c r="F3029" s="9" t="s">
        <v>15</v>
      </c>
      <c r="G3029" s="9" t="s">
        <v>4793</v>
      </c>
      <c r="H3029" s="9" t="s">
        <v>86</v>
      </c>
      <c r="I3029" s="11">
        <v>18429897</v>
      </c>
      <c r="J3029" s="11">
        <v>4475545</v>
      </c>
      <c r="K3029" s="11">
        <v>14460568</v>
      </c>
      <c r="L3029" s="3">
        <v>389</v>
      </c>
      <c r="M3029" s="3">
        <v>492</v>
      </c>
      <c r="N3029" s="3">
        <v>478906</v>
      </c>
      <c r="O3029" s="2">
        <v>0.40200000000000002</v>
      </c>
      <c r="P3029" s="2">
        <v>0.21600000000000003</v>
      </c>
      <c r="Q3029" s="2">
        <v>-4.2999999999999997E-2</v>
      </c>
      <c r="R3029" s="11">
        <v>338519630</v>
      </c>
      <c r="S3029" s="11">
        <v>1561579</v>
      </c>
      <c r="T3029">
        <v>2015</v>
      </c>
      <c r="U3029">
        <v>5</v>
      </c>
      <c r="V3029">
        <f t="shared" si="282"/>
        <v>1500000</v>
      </c>
      <c r="W3029">
        <f t="shared" si="283"/>
        <v>18429897</v>
      </c>
      <c r="X3029">
        <f t="shared" si="284"/>
        <v>16929897</v>
      </c>
      <c r="Y3029">
        <f t="shared" si="285"/>
        <v>-23894845.5</v>
      </c>
      <c r="Z3029">
        <f t="shared" si="286"/>
        <v>43824742.5</v>
      </c>
      <c r="AA3029" t="str">
        <f t="shared" si="287"/>
        <v>Normal</v>
      </c>
      <c r="AE3029" s="2"/>
      <c r="AF3029" s="2"/>
    </row>
    <row r="3030" spans="1:32" x14ac:dyDescent="0.35">
      <c r="A3030">
        <v>3029</v>
      </c>
      <c r="B3030" s="1">
        <v>42145</v>
      </c>
      <c r="C3030" s="9" t="s">
        <v>2996</v>
      </c>
      <c r="D3030" s="9" t="s">
        <v>4988</v>
      </c>
      <c r="E3030" s="9" t="s">
        <v>1111</v>
      </c>
      <c r="F3030" s="9" t="s">
        <v>15</v>
      </c>
      <c r="G3030" s="9" t="s">
        <v>3317</v>
      </c>
      <c r="H3030" s="9" t="s">
        <v>86</v>
      </c>
      <c r="I3030" s="11">
        <v>3250000</v>
      </c>
      <c r="J3030" s="11">
        <v>3667569</v>
      </c>
      <c r="K3030" s="11">
        <v>18267263</v>
      </c>
      <c r="L3030" s="3">
        <v>150</v>
      </c>
      <c r="M3030" s="3">
        <v>4448</v>
      </c>
      <c r="N3030" s="3">
        <v>1194879</v>
      </c>
      <c r="O3030" s="2">
        <v>-6.2E-2</v>
      </c>
      <c r="P3030" s="2">
        <v>0.29699999999999999</v>
      </c>
      <c r="Q3030" s="2">
        <v>0.28399999999999997</v>
      </c>
      <c r="R3030" s="11">
        <v>70384923</v>
      </c>
      <c r="S3030" s="11">
        <v>198275</v>
      </c>
      <c r="T3030">
        <v>2015</v>
      </c>
      <c r="U3030">
        <v>5</v>
      </c>
      <c r="V3030">
        <f t="shared" si="282"/>
        <v>1375000</v>
      </c>
      <c r="W3030">
        <f t="shared" si="283"/>
        <v>18429897</v>
      </c>
      <c r="X3030">
        <f t="shared" si="284"/>
        <v>17054897</v>
      </c>
      <c r="Y3030">
        <f t="shared" si="285"/>
        <v>-24207345.5</v>
      </c>
      <c r="Z3030">
        <f t="shared" si="286"/>
        <v>44012242.5</v>
      </c>
      <c r="AA3030" t="str">
        <f t="shared" si="287"/>
        <v>Normal</v>
      </c>
      <c r="AE3030" s="2"/>
      <c r="AF3030" s="2"/>
    </row>
    <row r="3031" spans="1:32" x14ac:dyDescent="0.35">
      <c r="A3031">
        <v>3030</v>
      </c>
      <c r="B3031" s="1">
        <v>42511</v>
      </c>
      <c r="C3031" s="9" t="s">
        <v>4794</v>
      </c>
      <c r="D3031" s="9" t="s">
        <v>4988</v>
      </c>
      <c r="E3031" s="9" t="s">
        <v>1111</v>
      </c>
      <c r="F3031" s="9" t="s">
        <v>15</v>
      </c>
      <c r="G3031" s="9" t="s">
        <v>4171</v>
      </c>
      <c r="H3031" s="9" t="s">
        <v>86</v>
      </c>
      <c r="I3031" s="11">
        <v>200000</v>
      </c>
      <c r="J3031" s="11">
        <v>1377480</v>
      </c>
      <c r="K3031" s="11">
        <v>15402078</v>
      </c>
      <c r="L3031" s="3">
        <v>373</v>
      </c>
      <c r="M3031" s="3">
        <v>4683</v>
      </c>
      <c r="N3031" s="3">
        <v>181724</v>
      </c>
      <c r="O3031" s="2">
        <v>0.129</v>
      </c>
      <c r="P3031" s="2">
        <v>1.0740000000000001</v>
      </c>
      <c r="Q3031" s="2">
        <v>-0.16300000000000001</v>
      </c>
      <c r="R3031" s="11">
        <v>204382223</v>
      </c>
      <c r="S3031" s="11">
        <v>1319427</v>
      </c>
      <c r="T3031">
        <v>2016</v>
      </c>
      <c r="U3031">
        <v>5</v>
      </c>
      <c r="V3031">
        <f t="shared" si="282"/>
        <v>1250000</v>
      </c>
      <c r="W3031">
        <f t="shared" si="283"/>
        <v>18429897</v>
      </c>
      <c r="X3031">
        <f t="shared" si="284"/>
        <v>17179897</v>
      </c>
      <c r="Y3031">
        <f t="shared" si="285"/>
        <v>-24519845.5</v>
      </c>
      <c r="Z3031">
        <f t="shared" si="286"/>
        <v>44199742.5</v>
      </c>
      <c r="AA3031" t="str">
        <f t="shared" si="287"/>
        <v>Normal</v>
      </c>
      <c r="AE3031" s="2"/>
      <c r="AF3031" s="2"/>
    </row>
    <row r="3032" spans="1:32" x14ac:dyDescent="0.35">
      <c r="A3032">
        <v>3031</v>
      </c>
      <c r="B3032" s="1">
        <v>42026</v>
      </c>
      <c r="C3032" s="9" t="s">
        <v>4795</v>
      </c>
      <c r="D3032" s="9" t="s">
        <v>4988</v>
      </c>
      <c r="E3032" s="9" t="s">
        <v>1111</v>
      </c>
      <c r="F3032" s="9" t="s">
        <v>15</v>
      </c>
      <c r="G3032" s="9" t="s">
        <v>4796</v>
      </c>
      <c r="H3032" s="9" t="s">
        <v>86</v>
      </c>
      <c r="I3032" s="11">
        <v>18429897</v>
      </c>
      <c r="J3032" s="11">
        <v>2824873</v>
      </c>
      <c r="K3032" s="11">
        <v>10733498</v>
      </c>
      <c r="L3032" s="3">
        <v>452</v>
      </c>
      <c r="M3032" s="3">
        <v>4627</v>
      </c>
      <c r="N3032" s="3">
        <v>602702</v>
      </c>
      <c r="O3032" s="2">
        <v>0.44700000000000001</v>
      </c>
      <c r="P3032" s="2">
        <v>0.84099999999999997</v>
      </c>
      <c r="Q3032" s="2">
        <v>-0.151</v>
      </c>
      <c r="R3032" s="11">
        <v>1768839</v>
      </c>
      <c r="S3032" s="11">
        <v>745369</v>
      </c>
      <c r="T3032">
        <v>2015</v>
      </c>
      <c r="U3032">
        <v>1</v>
      </c>
      <c r="V3032">
        <f t="shared" si="282"/>
        <v>1500000</v>
      </c>
      <c r="W3032">
        <f t="shared" si="283"/>
        <v>18429897</v>
      </c>
      <c r="X3032">
        <f t="shared" si="284"/>
        <v>16929897</v>
      </c>
      <c r="Y3032">
        <f t="shared" si="285"/>
        <v>-23894845.5</v>
      </c>
      <c r="Z3032">
        <f t="shared" si="286"/>
        <v>43824742.5</v>
      </c>
      <c r="AA3032" t="str">
        <f t="shared" si="287"/>
        <v>Normal</v>
      </c>
      <c r="AE3032" s="2"/>
      <c r="AF3032" s="2"/>
    </row>
    <row r="3033" spans="1:32" x14ac:dyDescent="0.35">
      <c r="A3033">
        <v>3032</v>
      </c>
      <c r="B3033" s="1">
        <v>42026</v>
      </c>
      <c r="C3033" s="9" t="s">
        <v>4797</v>
      </c>
      <c r="D3033" s="9" t="s">
        <v>4988</v>
      </c>
      <c r="E3033" s="9" t="s">
        <v>1111</v>
      </c>
      <c r="F3033" s="9" t="s">
        <v>15</v>
      </c>
      <c r="G3033" s="9" t="s">
        <v>4798</v>
      </c>
      <c r="H3033" s="9" t="s">
        <v>105</v>
      </c>
      <c r="I3033" s="11">
        <v>18429897</v>
      </c>
      <c r="J3033" s="11">
        <v>571406</v>
      </c>
      <c r="K3033" s="11">
        <v>9561579</v>
      </c>
      <c r="L3033" s="3">
        <v>89</v>
      </c>
      <c r="M3033" s="3">
        <v>3605</v>
      </c>
      <c r="N3033" s="3">
        <v>1959460</v>
      </c>
      <c r="O3033" s="2">
        <v>5.8999999999999997E-2</v>
      </c>
      <c r="P3033" s="2">
        <v>1.0979999999999999</v>
      </c>
      <c r="Q3033" s="2">
        <v>0.36499999999999999</v>
      </c>
      <c r="R3033" s="11">
        <v>455190915</v>
      </c>
      <c r="S3033" s="11">
        <v>1008193.5</v>
      </c>
      <c r="T3033">
        <v>2015</v>
      </c>
      <c r="U3033">
        <v>1</v>
      </c>
      <c r="V3033">
        <f t="shared" si="282"/>
        <v>1500000</v>
      </c>
      <c r="W3033">
        <f t="shared" si="283"/>
        <v>18429897</v>
      </c>
      <c r="X3033">
        <f t="shared" si="284"/>
        <v>16929897</v>
      </c>
      <c r="Y3033">
        <f t="shared" si="285"/>
        <v>-23894845.5</v>
      </c>
      <c r="Z3033">
        <f t="shared" si="286"/>
        <v>43824742.5</v>
      </c>
      <c r="AA3033" t="str">
        <f t="shared" si="287"/>
        <v>Normal</v>
      </c>
      <c r="AE3033" s="2"/>
      <c r="AF3033" s="2"/>
    </row>
    <row r="3034" spans="1:32" x14ac:dyDescent="0.35">
      <c r="A3034">
        <v>3033</v>
      </c>
      <c r="B3034" s="1">
        <v>42026</v>
      </c>
      <c r="C3034" s="9" t="s">
        <v>4799</v>
      </c>
      <c r="D3034" s="9" t="s">
        <v>4988</v>
      </c>
      <c r="E3034" s="9" t="s">
        <v>1111</v>
      </c>
      <c r="F3034" s="9" t="s">
        <v>15</v>
      </c>
      <c r="G3034" s="9" t="s">
        <v>4800</v>
      </c>
      <c r="H3034" s="9" t="s">
        <v>105</v>
      </c>
      <c r="I3034" s="11">
        <v>56000000</v>
      </c>
      <c r="J3034" s="11">
        <v>516701</v>
      </c>
      <c r="K3034" s="11">
        <v>17332683</v>
      </c>
      <c r="L3034" s="3">
        <v>116</v>
      </c>
      <c r="M3034" s="3">
        <v>1190</v>
      </c>
      <c r="N3034" s="3">
        <v>1451612</v>
      </c>
      <c r="O3034" s="2">
        <v>9.5000000000000001E-2</v>
      </c>
      <c r="P3034" s="2">
        <v>1.035E-2</v>
      </c>
      <c r="Q3034" s="2">
        <v>0.36749999999999999</v>
      </c>
      <c r="R3034" s="11">
        <v>12760309</v>
      </c>
      <c r="S3034" s="11">
        <v>1008193.5</v>
      </c>
      <c r="T3034">
        <v>2015</v>
      </c>
      <c r="U3034">
        <v>1</v>
      </c>
      <c r="V3034">
        <f t="shared" si="282"/>
        <v>1375000</v>
      </c>
      <c r="W3034">
        <f t="shared" si="283"/>
        <v>21572422.75</v>
      </c>
      <c r="X3034">
        <f t="shared" si="284"/>
        <v>20197422.75</v>
      </c>
      <c r="Y3034">
        <f t="shared" si="285"/>
        <v>-28921134.125</v>
      </c>
      <c r="Z3034">
        <f t="shared" si="286"/>
        <v>51868556.875</v>
      </c>
      <c r="AA3034" t="str">
        <f t="shared" si="287"/>
        <v>Outlier</v>
      </c>
      <c r="AE3034" s="2"/>
      <c r="AF3034" s="2"/>
    </row>
    <row r="3035" spans="1:32" x14ac:dyDescent="0.35">
      <c r="A3035">
        <v>3034</v>
      </c>
      <c r="B3035" s="1">
        <v>42026</v>
      </c>
      <c r="C3035" s="9" t="s">
        <v>4801</v>
      </c>
      <c r="D3035" s="9" t="s">
        <v>4988</v>
      </c>
      <c r="E3035" s="9" t="s">
        <v>1111</v>
      </c>
      <c r="F3035" s="9" t="s">
        <v>15</v>
      </c>
      <c r="G3035" s="9" t="s">
        <v>322</v>
      </c>
      <c r="H3035" s="9" t="s">
        <v>105</v>
      </c>
      <c r="I3035" s="11">
        <v>31000000</v>
      </c>
      <c r="J3035" s="11">
        <v>4781112</v>
      </c>
      <c r="K3035" s="11">
        <v>17140879</v>
      </c>
      <c r="L3035" s="3">
        <v>192</v>
      </c>
      <c r="M3035" s="3">
        <v>3806</v>
      </c>
      <c r="N3035" s="3">
        <v>1018455</v>
      </c>
      <c r="O3035" s="2">
        <v>-0.15</v>
      </c>
      <c r="P3035" s="2">
        <v>0.96499999999999997</v>
      </c>
      <c r="Q3035" s="2">
        <v>0.49200000000000005</v>
      </c>
      <c r="R3035" s="11">
        <v>7668707</v>
      </c>
      <c r="S3035" s="11">
        <v>1665254</v>
      </c>
      <c r="T3035">
        <v>2015</v>
      </c>
      <c r="U3035">
        <v>1</v>
      </c>
      <c r="V3035">
        <f t="shared" si="282"/>
        <v>1250000</v>
      </c>
      <c r="W3035">
        <f t="shared" si="283"/>
        <v>18429897</v>
      </c>
      <c r="X3035">
        <f t="shared" si="284"/>
        <v>17179897</v>
      </c>
      <c r="Y3035">
        <f t="shared" si="285"/>
        <v>-24519845.5</v>
      </c>
      <c r="Z3035">
        <f t="shared" si="286"/>
        <v>44199742.5</v>
      </c>
      <c r="AA3035" t="str">
        <f t="shared" si="287"/>
        <v>Normal</v>
      </c>
      <c r="AE3035" s="2"/>
      <c r="AF3035" s="2"/>
    </row>
    <row r="3036" spans="1:32" x14ac:dyDescent="0.35">
      <c r="A3036">
        <v>3035</v>
      </c>
      <c r="B3036" s="1">
        <v>42028</v>
      </c>
      <c r="C3036" s="9" t="s">
        <v>3291</v>
      </c>
      <c r="D3036" s="9" t="s">
        <v>4988</v>
      </c>
      <c r="E3036" s="9" t="s">
        <v>1111</v>
      </c>
      <c r="F3036" s="9" t="s">
        <v>15</v>
      </c>
      <c r="G3036" s="9" t="s">
        <v>4802</v>
      </c>
      <c r="H3036" s="9" t="s">
        <v>86</v>
      </c>
      <c r="I3036" s="11">
        <v>1500000</v>
      </c>
      <c r="J3036" s="11">
        <v>4016107</v>
      </c>
      <c r="K3036" s="11">
        <v>7864602</v>
      </c>
      <c r="L3036" s="3">
        <v>414</v>
      </c>
      <c r="M3036" s="3">
        <v>3805</v>
      </c>
      <c r="N3036" s="3">
        <v>1978709</v>
      </c>
      <c r="O3036" s="2">
        <v>1.6E-2</v>
      </c>
      <c r="P3036" s="2">
        <v>0.55399999999999994</v>
      </c>
      <c r="Q3036" s="2">
        <v>-7.2000000000000008E-2</v>
      </c>
      <c r="R3036" s="11">
        <v>213606123</v>
      </c>
      <c r="S3036" s="11">
        <v>1752657</v>
      </c>
      <c r="T3036">
        <v>2015</v>
      </c>
      <c r="U3036">
        <v>1</v>
      </c>
      <c r="V3036">
        <f t="shared" si="282"/>
        <v>1125000</v>
      </c>
      <c r="W3036">
        <f t="shared" si="283"/>
        <v>14947422.75</v>
      </c>
      <c r="X3036">
        <f t="shared" si="284"/>
        <v>13822422.75</v>
      </c>
      <c r="Y3036">
        <f t="shared" si="285"/>
        <v>-19608634.125</v>
      </c>
      <c r="Z3036">
        <f t="shared" si="286"/>
        <v>35681056.875</v>
      </c>
      <c r="AA3036" t="str">
        <f t="shared" si="287"/>
        <v>Normal</v>
      </c>
      <c r="AE3036" s="2"/>
      <c r="AF3036" s="2"/>
    </row>
    <row r="3037" spans="1:32" x14ac:dyDescent="0.35">
      <c r="A3037">
        <v>3036</v>
      </c>
      <c r="B3037" s="1">
        <v>42028</v>
      </c>
      <c r="C3037" s="9" t="s">
        <v>4803</v>
      </c>
      <c r="D3037" s="9" t="s">
        <v>4988</v>
      </c>
      <c r="E3037" s="9" t="s">
        <v>1111</v>
      </c>
      <c r="F3037" s="9" t="s">
        <v>15</v>
      </c>
      <c r="G3037" s="9" t="s">
        <v>4804</v>
      </c>
      <c r="H3037" s="9" t="s">
        <v>105</v>
      </c>
      <c r="I3037" s="11">
        <v>18429897</v>
      </c>
      <c r="J3037" s="11">
        <v>789026</v>
      </c>
      <c r="K3037" s="11">
        <v>19289293</v>
      </c>
      <c r="L3037" s="3">
        <v>322</v>
      </c>
      <c r="M3037" s="3">
        <v>1220</v>
      </c>
      <c r="N3037" s="3">
        <v>405328</v>
      </c>
      <c r="O3037" s="2">
        <v>-2.8000000000000001E-2</v>
      </c>
      <c r="P3037" s="2">
        <v>0.33399999999999996</v>
      </c>
      <c r="Q3037" s="2">
        <v>0.17299999999999999</v>
      </c>
      <c r="R3037" s="11">
        <v>366707392</v>
      </c>
      <c r="S3037" s="11">
        <v>943973</v>
      </c>
      <c r="T3037">
        <v>2015</v>
      </c>
      <c r="U3037">
        <v>1</v>
      </c>
      <c r="V3037">
        <f t="shared" si="282"/>
        <v>1000000</v>
      </c>
      <c r="W3037">
        <f t="shared" si="283"/>
        <v>18429897</v>
      </c>
      <c r="X3037">
        <f t="shared" si="284"/>
        <v>17429897</v>
      </c>
      <c r="Y3037">
        <f t="shared" si="285"/>
        <v>-25144845.5</v>
      </c>
      <c r="Z3037">
        <f t="shared" si="286"/>
        <v>44574742.5</v>
      </c>
      <c r="AA3037" t="str">
        <f t="shared" si="287"/>
        <v>Normal</v>
      </c>
      <c r="AE3037" s="2"/>
      <c r="AF3037" s="2"/>
    </row>
    <row r="3038" spans="1:32" x14ac:dyDescent="0.35">
      <c r="A3038">
        <v>3037</v>
      </c>
      <c r="B3038" s="1">
        <v>42029</v>
      </c>
      <c r="C3038" s="9" t="s">
        <v>4805</v>
      </c>
      <c r="D3038" s="9" t="s">
        <v>4988</v>
      </c>
      <c r="E3038" s="9" t="s">
        <v>1111</v>
      </c>
      <c r="F3038" s="9" t="s">
        <v>15</v>
      </c>
      <c r="G3038" s="9" t="s">
        <v>4806</v>
      </c>
      <c r="H3038" s="9" t="s">
        <v>105</v>
      </c>
      <c r="I3038" s="11">
        <v>1000000</v>
      </c>
      <c r="J3038" s="11">
        <v>1427792</v>
      </c>
      <c r="K3038" s="11">
        <v>16565999</v>
      </c>
      <c r="L3038" s="3">
        <v>101</v>
      </c>
      <c r="M3038" s="3">
        <v>4187</v>
      </c>
      <c r="N3038" s="3">
        <v>758897</v>
      </c>
      <c r="O3038" s="2">
        <v>-0.191</v>
      </c>
      <c r="P3038" s="2">
        <v>0.30299999999999999</v>
      </c>
      <c r="Q3038" s="2">
        <v>0.36749999999999999</v>
      </c>
      <c r="R3038" s="11">
        <v>38562626</v>
      </c>
      <c r="S3038" s="11">
        <v>24774</v>
      </c>
      <c r="T3038">
        <v>2015</v>
      </c>
      <c r="U3038">
        <v>1</v>
      </c>
      <c r="V3038">
        <f t="shared" si="282"/>
        <v>956250</v>
      </c>
      <c r="W3038">
        <f t="shared" si="283"/>
        <v>7982474.25</v>
      </c>
      <c r="X3038">
        <f t="shared" si="284"/>
        <v>7026224.25</v>
      </c>
      <c r="Y3038">
        <f t="shared" si="285"/>
        <v>-9583086.375</v>
      </c>
      <c r="Z3038">
        <f t="shared" si="286"/>
        <v>18521810.625</v>
      </c>
      <c r="AA3038" t="str">
        <f t="shared" si="287"/>
        <v>Normal</v>
      </c>
      <c r="AE3038" s="2"/>
      <c r="AF3038" s="2"/>
    </row>
    <row r="3039" spans="1:32" x14ac:dyDescent="0.35">
      <c r="A3039">
        <v>3038</v>
      </c>
      <c r="B3039" s="1">
        <v>42031</v>
      </c>
      <c r="C3039" s="9" t="s">
        <v>43</v>
      </c>
      <c r="D3039" s="9" t="s">
        <v>4988</v>
      </c>
      <c r="E3039" s="9" t="s">
        <v>1111</v>
      </c>
      <c r="F3039" s="9" t="s">
        <v>15</v>
      </c>
      <c r="G3039" s="9" t="s">
        <v>4807</v>
      </c>
      <c r="H3039" s="9" t="s">
        <v>105</v>
      </c>
      <c r="I3039" s="11">
        <v>50000000</v>
      </c>
      <c r="J3039" s="11">
        <v>2531926</v>
      </c>
      <c r="K3039" s="11">
        <v>16939960</v>
      </c>
      <c r="L3039" s="3">
        <v>187</v>
      </c>
      <c r="M3039" s="3">
        <v>4984</v>
      </c>
      <c r="N3039" s="3">
        <v>888584</v>
      </c>
      <c r="O3039" s="2">
        <v>-7.0999999999999994E-2</v>
      </c>
      <c r="P3039" s="2">
        <v>0.22500000000000001</v>
      </c>
      <c r="Q3039" s="2">
        <v>0.20100000000000001</v>
      </c>
      <c r="R3039" s="11">
        <v>493679140</v>
      </c>
      <c r="S3039" s="11">
        <v>1510618</v>
      </c>
      <c r="T3039">
        <v>2015</v>
      </c>
      <c r="U3039">
        <v>1</v>
      </c>
      <c r="V3039">
        <f t="shared" si="282"/>
        <v>1162500</v>
      </c>
      <c r="W3039">
        <f t="shared" si="283"/>
        <v>11464948.5</v>
      </c>
      <c r="X3039">
        <f t="shared" si="284"/>
        <v>10302448.5</v>
      </c>
      <c r="Y3039">
        <f t="shared" si="285"/>
        <v>-14291172.75</v>
      </c>
      <c r="Z3039">
        <f t="shared" si="286"/>
        <v>26918621.25</v>
      </c>
      <c r="AA3039" t="str">
        <f t="shared" si="287"/>
        <v>Outlier</v>
      </c>
      <c r="AE3039" s="2"/>
      <c r="AF3039" s="2"/>
    </row>
    <row r="3040" spans="1:32" x14ac:dyDescent="0.35">
      <c r="A3040">
        <v>3039</v>
      </c>
      <c r="B3040" s="1">
        <v>42032</v>
      </c>
      <c r="C3040" s="9" t="s">
        <v>3818</v>
      </c>
      <c r="D3040" s="9" t="s">
        <v>4988</v>
      </c>
      <c r="E3040" s="9" t="s">
        <v>1111</v>
      </c>
      <c r="F3040" s="9" t="s">
        <v>15</v>
      </c>
      <c r="G3040" s="9" t="s">
        <v>4808</v>
      </c>
      <c r="H3040" s="9" t="s">
        <v>105</v>
      </c>
      <c r="I3040" s="11">
        <v>2500000</v>
      </c>
      <c r="J3040" s="11">
        <v>1987902</v>
      </c>
      <c r="K3040" s="11">
        <v>1225084</v>
      </c>
      <c r="L3040" s="3">
        <v>323</v>
      </c>
      <c r="M3040" s="3">
        <v>1918</v>
      </c>
      <c r="N3040" s="3">
        <v>1254913</v>
      </c>
      <c r="O3040" s="2">
        <v>0.16200000000000001</v>
      </c>
      <c r="P3040" s="2">
        <v>0.37799999999999995</v>
      </c>
      <c r="Q3040" s="2">
        <v>0.255</v>
      </c>
      <c r="R3040" s="11">
        <v>107418957</v>
      </c>
      <c r="S3040" s="11">
        <v>243478</v>
      </c>
      <c r="T3040">
        <v>2015</v>
      </c>
      <c r="U3040">
        <v>1</v>
      </c>
      <c r="V3040">
        <f t="shared" si="282"/>
        <v>993750</v>
      </c>
      <c r="W3040">
        <f t="shared" si="283"/>
        <v>4000000</v>
      </c>
      <c r="X3040">
        <f t="shared" si="284"/>
        <v>3006250</v>
      </c>
      <c r="Y3040">
        <f t="shared" si="285"/>
        <v>-3515625</v>
      </c>
      <c r="Z3040">
        <f t="shared" si="286"/>
        <v>8509375</v>
      </c>
      <c r="AA3040" t="str">
        <f t="shared" si="287"/>
        <v>Normal</v>
      </c>
      <c r="AE3040" s="2"/>
      <c r="AF3040" s="2"/>
    </row>
    <row r="3041" spans="1:32" x14ac:dyDescent="0.35">
      <c r="A3041">
        <v>3040</v>
      </c>
      <c r="B3041" s="1">
        <v>42033</v>
      </c>
      <c r="C3041" s="9" t="s">
        <v>4809</v>
      </c>
      <c r="D3041" s="9" t="s">
        <v>4988</v>
      </c>
      <c r="E3041" s="9" t="s">
        <v>1111</v>
      </c>
      <c r="F3041" s="9" t="s">
        <v>15</v>
      </c>
      <c r="G3041" s="9" t="s">
        <v>4810</v>
      </c>
      <c r="H3041" s="9" t="s">
        <v>105</v>
      </c>
      <c r="I3041" s="11">
        <v>4500000</v>
      </c>
      <c r="J3041" s="11">
        <v>1470820</v>
      </c>
      <c r="K3041" s="11">
        <v>2687240</v>
      </c>
      <c r="L3041" s="3">
        <v>482</v>
      </c>
      <c r="M3041" s="3">
        <v>2962</v>
      </c>
      <c r="N3041" s="3">
        <v>524608</v>
      </c>
      <c r="O3041" s="2">
        <v>-0.19600000000000001</v>
      </c>
      <c r="P3041" s="2">
        <v>0.21899999999999997</v>
      </c>
      <c r="Q3041" s="2">
        <v>0.215</v>
      </c>
      <c r="R3041" s="11">
        <v>414371800</v>
      </c>
      <c r="S3041" s="11">
        <v>1089119</v>
      </c>
      <c r="T3041">
        <v>2015</v>
      </c>
      <c r="U3041">
        <v>1</v>
      </c>
      <c r="V3041">
        <f t="shared" si="282"/>
        <v>825000</v>
      </c>
      <c r="W3041">
        <f t="shared" si="283"/>
        <v>4500000</v>
      </c>
      <c r="X3041">
        <f t="shared" si="284"/>
        <v>3675000</v>
      </c>
      <c r="Y3041">
        <f t="shared" si="285"/>
        <v>-4687500</v>
      </c>
      <c r="Z3041">
        <f t="shared" si="286"/>
        <v>10012500</v>
      </c>
      <c r="AA3041" t="str">
        <f t="shared" si="287"/>
        <v>Normal</v>
      </c>
      <c r="AE3041" s="2"/>
      <c r="AF3041" s="2"/>
    </row>
    <row r="3042" spans="1:32" x14ac:dyDescent="0.35">
      <c r="A3042">
        <v>3041</v>
      </c>
      <c r="B3042" s="1">
        <v>42033</v>
      </c>
      <c r="C3042" s="9" t="s">
        <v>4811</v>
      </c>
      <c r="D3042" s="9" t="s">
        <v>4988</v>
      </c>
      <c r="E3042" s="9" t="s">
        <v>1111</v>
      </c>
      <c r="F3042" s="9" t="s">
        <v>15</v>
      </c>
      <c r="G3042" s="9" t="s">
        <v>4812</v>
      </c>
      <c r="H3042" s="9" t="s">
        <v>105</v>
      </c>
      <c r="I3042" s="11">
        <v>825000</v>
      </c>
      <c r="J3042" s="11">
        <v>1653752</v>
      </c>
      <c r="K3042" s="11">
        <v>6032568</v>
      </c>
      <c r="L3042" s="3">
        <v>228</v>
      </c>
      <c r="M3042" s="3">
        <v>4364</v>
      </c>
      <c r="N3042" s="3">
        <v>521739</v>
      </c>
      <c r="O3042" s="2">
        <v>-0.157</v>
      </c>
      <c r="P3042" s="2">
        <v>0.88800000000000001</v>
      </c>
      <c r="Q3042" s="2">
        <v>0.105</v>
      </c>
      <c r="R3042" s="11">
        <v>9325526</v>
      </c>
      <c r="S3042" s="11">
        <v>1759618</v>
      </c>
      <c r="T3042">
        <v>2015</v>
      </c>
      <c r="U3042">
        <v>1</v>
      </c>
      <c r="V3042">
        <f t="shared" si="282"/>
        <v>653750</v>
      </c>
      <c r="W3042">
        <f t="shared" si="283"/>
        <v>5732474.25</v>
      </c>
      <c r="X3042">
        <f t="shared" si="284"/>
        <v>5078724.25</v>
      </c>
      <c r="Y3042">
        <f t="shared" si="285"/>
        <v>-6964336.375</v>
      </c>
      <c r="Z3042">
        <f t="shared" si="286"/>
        <v>13350560.625</v>
      </c>
      <c r="AA3042" t="str">
        <f t="shared" si="287"/>
        <v>Normal</v>
      </c>
      <c r="AE3042" s="2"/>
      <c r="AF3042" s="2"/>
    </row>
    <row r="3043" spans="1:32" x14ac:dyDescent="0.35">
      <c r="A3043">
        <v>3042</v>
      </c>
      <c r="B3043" s="1">
        <v>42034</v>
      </c>
      <c r="C3043" s="9" t="s">
        <v>370</v>
      </c>
      <c r="D3043" s="9" t="s">
        <v>4988</v>
      </c>
      <c r="E3043" s="9" t="s">
        <v>1111</v>
      </c>
      <c r="F3043" s="9" t="s">
        <v>15</v>
      </c>
      <c r="G3043" s="9" t="s">
        <v>4813</v>
      </c>
      <c r="H3043" s="9" t="s">
        <v>105</v>
      </c>
      <c r="I3043" s="11">
        <v>1500000</v>
      </c>
      <c r="J3043" s="11">
        <v>2656368</v>
      </c>
      <c r="K3043" s="11">
        <v>15249266</v>
      </c>
      <c r="L3043" s="3">
        <v>254</v>
      </c>
      <c r="M3043" s="3">
        <v>1348</v>
      </c>
      <c r="N3043" s="3">
        <v>1341518</v>
      </c>
      <c r="O3043" s="2">
        <v>0.23199999999999998</v>
      </c>
      <c r="P3043" s="2">
        <v>0.58899999999999997</v>
      </c>
      <c r="Q3043" s="2">
        <v>-0.38500000000000001</v>
      </c>
      <c r="R3043" s="11">
        <v>101238906</v>
      </c>
      <c r="S3043" s="11">
        <v>221855</v>
      </c>
      <c r="T3043">
        <v>2015</v>
      </c>
      <c r="U3043">
        <v>1</v>
      </c>
      <c r="V3043">
        <f t="shared" si="282"/>
        <v>820000</v>
      </c>
      <c r="W3043">
        <f t="shared" si="283"/>
        <v>9964948.5</v>
      </c>
      <c r="X3043">
        <f t="shared" si="284"/>
        <v>9144948.5</v>
      </c>
      <c r="Y3043">
        <f t="shared" si="285"/>
        <v>-12897422.75</v>
      </c>
      <c r="Z3043">
        <f t="shared" si="286"/>
        <v>23682371.25</v>
      </c>
      <c r="AA3043" t="str">
        <f t="shared" si="287"/>
        <v>Normal</v>
      </c>
      <c r="AE3043" s="2"/>
      <c r="AF3043" s="2"/>
    </row>
    <row r="3044" spans="1:32" x14ac:dyDescent="0.35">
      <c r="A3044">
        <v>3043</v>
      </c>
      <c r="B3044" s="1">
        <v>42034</v>
      </c>
      <c r="C3044" s="9" t="s">
        <v>4814</v>
      </c>
      <c r="D3044" s="9" t="s">
        <v>4988</v>
      </c>
      <c r="E3044" s="9" t="s">
        <v>1111</v>
      </c>
      <c r="F3044" s="9" t="s">
        <v>15</v>
      </c>
      <c r="G3044" s="9" t="s">
        <v>482</v>
      </c>
      <c r="H3044" s="9" t="s">
        <v>105</v>
      </c>
      <c r="I3044" s="11">
        <v>18429897</v>
      </c>
      <c r="J3044" s="11">
        <v>961486</v>
      </c>
      <c r="K3044" s="11">
        <v>1655701</v>
      </c>
      <c r="L3044" s="3">
        <v>56</v>
      </c>
      <c r="M3044" s="3">
        <v>4943</v>
      </c>
      <c r="N3044" s="3">
        <v>410135</v>
      </c>
      <c r="O3044" s="2">
        <v>0.106</v>
      </c>
      <c r="P3044" s="2">
        <v>0.72799999999999998</v>
      </c>
      <c r="Q3044" s="2">
        <v>0.316</v>
      </c>
      <c r="R3044" s="11">
        <v>266943925</v>
      </c>
      <c r="S3044" s="11">
        <v>684400</v>
      </c>
      <c r="T3044">
        <v>2015</v>
      </c>
      <c r="U3044">
        <v>1</v>
      </c>
      <c r="V3044">
        <f t="shared" si="282"/>
        <v>4712474.25</v>
      </c>
      <c r="W3044">
        <f t="shared" si="283"/>
        <v>13857422.75</v>
      </c>
      <c r="X3044">
        <f t="shared" si="284"/>
        <v>9144948.5</v>
      </c>
      <c r="Y3044">
        <f t="shared" si="285"/>
        <v>-9004948.5</v>
      </c>
      <c r="Z3044">
        <f t="shared" si="286"/>
        <v>27574845.5</v>
      </c>
      <c r="AA3044" t="str">
        <f t="shared" si="287"/>
        <v>Normal</v>
      </c>
      <c r="AE3044" s="2"/>
      <c r="AF3044" s="2"/>
    </row>
    <row r="3045" spans="1:32" x14ac:dyDescent="0.35">
      <c r="A3045">
        <v>3044</v>
      </c>
      <c r="B3045" s="1">
        <v>42035</v>
      </c>
      <c r="C3045" s="9" t="s">
        <v>4815</v>
      </c>
      <c r="D3045" s="9" t="s">
        <v>4988</v>
      </c>
      <c r="E3045" s="9" t="s">
        <v>1111</v>
      </c>
      <c r="F3045" s="9" t="s">
        <v>15</v>
      </c>
      <c r="G3045" s="9" t="s">
        <v>4816</v>
      </c>
      <c r="H3045" s="9" t="s">
        <v>86</v>
      </c>
      <c r="I3045" s="11">
        <v>140000</v>
      </c>
      <c r="J3045" s="11">
        <v>4416471</v>
      </c>
      <c r="K3045" s="11">
        <v>1749180</v>
      </c>
      <c r="L3045" s="3">
        <v>19</v>
      </c>
      <c r="M3045" s="3">
        <v>1550</v>
      </c>
      <c r="N3045" s="3">
        <v>285010</v>
      </c>
      <c r="O3045" s="2">
        <v>-6.3E-2</v>
      </c>
      <c r="P3045" s="2">
        <v>0.67900000000000005</v>
      </c>
      <c r="Q3045" s="2">
        <v>-0.49299999999999999</v>
      </c>
      <c r="R3045" s="11">
        <v>38733398</v>
      </c>
      <c r="S3045" s="11">
        <v>880311</v>
      </c>
      <c r="T3045">
        <v>2015</v>
      </c>
      <c r="U3045">
        <v>1</v>
      </c>
      <c r="V3045">
        <f t="shared" si="282"/>
        <v>140000</v>
      </c>
      <c r="W3045">
        <f t="shared" si="283"/>
        <v>140000</v>
      </c>
      <c r="X3045">
        <f t="shared" si="284"/>
        <v>0</v>
      </c>
      <c r="Y3045">
        <f t="shared" si="285"/>
        <v>140000</v>
      </c>
      <c r="Z3045">
        <f t="shared" si="286"/>
        <v>140000</v>
      </c>
      <c r="AA3045" t="str">
        <f t="shared" si="287"/>
        <v>Normal</v>
      </c>
      <c r="AE3045" s="2"/>
      <c r="AF3045" s="2"/>
    </row>
  </sheetData>
  <dataValidations count="12">
    <dataValidation type="decimal" allowBlank="1" showInputMessage="1" showErrorMessage="1" errorTitle="Out of range" error="Data out of range." sqref="O1:O1048576" xr:uid="{B689970D-F744-4C4C-A247-5BF8688761DD}">
      <formula1>-100</formula1>
      <formula2>200</formula2>
    </dataValidation>
    <dataValidation type="decimal" allowBlank="1" showInputMessage="1" showErrorMessage="1" errorTitle="Out of range" error="Data Out of Range." sqref="P1:P1048576" xr:uid="{CB1FEB3F-E215-44F0-B5DB-19A922CE6186}">
      <formula1>0</formula1>
      <formula2>120</formula2>
    </dataValidation>
    <dataValidation type="decimal" allowBlank="1" showInputMessage="1" showErrorMessage="1" errorTitle="Out of range" error="Data out of range." sqref="Q1:Q1048576" xr:uid="{71D844DB-D876-4B30-BA5D-B9A650E22CCC}">
      <formula1>-200</formula1>
      <formula2>100</formula2>
    </dataValidation>
    <dataValidation type="whole" allowBlank="1" showInputMessage="1" showErrorMessage="1" errorTitle="ID No." error="ID cannot be negative or decimal." sqref="A1:A1048576" xr:uid="{604B17F0-4E1D-4AD0-9884-8C01DF24A597}">
      <formula1>0</formula1>
      <formula2>100000</formula2>
    </dataValidation>
    <dataValidation type="date" allowBlank="1" showInputMessage="1" showErrorMessage="1" errorTitle="Invalid Date" error="Startup data won’t be before 2000 or future date." sqref="B1:B1048576" xr:uid="{1AD081DC-C853-4D0E-B769-2C639AA19198}">
      <formula1>36526</formula1>
      <formula2>46073</formula2>
    </dataValidation>
    <dataValidation type="whole" allowBlank="1" showInputMessage="1" showErrorMessage="1" errorTitle="Negative number fund" error="No negative funding." sqref="I2:I3045" xr:uid="{3FC3786F-0853-433F-9D5B-19E06772A196}">
      <formula1>0</formula1>
      <formula2>10000000000</formula2>
    </dataValidation>
    <dataValidation type="whole" allowBlank="1" showInputMessage="1" showErrorMessage="1" errorTitle="Negative number found" error="Revenue cannot be negative." sqref="J1:J1048576" xr:uid="{BB7E6B53-420D-46EC-84A2-1A9C738CEFA3}">
      <formula1>0</formula1>
      <formula2>5000000000</formula2>
    </dataValidation>
    <dataValidation type="whole" allowBlank="1" showInputMessage="1" showErrorMessage="1" errorTitle="Negative number found" error="Burn rate cannot be negative." sqref="K1:K1048576" xr:uid="{5AD08C13-CB66-4744-BD0A-31D94ED1A6F2}">
      <formula1>0</formula1>
      <formula2>5000000000</formula2>
    </dataValidation>
    <dataValidation type="whole" allowBlank="1" showInputMessage="1" showErrorMessage="1" errorTitle="error" error="CLV should ideally be greater than CAC" sqref="M1:M1048576" xr:uid="{1633393B-F84A-402F-B6F8-6B9F8D6E6CB7}">
      <formula1>0</formula1>
      <formula2>50000000</formula2>
    </dataValidation>
    <dataValidation type="whole" allowBlank="1" showInputMessage="1" showErrorMessage="1" errorTitle="Negative number found" error="Users cannot be negative." sqref="N1:N1048576" xr:uid="{19C64C0E-91A1-49AA-A684-2CD1B42E3935}">
      <formula1>0</formula1>
      <formula2>2000000000</formula2>
    </dataValidation>
    <dataValidation type="whole" allowBlank="1" showInputMessage="1" showErrorMessage="1" errorTitle="Negative value found" error="Valuation cannot be negative." sqref="I1" xr:uid="{621A484E-D9B6-4BA3-ACF4-82B040E3207E}">
      <formula1>0</formula1>
      <formula2>100000000000</formula2>
    </dataValidation>
    <dataValidation type="textLength" operator="greaterThan" allowBlank="1" showInputMessage="1" showErrorMessage="1" errorTitle="Missing Data" error="Avoid blank or single-letter names." sqref="C1:C1048576" xr:uid="{FCFBFF3E-44A1-47A3-9CF8-3D7BECEA2BD0}">
      <formula1>2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F815D-14BB-4E5F-B7B6-00E6D49540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Lokesh</dc:creator>
  <cp:lastModifiedBy>Teja Katakam</cp:lastModifiedBy>
  <dcterms:created xsi:type="dcterms:W3CDTF">2026-02-20T08:32:30Z</dcterms:created>
  <dcterms:modified xsi:type="dcterms:W3CDTF">2026-03-04T09:41:25Z</dcterms:modified>
</cp:coreProperties>
</file>